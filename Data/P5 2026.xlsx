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AA9929D0-B176-4093-AF30-792B666190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5" i="7" l="1"/>
  <c r="W445" i="7"/>
  <c r="N445" i="7"/>
  <c r="H445" i="7"/>
  <c r="Z443" i="7"/>
  <c r="AA443" i="7" s="1"/>
  <c r="T443" i="7"/>
  <c r="W443" i="7" s="1"/>
  <c r="X443" i="7" s="1"/>
  <c r="Q443" i="7"/>
  <c r="R443" i="7" s="1"/>
  <c r="K443" i="7"/>
  <c r="L443" i="7" s="1"/>
  <c r="I443" i="7"/>
  <c r="H443" i="7"/>
  <c r="E443" i="7"/>
  <c r="F443" i="7" s="1"/>
  <c r="B443" i="7"/>
  <c r="C443" i="7" s="1"/>
  <c r="Z442" i="7"/>
  <c r="AC442" i="7" s="1"/>
  <c r="AD442" i="7" s="1"/>
  <c r="T442" i="7"/>
  <c r="U442" i="7" s="1"/>
  <c r="Q442" i="7"/>
  <c r="W442" i="7" s="1"/>
  <c r="X442" i="7" s="1"/>
  <c r="N442" i="7"/>
  <c r="O442" i="7" s="1"/>
  <c r="K442" i="7"/>
  <c r="L442" i="7" s="1"/>
  <c r="E442" i="7"/>
  <c r="F442" i="7" s="1"/>
  <c r="B442" i="7"/>
  <c r="AC441" i="7"/>
  <c r="AD441" i="7" s="1"/>
  <c r="AA441" i="7"/>
  <c r="W441" i="7"/>
  <c r="X441" i="7" s="1"/>
  <c r="U441" i="7"/>
  <c r="R441" i="7"/>
  <c r="O441" i="7"/>
  <c r="N441" i="7"/>
  <c r="L441" i="7"/>
  <c r="H441" i="7"/>
  <c r="I441" i="7" s="1"/>
  <c r="F441" i="7"/>
  <c r="C441" i="7"/>
  <c r="AC440" i="7"/>
  <c r="AD440" i="7" s="1"/>
  <c r="AA440" i="7"/>
  <c r="X440" i="7"/>
  <c r="W440" i="7"/>
  <c r="U440" i="7"/>
  <c r="R440" i="7"/>
  <c r="O440" i="7"/>
  <c r="N440" i="7"/>
  <c r="L440" i="7"/>
  <c r="H440" i="7"/>
  <c r="I440" i="7" s="1"/>
  <c r="F440" i="7"/>
  <c r="C440" i="7"/>
  <c r="AC439" i="7"/>
  <c r="AD439" i="7" s="1"/>
  <c r="AA439" i="7"/>
  <c r="X439" i="7"/>
  <c r="W439" i="7"/>
  <c r="U439" i="7"/>
  <c r="R439" i="7"/>
  <c r="N439" i="7"/>
  <c r="O439" i="7" s="1"/>
  <c r="L439" i="7"/>
  <c r="H439" i="7"/>
  <c r="I439" i="7" s="1"/>
  <c r="F439" i="7"/>
  <c r="C439" i="7"/>
  <c r="AC438" i="7"/>
  <c r="AD438" i="7" s="1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C437" i="7"/>
  <c r="AD437" i="7" s="1"/>
  <c r="AA437" i="7"/>
  <c r="W437" i="7"/>
  <c r="X437" i="7" s="1"/>
  <c r="U437" i="7"/>
  <c r="R437" i="7"/>
  <c r="O437" i="7"/>
  <c r="N437" i="7"/>
  <c r="L437" i="7"/>
  <c r="H437" i="7"/>
  <c r="I437" i="7" s="1"/>
  <c r="F437" i="7"/>
  <c r="C437" i="7"/>
  <c r="AD436" i="7"/>
  <c r="AC436" i="7"/>
  <c r="AA436" i="7"/>
  <c r="X436" i="7"/>
  <c r="W436" i="7"/>
  <c r="U436" i="7"/>
  <c r="R436" i="7"/>
  <c r="N436" i="7"/>
  <c r="O436" i="7" s="1"/>
  <c r="L436" i="7"/>
  <c r="H436" i="7"/>
  <c r="I436" i="7" s="1"/>
  <c r="F436" i="7"/>
  <c r="C436" i="7"/>
  <c r="AC435" i="7"/>
  <c r="AD435" i="7" s="1"/>
  <c r="AA435" i="7"/>
  <c r="X435" i="7"/>
  <c r="W435" i="7"/>
  <c r="U435" i="7"/>
  <c r="R435" i="7"/>
  <c r="N435" i="7"/>
  <c r="O435" i="7" s="1"/>
  <c r="L435" i="7"/>
  <c r="I435" i="7"/>
  <c r="H435" i="7"/>
  <c r="F435" i="7"/>
  <c r="C435" i="7"/>
  <c r="AD434" i="7"/>
  <c r="AC434" i="7"/>
  <c r="AA434" i="7"/>
  <c r="W434" i="7"/>
  <c r="X434" i="7" s="1"/>
  <c r="U434" i="7"/>
  <c r="R434" i="7"/>
  <c r="N434" i="7"/>
  <c r="O434" i="7" s="1"/>
  <c r="L434" i="7"/>
  <c r="H434" i="7"/>
  <c r="I434" i="7" s="1"/>
  <c r="F434" i="7"/>
  <c r="C434" i="7"/>
  <c r="AC433" i="7"/>
  <c r="AD433" i="7" s="1"/>
  <c r="AA433" i="7"/>
  <c r="W433" i="7"/>
  <c r="X433" i="7" s="1"/>
  <c r="U433" i="7"/>
  <c r="R433" i="7"/>
  <c r="O433" i="7"/>
  <c r="N433" i="7"/>
  <c r="L433" i="7"/>
  <c r="I433" i="7"/>
  <c r="H433" i="7"/>
  <c r="F433" i="7"/>
  <c r="C433" i="7"/>
  <c r="AC430" i="7"/>
  <c r="AD430" i="7" s="1"/>
  <c r="Z430" i="7"/>
  <c r="AA430" i="7" s="1"/>
  <c r="T430" i="7"/>
  <c r="U430" i="7" s="1"/>
  <c r="R430" i="7"/>
  <c r="Q430" i="7"/>
  <c r="L430" i="7"/>
  <c r="K430" i="7"/>
  <c r="E430" i="7"/>
  <c r="B430" i="7"/>
  <c r="C430" i="7" s="1"/>
  <c r="AA429" i="7"/>
  <c r="Z429" i="7"/>
  <c r="W429" i="7"/>
  <c r="X429" i="7" s="1"/>
  <c r="T429" i="7"/>
  <c r="U429" i="7" s="1"/>
  <c r="Q429" i="7"/>
  <c r="R429" i="7" s="1"/>
  <c r="N429" i="7"/>
  <c r="O429" i="7" s="1"/>
  <c r="L429" i="7"/>
  <c r="K429" i="7"/>
  <c r="E429" i="7"/>
  <c r="F429" i="7" s="1"/>
  <c r="C429" i="7"/>
  <c r="B429" i="7"/>
  <c r="H429" i="7" s="1"/>
  <c r="I429" i="7" s="1"/>
  <c r="AC428" i="7"/>
  <c r="AD428" i="7" s="1"/>
  <c r="AA428" i="7"/>
  <c r="X428" i="7"/>
  <c r="W428" i="7"/>
  <c r="U428" i="7"/>
  <c r="R428" i="7"/>
  <c r="N428" i="7"/>
  <c r="O428" i="7" s="1"/>
  <c r="L428" i="7"/>
  <c r="H428" i="7"/>
  <c r="I428" i="7" s="1"/>
  <c r="F428" i="7"/>
  <c r="C428" i="7"/>
  <c r="AC427" i="7"/>
  <c r="AD427" i="7" s="1"/>
  <c r="AA427" i="7"/>
  <c r="X427" i="7"/>
  <c r="W427" i="7"/>
  <c r="U427" i="7"/>
  <c r="R427" i="7"/>
  <c r="N427" i="7"/>
  <c r="O427" i="7" s="1"/>
  <c r="L427" i="7"/>
  <c r="I427" i="7"/>
  <c r="H427" i="7"/>
  <c r="F427" i="7"/>
  <c r="C427" i="7"/>
  <c r="AC426" i="7"/>
  <c r="AD426" i="7" s="1"/>
  <c r="AA426" i="7"/>
  <c r="X426" i="7"/>
  <c r="W426" i="7"/>
  <c r="U426" i="7"/>
  <c r="R426" i="7"/>
  <c r="O426" i="7"/>
  <c r="N426" i="7"/>
  <c r="L426" i="7"/>
  <c r="I426" i="7"/>
  <c r="H426" i="7"/>
  <c r="F426" i="7"/>
  <c r="C426" i="7"/>
  <c r="AC425" i="7"/>
  <c r="AD425" i="7" s="1"/>
  <c r="AA425" i="7"/>
  <c r="W425" i="7"/>
  <c r="X425" i="7" s="1"/>
  <c r="U425" i="7"/>
  <c r="R425" i="7"/>
  <c r="O425" i="7"/>
  <c r="N425" i="7"/>
  <c r="L425" i="7"/>
  <c r="H425" i="7"/>
  <c r="I425" i="7" s="1"/>
  <c r="F425" i="7"/>
  <c r="C425" i="7"/>
  <c r="AD424" i="7"/>
  <c r="AC424" i="7"/>
  <c r="AA424" i="7"/>
  <c r="X424" i="7"/>
  <c r="W424" i="7"/>
  <c r="U424" i="7"/>
  <c r="R424" i="7"/>
  <c r="N424" i="7"/>
  <c r="O424" i="7" s="1"/>
  <c r="L424" i="7"/>
  <c r="H424" i="7"/>
  <c r="I424" i="7" s="1"/>
  <c r="F424" i="7"/>
  <c r="C424" i="7"/>
  <c r="AD423" i="7"/>
  <c r="AC423" i="7"/>
  <c r="AA423" i="7"/>
  <c r="X423" i="7"/>
  <c r="W423" i="7"/>
  <c r="U423" i="7"/>
  <c r="R423" i="7"/>
  <c r="N423" i="7"/>
  <c r="O423" i="7" s="1"/>
  <c r="L423" i="7"/>
  <c r="H423" i="7"/>
  <c r="I423" i="7" s="1"/>
  <c r="F423" i="7"/>
  <c r="C423" i="7"/>
  <c r="AD422" i="7"/>
  <c r="AC422" i="7"/>
  <c r="AA422" i="7"/>
  <c r="X422" i="7"/>
  <c r="W422" i="7"/>
  <c r="U422" i="7"/>
  <c r="R422" i="7"/>
  <c r="O422" i="7"/>
  <c r="N422" i="7"/>
  <c r="L422" i="7"/>
  <c r="I422" i="7"/>
  <c r="H422" i="7"/>
  <c r="F422" i="7"/>
  <c r="C422" i="7"/>
  <c r="AC421" i="7"/>
  <c r="AD421" i="7" s="1"/>
  <c r="AA421" i="7"/>
  <c r="W421" i="7"/>
  <c r="X421" i="7" s="1"/>
  <c r="U421" i="7"/>
  <c r="R421" i="7"/>
  <c r="O421" i="7"/>
  <c r="N421" i="7"/>
  <c r="L421" i="7"/>
  <c r="I421" i="7"/>
  <c r="H421" i="7"/>
  <c r="F421" i="7"/>
  <c r="C421" i="7"/>
  <c r="AD420" i="7"/>
  <c r="AC420" i="7"/>
  <c r="AA420" i="7"/>
  <c r="X420" i="7"/>
  <c r="W420" i="7"/>
  <c r="U420" i="7"/>
  <c r="R420" i="7"/>
  <c r="N420" i="7"/>
  <c r="O420" i="7" s="1"/>
  <c r="L420" i="7"/>
  <c r="H420" i="7"/>
  <c r="I420" i="7" s="1"/>
  <c r="F420" i="7"/>
  <c r="C420" i="7"/>
  <c r="AD419" i="7"/>
  <c r="AC419" i="7"/>
  <c r="AA419" i="7"/>
  <c r="X419" i="7"/>
  <c r="W419" i="7"/>
  <c r="U419" i="7"/>
  <c r="R419" i="7"/>
  <c r="N419" i="7"/>
  <c r="O419" i="7" s="1"/>
  <c r="L419" i="7"/>
  <c r="I419" i="7"/>
  <c r="H419" i="7"/>
  <c r="F419" i="7"/>
  <c r="C419" i="7"/>
  <c r="AC418" i="7"/>
  <c r="AD418" i="7" s="1"/>
  <c r="AA418" i="7"/>
  <c r="X418" i="7"/>
  <c r="W418" i="7"/>
  <c r="U418" i="7"/>
  <c r="R418" i="7"/>
  <c r="O418" i="7"/>
  <c r="N418" i="7"/>
  <c r="L418" i="7"/>
  <c r="H418" i="7"/>
  <c r="I418" i="7" s="1"/>
  <c r="F418" i="7"/>
  <c r="C418" i="7"/>
  <c r="AC417" i="7"/>
  <c r="AD417" i="7" s="1"/>
  <c r="AA417" i="7"/>
  <c r="W417" i="7"/>
  <c r="X417" i="7" s="1"/>
  <c r="U417" i="7"/>
  <c r="R417" i="7"/>
  <c r="O417" i="7"/>
  <c r="N417" i="7"/>
  <c r="L417" i="7"/>
  <c r="I417" i="7"/>
  <c r="H417" i="7"/>
  <c r="F417" i="7"/>
  <c r="C417" i="7"/>
  <c r="AC416" i="7"/>
  <c r="AD416" i="7" s="1"/>
  <c r="AA416" i="7"/>
  <c r="X416" i="7"/>
  <c r="W416" i="7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X415" i="7"/>
  <c r="W415" i="7"/>
  <c r="U415" i="7"/>
  <c r="R415" i="7"/>
  <c r="N415" i="7"/>
  <c r="O415" i="7" s="1"/>
  <c r="L415" i="7"/>
  <c r="H415" i="7"/>
  <c r="I415" i="7" s="1"/>
  <c r="F415" i="7"/>
  <c r="C415" i="7"/>
  <c r="AC414" i="7"/>
  <c r="AD414" i="7" s="1"/>
  <c r="AA414" i="7"/>
  <c r="W414" i="7"/>
  <c r="X414" i="7" s="1"/>
  <c r="U414" i="7"/>
  <c r="R414" i="7"/>
  <c r="O414" i="7"/>
  <c r="N414" i="7"/>
  <c r="L414" i="7"/>
  <c r="I414" i="7"/>
  <c r="H414" i="7"/>
  <c r="F414" i="7"/>
  <c r="C414" i="7"/>
  <c r="AC413" i="7"/>
  <c r="AD413" i="7" s="1"/>
  <c r="AA413" i="7"/>
  <c r="W413" i="7"/>
  <c r="X413" i="7" s="1"/>
  <c r="U413" i="7"/>
  <c r="R413" i="7"/>
  <c r="O413" i="7"/>
  <c r="N413" i="7"/>
  <c r="L413" i="7"/>
  <c r="I413" i="7"/>
  <c r="H413" i="7"/>
  <c r="F413" i="7"/>
  <c r="C413" i="7"/>
  <c r="AD412" i="7"/>
  <c r="AC412" i="7"/>
  <c r="AA412" i="7"/>
  <c r="X412" i="7"/>
  <c r="W412" i="7"/>
  <c r="U412" i="7"/>
  <c r="R412" i="7"/>
  <c r="O412" i="7"/>
  <c r="N412" i="7"/>
  <c r="L412" i="7"/>
  <c r="H412" i="7"/>
  <c r="I412" i="7" s="1"/>
  <c r="F412" i="7"/>
  <c r="C412" i="7"/>
  <c r="AD411" i="7"/>
  <c r="AC411" i="7"/>
  <c r="AA411" i="7"/>
  <c r="X411" i="7"/>
  <c r="W411" i="7"/>
  <c r="U411" i="7"/>
  <c r="R411" i="7"/>
  <c r="N411" i="7"/>
  <c r="O411" i="7" s="1"/>
  <c r="L411" i="7"/>
  <c r="I411" i="7"/>
  <c r="H411" i="7"/>
  <c r="F411" i="7"/>
  <c r="C411" i="7"/>
  <c r="AD410" i="7"/>
  <c r="AC410" i="7"/>
  <c r="AA410" i="7"/>
  <c r="X410" i="7"/>
  <c r="W410" i="7"/>
  <c r="U410" i="7"/>
  <c r="R410" i="7"/>
  <c r="O410" i="7"/>
  <c r="N410" i="7"/>
  <c r="L410" i="7"/>
  <c r="H410" i="7"/>
  <c r="I410" i="7" s="1"/>
  <c r="F410" i="7"/>
  <c r="C410" i="7"/>
  <c r="AC409" i="7"/>
  <c r="AD409" i="7" s="1"/>
  <c r="AA409" i="7"/>
  <c r="W409" i="7"/>
  <c r="X409" i="7" s="1"/>
  <c r="U409" i="7"/>
  <c r="R409" i="7"/>
  <c r="O409" i="7"/>
  <c r="N409" i="7"/>
  <c r="L409" i="7"/>
  <c r="I409" i="7"/>
  <c r="H409" i="7"/>
  <c r="F409" i="7"/>
  <c r="C409" i="7"/>
  <c r="AC408" i="7"/>
  <c r="AD408" i="7" s="1"/>
  <c r="AA408" i="7"/>
  <c r="X408" i="7"/>
  <c r="W408" i="7"/>
  <c r="U408" i="7"/>
  <c r="R408" i="7"/>
  <c r="N408" i="7"/>
  <c r="O408" i="7" s="1"/>
  <c r="L408" i="7"/>
  <c r="H408" i="7"/>
  <c r="I408" i="7" s="1"/>
  <c r="F408" i="7"/>
  <c r="C408" i="7"/>
  <c r="Z404" i="7"/>
  <c r="AA404" i="7" s="1"/>
  <c r="X404" i="7"/>
  <c r="W404" i="7"/>
  <c r="U404" i="7"/>
  <c r="T404" i="7"/>
  <c r="Q404" i="7"/>
  <c r="R404" i="7" s="1"/>
  <c r="K404" i="7"/>
  <c r="L404" i="7" s="1"/>
  <c r="H404" i="7"/>
  <c r="I404" i="7" s="1"/>
  <c r="E404" i="7"/>
  <c r="F404" i="7" s="1"/>
  <c r="B404" i="7"/>
  <c r="C404" i="7" s="1"/>
  <c r="AC403" i="7"/>
  <c r="AD403" i="7" s="1"/>
  <c r="AA403" i="7"/>
  <c r="X403" i="7"/>
  <c r="W403" i="7"/>
  <c r="U403" i="7"/>
  <c r="R403" i="7"/>
  <c r="N403" i="7"/>
  <c r="O403" i="7" s="1"/>
  <c r="L403" i="7"/>
  <c r="I403" i="7"/>
  <c r="H403" i="7"/>
  <c r="F403" i="7"/>
  <c r="C403" i="7"/>
  <c r="AC402" i="7"/>
  <c r="AD402" i="7" s="1"/>
  <c r="AA402" i="7"/>
  <c r="X402" i="7"/>
  <c r="W402" i="7"/>
  <c r="U402" i="7"/>
  <c r="R402" i="7"/>
  <c r="O402" i="7"/>
  <c r="N402" i="7"/>
  <c r="L402" i="7"/>
  <c r="I402" i="7"/>
  <c r="H402" i="7"/>
  <c r="F402" i="7"/>
  <c r="C402" i="7"/>
  <c r="AC401" i="7"/>
  <c r="AD401" i="7" s="1"/>
  <c r="AA401" i="7"/>
  <c r="W401" i="7"/>
  <c r="X401" i="7" s="1"/>
  <c r="U401" i="7"/>
  <c r="R401" i="7"/>
  <c r="O401" i="7"/>
  <c r="N401" i="7"/>
  <c r="L401" i="7"/>
  <c r="H401" i="7"/>
  <c r="I401" i="7" s="1"/>
  <c r="F401" i="7"/>
  <c r="C401" i="7"/>
  <c r="AD400" i="7"/>
  <c r="AC400" i="7"/>
  <c r="AA400" i="7"/>
  <c r="X400" i="7"/>
  <c r="W400" i="7"/>
  <c r="U400" i="7"/>
  <c r="R400" i="7"/>
  <c r="N400" i="7"/>
  <c r="O400" i="7" s="1"/>
  <c r="L400" i="7"/>
  <c r="H400" i="7"/>
  <c r="I400" i="7" s="1"/>
  <c r="F400" i="7"/>
  <c r="C400" i="7"/>
  <c r="AC399" i="7"/>
  <c r="AD399" i="7" s="1"/>
  <c r="AA399" i="7"/>
  <c r="X399" i="7"/>
  <c r="W399" i="7"/>
  <c r="U399" i="7"/>
  <c r="R399" i="7"/>
  <c r="N399" i="7"/>
  <c r="O399" i="7" s="1"/>
  <c r="L399" i="7"/>
  <c r="I399" i="7"/>
  <c r="H399" i="7"/>
  <c r="F399" i="7"/>
  <c r="C399" i="7"/>
  <c r="AC398" i="7"/>
  <c r="AD398" i="7" s="1"/>
  <c r="AA398" i="7"/>
  <c r="X398" i="7"/>
  <c r="W398" i="7"/>
  <c r="U398" i="7"/>
  <c r="R398" i="7"/>
  <c r="O398" i="7"/>
  <c r="N398" i="7"/>
  <c r="L398" i="7"/>
  <c r="H398" i="7"/>
  <c r="I398" i="7" s="1"/>
  <c r="F398" i="7"/>
  <c r="C398" i="7"/>
  <c r="Z397" i="7"/>
  <c r="AA397" i="7" s="1"/>
  <c r="X397" i="7"/>
  <c r="W397" i="7"/>
  <c r="U397" i="7"/>
  <c r="T397" i="7"/>
  <c r="Q397" i="7"/>
  <c r="R397" i="7" s="1"/>
  <c r="L397" i="7"/>
  <c r="K397" i="7"/>
  <c r="I397" i="7"/>
  <c r="H397" i="7"/>
  <c r="E397" i="7"/>
  <c r="F397" i="7" s="1"/>
  <c r="B397" i="7"/>
  <c r="C397" i="7" s="1"/>
  <c r="AC396" i="7"/>
  <c r="AD396" i="7" s="1"/>
  <c r="AA396" i="7"/>
  <c r="X396" i="7"/>
  <c r="W396" i="7"/>
  <c r="U396" i="7"/>
  <c r="R396" i="7"/>
  <c r="N396" i="7"/>
  <c r="O396" i="7" s="1"/>
  <c r="L396" i="7"/>
  <c r="H396" i="7"/>
  <c r="I396" i="7" s="1"/>
  <c r="F396" i="7"/>
  <c r="C396" i="7"/>
  <c r="AC395" i="7"/>
  <c r="AD395" i="7" s="1"/>
  <c r="AA395" i="7"/>
  <c r="X395" i="7"/>
  <c r="W395" i="7"/>
  <c r="U395" i="7"/>
  <c r="R395" i="7"/>
  <c r="O395" i="7"/>
  <c r="N395" i="7"/>
  <c r="L395" i="7"/>
  <c r="I395" i="7"/>
  <c r="H395" i="7"/>
  <c r="F395" i="7"/>
  <c r="C395" i="7"/>
  <c r="Z394" i="7"/>
  <c r="AA394" i="7" s="1"/>
  <c r="X394" i="7"/>
  <c r="W394" i="7"/>
  <c r="U394" i="7"/>
  <c r="T394" i="7"/>
  <c r="Q394" i="7"/>
  <c r="R394" i="7" s="1"/>
  <c r="K394" i="7"/>
  <c r="L394" i="7" s="1"/>
  <c r="H394" i="7"/>
  <c r="I394" i="7" s="1"/>
  <c r="E394" i="7"/>
  <c r="F394" i="7" s="1"/>
  <c r="B394" i="7"/>
  <c r="C394" i="7" s="1"/>
  <c r="AD393" i="7"/>
  <c r="AC393" i="7"/>
  <c r="AA393" i="7"/>
  <c r="X393" i="7"/>
  <c r="W393" i="7"/>
  <c r="U393" i="7"/>
  <c r="R393" i="7"/>
  <c r="N393" i="7"/>
  <c r="O393" i="7" s="1"/>
  <c r="L393" i="7"/>
  <c r="I393" i="7"/>
  <c r="H393" i="7"/>
  <c r="F393" i="7"/>
  <c r="C393" i="7"/>
  <c r="AC392" i="7"/>
  <c r="AD392" i="7" s="1"/>
  <c r="AA392" i="7"/>
  <c r="X392" i="7"/>
  <c r="W392" i="7"/>
  <c r="U392" i="7"/>
  <c r="R392" i="7"/>
  <c r="O392" i="7"/>
  <c r="N392" i="7"/>
  <c r="L392" i="7"/>
  <c r="I392" i="7"/>
  <c r="H392" i="7"/>
  <c r="F392" i="7"/>
  <c r="C392" i="7"/>
  <c r="AC391" i="7"/>
  <c r="AD391" i="7" s="1"/>
  <c r="AA391" i="7"/>
  <c r="W391" i="7"/>
  <c r="X391" i="7" s="1"/>
  <c r="U391" i="7"/>
  <c r="R391" i="7"/>
  <c r="O391" i="7"/>
  <c r="N391" i="7"/>
  <c r="L391" i="7"/>
  <c r="H391" i="7"/>
  <c r="I391" i="7" s="1"/>
  <c r="F391" i="7"/>
  <c r="C391" i="7"/>
  <c r="AC390" i="7"/>
  <c r="AD390" i="7" s="1"/>
  <c r="AA390" i="7"/>
  <c r="X390" i="7"/>
  <c r="W390" i="7"/>
  <c r="U390" i="7"/>
  <c r="R390" i="7"/>
  <c r="N390" i="7"/>
  <c r="O390" i="7" s="1"/>
  <c r="L390" i="7"/>
  <c r="H390" i="7"/>
  <c r="I390" i="7" s="1"/>
  <c r="F390" i="7"/>
  <c r="C390" i="7"/>
  <c r="AC389" i="7"/>
  <c r="AD389" i="7" s="1"/>
  <c r="AA389" i="7"/>
  <c r="X389" i="7"/>
  <c r="W389" i="7"/>
  <c r="U389" i="7"/>
  <c r="R389" i="7"/>
  <c r="N389" i="7"/>
  <c r="O389" i="7" s="1"/>
  <c r="L389" i="7"/>
  <c r="H389" i="7"/>
  <c r="I389" i="7" s="1"/>
  <c r="F389" i="7"/>
  <c r="C389" i="7"/>
  <c r="AC387" i="7"/>
  <c r="AD387" i="7" s="1"/>
  <c r="AA387" i="7"/>
  <c r="X387" i="7"/>
  <c r="W387" i="7"/>
  <c r="U387" i="7"/>
  <c r="R387" i="7"/>
  <c r="O387" i="7"/>
  <c r="N387" i="7"/>
  <c r="L387" i="7"/>
  <c r="H387" i="7"/>
  <c r="I387" i="7" s="1"/>
  <c r="F387" i="7"/>
  <c r="C387" i="7"/>
  <c r="AC386" i="7"/>
  <c r="AD386" i="7" s="1"/>
  <c r="AA386" i="7"/>
  <c r="W386" i="7"/>
  <c r="X386" i="7" s="1"/>
  <c r="U386" i="7"/>
  <c r="R386" i="7"/>
  <c r="O386" i="7"/>
  <c r="N386" i="7"/>
  <c r="L386" i="7"/>
  <c r="H386" i="7"/>
  <c r="I386" i="7" s="1"/>
  <c r="F386" i="7"/>
  <c r="C386" i="7"/>
  <c r="AD384" i="7"/>
  <c r="AC384" i="7"/>
  <c r="AA384" i="7"/>
  <c r="X384" i="7"/>
  <c r="W384" i="7"/>
  <c r="U384" i="7"/>
  <c r="R384" i="7"/>
  <c r="N384" i="7"/>
  <c r="O384" i="7" s="1"/>
  <c r="L384" i="7"/>
  <c r="H384" i="7"/>
  <c r="I384" i="7" s="1"/>
  <c r="F384" i="7"/>
  <c r="C384" i="7"/>
  <c r="AC383" i="7"/>
  <c r="AD383" i="7" s="1"/>
  <c r="AA383" i="7"/>
  <c r="X383" i="7"/>
  <c r="W383" i="7"/>
  <c r="U383" i="7"/>
  <c r="R383" i="7"/>
  <c r="N383" i="7"/>
  <c r="O383" i="7" s="1"/>
  <c r="L383" i="7"/>
  <c r="H383" i="7"/>
  <c r="I383" i="7" s="1"/>
  <c r="F383" i="7"/>
  <c r="C383" i="7"/>
  <c r="AC382" i="7"/>
  <c r="AD382" i="7" s="1"/>
  <c r="AA382" i="7"/>
  <c r="W382" i="7"/>
  <c r="X382" i="7" s="1"/>
  <c r="U382" i="7"/>
  <c r="R382" i="7"/>
  <c r="O382" i="7"/>
  <c r="N382" i="7"/>
  <c r="L382" i="7"/>
  <c r="H382" i="7"/>
  <c r="I382" i="7" s="1"/>
  <c r="F382" i="7"/>
  <c r="C382" i="7"/>
  <c r="AC381" i="7"/>
  <c r="AD381" i="7" s="1"/>
  <c r="AA381" i="7"/>
  <c r="W381" i="7"/>
  <c r="X381" i="7" s="1"/>
  <c r="U381" i="7"/>
  <c r="R381" i="7"/>
  <c r="O381" i="7"/>
  <c r="N381" i="7"/>
  <c r="L381" i="7"/>
  <c r="H381" i="7"/>
  <c r="I381" i="7" s="1"/>
  <c r="F381" i="7"/>
  <c r="C381" i="7"/>
  <c r="AD380" i="7"/>
  <c r="AC380" i="7"/>
  <c r="AA380" i="7"/>
  <c r="X380" i="7"/>
  <c r="W380" i="7"/>
  <c r="U380" i="7"/>
  <c r="R380" i="7"/>
  <c r="N380" i="7"/>
  <c r="O380" i="7" s="1"/>
  <c r="L380" i="7"/>
  <c r="H380" i="7"/>
  <c r="I380" i="7" s="1"/>
  <c r="F380" i="7"/>
  <c r="C380" i="7"/>
  <c r="AC379" i="7"/>
  <c r="AD379" i="7" s="1"/>
  <c r="AA379" i="7"/>
  <c r="X379" i="7"/>
  <c r="W379" i="7"/>
  <c r="U379" i="7"/>
  <c r="R379" i="7"/>
  <c r="N379" i="7"/>
  <c r="O379" i="7" s="1"/>
  <c r="L379" i="7"/>
  <c r="I379" i="7"/>
  <c r="H379" i="7"/>
  <c r="F379" i="7"/>
  <c r="C379" i="7"/>
  <c r="AC378" i="7"/>
  <c r="AD378" i="7" s="1"/>
  <c r="AA378" i="7"/>
  <c r="W378" i="7"/>
  <c r="X378" i="7" s="1"/>
  <c r="U378" i="7"/>
  <c r="R378" i="7"/>
  <c r="O378" i="7"/>
  <c r="N378" i="7"/>
  <c r="L378" i="7"/>
  <c r="H378" i="7"/>
  <c r="I378" i="7" s="1"/>
  <c r="F378" i="7"/>
  <c r="C378" i="7"/>
  <c r="AC377" i="7"/>
  <c r="AD377" i="7" s="1"/>
  <c r="AA377" i="7"/>
  <c r="W377" i="7"/>
  <c r="X377" i="7" s="1"/>
  <c r="U377" i="7"/>
  <c r="R377" i="7"/>
  <c r="O377" i="7"/>
  <c r="N377" i="7"/>
  <c r="L377" i="7"/>
  <c r="H377" i="7"/>
  <c r="I377" i="7" s="1"/>
  <c r="F377" i="7"/>
  <c r="C377" i="7"/>
  <c r="AD376" i="7"/>
  <c r="AC376" i="7"/>
  <c r="AA376" i="7"/>
  <c r="X376" i="7"/>
  <c r="W376" i="7"/>
  <c r="U376" i="7"/>
  <c r="R376" i="7"/>
  <c r="N376" i="7"/>
  <c r="O376" i="7" s="1"/>
  <c r="L376" i="7"/>
  <c r="H376" i="7"/>
  <c r="I376" i="7" s="1"/>
  <c r="F376" i="7"/>
  <c r="C376" i="7"/>
  <c r="AC375" i="7"/>
  <c r="AD375" i="7" s="1"/>
  <c r="AA375" i="7"/>
  <c r="X375" i="7"/>
  <c r="W375" i="7"/>
  <c r="U375" i="7"/>
  <c r="R375" i="7"/>
  <c r="N375" i="7"/>
  <c r="O375" i="7" s="1"/>
  <c r="L375" i="7"/>
  <c r="I375" i="7"/>
  <c r="H375" i="7"/>
  <c r="F375" i="7"/>
  <c r="C375" i="7"/>
  <c r="AC374" i="7"/>
  <c r="AD374" i="7" s="1"/>
  <c r="AA374" i="7"/>
  <c r="X374" i="7"/>
  <c r="W374" i="7"/>
  <c r="U374" i="7"/>
  <c r="R374" i="7"/>
  <c r="O374" i="7"/>
  <c r="N374" i="7"/>
  <c r="L374" i="7"/>
  <c r="H374" i="7"/>
  <c r="I374" i="7" s="1"/>
  <c r="F374" i="7"/>
  <c r="C374" i="7"/>
  <c r="AC373" i="7"/>
  <c r="AD373" i="7" s="1"/>
  <c r="AA373" i="7"/>
  <c r="W373" i="7"/>
  <c r="X373" i="7" s="1"/>
  <c r="U373" i="7"/>
  <c r="R373" i="7"/>
  <c r="O373" i="7"/>
  <c r="N373" i="7"/>
  <c r="L373" i="7"/>
  <c r="H373" i="7"/>
  <c r="I373" i="7" s="1"/>
  <c r="F373" i="7"/>
  <c r="C373" i="7"/>
  <c r="AD372" i="7"/>
  <c r="AC372" i="7"/>
  <c r="AA372" i="7"/>
  <c r="X372" i="7"/>
  <c r="W372" i="7"/>
  <c r="U372" i="7"/>
  <c r="R372" i="7"/>
  <c r="O372" i="7"/>
  <c r="N372" i="7"/>
  <c r="L372" i="7"/>
  <c r="H372" i="7"/>
  <c r="I372" i="7" s="1"/>
  <c r="F372" i="7"/>
  <c r="C372" i="7"/>
  <c r="AC371" i="7"/>
  <c r="AD371" i="7" s="1"/>
  <c r="AA371" i="7"/>
  <c r="X371" i="7"/>
  <c r="W371" i="7"/>
  <c r="U371" i="7"/>
  <c r="R371" i="7"/>
  <c r="N371" i="7"/>
  <c r="O371" i="7" s="1"/>
  <c r="L371" i="7"/>
  <c r="H371" i="7"/>
  <c r="I371" i="7" s="1"/>
  <c r="F371" i="7"/>
  <c r="C371" i="7"/>
  <c r="AC370" i="7"/>
  <c r="AD370" i="7" s="1"/>
  <c r="AA370" i="7"/>
  <c r="X370" i="7"/>
  <c r="W370" i="7"/>
  <c r="U370" i="7"/>
  <c r="R370" i="7"/>
  <c r="O370" i="7"/>
  <c r="N370" i="7"/>
  <c r="L370" i="7"/>
  <c r="H370" i="7"/>
  <c r="I370" i="7" s="1"/>
  <c r="F370" i="7"/>
  <c r="C370" i="7"/>
  <c r="Z369" i="7"/>
  <c r="AA369" i="7" s="1"/>
  <c r="W369" i="7"/>
  <c r="X369" i="7" s="1"/>
  <c r="U369" i="7"/>
  <c r="T369" i="7"/>
  <c r="Q369" i="7"/>
  <c r="R369" i="7" s="1"/>
  <c r="K369" i="7"/>
  <c r="L369" i="7" s="1"/>
  <c r="I369" i="7"/>
  <c r="H369" i="7"/>
  <c r="E369" i="7"/>
  <c r="F369" i="7" s="1"/>
  <c r="B369" i="7"/>
  <c r="C369" i="7" s="1"/>
  <c r="AC368" i="7"/>
  <c r="AD368" i="7" s="1"/>
  <c r="AA368" i="7"/>
  <c r="X368" i="7"/>
  <c r="W368" i="7"/>
  <c r="U368" i="7"/>
  <c r="R368" i="7"/>
  <c r="N368" i="7"/>
  <c r="O368" i="7" s="1"/>
  <c r="L368" i="7"/>
  <c r="I368" i="7"/>
  <c r="H368" i="7"/>
  <c r="F368" i="7"/>
  <c r="C368" i="7"/>
  <c r="AC367" i="7"/>
  <c r="AD367" i="7" s="1"/>
  <c r="AA367" i="7"/>
  <c r="X367" i="7"/>
  <c r="W367" i="7"/>
  <c r="U367" i="7"/>
  <c r="R367" i="7"/>
  <c r="O367" i="7"/>
  <c r="N367" i="7"/>
  <c r="L367" i="7"/>
  <c r="H367" i="7"/>
  <c r="I367" i="7" s="1"/>
  <c r="F367" i="7"/>
  <c r="C367" i="7"/>
  <c r="AC366" i="7"/>
  <c r="AD366" i="7" s="1"/>
  <c r="AA366" i="7"/>
  <c r="W366" i="7"/>
  <c r="X366" i="7" s="1"/>
  <c r="U366" i="7"/>
  <c r="R366" i="7"/>
  <c r="O366" i="7"/>
  <c r="N366" i="7"/>
  <c r="L366" i="7"/>
  <c r="H366" i="7"/>
  <c r="I366" i="7" s="1"/>
  <c r="F366" i="7"/>
  <c r="C366" i="7"/>
  <c r="AD365" i="7"/>
  <c r="AC365" i="7"/>
  <c r="AA365" i="7"/>
  <c r="X365" i="7"/>
  <c r="W365" i="7"/>
  <c r="U365" i="7"/>
  <c r="R365" i="7"/>
  <c r="O365" i="7"/>
  <c r="N365" i="7"/>
  <c r="L365" i="7"/>
  <c r="H365" i="7"/>
  <c r="I365" i="7" s="1"/>
  <c r="F365" i="7"/>
  <c r="C365" i="7"/>
  <c r="AC364" i="7"/>
  <c r="AD364" i="7" s="1"/>
  <c r="AA364" i="7"/>
  <c r="X364" i="7"/>
  <c r="W364" i="7"/>
  <c r="U364" i="7"/>
  <c r="R364" i="7"/>
  <c r="N364" i="7"/>
  <c r="O364" i="7" s="1"/>
  <c r="L364" i="7"/>
  <c r="H364" i="7"/>
  <c r="I364" i="7" s="1"/>
  <c r="F364" i="7"/>
  <c r="C364" i="7"/>
  <c r="AC363" i="7"/>
  <c r="AD363" i="7" s="1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C362" i="7"/>
  <c r="AD362" i="7" s="1"/>
  <c r="AA362" i="7"/>
  <c r="W362" i="7"/>
  <c r="X362" i="7" s="1"/>
  <c r="U362" i="7"/>
  <c r="R362" i="7"/>
  <c r="O362" i="7"/>
  <c r="N362" i="7"/>
  <c r="L362" i="7"/>
  <c r="H362" i="7"/>
  <c r="I362" i="7" s="1"/>
  <c r="F362" i="7"/>
  <c r="C362" i="7"/>
  <c r="AD361" i="7"/>
  <c r="AC361" i="7"/>
  <c r="AA361" i="7"/>
  <c r="X361" i="7"/>
  <c r="W361" i="7"/>
  <c r="U361" i="7"/>
  <c r="R361" i="7"/>
  <c r="O361" i="7"/>
  <c r="N361" i="7"/>
  <c r="L361" i="7"/>
  <c r="H361" i="7"/>
  <c r="I361" i="7" s="1"/>
  <c r="F361" i="7"/>
  <c r="C361" i="7"/>
  <c r="Z359" i="7"/>
  <c r="T359" i="7"/>
  <c r="U359" i="7" s="1"/>
  <c r="R359" i="7"/>
  <c r="Q359" i="7"/>
  <c r="W359" i="7" s="1"/>
  <c r="X359" i="7" s="1"/>
  <c r="K359" i="7"/>
  <c r="L359" i="7" s="1"/>
  <c r="E359" i="7"/>
  <c r="F359" i="7" s="1"/>
  <c r="B359" i="7"/>
  <c r="AC358" i="7"/>
  <c r="AD358" i="7" s="1"/>
  <c r="AA358" i="7"/>
  <c r="W358" i="7"/>
  <c r="X358" i="7" s="1"/>
  <c r="U358" i="7"/>
  <c r="R358" i="7"/>
  <c r="O358" i="7"/>
  <c r="N358" i="7"/>
  <c r="L358" i="7"/>
  <c r="H358" i="7"/>
  <c r="I358" i="7" s="1"/>
  <c r="F358" i="7"/>
  <c r="C358" i="7"/>
  <c r="AC357" i="7"/>
  <c r="AD357" i="7" s="1"/>
  <c r="AA357" i="7"/>
  <c r="X357" i="7"/>
  <c r="W357" i="7"/>
  <c r="U357" i="7"/>
  <c r="R357" i="7"/>
  <c r="O357" i="7"/>
  <c r="N357" i="7"/>
  <c r="L357" i="7"/>
  <c r="H357" i="7"/>
  <c r="I357" i="7" s="1"/>
  <c r="F357" i="7"/>
  <c r="C357" i="7"/>
  <c r="AC356" i="7"/>
  <c r="AD356" i="7" s="1"/>
  <c r="AA356" i="7"/>
  <c r="X356" i="7"/>
  <c r="W356" i="7"/>
  <c r="U356" i="7"/>
  <c r="R356" i="7"/>
  <c r="N356" i="7"/>
  <c r="O356" i="7" s="1"/>
  <c r="L356" i="7"/>
  <c r="H356" i="7"/>
  <c r="I356" i="7" s="1"/>
  <c r="F356" i="7"/>
  <c r="C356" i="7"/>
  <c r="AC355" i="7"/>
  <c r="AD355" i="7" s="1"/>
  <c r="AA355" i="7"/>
  <c r="X355" i="7"/>
  <c r="W355" i="7"/>
  <c r="U355" i="7"/>
  <c r="R355" i="7"/>
  <c r="O355" i="7"/>
  <c r="N355" i="7"/>
  <c r="L355" i="7"/>
  <c r="H355" i="7"/>
  <c r="I355" i="7" s="1"/>
  <c r="F355" i="7"/>
  <c r="C355" i="7"/>
  <c r="AC354" i="7"/>
  <c r="AD354" i="7" s="1"/>
  <c r="AA354" i="7"/>
  <c r="W354" i="7"/>
  <c r="X354" i="7" s="1"/>
  <c r="U354" i="7"/>
  <c r="R354" i="7"/>
  <c r="O354" i="7"/>
  <c r="N354" i="7"/>
  <c r="L354" i="7"/>
  <c r="H354" i="7"/>
  <c r="I354" i="7" s="1"/>
  <c r="F354" i="7"/>
  <c r="C354" i="7"/>
  <c r="AD353" i="7"/>
  <c r="AC353" i="7"/>
  <c r="AA353" i="7"/>
  <c r="X353" i="7"/>
  <c r="W353" i="7"/>
  <c r="U353" i="7"/>
  <c r="R353" i="7"/>
  <c r="O353" i="7"/>
  <c r="N353" i="7"/>
  <c r="L353" i="7"/>
  <c r="H353" i="7"/>
  <c r="I353" i="7" s="1"/>
  <c r="F353" i="7"/>
  <c r="C353" i="7"/>
  <c r="AC352" i="7"/>
  <c r="AD352" i="7" s="1"/>
  <c r="AA352" i="7"/>
  <c r="X352" i="7"/>
  <c r="W352" i="7"/>
  <c r="U352" i="7"/>
  <c r="R352" i="7"/>
  <c r="N352" i="7"/>
  <c r="O352" i="7" s="1"/>
  <c r="L352" i="7"/>
  <c r="I352" i="7"/>
  <c r="H352" i="7"/>
  <c r="F352" i="7"/>
  <c r="C352" i="7"/>
  <c r="AC351" i="7"/>
  <c r="AD351" i="7" s="1"/>
  <c r="AA351" i="7"/>
  <c r="X351" i="7"/>
  <c r="W351" i="7"/>
  <c r="U351" i="7"/>
  <c r="R351" i="7"/>
  <c r="O351" i="7"/>
  <c r="N351" i="7"/>
  <c r="L351" i="7"/>
  <c r="H351" i="7"/>
  <c r="I351" i="7" s="1"/>
  <c r="F351" i="7"/>
  <c r="C351" i="7"/>
  <c r="AC350" i="7"/>
  <c r="AD350" i="7" s="1"/>
  <c r="AA350" i="7"/>
  <c r="W350" i="7"/>
  <c r="X350" i="7" s="1"/>
  <c r="U350" i="7"/>
  <c r="R350" i="7"/>
  <c r="O350" i="7"/>
  <c r="N350" i="7"/>
  <c r="L350" i="7"/>
  <c r="H350" i="7"/>
  <c r="I350" i="7" s="1"/>
  <c r="F350" i="7"/>
  <c r="C350" i="7"/>
  <c r="AD348" i="7"/>
  <c r="AC348" i="7"/>
  <c r="AA348" i="7"/>
  <c r="X348" i="7"/>
  <c r="W348" i="7"/>
  <c r="U348" i="7"/>
  <c r="R348" i="7"/>
  <c r="N348" i="7"/>
  <c r="O348" i="7" s="1"/>
  <c r="L348" i="7"/>
  <c r="H348" i="7"/>
  <c r="I348" i="7" s="1"/>
  <c r="F348" i="7"/>
  <c r="C348" i="7"/>
  <c r="Z345" i="7"/>
  <c r="AA345" i="7" s="1"/>
  <c r="T345" i="7"/>
  <c r="Q345" i="7"/>
  <c r="R345" i="7" s="1"/>
  <c r="K345" i="7"/>
  <c r="L345" i="7" s="1"/>
  <c r="H345" i="7"/>
  <c r="I345" i="7" s="1"/>
  <c r="E345" i="7"/>
  <c r="F345" i="7" s="1"/>
  <c r="B345" i="7"/>
  <c r="C345" i="7" s="1"/>
  <c r="Z344" i="7"/>
  <c r="AA344" i="7" s="1"/>
  <c r="T344" i="7"/>
  <c r="U344" i="7" s="1"/>
  <c r="R344" i="7"/>
  <c r="Q344" i="7"/>
  <c r="K344" i="7"/>
  <c r="L344" i="7" s="1"/>
  <c r="E344" i="7"/>
  <c r="F344" i="7" s="1"/>
  <c r="B344" i="7"/>
  <c r="Z343" i="7"/>
  <c r="AA343" i="7" s="1"/>
  <c r="W343" i="7"/>
  <c r="X343" i="7" s="1"/>
  <c r="U343" i="7"/>
  <c r="T343" i="7"/>
  <c r="Q343" i="7"/>
  <c r="R343" i="7" s="1"/>
  <c r="K343" i="7"/>
  <c r="L343" i="7" s="1"/>
  <c r="I343" i="7"/>
  <c r="H343" i="7"/>
  <c r="E343" i="7"/>
  <c r="F343" i="7" s="1"/>
  <c r="B343" i="7"/>
  <c r="C343" i="7" s="1"/>
  <c r="AC342" i="7"/>
  <c r="AD342" i="7" s="1"/>
  <c r="AA342" i="7"/>
  <c r="X342" i="7"/>
  <c r="W342" i="7"/>
  <c r="U342" i="7"/>
  <c r="R342" i="7"/>
  <c r="N342" i="7"/>
  <c r="O342" i="7" s="1"/>
  <c r="L342" i="7"/>
  <c r="I342" i="7"/>
  <c r="H342" i="7"/>
  <c r="F342" i="7"/>
  <c r="C342" i="7"/>
  <c r="AC341" i="7"/>
  <c r="AD341" i="7" s="1"/>
  <c r="AA341" i="7"/>
  <c r="X341" i="7"/>
  <c r="W341" i="7"/>
  <c r="U341" i="7"/>
  <c r="R341" i="7"/>
  <c r="O341" i="7"/>
  <c r="N341" i="7"/>
  <c r="L341" i="7"/>
  <c r="H341" i="7"/>
  <c r="I341" i="7" s="1"/>
  <c r="F341" i="7"/>
  <c r="C341" i="7"/>
  <c r="AC340" i="7"/>
  <c r="AD340" i="7" s="1"/>
  <c r="AA340" i="7"/>
  <c r="W340" i="7"/>
  <c r="X340" i="7" s="1"/>
  <c r="U340" i="7"/>
  <c r="R340" i="7"/>
  <c r="O340" i="7"/>
  <c r="N340" i="7"/>
  <c r="L340" i="7"/>
  <c r="H340" i="7"/>
  <c r="I340" i="7" s="1"/>
  <c r="F340" i="7"/>
  <c r="C340" i="7"/>
  <c r="AD339" i="7"/>
  <c r="AC339" i="7"/>
  <c r="AA339" i="7"/>
  <c r="X339" i="7"/>
  <c r="W339" i="7"/>
  <c r="U339" i="7"/>
  <c r="R339" i="7"/>
  <c r="N339" i="7"/>
  <c r="O339" i="7" s="1"/>
  <c r="L339" i="7"/>
  <c r="H339" i="7"/>
  <c r="I339" i="7" s="1"/>
  <c r="F339" i="7"/>
  <c r="C339" i="7"/>
  <c r="AC338" i="7"/>
  <c r="AD338" i="7" s="1"/>
  <c r="AA338" i="7"/>
  <c r="X338" i="7"/>
  <c r="W338" i="7"/>
  <c r="U338" i="7"/>
  <c r="R338" i="7"/>
  <c r="N338" i="7"/>
  <c r="O338" i="7" s="1"/>
  <c r="L338" i="7"/>
  <c r="I338" i="7"/>
  <c r="H338" i="7"/>
  <c r="F338" i="7"/>
  <c r="C338" i="7"/>
  <c r="AC336" i="7"/>
  <c r="AD336" i="7" s="1"/>
  <c r="AA336" i="7"/>
  <c r="X336" i="7"/>
  <c r="W336" i="7"/>
  <c r="U336" i="7"/>
  <c r="R336" i="7"/>
  <c r="O336" i="7"/>
  <c r="N336" i="7"/>
  <c r="L336" i="7"/>
  <c r="H336" i="7"/>
  <c r="I336" i="7" s="1"/>
  <c r="F336" i="7"/>
  <c r="C336" i="7"/>
  <c r="AC335" i="7"/>
  <c r="AD335" i="7" s="1"/>
  <c r="AA335" i="7"/>
  <c r="W335" i="7"/>
  <c r="X335" i="7" s="1"/>
  <c r="U335" i="7"/>
  <c r="R335" i="7"/>
  <c r="O335" i="7"/>
  <c r="N335" i="7"/>
  <c r="L335" i="7"/>
  <c r="I335" i="7"/>
  <c r="H335" i="7"/>
  <c r="F335" i="7"/>
  <c r="C335" i="7"/>
  <c r="AC334" i="7"/>
  <c r="AD334" i="7" s="1"/>
  <c r="AA334" i="7"/>
  <c r="X334" i="7"/>
  <c r="W334" i="7"/>
  <c r="U334" i="7"/>
  <c r="R334" i="7"/>
  <c r="O334" i="7"/>
  <c r="N334" i="7"/>
  <c r="L334" i="7"/>
  <c r="H334" i="7"/>
  <c r="I334" i="7" s="1"/>
  <c r="F334" i="7"/>
  <c r="C334" i="7"/>
  <c r="AD333" i="7"/>
  <c r="AC333" i="7"/>
  <c r="AA333" i="7"/>
  <c r="X333" i="7"/>
  <c r="W333" i="7"/>
  <c r="U333" i="7"/>
  <c r="R333" i="7"/>
  <c r="N333" i="7"/>
  <c r="O333" i="7" s="1"/>
  <c r="L333" i="7"/>
  <c r="H333" i="7"/>
  <c r="I333" i="7" s="1"/>
  <c r="F333" i="7"/>
  <c r="C333" i="7"/>
  <c r="AD332" i="7"/>
  <c r="AC332" i="7"/>
  <c r="AA332" i="7"/>
  <c r="X332" i="7"/>
  <c r="W332" i="7"/>
  <c r="U332" i="7"/>
  <c r="R332" i="7"/>
  <c r="O332" i="7"/>
  <c r="N332" i="7"/>
  <c r="L332" i="7"/>
  <c r="I332" i="7"/>
  <c r="H332" i="7"/>
  <c r="F332" i="7"/>
  <c r="C332" i="7"/>
  <c r="AC331" i="7"/>
  <c r="AD331" i="7" s="1"/>
  <c r="AA331" i="7"/>
  <c r="W331" i="7"/>
  <c r="X331" i="7" s="1"/>
  <c r="U331" i="7"/>
  <c r="R331" i="7"/>
  <c r="O331" i="7"/>
  <c r="N331" i="7"/>
  <c r="L331" i="7"/>
  <c r="H331" i="7"/>
  <c r="I331" i="7" s="1"/>
  <c r="F331" i="7"/>
  <c r="C331" i="7"/>
  <c r="AC330" i="7"/>
  <c r="AD330" i="7" s="1"/>
  <c r="AA330" i="7"/>
  <c r="X330" i="7"/>
  <c r="W330" i="7"/>
  <c r="U330" i="7"/>
  <c r="R330" i="7"/>
  <c r="N330" i="7"/>
  <c r="O330" i="7" s="1"/>
  <c r="L330" i="7"/>
  <c r="H330" i="7"/>
  <c r="I330" i="7" s="1"/>
  <c r="F330" i="7"/>
  <c r="C330" i="7"/>
  <c r="AC329" i="7"/>
  <c r="AD329" i="7" s="1"/>
  <c r="AA329" i="7"/>
  <c r="X329" i="7"/>
  <c r="W329" i="7"/>
  <c r="U329" i="7"/>
  <c r="R329" i="7"/>
  <c r="N329" i="7"/>
  <c r="O329" i="7" s="1"/>
  <c r="L329" i="7"/>
  <c r="I329" i="7"/>
  <c r="H329" i="7"/>
  <c r="F329" i="7"/>
  <c r="C329" i="7"/>
  <c r="Z326" i="7"/>
  <c r="AA326" i="7" s="1"/>
  <c r="T326" i="7"/>
  <c r="Q326" i="7"/>
  <c r="R326" i="7" s="1"/>
  <c r="O326" i="7"/>
  <c r="N326" i="7"/>
  <c r="L326" i="7"/>
  <c r="K326" i="7"/>
  <c r="H326" i="7"/>
  <c r="I326" i="7" s="1"/>
  <c r="E326" i="7"/>
  <c r="F326" i="7" s="1"/>
  <c r="C326" i="7"/>
  <c r="B326" i="7"/>
  <c r="AD325" i="7"/>
  <c r="AC325" i="7"/>
  <c r="Z325" i="7"/>
  <c r="AA325" i="7" s="1"/>
  <c r="W325" i="7"/>
  <c r="X325" i="7" s="1"/>
  <c r="U325" i="7"/>
  <c r="T325" i="7"/>
  <c r="R325" i="7"/>
  <c r="Q325" i="7"/>
  <c r="O325" i="7"/>
  <c r="N325" i="7"/>
  <c r="K325" i="7"/>
  <c r="L325" i="7" s="1"/>
  <c r="I325" i="7"/>
  <c r="H325" i="7"/>
  <c r="E325" i="7"/>
  <c r="F325" i="7" s="1"/>
  <c r="B325" i="7"/>
  <c r="C325" i="7" s="1"/>
  <c r="AC324" i="7"/>
  <c r="AD324" i="7" s="1"/>
  <c r="AA324" i="7"/>
  <c r="X324" i="7"/>
  <c r="W324" i="7"/>
  <c r="U324" i="7"/>
  <c r="R324" i="7"/>
  <c r="O324" i="7"/>
  <c r="N324" i="7"/>
  <c r="L324" i="7"/>
  <c r="I324" i="7"/>
  <c r="H324" i="7"/>
  <c r="F324" i="7"/>
  <c r="C324" i="7"/>
  <c r="AD323" i="7"/>
  <c r="AC323" i="7"/>
  <c r="AA323" i="7"/>
  <c r="W323" i="7"/>
  <c r="X323" i="7" s="1"/>
  <c r="U323" i="7"/>
  <c r="R323" i="7"/>
  <c r="N323" i="7"/>
  <c r="O323" i="7" s="1"/>
  <c r="L323" i="7"/>
  <c r="H323" i="7"/>
  <c r="I323" i="7" s="1"/>
  <c r="F323" i="7"/>
  <c r="C323" i="7"/>
  <c r="AD322" i="7"/>
  <c r="AC322" i="7"/>
  <c r="AA322" i="7"/>
  <c r="W322" i="7"/>
  <c r="X322" i="7" s="1"/>
  <c r="U322" i="7"/>
  <c r="R322" i="7"/>
  <c r="N322" i="7"/>
  <c r="O322" i="7" s="1"/>
  <c r="L322" i="7"/>
  <c r="I322" i="7"/>
  <c r="H322" i="7"/>
  <c r="F322" i="7"/>
  <c r="C322" i="7"/>
  <c r="AC321" i="7"/>
  <c r="AD321" i="7" s="1"/>
  <c r="AA321" i="7"/>
  <c r="W321" i="7"/>
  <c r="X321" i="7" s="1"/>
  <c r="U321" i="7"/>
  <c r="R321" i="7"/>
  <c r="O321" i="7"/>
  <c r="N321" i="7"/>
  <c r="L321" i="7"/>
  <c r="I321" i="7"/>
  <c r="H321" i="7"/>
  <c r="F321" i="7"/>
  <c r="C321" i="7"/>
  <c r="AC320" i="7"/>
  <c r="AD320" i="7" s="1"/>
  <c r="AA320" i="7"/>
  <c r="W320" i="7"/>
  <c r="X320" i="7" s="1"/>
  <c r="U320" i="7"/>
  <c r="R320" i="7"/>
  <c r="N320" i="7"/>
  <c r="O320" i="7" s="1"/>
  <c r="L320" i="7"/>
  <c r="I320" i="7"/>
  <c r="H320" i="7"/>
  <c r="F320" i="7"/>
  <c r="C320" i="7"/>
  <c r="AD319" i="7"/>
  <c r="AC319" i="7"/>
  <c r="AA319" i="7"/>
  <c r="X319" i="7"/>
  <c r="W319" i="7"/>
  <c r="U319" i="7"/>
  <c r="R319" i="7"/>
  <c r="N319" i="7"/>
  <c r="O319" i="7" s="1"/>
  <c r="L319" i="7"/>
  <c r="H319" i="7"/>
  <c r="I319" i="7" s="1"/>
  <c r="F319" i="7"/>
  <c r="C319" i="7"/>
  <c r="AD318" i="7"/>
  <c r="AC318" i="7"/>
  <c r="AA318" i="7"/>
  <c r="W318" i="7"/>
  <c r="X318" i="7" s="1"/>
  <c r="U318" i="7"/>
  <c r="R318" i="7"/>
  <c r="O318" i="7"/>
  <c r="N318" i="7"/>
  <c r="L318" i="7"/>
  <c r="I318" i="7"/>
  <c r="H318" i="7"/>
  <c r="F318" i="7"/>
  <c r="C318" i="7"/>
  <c r="AC317" i="7"/>
  <c r="AD317" i="7" s="1"/>
  <c r="AA317" i="7"/>
  <c r="W317" i="7"/>
  <c r="X317" i="7" s="1"/>
  <c r="U317" i="7"/>
  <c r="R317" i="7"/>
  <c r="O317" i="7"/>
  <c r="N317" i="7"/>
  <c r="L317" i="7"/>
  <c r="I317" i="7"/>
  <c r="H317" i="7"/>
  <c r="F317" i="7"/>
  <c r="C317" i="7"/>
  <c r="AC316" i="7"/>
  <c r="AD316" i="7" s="1"/>
  <c r="AA316" i="7"/>
  <c r="W316" i="7"/>
  <c r="X316" i="7" s="1"/>
  <c r="U316" i="7"/>
  <c r="R316" i="7"/>
  <c r="N316" i="7"/>
  <c r="O316" i="7" s="1"/>
  <c r="L316" i="7"/>
  <c r="I316" i="7"/>
  <c r="H316" i="7"/>
  <c r="F316" i="7"/>
  <c r="C316" i="7"/>
  <c r="AD315" i="7"/>
  <c r="AC315" i="7"/>
  <c r="AA315" i="7"/>
  <c r="W315" i="7"/>
  <c r="X315" i="7" s="1"/>
  <c r="U315" i="7"/>
  <c r="R315" i="7"/>
  <c r="N315" i="7"/>
  <c r="O315" i="7" s="1"/>
  <c r="L315" i="7"/>
  <c r="I315" i="7"/>
  <c r="H315" i="7"/>
  <c r="F315" i="7"/>
  <c r="C315" i="7"/>
  <c r="AD314" i="7"/>
  <c r="AC314" i="7"/>
  <c r="AA314" i="7"/>
  <c r="W314" i="7"/>
  <c r="X314" i="7" s="1"/>
  <c r="U314" i="7"/>
  <c r="R314" i="7"/>
  <c r="N314" i="7"/>
  <c r="O314" i="7" s="1"/>
  <c r="L314" i="7"/>
  <c r="I314" i="7"/>
  <c r="H314" i="7"/>
  <c r="F314" i="7"/>
  <c r="C314" i="7"/>
  <c r="AC313" i="7"/>
  <c r="AD313" i="7" s="1"/>
  <c r="AA313" i="7"/>
  <c r="W313" i="7"/>
  <c r="X313" i="7" s="1"/>
  <c r="U313" i="7"/>
  <c r="R313" i="7"/>
  <c r="O313" i="7"/>
  <c r="N313" i="7"/>
  <c r="L313" i="7"/>
  <c r="I313" i="7"/>
  <c r="H313" i="7"/>
  <c r="F313" i="7"/>
  <c r="C313" i="7"/>
  <c r="AD312" i="7"/>
  <c r="AC312" i="7"/>
  <c r="AA312" i="7"/>
  <c r="W312" i="7"/>
  <c r="X312" i="7" s="1"/>
  <c r="U312" i="7"/>
  <c r="R312" i="7"/>
  <c r="N312" i="7"/>
  <c r="O312" i="7" s="1"/>
  <c r="L312" i="7"/>
  <c r="I312" i="7"/>
  <c r="H312" i="7"/>
  <c r="F312" i="7"/>
  <c r="C312" i="7"/>
  <c r="AD311" i="7"/>
  <c r="AC311" i="7"/>
  <c r="AA311" i="7"/>
  <c r="X311" i="7"/>
  <c r="W311" i="7"/>
  <c r="U311" i="7"/>
  <c r="R311" i="7"/>
  <c r="N311" i="7"/>
  <c r="O311" i="7" s="1"/>
  <c r="L311" i="7"/>
  <c r="H311" i="7"/>
  <c r="I311" i="7" s="1"/>
  <c r="F311" i="7"/>
  <c r="C311" i="7"/>
  <c r="AD310" i="7"/>
  <c r="AC310" i="7"/>
  <c r="AA310" i="7"/>
  <c r="W310" i="7"/>
  <c r="X310" i="7" s="1"/>
  <c r="U310" i="7"/>
  <c r="R310" i="7"/>
  <c r="O310" i="7"/>
  <c r="N310" i="7"/>
  <c r="L310" i="7"/>
  <c r="I310" i="7"/>
  <c r="H310" i="7"/>
  <c r="F310" i="7"/>
  <c r="C310" i="7"/>
  <c r="AD309" i="7"/>
  <c r="AC309" i="7"/>
  <c r="AA309" i="7"/>
  <c r="W309" i="7"/>
  <c r="X309" i="7" s="1"/>
  <c r="U309" i="7"/>
  <c r="R309" i="7"/>
  <c r="O309" i="7"/>
  <c r="N309" i="7"/>
  <c r="L309" i="7"/>
  <c r="I309" i="7"/>
  <c r="H309" i="7"/>
  <c r="F309" i="7"/>
  <c r="C309" i="7"/>
  <c r="AC308" i="7"/>
  <c r="AD308" i="7" s="1"/>
  <c r="AA308" i="7"/>
  <c r="W308" i="7"/>
  <c r="X308" i="7" s="1"/>
  <c r="U308" i="7"/>
  <c r="R308" i="7"/>
  <c r="N308" i="7"/>
  <c r="O308" i="7" s="1"/>
  <c r="L308" i="7"/>
  <c r="H308" i="7"/>
  <c r="I308" i="7" s="1"/>
  <c r="F308" i="7"/>
  <c r="C308" i="7"/>
  <c r="AD307" i="7"/>
  <c r="AC307" i="7"/>
  <c r="AA307" i="7"/>
  <c r="W307" i="7"/>
  <c r="X307" i="7" s="1"/>
  <c r="U307" i="7"/>
  <c r="R307" i="7"/>
  <c r="N307" i="7"/>
  <c r="O307" i="7" s="1"/>
  <c r="L307" i="7"/>
  <c r="I307" i="7"/>
  <c r="H307" i="7"/>
  <c r="F307" i="7"/>
  <c r="C307" i="7"/>
  <c r="AD306" i="7"/>
  <c r="AC306" i="7"/>
  <c r="AA306" i="7"/>
  <c r="W306" i="7"/>
  <c r="X306" i="7" s="1"/>
  <c r="U306" i="7"/>
  <c r="R306" i="7"/>
  <c r="N306" i="7"/>
  <c r="O306" i="7" s="1"/>
  <c r="L306" i="7"/>
  <c r="I306" i="7"/>
  <c r="H306" i="7"/>
  <c r="F306" i="7"/>
  <c r="C306" i="7"/>
  <c r="AC305" i="7"/>
  <c r="AD305" i="7" s="1"/>
  <c r="AA305" i="7"/>
  <c r="W305" i="7"/>
  <c r="X305" i="7" s="1"/>
  <c r="U305" i="7"/>
  <c r="R305" i="7"/>
  <c r="O305" i="7"/>
  <c r="N305" i="7"/>
  <c r="L305" i="7"/>
  <c r="I305" i="7"/>
  <c r="H305" i="7"/>
  <c r="F305" i="7"/>
  <c r="C305" i="7"/>
  <c r="AC304" i="7"/>
  <c r="AD304" i="7" s="1"/>
  <c r="AA304" i="7"/>
  <c r="W304" i="7"/>
  <c r="X304" i="7" s="1"/>
  <c r="U304" i="7"/>
  <c r="R304" i="7"/>
  <c r="N304" i="7"/>
  <c r="O304" i="7" s="1"/>
  <c r="L304" i="7"/>
  <c r="I304" i="7"/>
  <c r="H304" i="7"/>
  <c r="F304" i="7"/>
  <c r="C304" i="7"/>
  <c r="AD303" i="7"/>
  <c r="AC303" i="7"/>
  <c r="AA303" i="7"/>
  <c r="W303" i="7"/>
  <c r="X303" i="7" s="1"/>
  <c r="U303" i="7"/>
  <c r="R303" i="7"/>
  <c r="N303" i="7"/>
  <c r="O303" i="7" s="1"/>
  <c r="L303" i="7"/>
  <c r="I303" i="7"/>
  <c r="H303" i="7"/>
  <c r="F303" i="7"/>
  <c r="C303" i="7"/>
  <c r="AD302" i="7"/>
  <c r="AC302" i="7"/>
  <c r="AA302" i="7"/>
  <c r="W302" i="7"/>
  <c r="X302" i="7" s="1"/>
  <c r="U302" i="7"/>
  <c r="R302" i="7"/>
  <c r="N302" i="7"/>
  <c r="O302" i="7" s="1"/>
  <c r="L302" i="7"/>
  <c r="I302" i="7"/>
  <c r="H302" i="7"/>
  <c r="F302" i="7"/>
  <c r="C302" i="7"/>
  <c r="AD301" i="7"/>
  <c r="AC301" i="7"/>
  <c r="AA301" i="7"/>
  <c r="W301" i="7"/>
  <c r="X301" i="7" s="1"/>
  <c r="U301" i="7"/>
  <c r="R301" i="7"/>
  <c r="N301" i="7"/>
  <c r="O301" i="7" s="1"/>
  <c r="L301" i="7"/>
  <c r="I301" i="7"/>
  <c r="H301" i="7"/>
  <c r="F301" i="7"/>
  <c r="C301" i="7"/>
  <c r="AC300" i="7"/>
  <c r="AD300" i="7" s="1"/>
  <c r="AA300" i="7"/>
  <c r="W300" i="7"/>
  <c r="X300" i="7" s="1"/>
  <c r="U300" i="7"/>
  <c r="R300" i="7"/>
  <c r="N300" i="7"/>
  <c r="O300" i="7" s="1"/>
  <c r="L300" i="7"/>
  <c r="I300" i="7"/>
  <c r="H300" i="7"/>
  <c r="F300" i="7"/>
  <c r="C300" i="7"/>
  <c r="AD299" i="7"/>
  <c r="AC299" i="7"/>
  <c r="AA299" i="7"/>
  <c r="W299" i="7"/>
  <c r="X299" i="7" s="1"/>
  <c r="U299" i="7"/>
  <c r="R299" i="7"/>
  <c r="N299" i="7"/>
  <c r="O299" i="7" s="1"/>
  <c r="L299" i="7"/>
  <c r="H299" i="7"/>
  <c r="I299" i="7" s="1"/>
  <c r="F299" i="7"/>
  <c r="C299" i="7"/>
  <c r="AD298" i="7"/>
  <c r="AC298" i="7"/>
  <c r="AA298" i="7"/>
  <c r="W298" i="7"/>
  <c r="X298" i="7" s="1"/>
  <c r="U298" i="7"/>
  <c r="R298" i="7"/>
  <c r="N298" i="7"/>
  <c r="O298" i="7" s="1"/>
  <c r="L298" i="7"/>
  <c r="I298" i="7"/>
  <c r="H298" i="7"/>
  <c r="F298" i="7"/>
  <c r="C298" i="7"/>
  <c r="AA296" i="7"/>
  <c r="Z296" i="7"/>
  <c r="T296" i="7"/>
  <c r="U296" i="7" s="1"/>
  <c r="Q296" i="7"/>
  <c r="AC296" i="7" s="1"/>
  <c r="AD296" i="7" s="1"/>
  <c r="L296" i="7"/>
  <c r="K296" i="7"/>
  <c r="I296" i="7"/>
  <c r="H296" i="7"/>
  <c r="F296" i="7"/>
  <c r="E296" i="7"/>
  <c r="C296" i="7"/>
  <c r="B296" i="7"/>
  <c r="N296" i="7" s="1"/>
  <c r="O296" i="7" s="1"/>
  <c r="AD295" i="7"/>
  <c r="AC295" i="7"/>
  <c r="AA295" i="7"/>
  <c r="W295" i="7"/>
  <c r="X295" i="7" s="1"/>
  <c r="U295" i="7"/>
  <c r="R295" i="7"/>
  <c r="N295" i="7"/>
  <c r="O295" i="7" s="1"/>
  <c r="L295" i="7"/>
  <c r="I295" i="7"/>
  <c r="H295" i="7"/>
  <c r="F295" i="7"/>
  <c r="C295" i="7"/>
  <c r="AD294" i="7"/>
  <c r="AC294" i="7"/>
  <c r="AA294" i="7"/>
  <c r="W294" i="7"/>
  <c r="X294" i="7" s="1"/>
  <c r="U294" i="7"/>
  <c r="R294" i="7"/>
  <c r="N294" i="7"/>
  <c r="O294" i="7" s="1"/>
  <c r="L294" i="7"/>
  <c r="I294" i="7"/>
  <c r="H294" i="7"/>
  <c r="F294" i="7"/>
  <c r="C294" i="7"/>
  <c r="AD293" i="7"/>
  <c r="AC293" i="7"/>
  <c r="AA293" i="7"/>
  <c r="W293" i="7"/>
  <c r="X293" i="7" s="1"/>
  <c r="U293" i="7"/>
  <c r="R293" i="7"/>
  <c r="O293" i="7"/>
  <c r="N293" i="7"/>
  <c r="L293" i="7"/>
  <c r="I293" i="7"/>
  <c r="H293" i="7"/>
  <c r="F293" i="7"/>
  <c r="C293" i="7"/>
  <c r="AC292" i="7"/>
  <c r="AD292" i="7" s="1"/>
  <c r="AA292" i="7"/>
  <c r="X292" i="7"/>
  <c r="W292" i="7"/>
  <c r="U292" i="7"/>
  <c r="R292" i="7"/>
  <c r="N292" i="7"/>
  <c r="O292" i="7" s="1"/>
  <c r="L292" i="7"/>
  <c r="I292" i="7"/>
  <c r="H292" i="7"/>
  <c r="F292" i="7"/>
  <c r="C292" i="7"/>
  <c r="AD291" i="7"/>
  <c r="AC291" i="7"/>
  <c r="AA291" i="7"/>
  <c r="W291" i="7"/>
  <c r="X291" i="7" s="1"/>
  <c r="U291" i="7"/>
  <c r="R291" i="7"/>
  <c r="N291" i="7"/>
  <c r="O291" i="7" s="1"/>
  <c r="L291" i="7"/>
  <c r="H291" i="7"/>
  <c r="I291" i="7" s="1"/>
  <c r="F291" i="7"/>
  <c r="C291" i="7"/>
  <c r="AD290" i="7"/>
  <c r="AC290" i="7"/>
  <c r="AA290" i="7"/>
  <c r="W290" i="7"/>
  <c r="X290" i="7" s="1"/>
  <c r="U290" i="7"/>
  <c r="R290" i="7"/>
  <c r="N290" i="7"/>
  <c r="O290" i="7" s="1"/>
  <c r="L290" i="7"/>
  <c r="I290" i="7"/>
  <c r="H290" i="7"/>
  <c r="F290" i="7"/>
  <c r="C290" i="7"/>
  <c r="AC289" i="7"/>
  <c r="AD289" i="7" s="1"/>
  <c r="AA289" i="7"/>
  <c r="W289" i="7"/>
  <c r="X289" i="7" s="1"/>
  <c r="U289" i="7"/>
  <c r="R289" i="7"/>
  <c r="O289" i="7"/>
  <c r="N289" i="7"/>
  <c r="L289" i="7"/>
  <c r="I289" i="7"/>
  <c r="H289" i="7"/>
  <c r="F289" i="7"/>
  <c r="C289" i="7"/>
  <c r="AC288" i="7"/>
  <c r="AD288" i="7" s="1"/>
  <c r="AA288" i="7"/>
  <c r="W288" i="7"/>
  <c r="X288" i="7" s="1"/>
  <c r="U288" i="7"/>
  <c r="R288" i="7"/>
  <c r="N288" i="7"/>
  <c r="O288" i="7" s="1"/>
  <c r="L288" i="7"/>
  <c r="I288" i="7"/>
  <c r="H288" i="7"/>
  <c r="F288" i="7"/>
  <c r="C288" i="7"/>
  <c r="AD287" i="7"/>
  <c r="AC287" i="7"/>
  <c r="AA287" i="7"/>
  <c r="W287" i="7"/>
  <c r="X287" i="7" s="1"/>
  <c r="U287" i="7"/>
  <c r="R287" i="7"/>
  <c r="N287" i="7"/>
  <c r="O287" i="7" s="1"/>
  <c r="L287" i="7"/>
  <c r="H287" i="7"/>
  <c r="I287" i="7" s="1"/>
  <c r="F287" i="7"/>
  <c r="C287" i="7"/>
  <c r="AA285" i="7"/>
  <c r="Z285" i="7"/>
  <c r="W285" i="7"/>
  <c r="X285" i="7" s="1"/>
  <c r="T285" i="7"/>
  <c r="U285" i="7" s="1"/>
  <c r="R285" i="7"/>
  <c r="Q285" i="7"/>
  <c r="AC285" i="7" s="1"/>
  <c r="AD285" i="7" s="1"/>
  <c r="K285" i="7"/>
  <c r="L285" i="7" s="1"/>
  <c r="H285" i="7"/>
  <c r="I285" i="7" s="1"/>
  <c r="F285" i="7"/>
  <c r="E285" i="7"/>
  <c r="C285" i="7"/>
  <c r="B285" i="7"/>
  <c r="AC284" i="7"/>
  <c r="AD284" i="7" s="1"/>
  <c r="AA284" i="7"/>
  <c r="W284" i="7"/>
  <c r="X284" i="7" s="1"/>
  <c r="U284" i="7"/>
  <c r="R284" i="7"/>
  <c r="N284" i="7"/>
  <c r="O284" i="7" s="1"/>
  <c r="L284" i="7"/>
  <c r="H284" i="7"/>
  <c r="I284" i="7" s="1"/>
  <c r="F284" i="7"/>
  <c r="C284" i="7"/>
  <c r="AD283" i="7"/>
  <c r="AC283" i="7"/>
  <c r="AA283" i="7"/>
  <c r="W283" i="7"/>
  <c r="X283" i="7" s="1"/>
  <c r="U283" i="7"/>
  <c r="R283" i="7"/>
  <c r="N283" i="7"/>
  <c r="O283" i="7" s="1"/>
  <c r="L283" i="7"/>
  <c r="H283" i="7"/>
  <c r="I283" i="7" s="1"/>
  <c r="F283" i="7"/>
  <c r="C283" i="7"/>
  <c r="AD282" i="7"/>
  <c r="AC282" i="7"/>
  <c r="AA282" i="7"/>
  <c r="W282" i="7"/>
  <c r="X282" i="7" s="1"/>
  <c r="U282" i="7"/>
  <c r="R282" i="7"/>
  <c r="N282" i="7"/>
  <c r="O282" i="7" s="1"/>
  <c r="L282" i="7"/>
  <c r="I282" i="7"/>
  <c r="H282" i="7"/>
  <c r="F282" i="7"/>
  <c r="C282" i="7"/>
  <c r="AD281" i="7"/>
  <c r="AC281" i="7"/>
  <c r="AA281" i="7"/>
  <c r="W281" i="7"/>
  <c r="X281" i="7" s="1"/>
  <c r="U281" i="7"/>
  <c r="R281" i="7"/>
  <c r="O281" i="7"/>
  <c r="N281" i="7"/>
  <c r="L281" i="7"/>
  <c r="I281" i="7"/>
  <c r="H281" i="7"/>
  <c r="F281" i="7"/>
  <c r="C281" i="7"/>
  <c r="AC280" i="7"/>
  <c r="AD280" i="7" s="1"/>
  <c r="AA280" i="7"/>
  <c r="X280" i="7"/>
  <c r="W280" i="7"/>
  <c r="U280" i="7"/>
  <c r="R280" i="7"/>
  <c r="N280" i="7"/>
  <c r="O280" i="7" s="1"/>
  <c r="L280" i="7"/>
  <c r="I280" i="7"/>
  <c r="H280" i="7"/>
  <c r="F280" i="7"/>
  <c r="C280" i="7"/>
  <c r="AD279" i="7"/>
  <c r="AC279" i="7"/>
  <c r="AA279" i="7"/>
  <c r="W279" i="7"/>
  <c r="X279" i="7" s="1"/>
  <c r="U279" i="7"/>
  <c r="R279" i="7"/>
  <c r="N279" i="7"/>
  <c r="O279" i="7" s="1"/>
  <c r="L279" i="7"/>
  <c r="I279" i="7"/>
  <c r="H279" i="7"/>
  <c r="F279" i="7"/>
  <c r="C279" i="7"/>
  <c r="AD278" i="7"/>
  <c r="AC278" i="7"/>
  <c r="AA278" i="7"/>
  <c r="W278" i="7"/>
  <c r="X278" i="7" s="1"/>
  <c r="U278" i="7"/>
  <c r="R278" i="7"/>
  <c r="N278" i="7"/>
  <c r="O278" i="7" s="1"/>
  <c r="L278" i="7"/>
  <c r="I278" i="7"/>
  <c r="H278" i="7"/>
  <c r="F278" i="7"/>
  <c r="C278" i="7"/>
  <c r="AC277" i="7"/>
  <c r="AD277" i="7" s="1"/>
  <c r="AA277" i="7"/>
  <c r="W277" i="7"/>
  <c r="X277" i="7" s="1"/>
  <c r="U277" i="7"/>
  <c r="R277" i="7"/>
  <c r="N277" i="7"/>
  <c r="O277" i="7" s="1"/>
  <c r="L277" i="7"/>
  <c r="I277" i="7"/>
  <c r="H277" i="7"/>
  <c r="F277" i="7"/>
  <c r="C277" i="7"/>
  <c r="AC276" i="7"/>
  <c r="AD276" i="7" s="1"/>
  <c r="AA276" i="7"/>
  <c r="X276" i="7"/>
  <c r="W276" i="7"/>
  <c r="U276" i="7"/>
  <c r="R276" i="7"/>
  <c r="N276" i="7"/>
  <c r="O276" i="7" s="1"/>
  <c r="L276" i="7"/>
  <c r="I276" i="7"/>
  <c r="H276" i="7"/>
  <c r="F276" i="7"/>
  <c r="C276" i="7"/>
  <c r="Z274" i="7"/>
  <c r="AA274" i="7" s="1"/>
  <c r="W274" i="7"/>
  <c r="X274" i="7" s="1"/>
  <c r="U274" i="7"/>
  <c r="T274" i="7"/>
  <c r="R274" i="7"/>
  <c r="Q274" i="7"/>
  <c r="AC274" i="7" s="1"/>
  <c r="AD274" i="7" s="1"/>
  <c r="K274" i="7"/>
  <c r="I274" i="7"/>
  <c r="F274" i="7"/>
  <c r="E274" i="7"/>
  <c r="C274" i="7"/>
  <c r="B274" i="7"/>
  <c r="H274" i="7" s="1"/>
  <c r="AD273" i="7"/>
  <c r="AC273" i="7"/>
  <c r="AA273" i="7"/>
  <c r="W273" i="7"/>
  <c r="X273" i="7" s="1"/>
  <c r="U273" i="7"/>
  <c r="R273" i="7"/>
  <c r="O273" i="7"/>
  <c r="N273" i="7"/>
  <c r="L273" i="7"/>
  <c r="I273" i="7"/>
  <c r="H273" i="7"/>
  <c r="F273" i="7"/>
  <c r="C273" i="7"/>
  <c r="AD272" i="7"/>
  <c r="AC272" i="7"/>
  <c r="AA272" i="7"/>
  <c r="X272" i="7"/>
  <c r="W272" i="7"/>
  <c r="U272" i="7"/>
  <c r="R272" i="7"/>
  <c r="N272" i="7"/>
  <c r="O272" i="7" s="1"/>
  <c r="L272" i="7"/>
  <c r="I272" i="7"/>
  <c r="H272" i="7"/>
  <c r="F272" i="7"/>
  <c r="C272" i="7"/>
  <c r="AD271" i="7"/>
  <c r="AC271" i="7"/>
  <c r="AA271" i="7"/>
  <c r="X271" i="7"/>
  <c r="W271" i="7"/>
  <c r="U271" i="7"/>
  <c r="R271" i="7"/>
  <c r="N271" i="7"/>
  <c r="O271" i="7" s="1"/>
  <c r="L271" i="7"/>
  <c r="H271" i="7"/>
  <c r="I271" i="7" s="1"/>
  <c r="F271" i="7"/>
  <c r="C271" i="7"/>
  <c r="AD270" i="7"/>
  <c r="AC270" i="7"/>
  <c r="AA270" i="7"/>
  <c r="W270" i="7"/>
  <c r="X270" i="7" s="1"/>
  <c r="U270" i="7"/>
  <c r="R270" i="7"/>
  <c r="N270" i="7"/>
  <c r="O270" i="7" s="1"/>
  <c r="L270" i="7"/>
  <c r="I270" i="7"/>
  <c r="H270" i="7"/>
  <c r="F270" i="7"/>
  <c r="C270" i="7"/>
  <c r="AD268" i="7"/>
  <c r="AC268" i="7"/>
  <c r="AA268" i="7"/>
  <c r="Z268" i="7"/>
  <c r="T268" i="7"/>
  <c r="U268" i="7" s="1"/>
  <c r="R268" i="7"/>
  <c r="Q268" i="7"/>
  <c r="W268" i="7" s="1"/>
  <c r="X268" i="7" s="1"/>
  <c r="O268" i="7"/>
  <c r="L268" i="7"/>
  <c r="K268" i="7"/>
  <c r="E268" i="7"/>
  <c r="H268" i="7" s="1"/>
  <c r="I268" i="7" s="1"/>
  <c r="C268" i="7"/>
  <c r="B268" i="7"/>
  <c r="N268" i="7" s="1"/>
  <c r="AD267" i="7"/>
  <c r="AC267" i="7"/>
  <c r="AA267" i="7"/>
  <c r="W267" i="7"/>
  <c r="X267" i="7" s="1"/>
  <c r="U267" i="7"/>
  <c r="R267" i="7"/>
  <c r="N267" i="7"/>
  <c r="O267" i="7" s="1"/>
  <c r="L267" i="7"/>
  <c r="H267" i="7"/>
  <c r="I267" i="7" s="1"/>
  <c r="F267" i="7"/>
  <c r="C267" i="7"/>
  <c r="AD266" i="7"/>
  <c r="AC266" i="7"/>
  <c r="AA266" i="7"/>
  <c r="W266" i="7"/>
  <c r="X266" i="7" s="1"/>
  <c r="U266" i="7"/>
  <c r="R266" i="7"/>
  <c r="N266" i="7"/>
  <c r="O266" i="7" s="1"/>
  <c r="L266" i="7"/>
  <c r="I266" i="7"/>
  <c r="H266" i="7"/>
  <c r="F266" i="7"/>
  <c r="C266" i="7"/>
  <c r="AA264" i="7"/>
  <c r="Z264" i="7"/>
  <c r="U264" i="7"/>
  <c r="T264" i="7"/>
  <c r="Q264" i="7"/>
  <c r="AC264" i="7" s="1"/>
  <c r="AD264" i="7" s="1"/>
  <c r="L264" i="7"/>
  <c r="K264" i="7"/>
  <c r="I264" i="7"/>
  <c r="H264" i="7"/>
  <c r="F264" i="7"/>
  <c r="E264" i="7"/>
  <c r="C264" i="7"/>
  <c r="B264" i="7"/>
  <c r="N264" i="7" s="1"/>
  <c r="O264" i="7" s="1"/>
  <c r="AD263" i="7"/>
  <c r="Z263" i="7"/>
  <c r="AA263" i="7" s="1"/>
  <c r="W263" i="7"/>
  <c r="X263" i="7" s="1"/>
  <c r="U263" i="7"/>
  <c r="T263" i="7"/>
  <c r="R263" i="7"/>
  <c r="Q263" i="7"/>
  <c r="AC263" i="7" s="1"/>
  <c r="K263" i="7"/>
  <c r="L263" i="7" s="1"/>
  <c r="F263" i="7"/>
  <c r="E263" i="7"/>
  <c r="B263" i="7"/>
  <c r="AC262" i="7"/>
  <c r="AD262" i="7" s="1"/>
  <c r="AA262" i="7"/>
  <c r="W262" i="7"/>
  <c r="X262" i="7" s="1"/>
  <c r="U262" i="7"/>
  <c r="R262" i="7"/>
  <c r="O262" i="7"/>
  <c r="N262" i="7"/>
  <c r="L262" i="7"/>
  <c r="I262" i="7"/>
  <c r="H262" i="7"/>
  <c r="F262" i="7"/>
  <c r="C262" i="7"/>
  <c r="AC261" i="7"/>
  <c r="AD261" i="7" s="1"/>
  <c r="AA261" i="7"/>
  <c r="X261" i="7"/>
  <c r="W261" i="7"/>
  <c r="U261" i="7"/>
  <c r="R261" i="7"/>
  <c r="N261" i="7"/>
  <c r="O261" i="7" s="1"/>
  <c r="L261" i="7"/>
  <c r="H261" i="7"/>
  <c r="I261" i="7" s="1"/>
  <c r="F261" i="7"/>
  <c r="C261" i="7"/>
  <c r="AD260" i="7"/>
  <c r="AC260" i="7"/>
  <c r="AA260" i="7"/>
  <c r="W260" i="7"/>
  <c r="X260" i="7" s="1"/>
  <c r="U260" i="7"/>
  <c r="R260" i="7"/>
  <c r="O260" i="7"/>
  <c r="N260" i="7"/>
  <c r="L260" i="7"/>
  <c r="I260" i="7"/>
  <c r="H260" i="7"/>
  <c r="F260" i="7"/>
  <c r="C260" i="7"/>
  <c r="AD259" i="7"/>
  <c r="AC259" i="7"/>
  <c r="AA259" i="7"/>
  <c r="W259" i="7"/>
  <c r="X259" i="7" s="1"/>
  <c r="U259" i="7"/>
  <c r="R259" i="7"/>
  <c r="N259" i="7"/>
  <c r="O259" i="7" s="1"/>
  <c r="L259" i="7"/>
  <c r="I259" i="7"/>
  <c r="H259" i="7"/>
  <c r="F259" i="7"/>
  <c r="C259" i="7"/>
  <c r="AC258" i="7"/>
  <c r="AD258" i="7" s="1"/>
  <c r="AA258" i="7"/>
  <c r="W258" i="7"/>
  <c r="X258" i="7" s="1"/>
  <c r="U258" i="7"/>
  <c r="R258" i="7"/>
  <c r="O258" i="7"/>
  <c r="N258" i="7"/>
  <c r="L258" i="7"/>
  <c r="H258" i="7"/>
  <c r="I258" i="7" s="1"/>
  <c r="F258" i="7"/>
  <c r="C258" i="7"/>
  <c r="AC257" i="7"/>
  <c r="AD257" i="7" s="1"/>
  <c r="AA257" i="7"/>
  <c r="W257" i="7"/>
  <c r="X257" i="7" s="1"/>
  <c r="U257" i="7"/>
  <c r="R257" i="7"/>
  <c r="N257" i="7"/>
  <c r="O257" i="7" s="1"/>
  <c r="L257" i="7"/>
  <c r="I257" i="7"/>
  <c r="H257" i="7"/>
  <c r="F257" i="7"/>
  <c r="C257" i="7"/>
  <c r="AD256" i="7"/>
  <c r="AC256" i="7"/>
  <c r="AA256" i="7"/>
  <c r="W256" i="7"/>
  <c r="X256" i="7" s="1"/>
  <c r="U256" i="7"/>
  <c r="R256" i="7"/>
  <c r="N256" i="7"/>
  <c r="O256" i="7" s="1"/>
  <c r="L256" i="7"/>
  <c r="I256" i="7"/>
  <c r="H256" i="7"/>
  <c r="F256" i="7"/>
  <c r="C256" i="7"/>
  <c r="AD255" i="7"/>
  <c r="AC255" i="7"/>
  <c r="AA255" i="7"/>
  <c r="W255" i="7"/>
  <c r="X255" i="7" s="1"/>
  <c r="U255" i="7"/>
  <c r="R255" i="7"/>
  <c r="O255" i="7"/>
  <c r="N255" i="7"/>
  <c r="L255" i="7"/>
  <c r="I255" i="7"/>
  <c r="H255" i="7"/>
  <c r="F255" i="7"/>
  <c r="C255" i="7"/>
  <c r="AC254" i="7"/>
  <c r="AD254" i="7" s="1"/>
  <c r="AA254" i="7"/>
  <c r="W254" i="7"/>
  <c r="X254" i="7" s="1"/>
  <c r="U254" i="7"/>
  <c r="R254" i="7"/>
  <c r="O254" i="7"/>
  <c r="N254" i="7"/>
  <c r="L254" i="7"/>
  <c r="H254" i="7"/>
  <c r="I254" i="7" s="1"/>
  <c r="F254" i="7"/>
  <c r="C254" i="7"/>
  <c r="AC253" i="7"/>
  <c r="AD253" i="7" s="1"/>
  <c r="AA253" i="7"/>
  <c r="X253" i="7"/>
  <c r="W253" i="7"/>
  <c r="U253" i="7"/>
  <c r="R253" i="7"/>
  <c r="N253" i="7"/>
  <c r="O253" i="7" s="1"/>
  <c r="L253" i="7"/>
  <c r="I253" i="7"/>
  <c r="H253" i="7"/>
  <c r="F253" i="7"/>
  <c r="C253" i="7"/>
  <c r="AD252" i="7"/>
  <c r="AC252" i="7"/>
  <c r="AA252" i="7"/>
  <c r="W252" i="7"/>
  <c r="X252" i="7" s="1"/>
  <c r="U252" i="7"/>
  <c r="R252" i="7"/>
  <c r="N252" i="7"/>
  <c r="O252" i="7" s="1"/>
  <c r="L252" i="7"/>
  <c r="H252" i="7"/>
  <c r="I252" i="7" s="1"/>
  <c r="F252" i="7"/>
  <c r="C252" i="7"/>
  <c r="AD251" i="7"/>
  <c r="AC251" i="7"/>
  <c r="AA251" i="7"/>
  <c r="W251" i="7"/>
  <c r="X251" i="7" s="1"/>
  <c r="U251" i="7"/>
  <c r="R251" i="7"/>
  <c r="O251" i="7"/>
  <c r="N251" i="7"/>
  <c r="L251" i="7"/>
  <c r="I251" i="7"/>
  <c r="H251" i="7"/>
  <c r="F251" i="7"/>
  <c r="C251" i="7"/>
  <c r="AD250" i="7"/>
  <c r="AC250" i="7"/>
  <c r="AA250" i="7"/>
  <c r="X250" i="7"/>
  <c r="W250" i="7"/>
  <c r="U250" i="7"/>
  <c r="R250" i="7"/>
  <c r="N250" i="7"/>
  <c r="O250" i="7" s="1"/>
  <c r="L250" i="7"/>
  <c r="H250" i="7"/>
  <c r="I250" i="7" s="1"/>
  <c r="F250" i="7"/>
  <c r="C250" i="7"/>
  <c r="AC249" i="7"/>
  <c r="AD249" i="7" s="1"/>
  <c r="AA249" i="7"/>
  <c r="X249" i="7"/>
  <c r="W249" i="7"/>
  <c r="U249" i="7"/>
  <c r="R249" i="7"/>
  <c r="N249" i="7"/>
  <c r="O249" i="7" s="1"/>
  <c r="L249" i="7"/>
  <c r="I249" i="7"/>
  <c r="H249" i="7"/>
  <c r="F249" i="7"/>
  <c r="C249" i="7"/>
  <c r="AD248" i="7"/>
  <c r="AC248" i="7"/>
  <c r="AA248" i="7"/>
  <c r="W248" i="7"/>
  <c r="X248" i="7" s="1"/>
  <c r="U248" i="7"/>
  <c r="R248" i="7"/>
  <c r="N248" i="7"/>
  <c r="O248" i="7" s="1"/>
  <c r="L248" i="7"/>
  <c r="I248" i="7"/>
  <c r="H248" i="7"/>
  <c r="F248" i="7"/>
  <c r="C248" i="7"/>
  <c r="AD247" i="7"/>
  <c r="AC247" i="7"/>
  <c r="AA247" i="7"/>
  <c r="W247" i="7"/>
  <c r="X247" i="7" s="1"/>
  <c r="U247" i="7"/>
  <c r="R247" i="7"/>
  <c r="N247" i="7"/>
  <c r="O247" i="7" s="1"/>
  <c r="L247" i="7"/>
  <c r="I247" i="7"/>
  <c r="H247" i="7"/>
  <c r="F247" i="7"/>
  <c r="C247" i="7"/>
  <c r="AC246" i="7"/>
  <c r="AD246" i="7" s="1"/>
  <c r="AA246" i="7"/>
  <c r="X246" i="7"/>
  <c r="W246" i="7"/>
  <c r="U246" i="7"/>
  <c r="R246" i="7"/>
  <c r="O246" i="7"/>
  <c r="N246" i="7"/>
  <c r="L246" i="7"/>
  <c r="I246" i="7"/>
  <c r="H246" i="7"/>
  <c r="F246" i="7"/>
  <c r="C246" i="7"/>
  <c r="AC245" i="7"/>
  <c r="AD245" i="7" s="1"/>
  <c r="AA245" i="7"/>
  <c r="W245" i="7"/>
  <c r="X245" i="7" s="1"/>
  <c r="U245" i="7"/>
  <c r="R245" i="7"/>
  <c r="N245" i="7"/>
  <c r="O245" i="7" s="1"/>
  <c r="L245" i="7"/>
  <c r="H245" i="7"/>
  <c r="I245" i="7" s="1"/>
  <c r="F245" i="7"/>
  <c r="C245" i="7"/>
  <c r="AD244" i="7"/>
  <c r="AC244" i="7"/>
  <c r="AA244" i="7"/>
  <c r="W244" i="7"/>
  <c r="X244" i="7" s="1"/>
  <c r="U244" i="7"/>
  <c r="R244" i="7"/>
  <c r="O244" i="7"/>
  <c r="N244" i="7"/>
  <c r="L244" i="7"/>
  <c r="I244" i="7"/>
  <c r="H244" i="7"/>
  <c r="F244" i="7"/>
  <c r="C244" i="7"/>
  <c r="AC243" i="7"/>
  <c r="AD243" i="7" s="1"/>
  <c r="AA243" i="7"/>
  <c r="W243" i="7"/>
  <c r="X243" i="7" s="1"/>
  <c r="U243" i="7"/>
  <c r="R243" i="7"/>
  <c r="N243" i="7"/>
  <c r="O243" i="7" s="1"/>
  <c r="L243" i="7"/>
  <c r="I243" i="7"/>
  <c r="H243" i="7"/>
  <c r="F243" i="7"/>
  <c r="C243" i="7"/>
  <c r="AC242" i="7"/>
  <c r="AD242" i="7" s="1"/>
  <c r="AA242" i="7"/>
  <c r="W242" i="7"/>
  <c r="X242" i="7" s="1"/>
  <c r="U242" i="7"/>
  <c r="R242" i="7"/>
  <c r="O242" i="7"/>
  <c r="N242" i="7"/>
  <c r="L242" i="7"/>
  <c r="H242" i="7"/>
  <c r="I242" i="7" s="1"/>
  <c r="F242" i="7"/>
  <c r="C242" i="7"/>
  <c r="AC241" i="7"/>
  <c r="AD241" i="7" s="1"/>
  <c r="AA241" i="7"/>
  <c r="W241" i="7"/>
  <c r="X241" i="7" s="1"/>
  <c r="U241" i="7"/>
  <c r="R241" i="7"/>
  <c r="N241" i="7"/>
  <c r="O241" i="7" s="1"/>
  <c r="L241" i="7"/>
  <c r="I241" i="7"/>
  <c r="H241" i="7"/>
  <c r="F241" i="7"/>
  <c r="C241" i="7"/>
  <c r="AD240" i="7"/>
  <c r="AC240" i="7"/>
  <c r="AA240" i="7"/>
  <c r="W240" i="7"/>
  <c r="X240" i="7" s="1"/>
  <c r="U240" i="7"/>
  <c r="R240" i="7"/>
  <c r="N240" i="7"/>
  <c r="O240" i="7" s="1"/>
  <c r="L240" i="7"/>
  <c r="I240" i="7"/>
  <c r="H240" i="7"/>
  <c r="F240" i="7"/>
  <c r="C240" i="7"/>
  <c r="AD238" i="7"/>
  <c r="AC238" i="7"/>
  <c r="AA238" i="7"/>
  <c r="W238" i="7"/>
  <c r="X238" i="7" s="1"/>
  <c r="U238" i="7"/>
  <c r="R238" i="7"/>
  <c r="O238" i="7"/>
  <c r="N238" i="7"/>
  <c r="L238" i="7"/>
  <c r="I238" i="7"/>
  <c r="H238" i="7"/>
  <c r="F238" i="7"/>
  <c r="C238" i="7"/>
  <c r="Z236" i="7"/>
  <c r="U236" i="7"/>
  <c r="T236" i="7"/>
  <c r="R236" i="7"/>
  <c r="Q236" i="7"/>
  <c r="L236" i="7"/>
  <c r="K236" i="7"/>
  <c r="H236" i="7"/>
  <c r="I236" i="7" s="1"/>
  <c r="F236" i="7"/>
  <c r="E236" i="7"/>
  <c r="C236" i="7"/>
  <c r="B236" i="7"/>
  <c r="N236" i="7" s="1"/>
  <c r="O236" i="7" s="1"/>
  <c r="AD235" i="7"/>
  <c r="AC235" i="7"/>
  <c r="AA235" i="7"/>
  <c r="X235" i="7"/>
  <c r="W235" i="7"/>
  <c r="U235" i="7"/>
  <c r="R235" i="7"/>
  <c r="N235" i="7"/>
  <c r="O235" i="7" s="1"/>
  <c r="L235" i="7"/>
  <c r="H235" i="7"/>
  <c r="I235" i="7" s="1"/>
  <c r="F235" i="7"/>
  <c r="C235" i="7"/>
  <c r="AD234" i="7"/>
  <c r="AC234" i="7"/>
  <c r="AA234" i="7"/>
  <c r="W234" i="7"/>
  <c r="X234" i="7" s="1"/>
  <c r="U234" i="7"/>
  <c r="R234" i="7"/>
  <c r="O234" i="7"/>
  <c r="N234" i="7"/>
  <c r="L234" i="7"/>
  <c r="I234" i="7"/>
  <c r="H234" i="7"/>
  <c r="F234" i="7"/>
  <c r="C234" i="7"/>
  <c r="AD233" i="7"/>
  <c r="AC233" i="7"/>
  <c r="AA233" i="7"/>
  <c r="X233" i="7"/>
  <c r="W233" i="7"/>
  <c r="U233" i="7"/>
  <c r="R233" i="7"/>
  <c r="N233" i="7"/>
  <c r="O233" i="7" s="1"/>
  <c r="L233" i="7"/>
  <c r="H233" i="7"/>
  <c r="I233" i="7" s="1"/>
  <c r="F233" i="7"/>
  <c r="C233" i="7"/>
  <c r="AD232" i="7"/>
  <c r="AC232" i="7"/>
  <c r="AA232" i="7"/>
  <c r="X232" i="7"/>
  <c r="W232" i="7"/>
  <c r="U232" i="7"/>
  <c r="R232" i="7"/>
  <c r="N232" i="7"/>
  <c r="O232" i="7" s="1"/>
  <c r="L232" i="7"/>
  <c r="H232" i="7"/>
  <c r="I232" i="7" s="1"/>
  <c r="F232" i="7"/>
  <c r="C232" i="7"/>
  <c r="AD231" i="7"/>
  <c r="AC231" i="7"/>
  <c r="AA231" i="7"/>
  <c r="X231" i="7"/>
  <c r="W231" i="7"/>
  <c r="U231" i="7"/>
  <c r="R231" i="7"/>
  <c r="N231" i="7"/>
  <c r="O231" i="7" s="1"/>
  <c r="L231" i="7"/>
  <c r="I231" i="7"/>
  <c r="H231" i="7"/>
  <c r="F231" i="7"/>
  <c r="C231" i="7"/>
  <c r="AD230" i="7"/>
  <c r="AC230" i="7"/>
  <c r="AA230" i="7"/>
  <c r="W230" i="7"/>
  <c r="X230" i="7" s="1"/>
  <c r="U230" i="7"/>
  <c r="R230" i="7"/>
  <c r="O230" i="7"/>
  <c r="N230" i="7"/>
  <c r="L230" i="7"/>
  <c r="I230" i="7"/>
  <c r="H230" i="7"/>
  <c r="F230" i="7"/>
  <c r="C230" i="7"/>
  <c r="AC229" i="7"/>
  <c r="AD229" i="7" s="1"/>
  <c r="AA229" i="7"/>
  <c r="X229" i="7"/>
  <c r="W229" i="7"/>
  <c r="U229" i="7"/>
  <c r="R229" i="7"/>
  <c r="O229" i="7"/>
  <c r="N229" i="7"/>
  <c r="L229" i="7"/>
  <c r="H229" i="7"/>
  <c r="I229" i="7" s="1"/>
  <c r="F229" i="7"/>
  <c r="C229" i="7"/>
  <c r="AA227" i="7"/>
  <c r="Z227" i="7"/>
  <c r="U227" i="7"/>
  <c r="T227" i="7"/>
  <c r="Q227" i="7"/>
  <c r="AC227" i="7" s="1"/>
  <c r="AD227" i="7" s="1"/>
  <c r="K227" i="7"/>
  <c r="L227" i="7" s="1"/>
  <c r="F227" i="7"/>
  <c r="E227" i="7"/>
  <c r="B227" i="7"/>
  <c r="AD226" i="7"/>
  <c r="AC226" i="7"/>
  <c r="AA226" i="7"/>
  <c r="W226" i="7"/>
  <c r="X226" i="7" s="1"/>
  <c r="U226" i="7"/>
  <c r="R226" i="7"/>
  <c r="N226" i="7"/>
  <c r="O226" i="7" s="1"/>
  <c r="L226" i="7"/>
  <c r="I226" i="7"/>
  <c r="H226" i="7"/>
  <c r="F226" i="7"/>
  <c r="C226" i="7"/>
  <c r="AC225" i="7"/>
  <c r="AD225" i="7" s="1"/>
  <c r="AA225" i="7"/>
  <c r="X225" i="7"/>
  <c r="W225" i="7"/>
  <c r="U225" i="7"/>
  <c r="R225" i="7"/>
  <c r="O225" i="7"/>
  <c r="N225" i="7"/>
  <c r="L225" i="7"/>
  <c r="H225" i="7"/>
  <c r="I225" i="7" s="1"/>
  <c r="F225" i="7"/>
  <c r="C225" i="7"/>
  <c r="AC224" i="7"/>
  <c r="AD224" i="7" s="1"/>
  <c r="AA224" i="7"/>
  <c r="W224" i="7"/>
  <c r="X224" i="7" s="1"/>
  <c r="U224" i="7"/>
  <c r="R224" i="7"/>
  <c r="N224" i="7"/>
  <c r="O224" i="7" s="1"/>
  <c r="L224" i="7"/>
  <c r="I224" i="7"/>
  <c r="H224" i="7"/>
  <c r="F224" i="7"/>
  <c r="C224" i="7"/>
  <c r="AD223" i="7"/>
  <c r="AC223" i="7"/>
  <c r="AA223" i="7"/>
  <c r="W223" i="7"/>
  <c r="X223" i="7" s="1"/>
  <c r="U223" i="7"/>
  <c r="R223" i="7"/>
  <c r="N223" i="7"/>
  <c r="O223" i="7" s="1"/>
  <c r="L223" i="7"/>
  <c r="I223" i="7"/>
  <c r="H223" i="7"/>
  <c r="F223" i="7"/>
  <c r="C223" i="7"/>
  <c r="AD222" i="7"/>
  <c r="AC222" i="7"/>
  <c r="AA222" i="7"/>
  <c r="W222" i="7"/>
  <c r="X222" i="7" s="1"/>
  <c r="U222" i="7"/>
  <c r="R222" i="7"/>
  <c r="O222" i="7"/>
  <c r="N222" i="7"/>
  <c r="L222" i="7"/>
  <c r="I222" i="7"/>
  <c r="H222" i="7"/>
  <c r="F222" i="7"/>
  <c r="C222" i="7"/>
  <c r="AC221" i="7"/>
  <c r="AD221" i="7" s="1"/>
  <c r="AA221" i="7"/>
  <c r="W221" i="7"/>
  <c r="X221" i="7" s="1"/>
  <c r="U221" i="7"/>
  <c r="R221" i="7"/>
  <c r="O221" i="7"/>
  <c r="N221" i="7"/>
  <c r="L221" i="7"/>
  <c r="H221" i="7"/>
  <c r="I221" i="7" s="1"/>
  <c r="F221" i="7"/>
  <c r="C221" i="7"/>
  <c r="AC220" i="7"/>
  <c r="AD220" i="7" s="1"/>
  <c r="AA220" i="7"/>
  <c r="X220" i="7"/>
  <c r="W220" i="7"/>
  <c r="U220" i="7"/>
  <c r="R220" i="7"/>
  <c r="N220" i="7"/>
  <c r="O220" i="7" s="1"/>
  <c r="L220" i="7"/>
  <c r="I220" i="7"/>
  <c r="H220" i="7"/>
  <c r="F220" i="7"/>
  <c r="C220" i="7"/>
  <c r="AD219" i="7"/>
  <c r="AC219" i="7"/>
  <c r="AA219" i="7"/>
  <c r="W219" i="7"/>
  <c r="X219" i="7" s="1"/>
  <c r="U219" i="7"/>
  <c r="R219" i="7"/>
  <c r="N219" i="7"/>
  <c r="O219" i="7" s="1"/>
  <c r="L219" i="7"/>
  <c r="H219" i="7"/>
  <c r="I219" i="7" s="1"/>
  <c r="F219" i="7"/>
  <c r="C219" i="7"/>
  <c r="AA218" i="7"/>
  <c r="Z218" i="7"/>
  <c r="X218" i="7"/>
  <c r="W218" i="7"/>
  <c r="U218" i="7"/>
  <c r="T218" i="7"/>
  <c r="R218" i="7"/>
  <c r="Q218" i="7"/>
  <c r="AC218" i="7" s="1"/>
  <c r="AD218" i="7" s="1"/>
  <c r="L218" i="7"/>
  <c r="K218" i="7"/>
  <c r="I218" i="7"/>
  <c r="H218" i="7"/>
  <c r="E218" i="7"/>
  <c r="F218" i="7" s="1"/>
  <c r="C218" i="7"/>
  <c r="B218" i="7"/>
  <c r="AD217" i="7"/>
  <c r="AC217" i="7"/>
  <c r="AA217" i="7"/>
  <c r="X217" i="7"/>
  <c r="W217" i="7"/>
  <c r="U217" i="7"/>
  <c r="R217" i="7"/>
  <c r="N217" i="7"/>
  <c r="O217" i="7" s="1"/>
  <c r="L217" i="7"/>
  <c r="I217" i="7"/>
  <c r="H217" i="7"/>
  <c r="F217" i="7"/>
  <c r="C217" i="7"/>
  <c r="AD216" i="7"/>
  <c r="AC216" i="7"/>
  <c r="AA216" i="7"/>
  <c r="X216" i="7"/>
  <c r="W216" i="7"/>
  <c r="U216" i="7"/>
  <c r="R216" i="7"/>
  <c r="N216" i="7"/>
  <c r="O216" i="7" s="1"/>
  <c r="L216" i="7"/>
  <c r="H216" i="7"/>
  <c r="I216" i="7" s="1"/>
  <c r="F216" i="7"/>
  <c r="C216" i="7"/>
  <c r="AD215" i="7"/>
  <c r="AC215" i="7"/>
  <c r="AA215" i="7"/>
  <c r="W215" i="7"/>
  <c r="X215" i="7" s="1"/>
  <c r="U215" i="7"/>
  <c r="R215" i="7"/>
  <c r="O215" i="7"/>
  <c r="N215" i="7"/>
  <c r="L215" i="7"/>
  <c r="H215" i="7"/>
  <c r="I215" i="7" s="1"/>
  <c r="F215" i="7"/>
  <c r="C215" i="7"/>
  <c r="AC214" i="7"/>
  <c r="AD214" i="7" s="1"/>
  <c r="AA214" i="7"/>
  <c r="X214" i="7"/>
  <c r="W214" i="7"/>
  <c r="U214" i="7"/>
  <c r="R214" i="7"/>
  <c r="O214" i="7"/>
  <c r="N214" i="7"/>
  <c r="L214" i="7"/>
  <c r="I214" i="7"/>
  <c r="H214" i="7"/>
  <c r="F214" i="7"/>
  <c r="C214" i="7"/>
  <c r="AC213" i="7"/>
  <c r="AD213" i="7" s="1"/>
  <c r="AA213" i="7"/>
  <c r="W213" i="7"/>
  <c r="X213" i="7" s="1"/>
  <c r="U213" i="7"/>
  <c r="R213" i="7"/>
  <c r="O213" i="7"/>
  <c r="N213" i="7"/>
  <c r="L213" i="7"/>
  <c r="I213" i="7"/>
  <c r="H213" i="7"/>
  <c r="F213" i="7"/>
  <c r="C213" i="7"/>
  <c r="AC211" i="7"/>
  <c r="AD211" i="7" s="1"/>
  <c r="AA211" i="7"/>
  <c r="X211" i="7"/>
  <c r="W211" i="7"/>
  <c r="U211" i="7"/>
  <c r="R211" i="7"/>
  <c r="O211" i="7"/>
  <c r="N211" i="7"/>
  <c r="L211" i="7"/>
  <c r="H211" i="7"/>
  <c r="I211" i="7" s="1"/>
  <c r="F211" i="7"/>
  <c r="C211" i="7"/>
  <c r="AD209" i="7"/>
  <c r="AC209" i="7"/>
  <c r="Z209" i="7"/>
  <c r="AA209" i="7" s="1"/>
  <c r="T209" i="7"/>
  <c r="W209" i="7" s="1"/>
  <c r="X209" i="7" s="1"/>
  <c r="R209" i="7"/>
  <c r="Q209" i="7"/>
  <c r="K209" i="7"/>
  <c r="L209" i="7" s="1"/>
  <c r="E209" i="7"/>
  <c r="B209" i="7"/>
  <c r="C209" i="7" s="1"/>
  <c r="AC208" i="7"/>
  <c r="AD208" i="7" s="1"/>
  <c r="AA208" i="7"/>
  <c r="X208" i="7"/>
  <c r="W208" i="7"/>
  <c r="U208" i="7"/>
  <c r="R208" i="7"/>
  <c r="O208" i="7"/>
  <c r="N208" i="7"/>
  <c r="L208" i="7"/>
  <c r="H208" i="7"/>
  <c r="I208" i="7" s="1"/>
  <c r="F208" i="7"/>
  <c r="C208" i="7"/>
  <c r="AC207" i="7"/>
  <c r="AD207" i="7" s="1"/>
  <c r="AA207" i="7"/>
  <c r="W207" i="7"/>
  <c r="X207" i="7" s="1"/>
  <c r="U207" i="7"/>
  <c r="R207" i="7"/>
  <c r="O207" i="7"/>
  <c r="N207" i="7"/>
  <c r="L207" i="7"/>
  <c r="H207" i="7"/>
  <c r="I207" i="7" s="1"/>
  <c r="F207" i="7"/>
  <c r="C207" i="7"/>
  <c r="AC206" i="7"/>
  <c r="AD206" i="7" s="1"/>
  <c r="AA206" i="7"/>
  <c r="X206" i="7"/>
  <c r="W206" i="7"/>
  <c r="U206" i="7"/>
  <c r="R206" i="7"/>
  <c r="O206" i="7"/>
  <c r="N206" i="7"/>
  <c r="L206" i="7"/>
  <c r="H206" i="7"/>
  <c r="I206" i="7" s="1"/>
  <c r="F206" i="7"/>
  <c r="C206" i="7"/>
  <c r="AD205" i="7"/>
  <c r="AC205" i="7"/>
  <c r="AA205" i="7"/>
  <c r="X205" i="7"/>
  <c r="W205" i="7"/>
  <c r="U205" i="7"/>
  <c r="R205" i="7"/>
  <c r="O205" i="7"/>
  <c r="N205" i="7"/>
  <c r="L205" i="7"/>
  <c r="I205" i="7"/>
  <c r="H205" i="7"/>
  <c r="F205" i="7"/>
  <c r="C205" i="7"/>
  <c r="AC204" i="7"/>
  <c r="AD204" i="7" s="1"/>
  <c r="AA204" i="7"/>
  <c r="X204" i="7"/>
  <c r="W204" i="7"/>
  <c r="U204" i="7"/>
  <c r="R204" i="7"/>
  <c r="O204" i="7"/>
  <c r="N204" i="7"/>
  <c r="L204" i="7"/>
  <c r="I204" i="7"/>
  <c r="H204" i="7"/>
  <c r="F204" i="7"/>
  <c r="C204" i="7"/>
  <c r="AC203" i="7"/>
  <c r="AD203" i="7" s="1"/>
  <c r="AA203" i="7"/>
  <c r="W203" i="7"/>
  <c r="X203" i="7" s="1"/>
  <c r="U203" i="7"/>
  <c r="R203" i="7"/>
  <c r="O203" i="7"/>
  <c r="N203" i="7"/>
  <c r="L203" i="7"/>
  <c r="H203" i="7"/>
  <c r="I203" i="7" s="1"/>
  <c r="F203" i="7"/>
  <c r="C203" i="7"/>
  <c r="AD202" i="7"/>
  <c r="AC202" i="7"/>
  <c r="AA202" i="7"/>
  <c r="X202" i="7"/>
  <c r="W202" i="7"/>
  <c r="U202" i="7"/>
  <c r="R202" i="7"/>
  <c r="N202" i="7"/>
  <c r="O202" i="7" s="1"/>
  <c r="L202" i="7"/>
  <c r="H202" i="7"/>
  <c r="I202" i="7" s="1"/>
  <c r="F202" i="7"/>
  <c r="C202" i="7"/>
  <c r="AD201" i="7"/>
  <c r="AC201" i="7"/>
  <c r="AA201" i="7"/>
  <c r="X201" i="7"/>
  <c r="W201" i="7"/>
  <c r="U201" i="7"/>
  <c r="R201" i="7"/>
  <c r="N201" i="7"/>
  <c r="O201" i="7" s="1"/>
  <c r="L201" i="7"/>
  <c r="H201" i="7"/>
  <c r="I201" i="7" s="1"/>
  <c r="F201" i="7"/>
  <c r="C201" i="7"/>
  <c r="AD197" i="7"/>
  <c r="AC197" i="7"/>
  <c r="Z197" i="7"/>
  <c r="AA197" i="7" s="1"/>
  <c r="W197" i="7"/>
  <c r="X197" i="7" s="1"/>
  <c r="T197" i="7"/>
  <c r="U197" i="7" s="1"/>
  <c r="Q197" i="7"/>
  <c r="R197" i="7" s="1"/>
  <c r="K197" i="7"/>
  <c r="L197" i="7" s="1"/>
  <c r="H197" i="7"/>
  <c r="I197" i="7" s="1"/>
  <c r="F197" i="7"/>
  <c r="E197" i="7"/>
  <c r="B197" i="7"/>
  <c r="C197" i="7" s="1"/>
  <c r="Z196" i="7"/>
  <c r="X196" i="7"/>
  <c r="W196" i="7"/>
  <c r="T196" i="7"/>
  <c r="U196" i="7" s="1"/>
  <c r="Q196" i="7"/>
  <c r="R196" i="7" s="1"/>
  <c r="K196" i="7"/>
  <c r="L196" i="7" s="1"/>
  <c r="E196" i="7"/>
  <c r="F196" i="7" s="1"/>
  <c r="C196" i="7"/>
  <c r="B196" i="7"/>
  <c r="AC195" i="7"/>
  <c r="AD195" i="7" s="1"/>
  <c r="AA195" i="7"/>
  <c r="X195" i="7"/>
  <c r="W195" i="7"/>
  <c r="U195" i="7"/>
  <c r="R195" i="7"/>
  <c r="O195" i="7"/>
  <c r="N195" i="7"/>
  <c r="L195" i="7"/>
  <c r="H195" i="7"/>
  <c r="I195" i="7" s="1"/>
  <c r="F195" i="7"/>
  <c r="C195" i="7"/>
  <c r="AD194" i="7"/>
  <c r="AC194" i="7"/>
  <c r="AA194" i="7"/>
  <c r="X194" i="7"/>
  <c r="W194" i="7"/>
  <c r="U194" i="7"/>
  <c r="R194" i="7"/>
  <c r="N194" i="7"/>
  <c r="O194" i="7" s="1"/>
  <c r="L194" i="7"/>
  <c r="I194" i="7"/>
  <c r="H194" i="7"/>
  <c r="F194" i="7"/>
  <c r="C194" i="7"/>
  <c r="Z193" i="7"/>
  <c r="AA193" i="7" s="1"/>
  <c r="X193" i="7"/>
  <c r="W193" i="7"/>
  <c r="T193" i="7"/>
  <c r="U193" i="7" s="1"/>
  <c r="Q193" i="7"/>
  <c r="R193" i="7" s="1"/>
  <c r="L193" i="7"/>
  <c r="K193" i="7"/>
  <c r="N193" i="7" s="1"/>
  <c r="O193" i="7" s="1"/>
  <c r="E193" i="7"/>
  <c r="F193" i="7" s="1"/>
  <c r="C193" i="7"/>
  <c r="B193" i="7"/>
  <c r="AD192" i="7"/>
  <c r="AC192" i="7"/>
  <c r="AA192" i="7"/>
  <c r="X192" i="7"/>
  <c r="W192" i="7"/>
  <c r="U192" i="7"/>
  <c r="R192" i="7"/>
  <c r="N192" i="7"/>
  <c r="O192" i="7" s="1"/>
  <c r="L192" i="7"/>
  <c r="H192" i="7"/>
  <c r="I192" i="7" s="1"/>
  <c r="F192" i="7"/>
  <c r="C192" i="7"/>
  <c r="AC191" i="7"/>
  <c r="AD191" i="7" s="1"/>
  <c r="AA191" i="7"/>
  <c r="X191" i="7"/>
  <c r="W191" i="7"/>
  <c r="U191" i="7"/>
  <c r="R191" i="7"/>
  <c r="O191" i="7"/>
  <c r="N191" i="7"/>
  <c r="L191" i="7"/>
  <c r="H191" i="7"/>
  <c r="I191" i="7" s="1"/>
  <c r="F191" i="7"/>
  <c r="C191" i="7"/>
  <c r="AC190" i="7"/>
  <c r="AD190" i="7" s="1"/>
  <c r="AA190" i="7"/>
  <c r="X190" i="7"/>
  <c r="W190" i="7"/>
  <c r="U190" i="7"/>
  <c r="R190" i="7"/>
  <c r="O190" i="7"/>
  <c r="N190" i="7"/>
  <c r="L190" i="7"/>
  <c r="I190" i="7"/>
  <c r="H190" i="7"/>
  <c r="F190" i="7"/>
  <c r="C190" i="7"/>
  <c r="AC189" i="7"/>
  <c r="AD189" i="7" s="1"/>
  <c r="AA189" i="7"/>
  <c r="W189" i="7"/>
  <c r="X189" i="7" s="1"/>
  <c r="U189" i="7"/>
  <c r="R189" i="7"/>
  <c r="O189" i="7"/>
  <c r="N189" i="7"/>
  <c r="L189" i="7"/>
  <c r="H189" i="7"/>
  <c r="I189" i="7" s="1"/>
  <c r="F189" i="7"/>
  <c r="C189" i="7"/>
  <c r="AD188" i="7"/>
  <c r="AC188" i="7"/>
  <c r="AA188" i="7"/>
  <c r="X188" i="7"/>
  <c r="W188" i="7"/>
  <c r="U188" i="7"/>
  <c r="R188" i="7"/>
  <c r="O188" i="7"/>
  <c r="N188" i="7"/>
  <c r="L188" i="7"/>
  <c r="H188" i="7"/>
  <c r="I188" i="7" s="1"/>
  <c r="F188" i="7"/>
  <c r="C188" i="7"/>
  <c r="AC187" i="7"/>
  <c r="AD187" i="7" s="1"/>
  <c r="AA187" i="7"/>
  <c r="X187" i="7"/>
  <c r="W187" i="7"/>
  <c r="U187" i="7"/>
  <c r="R187" i="7"/>
  <c r="O187" i="7"/>
  <c r="N187" i="7"/>
  <c r="L187" i="7"/>
  <c r="H187" i="7"/>
  <c r="I187" i="7" s="1"/>
  <c r="F187" i="7"/>
  <c r="C187" i="7"/>
  <c r="AC186" i="7"/>
  <c r="AD186" i="7" s="1"/>
  <c r="AA186" i="7"/>
  <c r="W186" i="7"/>
  <c r="X186" i="7" s="1"/>
  <c r="U186" i="7"/>
  <c r="R186" i="7"/>
  <c r="O186" i="7"/>
  <c r="N186" i="7"/>
  <c r="L186" i="7"/>
  <c r="I186" i="7"/>
  <c r="H186" i="7"/>
  <c r="F186" i="7"/>
  <c r="C186" i="7"/>
  <c r="AC184" i="7"/>
  <c r="AD184" i="7" s="1"/>
  <c r="AA184" i="7"/>
  <c r="X184" i="7"/>
  <c r="W184" i="7"/>
  <c r="U184" i="7"/>
  <c r="R184" i="7"/>
  <c r="O184" i="7"/>
  <c r="N184" i="7"/>
  <c r="L184" i="7"/>
  <c r="H184" i="7"/>
  <c r="I184" i="7" s="1"/>
  <c r="F184" i="7"/>
  <c r="C184" i="7"/>
  <c r="AD183" i="7"/>
  <c r="AC183" i="7"/>
  <c r="AA183" i="7"/>
  <c r="X183" i="7"/>
  <c r="W183" i="7"/>
  <c r="U183" i="7"/>
  <c r="R183" i="7"/>
  <c r="N183" i="7"/>
  <c r="O183" i="7" s="1"/>
  <c r="L183" i="7"/>
  <c r="H183" i="7"/>
  <c r="I183" i="7" s="1"/>
  <c r="F183" i="7"/>
  <c r="C183" i="7"/>
  <c r="AC182" i="7"/>
  <c r="AD182" i="7" s="1"/>
  <c r="Z182" i="7"/>
  <c r="AA182" i="7" s="1"/>
  <c r="T182" i="7"/>
  <c r="U182" i="7" s="1"/>
  <c r="Q182" i="7"/>
  <c r="N182" i="7"/>
  <c r="O182" i="7" s="1"/>
  <c r="K182" i="7"/>
  <c r="L182" i="7" s="1"/>
  <c r="F182" i="7"/>
  <c r="E182" i="7"/>
  <c r="B182" i="7"/>
  <c r="AC181" i="7"/>
  <c r="AD181" i="7" s="1"/>
  <c r="AA181" i="7"/>
  <c r="X181" i="7"/>
  <c r="W181" i="7"/>
  <c r="U181" i="7"/>
  <c r="R181" i="7"/>
  <c r="O181" i="7"/>
  <c r="N181" i="7"/>
  <c r="L181" i="7"/>
  <c r="H181" i="7"/>
  <c r="I181" i="7" s="1"/>
  <c r="F181" i="7"/>
  <c r="C181" i="7"/>
  <c r="AD180" i="7"/>
  <c r="AC180" i="7"/>
  <c r="AA180" i="7"/>
  <c r="X180" i="7"/>
  <c r="W180" i="7"/>
  <c r="U180" i="7"/>
  <c r="R180" i="7"/>
  <c r="N180" i="7"/>
  <c r="O180" i="7" s="1"/>
  <c r="L180" i="7"/>
  <c r="H180" i="7"/>
  <c r="I180" i="7" s="1"/>
  <c r="F180" i="7"/>
  <c r="C180" i="7"/>
  <c r="AD179" i="7"/>
  <c r="AC179" i="7"/>
  <c r="AA179" i="7"/>
  <c r="X179" i="7"/>
  <c r="W179" i="7"/>
  <c r="U179" i="7"/>
  <c r="R179" i="7"/>
  <c r="O179" i="7"/>
  <c r="N179" i="7"/>
  <c r="L179" i="7"/>
  <c r="H179" i="7"/>
  <c r="I179" i="7" s="1"/>
  <c r="F179" i="7"/>
  <c r="C179" i="7"/>
  <c r="AC178" i="7"/>
  <c r="AD178" i="7" s="1"/>
  <c r="AA178" i="7"/>
  <c r="X178" i="7"/>
  <c r="W178" i="7"/>
  <c r="U178" i="7"/>
  <c r="R178" i="7"/>
  <c r="O178" i="7"/>
  <c r="N178" i="7"/>
  <c r="L178" i="7"/>
  <c r="I178" i="7"/>
  <c r="H178" i="7"/>
  <c r="F178" i="7"/>
  <c r="C178" i="7"/>
  <c r="AC177" i="7"/>
  <c r="AD177" i="7" s="1"/>
  <c r="AA177" i="7"/>
  <c r="W177" i="7"/>
  <c r="X177" i="7" s="1"/>
  <c r="U177" i="7"/>
  <c r="R177" i="7"/>
  <c r="O177" i="7"/>
  <c r="N177" i="7"/>
  <c r="L177" i="7"/>
  <c r="H177" i="7"/>
  <c r="I177" i="7" s="1"/>
  <c r="F177" i="7"/>
  <c r="C177" i="7"/>
  <c r="AC175" i="7"/>
  <c r="AD175" i="7" s="1"/>
  <c r="AA175" i="7"/>
  <c r="X175" i="7"/>
  <c r="W175" i="7"/>
  <c r="U175" i="7"/>
  <c r="R175" i="7"/>
  <c r="O175" i="7"/>
  <c r="N175" i="7"/>
  <c r="L175" i="7"/>
  <c r="H175" i="7"/>
  <c r="I175" i="7" s="1"/>
  <c r="F175" i="7"/>
  <c r="C175" i="7"/>
  <c r="Z172" i="7"/>
  <c r="Z171" i="7"/>
  <c r="AA171" i="7" s="1"/>
  <c r="T171" i="7"/>
  <c r="Q171" i="7"/>
  <c r="R171" i="7" s="1"/>
  <c r="N171" i="7"/>
  <c r="O171" i="7" s="1"/>
  <c r="L171" i="7"/>
  <c r="K171" i="7"/>
  <c r="E171" i="7"/>
  <c r="F171" i="7" s="1"/>
  <c r="B171" i="7"/>
  <c r="AC170" i="7"/>
  <c r="AD170" i="7" s="1"/>
  <c r="AA170" i="7"/>
  <c r="Z170" i="7"/>
  <c r="T170" i="7"/>
  <c r="U170" i="7" s="1"/>
  <c r="Q170" i="7"/>
  <c r="O170" i="7"/>
  <c r="N170" i="7"/>
  <c r="K170" i="7"/>
  <c r="L170" i="7" s="1"/>
  <c r="H170" i="7"/>
  <c r="I170" i="7" s="1"/>
  <c r="E170" i="7"/>
  <c r="F170" i="7" s="1"/>
  <c r="B170" i="7"/>
  <c r="C170" i="7" s="1"/>
  <c r="AC169" i="7"/>
  <c r="AD169" i="7" s="1"/>
  <c r="AA169" i="7"/>
  <c r="X169" i="7"/>
  <c r="W169" i="7"/>
  <c r="U169" i="7"/>
  <c r="R169" i="7"/>
  <c r="O169" i="7"/>
  <c r="N169" i="7"/>
  <c r="L169" i="7"/>
  <c r="H169" i="7"/>
  <c r="I169" i="7" s="1"/>
  <c r="F169" i="7"/>
  <c r="C169" i="7"/>
  <c r="AC168" i="7"/>
  <c r="AD168" i="7" s="1"/>
  <c r="AA168" i="7"/>
  <c r="X168" i="7"/>
  <c r="W168" i="7"/>
  <c r="U168" i="7"/>
  <c r="R168" i="7"/>
  <c r="O168" i="7"/>
  <c r="N168" i="7"/>
  <c r="L168" i="7"/>
  <c r="H168" i="7"/>
  <c r="I168" i="7" s="1"/>
  <c r="F168" i="7"/>
  <c r="C168" i="7"/>
  <c r="AD167" i="7"/>
  <c r="AC167" i="7"/>
  <c r="AA167" i="7"/>
  <c r="X167" i="7"/>
  <c r="W167" i="7"/>
  <c r="U167" i="7"/>
  <c r="R167" i="7"/>
  <c r="N167" i="7"/>
  <c r="O167" i="7" s="1"/>
  <c r="L167" i="7"/>
  <c r="I167" i="7"/>
  <c r="H167" i="7"/>
  <c r="F167" i="7"/>
  <c r="C167" i="7"/>
  <c r="AA166" i="7"/>
  <c r="Z166" i="7"/>
  <c r="X166" i="7"/>
  <c r="W166" i="7"/>
  <c r="T166" i="7"/>
  <c r="U166" i="7" s="1"/>
  <c r="Q166" i="7"/>
  <c r="R166" i="7" s="1"/>
  <c r="K166" i="7"/>
  <c r="E166" i="7"/>
  <c r="F166" i="7" s="1"/>
  <c r="C166" i="7"/>
  <c r="B166" i="7"/>
  <c r="AD165" i="7"/>
  <c r="AC165" i="7"/>
  <c r="AA165" i="7"/>
  <c r="X165" i="7"/>
  <c r="W165" i="7"/>
  <c r="U165" i="7"/>
  <c r="R165" i="7"/>
  <c r="N165" i="7"/>
  <c r="O165" i="7" s="1"/>
  <c r="L165" i="7"/>
  <c r="H165" i="7"/>
  <c r="I165" i="7" s="1"/>
  <c r="F165" i="7"/>
  <c r="C165" i="7"/>
  <c r="AD164" i="7"/>
  <c r="AC164" i="7"/>
  <c r="AA164" i="7"/>
  <c r="X164" i="7"/>
  <c r="W164" i="7"/>
  <c r="U164" i="7"/>
  <c r="R164" i="7"/>
  <c r="N164" i="7"/>
  <c r="O164" i="7" s="1"/>
  <c r="L164" i="7"/>
  <c r="H164" i="7"/>
  <c r="I164" i="7" s="1"/>
  <c r="F164" i="7"/>
  <c r="C164" i="7"/>
  <c r="AC163" i="7"/>
  <c r="AD163" i="7" s="1"/>
  <c r="AA163" i="7"/>
  <c r="W163" i="7"/>
  <c r="X163" i="7" s="1"/>
  <c r="U163" i="7"/>
  <c r="R163" i="7"/>
  <c r="O163" i="7"/>
  <c r="N163" i="7"/>
  <c r="L163" i="7"/>
  <c r="I163" i="7"/>
  <c r="H163" i="7"/>
  <c r="F163" i="7"/>
  <c r="C163" i="7"/>
  <c r="AC162" i="7"/>
  <c r="AD162" i="7" s="1"/>
  <c r="AA162" i="7"/>
  <c r="W162" i="7"/>
  <c r="X162" i="7" s="1"/>
  <c r="U162" i="7"/>
  <c r="R162" i="7"/>
  <c r="O162" i="7"/>
  <c r="N162" i="7"/>
  <c r="L162" i="7"/>
  <c r="H162" i="7"/>
  <c r="I162" i="7" s="1"/>
  <c r="F162" i="7"/>
  <c r="C162" i="7"/>
  <c r="AD161" i="7"/>
  <c r="AC161" i="7"/>
  <c r="AA161" i="7"/>
  <c r="X161" i="7"/>
  <c r="W161" i="7"/>
  <c r="U161" i="7"/>
  <c r="R161" i="7"/>
  <c r="O161" i="7"/>
  <c r="N161" i="7"/>
  <c r="L161" i="7"/>
  <c r="H161" i="7"/>
  <c r="I161" i="7" s="1"/>
  <c r="F161" i="7"/>
  <c r="C161" i="7"/>
  <c r="AC160" i="7"/>
  <c r="AD160" i="7" s="1"/>
  <c r="AA160" i="7"/>
  <c r="X160" i="7"/>
  <c r="W160" i="7"/>
  <c r="U160" i="7"/>
  <c r="R160" i="7"/>
  <c r="O160" i="7"/>
  <c r="N160" i="7"/>
  <c r="L160" i="7"/>
  <c r="I160" i="7"/>
  <c r="H160" i="7"/>
  <c r="F160" i="7"/>
  <c r="C160" i="7"/>
  <c r="AA158" i="7"/>
  <c r="Z158" i="7"/>
  <c r="W158" i="7"/>
  <c r="X158" i="7" s="1"/>
  <c r="T158" i="7"/>
  <c r="U158" i="7" s="1"/>
  <c r="Q158" i="7"/>
  <c r="L158" i="7"/>
  <c r="K158" i="7"/>
  <c r="E158" i="7"/>
  <c r="F158" i="7" s="1"/>
  <c r="C158" i="7"/>
  <c r="B158" i="7"/>
  <c r="AC157" i="7"/>
  <c r="AD157" i="7" s="1"/>
  <c r="AA157" i="7"/>
  <c r="X157" i="7"/>
  <c r="W157" i="7"/>
  <c r="U157" i="7"/>
  <c r="R157" i="7"/>
  <c r="N157" i="7"/>
  <c r="O157" i="7" s="1"/>
  <c r="L157" i="7"/>
  <c r="H157" i="7"/>
  <c r="I157" i="7" s="1"/>
  <c r="F157" i="7"/>
  <c r="C157" i="7"/>
  <c r="AC156" i="7"/>
  <c r="AD156" i="7" s="1"/>
  <c r="AA156" i="7"/>
  <c r="X156" i="7"/>
  <c r="W156" i="7"/>
  <c r="U156" i="7"/>
  <c r="R156" i="7"/>
  <c r="N156" i="7"/>
  <c r="O156" i="7" s="1"/>
  <c r="L156" i="7"/>
  <c r="H156" i="7"/>
  <c r="I156" i="7" s="1"/>
  <c r="F156" i="7"/>
  <c r="C156" i="7"/>
  <c r="AC155" i="7"/>
  <c r="AD155" i="7" s="1"/>
  <c r="AA155" i="7"/>
  <c r="W155" i="7"/>
  <c r="X155" i="7" s="1"/>
  <c r="U155" i="7"/>
  <c r="R155" i="7"/>
  <c r="O155" i="7"/>
  <c r="N155" i="7"/>
  <c r="L155" i="7"/>
  <c r="H155" i="7"/>
  <c r="I155" i="7" s="1"/>
  <c r="F155" i="7"/>
  <c r="C155" i="7"/>
  <c r="AC154" i="7"/>
  <c r="AD154" i="7" s="1"/>
  <c r="AA154" i="7"/>
  <c r="W154" i="7"/>
  <c r="X154" i="7" s="1"/>
  <c r="U154" i="7"/>
  <c r="R154" i="7"/>
  <c r="O154" i="7"/>
  <c r="N154" i="7"/>
  <c r="L154" i="7"/>
  <c r="H154" i="7"/>
  <c r="I154" i="7" s="1"/>
  <c r="F154" i="7"/>
  <c r="C154" i="7"/>
  <c r="AC153" i="7"/>
  <c r="AD153" i="7" s="1"/>
  <c r="AA153" i="7"/>
  <c r="X153" i="7"/>
  <c r="W153" i="7"/>
  <c r="U153" i="7"/>
  <c r="R153" i="7"/>
  <c r="O153" i="7"/>
  <c r="N153" i="7"/>
  <c r="L153" i="7"/>
  <c r="H153" i="7"/>
  <c r="I153" i="7" s="1"/>
  <c r="F153" i="7"/>
  <c r="C153" i="7"/>
  <c r="AD151" i="7"/>
  <c r="AC151" i="7"/>
  <c r="AA151" i="7"/>
  <c r="X151" i="7"/>
  <c r="W151" i="7"/>
  <c r="U151" i="7"/>
  <c r="R151" i="7"/>
  <c r="O151" i="7"/>
  <c r="N151" i="7"/>
  <c r="L151" i="7"/>
  <c r="I151" i="7"/>
  <c r="H151" i="7"/>
  <c r="F151" i="7"/>
  <c r="C151" i="7"/>
  <c r="AC149" i="7"/>
  <c r="AD149" i="7" s="1"/>
  <c r="AA149" i="7"/>
  <c r="Z149" i="7"/>
  <c r="W149" i="7"/>
  <c r="X149" i="7" s="1"/>
  <c r="T149" i="7"/>
  <c r="U149" i="7" s="1"/>
  <c r="Q149" i="7"/>
  <c r="R149" i="7" s="1"/>
  <c r="O149" i="7"/>
  <c r="N149" i="7"/>
  <c r="L149" i="7"/>
  <c r="K149" i="7"/>
  <c r="E149" i="7"/>
  <c r="F149" i="7" s="1"/>
  <c r="C149" i="7"/>
  <c r="B149" i="7"/>
  <c r="H149" i="7" s="1"/>
  <c r="I149" i="7" s="1"/>
  <c r="AC148" i="7"/>
  <c r="AD148" i="7" s="1"/>
  <c r="Z148" i="7"/>
  <c r="AA148" i="7" s="1"/>
  <c r="W148" i="7"/>
  <c r="X148" i="7" s="1"/>
  <c r="U148" i="7"/>
  <c r="T148" i="7"/>
  <c r="R148" i="7"/>
  <c r="Q148" i="7"/>
  <c r="K148" i="7"/>
  <c r="L148" i="7" s="1"/>
  <c r="E148" i="7"/>
  <c r="B148" i="7"/>
  <c r="C148" i="7" s="1"/>
  <c r="AC147" i="7"/>
  <c r="AD147" i="7" s="1"/>
  <c r="AA147" i="7"/>
  <c r="W147" i="7"/>
  <c r="X147" i="7" s="1"/>
  <c r="U147" i="7"/>
  <c r="R147" i="7"/>
  <c r="O147" i="7"/>
  <c r="N147" i="7"/>
  <c r="L147" i="7"/>
  <c r="H147" i="7"/>
  <c r="I147" i="7" s="1"/>
  <c r="F147" i="7"/>
  <c r="C147" i="7"/>
  <c r="AC146" i="7"/>
  <c r="AD146" i="7" s="1"/>
  <c r="AA146" i="7"/>
  <c r="W146" i="7"/>
  <c r="X146" i="7" s="1"/>
  <c r="U146" i="7"/>
  <c r="R146" i="7"/>
  <c r="O146" i="7"/>
  <c r="N146" i="7"/>
  <c r="L146" i="7"/>
  <c r="H146" i="7"/>
  <c r="I146" i="7" s="1"/>
  <c r="F146" i="7"/>
  <c r="C146" i="7"/>
  <c r="AC145" i="7"/>
  <c r="AD145" i="7" s="1"/>
  <c r="AA145" i="7"/>
  <c r="X145" i="7"/>
  <c r="W145" i="7"/>
  <c r="U145" i="7"/>
  <c r="R145" i="7"/>
  <c r="O145" i="7"/>
  <c r="N145" i="7"/>
  <c r="L145" i="7"/>
  <c r="H145" i="7"/>
  <c r="I145" i="7" s="1"/>
  <c r="F145" i="7"/>
  <c r="C145" i="7"/>
  <c r="AD144" i="7"/>
  <c r="AC144" i="7"/>
  <c r="AA144" i="7"/>
  <c r="X144" i="7"/>
  <c r="W144" i="7"/>
  <c r="U144" i="7"/>
  <c r="R144" i="7"/>
  <c r="O144" i="7"/>
  <c r="N144" i="7"/>
  <c r="L144" i="7"/>
  <c r="I144" i="7"/>
  <c r="H144" i="7"/>
  <c r="F144" i="7"/>
  <c r="C144" i="7"/>
  <c r="AC143" i="7"/>
  <c r="AD143" i="7" s="1"/>
  <c r="AA143" i="7"/>
  <c r="X143" i="7"/>
  <c r="W143" i="7"/>
  <c r="U143" i="7"/>
  <c r="R143" i="7"/>
  <c r="O143" i="7"/>
  <c r="N143" i="7"/>
  <c r="L143" i="7"/>
  <c r="I143" i="7"/>
  <c r="H143" i="7"/>
  <c r="F143" i="7"/>
  <c r="C143" i="7"/>
  <c r="Z141" i="7"/>
  <c r="AA141" i="7" s="1"/>
  <c r="W141" i="7"/>
  <c r="X141" i="7" s="1"/>
  <c r="U141" i="7"/>
  <c r="T141" i="7"/>
  <c r="Q141" i="7"/>
  <c r="R141" i="7" s="1"/>
  <c r="L141" i="7"/>
  <c r="K141" i="7"/>
  <c r="E141" i="7"/>
  <c r="F141" i="7" s="1"/>
  <c r="B141" i="7"/>
  <c r="AD140" i="7"/>
  <c r="AC140" i="7"/>
  <c r="AA140" i="7"/>
  <c r="X140" i="7"/>
  <c r="W140" i="7"/>
  <c r="U140" i="7"/>
  <c r="R140" i="7"/>
  <c r="O140" i="7"/>
  <c r="N140" i="7"/>
  <c r="L140" i="7"/>
  <c r="I140" i="7"/>
  <c r="H140" i="7"/>
  <c r="F140" i="7"/>
  <c r="C140" i="7"/>
  <c r="AC139" i="7"/>
  <c r="AD139" i="7" s="1"/>
  <c r="AA139" i="7"/>
  <c r="X139" i="7"/>
  <c r="W139" i="7"/>
  <c r="U139" i="7"/>
  <c r="R139" i="7"/>
  <c r="O139" i="7"/>
  <c r="N139" i="7"/>
  <c r="L139" i="7"/>
  <c r="I139" i="7"/>
  <c r="H139" i="7"/>
  <c r="F139" i="7"/>
  <c r="C139" i="7"/>
  <c r="AC138" i="7"/>
  <c r="AD138" i="7" s="1"/>
  <c r="AA138" i="7"/>
  <c r="X138" i="7"/>
  <c r="W138" i="7"/>
  <c r="U138" i="7"/>
  <c r="R138" i="7"/>
  <c r="O138" i="7"/>
  <c r="N138" i="7"/>
  <c r="L138" i="7"/>
  <c r="H138" i="7"/>
  <c r="I138" i="7" s="1"/>
  <c r="F138" i="7"/>
  <c r="C138" i="7"/>
  <c r="AD137" i="7"/>
  <c r="AC137" i="7"/>
  <c r="AA137" i="7"/>
  <c r="X137" i="7"/>
  <c r="W137" i="7"/>
  <c r="U137" i="7"/>
  <c r="R137" i="7"/>
  <c r="N137" i="7"/>
  <c r="O137" i="7" s="1"/>
  <c r="L137" i="7"/>
  <c r="H137" i="7"/>
  <c r="I137" i="7" s="1"/>
  <c r="F137" i="7"/>
  <c r="C137" i="7"/>
  <c r="AC136" i="7"/>
  <c r="AD136" i="7" s="1"/>
  <c r="AA136" i="7"/>
  <c r="X136" i="7"/>
  <c r="W136" i="7"/>
  <c r="U136" i="7"/>
  <c r="R136" i="7"/>
  <c r="N136" i="7"/>
  <c r="O136" i="7" s="1"/>
  <c r="L136" i="7"/>
  <c r="I136" i="7"/>
  <c r="H136" i="7"/>
  <c r="F136" i="7"/>
  <c r="C136" i="7"/>
  <c r="AC135" i="7"/>
  <c r="AD135" i="7" s="1"/>
  <c r="AA135" i="7"/>
  <c r="W135" i="7"/>
  <c r="X135" i="7" s="1"/>
  <c r="U135" i="7"/>
  <c r="R135" i="7"/>
  <c r="O135" i="7"/>
  <c r="N135" i="7"/>
  <c r="L135" i="7"/>
  <c r="H135" i="7"/>
  <c r="I135" i="7" s="1"/>
  <c r="F135" i="7"/>
  <c r="C135" i="7"/>
  <c r="AC134" i="7"/>
  <c r="AD134" i="7" s="1"/>
  <c r="AA134" i="7"/>
  <c r="W134" i="7"/>
  <c r="X134" i="7" s="1"/>
  <c r="U134" i="7"/>
  <c r="R134" i="7"/>
  <c r="O134" i="7"/>
  <c r="N134" i="7"/>
  <c r="L134" i="7"/>
  <c r="H134" i="7"/>
  <c r="I134" i="7" s="1"/>
  <c r="F134" i="7"/>
  <c r="C134" i="7"/>
  <c r="AC133" i="7"/>
  <c r="AD133" i="7" s="1"/>
  <c r="AA133" i="7"/>
  <c r="X133" i="7"/>
  <c r="W133" i="7"/>
  <c r="U133" i="7"/>
  <c r="R133" i="7"/>
  <c r="O133" i="7"/>
  <c r="N133" i="7"/>
  <c r="L133" i="7"/>
  <c r="H133" i="7"/>
  <c r="I133" i="7" s="1"/>
  <c r="F133" i="7"/>
  <c r="C133" i="7"/>
  <c r="AD132" i="7"/>
  <c r="AC132" i="7"/>
  <c r="AA132" i="7"/>
  <c r="X132" i="7"/>
  <c r="W132" i="7"/>
  <c r="U132" i="7"/>
  <c r="R132" i="7"/>
  <c r="O132" i="7"/>
  <c r="N132" i="7"/>
  <c r="L132" i="7"/>
  <c r="I132" i="7"/>
  <c r="H132" i="7"/>
  <c r="F132" i="7"/>
  <c r="C132" i="7"/>
  <c r="AC131" i="7"/>
  <c r="AD131" i="7" s="1"/>
  <c r="AA131" i="7"/>
  <c r="X131" i="7"/>
  <c r="W131" i="7"/>
  <c r="U131" i="7"/>
  <c r="R131" i="7"/>
  <c r="O131" i="7"/>
  <c r="N131" i="7"/>
  <c r="L131" i="7"/>
  <c r="I131" i="7"/>
  <c r="H131" i="7"/>
  <c r="F131" i="7"/>
  <c r="C131" i="7"/>
  <c r="AC130" i="7"/>
  <c r="AD130" i="7" s="1"/>
  <c r="AA130" i="7"/>
  <c r="X130" i="7"/>
  <c r="W130" i="7"/>
  <c r="U130" i="7"/>
  <c r="R130" i="7"/>
  <c r="O130" i="7"/>
  <c r="N130" i="7"/>
  <c r="L130" i="7"/>
  <c r="H130" i="7"/>
  <c r="I130" i="7" s="1"/>
  <c r="F130" i="7"/>
  <c r="C130" i="7"/>
  <c r="AD129" i="7"/>
  <c r="AC129" i="7"/>
  <c r="AA129" i="7"/>
  <c r="X129" i="7"/>
  <c r="W129" i="7"/>
  <c r="U129" i="7"/>
  <c r="R129" i="7"/>
  <c r="O129" i="7"/>
  <c r="N129" i="7"/>
  <c r="L129" i="7"/>
  <c r="H129" i="7"/>
  <c r="I129" i="7" s="1"/>
  <c r="F129" i="7"/>
  <c r="C129" i="7"/>
  <c r="AC127" i="7"/>
  <c r="AD127" i="7" s="1"/>
  <c r="AA127" i="7"/>
  <c r="X127" i="7"/>
  <c r="W127" i="7"/>
  <c r="U127" i="7"/>
  <c r="R127" i="7"/>
  <c r="N127" i="7"/>
  <c r="O127" i="7" s="1"/>
  <c r="L127" i="7"/>
  <c r="H127" i="7"/>
  <c r="I127" i="7" s="1"/>
  <c r="F127" i="7"/>
  <c r="C127" i="7"/>
  <c r="Z124" i="7"/>
  <c r="AA124" i="7" s="1"/>
  <c r="T124" i="7"/>
  <c r="U124" i="7" s="1"/>
  <c r="Q124" i="7"/>
  <c r="K124" i="7"/>
  <c r="K172" i="7" s="1"/>
  <c r="L172" i="7" s="1"/>
  <c r="E124" i="7"/>
  <c r="F124" i="7" s="1"/>
  <c r="B124" i="7"/>
  <c r="AD123" i="7"/>
  <c r="AC123" i="7"/>
  <c r="AA123" i="7"/>
  <c r="X123" i="7"/>
  <c r="W123" i="7"/>
  <c r="U123" i="7"/>
  <c r="R123" i="7"/>
  <c r="O123" i="7"/>
  <c r="N123" i="7"/>
  <c r="L123" i="7"/>
  <c r="H123" i="7"/>
  <c r="I123" i="7" s="1"/>
  <c r="F123" i="7"/>
  <c r="C123" i="7"/>
  <c r="AD122" i="7"/>
  <c r="AC122" i="7"/>
  <c r="AA122" i="7"/>
  <c r="Z122" i="7"/>
  <c r="T122" i="7"/>
  <c r="U122" i="7" s="1"/>
  <c r="R122" i="7"/>
  <c r="Q122" i="7"/>
  <c r="W122" i="7" s="1"/>
  <c r="X122" i="7" s="1"/>
  <c r="N122" i="7"/>
  <c r="O122" i="7" s="1"/>
  <c r="K122" i="7"/>
  <c r="L122" i="7" s="1"/>
  <c r="H122" i="7"/>
  <c r="I122" i="7" s="1"/>
  <c r="F122" i="7"/>
  <c r="E122" i="7"/>
  <c r="C122" i="7"/>
  <c r="B122" i="7"/>
  <c r="AC121" i="7"/>
  <c r="AD121" i="7" s="1"/>
  <c r="AA121" i="7"/>
  <c r="X121" i="7"/>
  <c r="W121" i="7"/>
  <c r="U121" i="7"/>
  <c r="R121" i="7"/>
  <c r="O121" i="7"/>
  <c r="N121" i="7"/>
  <c r="L121" i="7"/>
  <c r="H121" i="7"/>
  <c r="I121" i="7" s="1"/>
  <c r="F121" i="7"/>
  <c r="C121" i="7"/>
  <c r="AD120" i="7"/>
  <c r="AC120" i="7"/>
  <c r="AA120" i="7"/>
  <c r="X120" i="7"/>
  <c r="W120" i="7"/>
  <c r="U120" i="7"/>
  <c r="R120" i="7"/>
  <c r="O120" i="7"/>
  <c r="N120" i="7"/>
  <c r="L120" i="7"/>
  <c r="H120" i="7"/>
  <c r="I120" i="7" s="1"/>
  <c r="F120" i="7"/>
  <c r="C120" i="7"/>
  <c r="AD119" i="7"/>
  <c r="AC119" i="7"/>
  <c r="AA119" i="7"/>
  <c r="X119" i="7"/>
  <c r="W119" i="7"/>
  <c r="U119" i="7"/>
  <c r="R119" i="7"/>
  <c r="N119" i="7"/>
  <c r="O119" i="7" s="1"/>
  <c r="L119" i="7"/>
  <c r="I119" i="7"/>
  <c r="H119" i="7"/>
  <c r="F119" i="7"/>
  <c r="C119" i="7"/>
  <c r="Z118" i="7"/>
  <c r="W118" i="7"/>
  <c r="X118" i="7" s="1"/>
  <c r="T118" i="7"/>
  <c r="U118" i="7" s="1"/>
  <c r="Q118" i="7"/>
  <c r="R118" i="7" s="1"/>
  <c r="K118" i="7"/>
  <c r="L118" i="7" s="1"/>
  <c r="E118" i="7"/>
  <c r="F118" i="7" s="1"/>
  <c r="B118" i="7"/>
  <c r="AC117" i="7"/>
  <c r="AD117" i="7" s="1"/>
  <c r="AA117" i="7"/>
  <c r="X117" i="7"/>
  <c r="W117" i="7"/>
  <c r="U117" i="7"/>
  <c r="R117" i="7"/>
  <c r="O117" i="7"/>
  <c r="N117" i="7"/>
  <c r="L117" i="7"/>
  <c r="H117" i="7"/>
  <c r="I117" i="7" s="1"/>
  <c r="F117" i="7"/>
  <c r="C117" i="7"/>
  <c r="AC116" i="7"/>
  <c r="AD116" i="7" s="1"/>
  <c r="AA116" i="7"/>
  <c r="X116" i="7"/>
  <c r="W116" i="7"/>
  <c r="U116" i="7"/>
  <c r="R116" i="7"/>
  <c r="O116" i="7"/>
  <c r="N116" i="7"/>
  <c r="L116" i="7"/>
  <c r="I116" i="7"/>
  <c r="H116" i="7"/>
  <c r="F116" i="7"/>
  <c r="C116" i="7"/>
  <c r="AC115" i="7"/>
  <c r="AD115" i="7" s="1"/>
  <c r="AA115" i="7"/>
  <c r="W115" i="7"/>
  <c r="X115" i="7" s="1"/>
  <c r="U115" i="7"/>
  <c r="R115" i="7"/>
  <c r="O115" i="7"/>
  <c r="N115" i="7"/>
  <c r="L115" i="7"/>
  <c r="I115" i="7"/>
  <c r="H115" i="7"/>
  <c r="F115" i="7"/>
  <c r="C115" i="7"/>
  <c r="AC114" i="7"/>
  <c r="AD114" i="7" s="1"/>
  <c r="AA114" i="7"/>
  <c r="W114" i="7"/>
  <c r="X114" i="7" s="1"/>
  <c r="U114" i="7"/>
  <c r="R114" i="7"/>
  <c r="O114" i="7"/>
  <c r="N114" i="7"/>
  <c r="L114" i="7"/>
  <c r="H114" i="7"/>
  <c r="I114" i="7" s="1"/>
  <c r="F114" i="7"/>
  <c r="C114" i="7"/>
  <c r="AD113" i="7"/>
  <c r="AC113" i="7"/>
  <c r="AA113" i="7"/>
  <c r="X113" i="7"/>
  <c r="W113" i="7"/>
  <c r="U113" i="7"/>
  <c r="R113" i="7"/>
  <c r="N113" i="7"/>
  <c r="O113" i="7" s="1"/>
  <c r="L113" i="7"/>
  <c r="H113" i="7"/>
  <c r="I113" i="7" s="1"/>
  <c r="F113" i="7"/>
  <c r="C113" i="7"/>
  <c r="AD112" i="7"/>
  <c r="AC112" i="7"/>
  <c r="AA112" i="7"/>
  <c r="X112" i="7"/>
  <c r="W112" i="7"/>
  <c r="U112" i="7"/>
  <c r="R112" i="7"/>
  <c r="N112" i="7"/>
  <c r="O112" i="7" s="1"/>
  <c r="L112" i="7"/>
  <c r="H112" i="7"/>
  <c r="I112" i="7" s="1"/>
  <c r="F112" i="7"/>
  <c r="C112" i="7"/>
  <c r="AC111" i="7"/>
  <c r="AD111" i="7" s="1"/>
  <c r="AA111" i="7"/>
  <c r="X111" i="7"/>
  <c r="W111" i="7"/>
  <c r="U111" i="7"/>
  <c r="R111" i="7"/>
  <c r="O111" i="7"/>
  <c r="N111" i="7"/>
  <c r="L111" i="7"/>
  <c r="H111" i="7"/>
  <c r="I111" i="7" s="1"/>
  <c r="F111" i="7"/>
  <c r="C111" i="7"/>
  <c r="AC110" i="7"/>
  <c r="AD110" i="7" s="1"/>
  <c r="AA110" i="7"/>
  <c r="W110" i="7"/>
  <c r="X110" i="7" s="1"/>
  <c r="U110" i="7"/>
  <c r="R110" i="7"/>
  <c r="O110" i="7"/>
  <c r="N110" i="7"/>
  <c r="L110" i="7"/>
  <c r="H110" i="7"/>
  <c r="I110" i="7" s="1"/>
  <c r="F110" i="7"/>
  <c r="C110" i="7"/>
  <c r="AC109" i="7"/>
  <c r="AD109" i="7" s="1"/>
  <c r="AA109" i="7"/>
  <c r="X109" i="7"/>
  <c r="W109" i="7"/>
  <c r="U109" i="7"/>
  <c r="R109" i="7"/>
  <c r="O109" i="7"/>
  <c r="N109" i="7"/>
  <c r="L109" i="7"/>
  <c r="H109" i="7"/>
  <c r="I109" i="7" s="1"/>
  <c r="F109" i="7"/>
  <c r="C109" i="7"/>
  <c r="AC108" i="7"/>
  <c r="AD108" i="7" s="1"/>
  <c r="AA108" i="7"/>
  <c r="X108" i="7"/>
  <c r="W108" i="7"/>
  <c r="U108" i="7"/>
  <c r="R108" i="7"/>
  <c r="O108" i="7"/>
  <c r="N108" i="7"/>
  <c r="L108" i="7"/>
  <c r="I108" i="7"/>
  <c r="H108" i="7"/>
  <c r="F108" i="7"/>
  <c r="C108" i="7"/>
  <c r="AC107" i="7"/>
  <c r="AD107" i="7" s="1"/>
  <c r="AA107" i="7"/>
  <c r="W107" i="7"/>
  <c r="X107" i="7" s="1"/>
  <c r="U107" i="7"/>
  <c r="R107" i="7"/>
  <c r="O107" i="7"/>
  <c r="N107" i="7"/>
  <c r="L107" i="7"/>
  <c r="I107" i="7"/>
  <c r="H107" i="7"/>
  <c r="F107" i="7"/>
  <c r="C107" i="7"/>
  <c r="AC106" i="7"/>
  <c r="AD106" i="7" s="1"/>
  <c r="AA106" i="7"/>
  <c r="W106" i="7"/>
  <c r="X106" i="7" s="1"/>
  <c r="U106" i="7"/>
  <c r="R106" i="7"/>
  <c r="O106" i="7"/>
  <c r="N106" i="7"/>
  <c r="L106" i="7"/>
  <c r="H106" i="7"/>
  <c r="I106" i="7" s="1"/>
  <c r="F106" i="7"/>
  <c r="C106" i="7"/>
  <c r="AC105" i="7"/>
  <c r="AD105" i="7" s="1"/>
  <c r="AA105" i="7"/>
  <c r="X105" i="7"/>
  <c r="W105" i="7"/>
  <c r="U105" i="7"/>
  <c r="R105" i="7"/>
  <c r="N105" i="7"/>
  <c r="O105" i="7" s="1"/>
  <c r="L105" i="7"/>
  <c r="H105" i="7"/>
  <c r="I105" i="7" s="1"/>
  <c r="F105" i="7"/>
  <c r="C105" i="7"/>
  <c r="AD104" i="7"/>
  <c r="AC104" i="7"/>
  <c r="AA104" i="7"/>
  <c r="X104" i="7"/>
  <c r="W104" i="7"/>
  <c r="U104" i="7"/>
  <c r="R104" i="7"/>
  <c r="N104" i="7"/>
  <c r="O104" i="7" s="1"/>
  <c r="L104" i="7"/>
  <c r="H104" i="7"/>
  <c r="I104" i="7" s="1"/>
  <c r="F104" i="7"/>
  <c r="C104" i="7"/>
  <c r="AC103" i="7"/>
  <c r="AD103" i="7" s="1"/>
  <c r="AA103" i="7"/>
  <c r="X103" i="7"/>
  <c r="W103" i="7"/>
  <c r="U103" i="7"/>
  <c r="R103" i="7"/>
  <c r="O103" i="7"/>
  <c r="N103" i="7"/>
  <c r="L103" i="7"/>
  <c r="H103" i="7"/>
  <c r="I103" i="7" s="1"/>
  <c r="F103" i="7"/>
  <c r="C103" i="7"/>
  <c r="AC102" i="7"/>
  <c r="AD102" i="7" s="1"/>
  <c r="AA102" i="7"/>
  <c r="X102" i="7"/>
  <c r="W102" i="7"/>
  <c r="U102" i="7"/>
  <c r="R102" i="7"/>
  <c r="O102" i="7"/>
  <c r="N102" i="7"/>
  <c r="L102" i="7"/>
  <c r="H102" i="7"/>
  <c r="I102" i="7" s="1"/>
  <c r="F102" i="7"/>
  <c r="C102" i="7"/>
  <c r="AC101" i="7"/>
  <c r="AD101" i="7" s="1"/>
  <c r="AA101" i="7"/>
  <c r="X101" i="7"/>
  <c r="W101" i="7"/>
  <c r="U101" i="7"/>
  <c r="R101" i="7"/>
  <c r="O101" i="7"/>
  <c r="N101" i="7"/>
  <c r="L101" i="7"/>
  <c r="H101" i="7"/>
  <c r="I101" i="7" s="1"/>
  <c r="F101" i="7"/>
  <c r="C101" i="7"/>
  <c r="AD100" i="7"/>
  <c r="AC100" i="7"/>
  <c r="AA100" i="7"/>
  <c r="X100" i="7"/>
  <c r="W100" i="7"/>
  <c r="U100" i="7"/>
  <c r="R100" i="7"/>
  <c r="N100" i="7"/>
  <c r="O100" i="7" s="1"/>
  <c r="L100" i="7"/>
  <c r="I100" i="7"/>
  <c r="H100" i="7"/>
  <c r="F100" i="7"/>
  <c r="C100" i="7"/>
  <c r="AC99" i="7"/>
  <c r="AD99" i="7" s="1"/>
  <c r="AA99" i="7"/>
  <c r="X99" i="7"/>
  <c r="W99" i="7"/>
  <c r="U99" i="7"/>
  <c r="R99" i="7"/>
  <c r="O99" i="7"/>
  <c r="N99" i="7"/>
  <c r="L99" i="7"/>
  <c r="H99" i="7"/>
  <c r="I99" i="7" s="1"/>
  <c r="F99" i="7"/>
  <c r="C99" i="7"/>
  <c r="AC98" i="7"/>
  <c r="AD98" i="7" s="1"/>
  <c r="AA98" i="7"/>
  <c r="W98" i="7"/>
  <c r="X98" i="7" s="1"/>
  <c r="U98" i="7"/>
  <c r="R98" i="7"/>
  <c r="O98" i="7"/>
  <c r="N98" i="7"/>
  <c r="L98" i="7"/>
  <c r="H98" i="7"/>
  <c r="I98" i="7" s="1"/>
  <c r="F98" i="7"/>
  <c r="C98" i="7"/>
  <c r="AC97" i="7"/>
  <c r="AD97" i="7" s="1"/>
  <c r="AA97" i="7"/>
  <c r="X97" i="7"/>
  <c r="W97" i="7"/>
  <c r="U97" i="7"/>
  <c r="R97" i="7"/>
  <c r="N97" i="7"/>
  <c r="O97" i="7" s="1"/>
  <c r="L97" i="7"/>
  <c r="H97" i="7"/>
  <c r="I97" i="7" s="1"/>
  <c r="F97" i="7"/>
  <c r="C97" i="7"/>
  <c r="AD96" i="7"/>
  <c r="AC96" i="7"/>
  <c r="AA96" i="7"/>
  <c r="X96" i="7"/>
  <c r="W96" i="7"/>
  <c r="U96" i="7"/>
  <c r="R96" i="7"/>
  <c r="N96" i="7"/>
  <c r="O96" i="7" s="1"/>
  <c r="L96" i="7"/>
  <c r="H96" i="7"/>
  <c r="I96" i="7" s="1"/>
  <c r="F96" i="7"/>
  <c r="C96" i="7"/>
  <c r="AC95" i="7"/>
  <c r="AD95" i="7" s="1"/>
  <c r="AA95" i="7"/>
  <c r="X95" i="7"/>
  <c r="W95" i="7"/>
  <c r="U95" i="7"/>
  <c r="R95" i="7"/>
  <c r="O95" i="7"/>
  <c r="N95" i="7"/>
  <c r="L95" i="7"/>
  <c r="H95" i="7"/>
  <c r="I95" i="7" s="1"/>
  <c r="F95" i="7"/>
  <c r="C95" i="7"/>
  <c r="AC94" i="7"/>
  <c r="AD94" i="7" s="1"/>
  <c r="AA94" i="7"/>
  <c r="W94" i="7"/>
  <c r="X94" i="7" s="1"/>
  <c r="U94" i="7"/>
  <c r="R94" i="7"/>
  <c r="O94" i="7"/>
  <c r="N94" i="7"/>
  <c r="L94" i="7"/>
  <c r="H94" i="7"/>
  <c r="I94" i="7" s="1"/>
  <c r="F94" i="7"/>
  <c r="C94" i="7"/>
  <c r="AC92" i="7"/>
  <c r="AD92" i="7" s="1"/>
  <c r="AA92" i="7"/>
  <c r="X92" i="7"/>
  <c r="W92" i="7"/>
  <c r="U92" i="7"/>
  <c r="R92" i="7"/>
  <c r="O92" i="7"/>
  <c r="N92" i="7"/>
  <c r="L92" i="7"/>
  <c r="H92" i="7"/>
  <c r="I92" i="7" s="1"/>
  <c r="F92" i="7"/>
  <c r="C92" i="7"/>
  <c r="AD91" i="7"/>
  <c r="AC91" i="7"/>
  <c r="AA91" i="7"/>
  <c r="X91" i="7"/>
  <c r="W91" i="7"/>
  <c r="U91" i="7"/>
  <c r="R91" i="7"/>
  <c r="N91" i="7"/>
  <c r="O91" i="7" s="1"/>
  <c r="L91" i="7"/>
  <c r="I91" i="7"/>
  <c r="H91" i="7"/>
  <c r="F91" i="7"/>
  <c r="C91" i="7"/>
  <c r="AC90" i="7"/>
  <c r="AD90" i="7" s="1"/>
  <c r="AA90" i="7"/>
  <c r="X90" i="7"/>
  <c r="W90" i="7"/>
  <c r="U90" i="7"/>
  <c r="R90" i="7"/>
  <c r="O90" i="7"/>
  <c r="N90" i="7"/>
  <c r="L90" i="7"/>
  <c r="H90" i="7"/>
  <c r="I90" i="7" s="1"/>
  <c r="F90" i="7"/>
  <c r="C90" i="7"/>
  <c r="AC89" i="7"/>
  <c r="AD89" i="7" s="1"/>
  <c r="AA89" i="7"/>
  <c r="W89" i="7"/>
  <c r="X89" i="7" s="1"/>
  <c r="U89" i="7"/>
  <c r="R89" i="7"/>
  <c r="O89" i="7"/>
  <c r="N89" i="7"/>
  <c r="L89" i="7"/>
  <c r="H89" i="7"/>
  <c r="I89" i="7" s="1"/>
  <c r="F89" i="7"/>
  <c r="C89" i="7"/>
  <c r="AC88" i="7"/>
  <c r="AD88" i="7" s="1"/>
  <c r="Z88" i="7"/>
  <c r="AA88" i="7" s="1"/>
  <c r="W88" i="7"/>
  <c r="X88" i="7" s="1"/>
  <c r="T88" i="7"/>
  <c r="U88" i="7" s="1"/>
  <c r="Q88" i="7"/>
  <c r="R88" i="7" s="1"/>
  <c r="K88" i="7"/>
  <c r="L88" i="7" s="1"/>
  <c r="I88" i="7"/>
  <c r="H88" i="7"/>
  <c r="F88" i="7"/>
  <c r="E88" i="7"/>
  <c r="B88" i="7"/>
  <c r="C88" i="7" s="1"/>
  <c r="AC87" i="7"/>
  <c r="AD87" i="7" s="1"/>
  <c r="AA87" i="7"/>
  <c r="W87" i="7"/>
  <c r="X87" i="7" s="1"/>
  <c r="U87" i="7"/>
  <c r="R87" i="7"/>
  <c r="O87" i="7"/>
  <c r="N87" i="7"/>
  <c r="L87" i="7"/>
  <c r="H87" i="7"/>
  <c r="I87" i="7" s="1"/>
  <c r="F87" i="7"/>
  <c r="C87" i="7"/>
  <c r="AC86" i="7"/>
  <c r="AD86" i="7" s="1"/>
  <c r="AA86" i="7"/>
  <c r="X86" i="7"/>
  <c r="W86" i="7"/>
  <c r="U86" i="7"/>
  <c r="R86" i="7"/>
  <c r="O86" i="7"/>
  <c r="N86" i="7"/>
  <c r="L86" i="7"/>
  <c r="H86" i="7"/>
  <c r="I86" i="7" s="1"/>
  <c r="F86" i="7"/>
  <c r="C86" i="7"/>
  <c r="AC85" i="7"/>
  <c r="AD85" i="7" s="1"/>
  <c r="AA85" i="7"/>
  <c r="X85" i="7"/>
  <c r="W85" i="7"/>
  <c r="U85" i="7"/>
  <c r="R85" i="7"/>
  <c r="N85" i="7"/>
  <c r="O85" i="7" s="1"/>
  <c r="L85" i="7"/>
  <c r="H85" i="7"/>
  <c r="I85" i="7" s="1"/>
  <c r="F85" i="7"/>
  <c r="C85" i="7"/>
  <c r="AC84" i="7"/>
  <c r="AD84" i="7" s="1"/>
  <c r="AA84" i="7"/>
  <c r="X84" i="7"/>
  <c r="W84" i="7"/>
  <c r="U84" i="7"/>
  <c r="R84" i="7"/>
  <c r="O84" i="7"/>
  <c r="N84" i="7"/>
  <c r="L84" i="7"/>
  <c r="H84" i="7"/>
  <c r="I84" i="7" s="1"/>
  <c r="F84" i="7"/>
  <c r="C84" i="7"/>
  <c r="AC83" i="7"/>
  <c r="AD83" i="7" s="1"/>
  <c r="AA83" i="7"/>
  <c r="W83" i="7"/>
  <c r="X83" i="7" s="1"/>
  <c r="U83" i="7"/>
  <c r="R83" i="7"/>
  <c r="O83" i="7"/>
  <c r="N83" i="7"/>
  <c r="L83" i="7"/>
  <c r="I83" i="7"/>
  <c r="H83" i="7"/>
  <c r="F83" i="7"/>
  <c r="C83" i="7"/>
  <c r="AC82" i="7"/>
  <c r="AD82" i="7" s="1"/>
  <c r="AA82" i="7"/>
  <c r="W82" i="7"/>
  <c r="X82" i="7" s="1"/>
  <c r="U82" i="7"/>
  <c r="R82" i="7"/>
  <c r="O82" i="7"/>
  <c r="N82" i="7"/>
  <c r="L82" i="7"/>
  <c r="H82" i="7"/>
  <c r="I82" i="7" s="1"/>
  <c r="F82" i="7"/>
  <c r="C82" i="7"/>
  <c r="AD81" i="7"/>
  <c r="AC81" i="7"/>
  <c r="AA81" i="7"/>
  <c r="X81" i="7"/>
  <c r="W81" i="7"/>
  <c r="U81" i="7"/>
  <c r="R81" i="7"/>
  <c r="O81" i="7"/>
  <c r="N81" i="7"/>
  <c r="L81" i="7"/>
  <c r="H81" i="7"/>
  <c r="I81" i="7" s="1"/>
  <c r="F81" i="7"/>
  <c r="C81" i="7"/>
  <c r="AD80" i="7"/>
  <c r="AC80" i="7"/>
  <c r="AA80" i="7"/>
  <c r="X80" i="7"/>
  <c r="W80" i="7"/>
  <c r="U80" i="7"/>
  <c r="R80" i="7"/>
  <c r="N80" i="7"/>
  <c r="O80" i="7" s="1"/>
  <c r="L80" i="7"/>
  <c r="H80" i="7"/>
  <c r="I80" i="7" s="1"/>
  <c r="F80" i="7"/>
  <c r="C80" i="7"/>
  <c r="AC79" i="7"/>
  <c r="AD79" i="7" s="1"/>
  <c r="AA79" i="7"/>
  <c r="X79" i="7"/>
  <c r="W79" i="7"/>
  <c r="U79" i="7"/>
  <c r="R79" i="7"/>
  <c r="O79" i="7"/>
  <c r="N79" i="7"/>
  <c r="L79" i="7"/>
  <c r="H79" i="7"/>
  <c r="I79" i="7" s="1"/>
  <c r="F79" i="7"/>
  <c r="C79" i="7"/>
  <c r="AC78" i="7"/>
  <c r="AD78" i="7" s="1"/>
  <c r="AA78" i="7"/>
  <c r="X78" i="7"/>
  <c r="W78" i="7"/>
  <c r="U78" i="7"/>
  <c r="R78" i="7"/>
  <c r="O78" i="7"/>
  <c r="N78" i="7"/>
  <c r="L78" i="7"/>
  <c r="H78" i="7"/>
  <c r="I78" i="7" s="1"/>
  <c r="F78" i="7"/>
  <c r="C78" i="7"/>
  <c r="AC77" i="7"/>
  <c r="AD77" i="7" s="1"/>
  <c r="AA77" i="7"/>
  <c r="X77" i="7"/>
  <c r="W77" i="7"/>
  <c r="U77" i="7"/>
  <c r="R77" i="7"/>
  <c r="N77" i="7"/>
  <c r="O77" i="7" s="1"/>
  <c r="L77" i="7"/>
  <c r="H77" i="7"/>
  <c r="I77" i="7" s="1"/>
  <c r="F77" i="7"/>
  <c r="C77" i="7"/>
  <c r="AC76" i="7"/>
  <c r="AD76" i="7" s="1"/>
  <c r="AA76" i="7"/>
  <c r="X76" i="7"/>
  <c r="W76" i="7"/>
  <c r="U76" i="7"/>
  <c r="R76" i="7"/>
  <c r="O76" i="7"/>
  <c r="N76" i="7"/>
  <c r="L76" i="7"/>
  <c r="H76" i="7"/>
  <c r="I76" i="7" s="1"/>
  <c r="F76" i="7"/>
  <c r="C76" i="7"/>
  <c r="AC75" i="7"/>
  <c r="AD75" i="7" s="1"/>
  <c r="AA75" i="7"/>
  <c r="W75" i="7"/>
  <c r="X75" i="7" s="1"/>
  <c r="U75" i="7"/>
  <c r="R75" i="7"/>
  <c r="O75" i="7"/>
  <c r="N75" i="7"/>
  <c r="L75" i="7"/>
  <c r="I75" i="7"/>
  <c r="H75" i="7"/>
  <c r="F75" i="7"/>
  <c r="C75" i="7"/>
  <c r="Z73" i="7"/>
  <c r="AA73" i="7" s="1"/>
  <c r="W73" i="7"/>
  <c r="X73" i="7" s="1"/>
  <c r="U73" i="7"/>
  <c r="T73" i="7"/>
  <c r="Q73" i="7"/>
  <c r="R73" i="7" s="1"/>
  <c r="K73" i="7"/>
  <c r="I73" i="7"/>
  <c r="H73" i="7"/>
  <c r="E73" i="7"/>
  <c r="F73" i="7" s="1"/>
  <c r="B73" i="7"/>
  <c r="C73" i="7" s="1"/>
  <c r="AD72" i="7"/>
  <c r="AC72" i="7"/>
  <c r="AA72" i="7"/>
  <c r="X72" i="7"/>
  <c r="W72" i="7"/>
  <c r="U72" i="7"/>
  <c r="R72" i="7"/>
  <c r="N72" i="7"/>
  <c r="O72" i="7" s="1"/>
  <c r="L72" i="7"/>
  <c r="H72" i="7"/>
  <c r="I72" i="7" s="1"/>
  <c r="F72" i="7"/>
  <c r="C72" i="7"/>
  <c r="AC71" i="7"/>
  <c r="AD71" i="7" s="1"/>
  <c r="AA71" i="7"/>
  <c r="X71" i="7"/>
  <c r="W71" i="7"/>
  <c r="U71" i="7"/>
  <c r="R71" i="7"/>
  <c r="O71" i="7"/>
  <c r="N71" i="7"/>
  <c r="L71" i="7"/>
  <c r="H71" i="7"/>
  <c r="I71" i="7" s="1"/>
  <c r="F71" i="7"/>
  <c r="C71" i="7"/>
  <c r="AC70" i="7"/>
  <c r="AD70" i="7" s="1"/>
  <c r="AA70" i="7"/>
  <c r="X70" i="7"/>
  <c r="W70" i="7"/>
  <c r="U70" i="7"/>
  <c r="R70" i="7"/>
  <c r="O70" i="7"/>
  <c r="N70" i="7"/>
  <c r="L70" i="7"/>
  <c r="H70" i="7"/>
  <c r="I70" i="7" s="1"/>
  <c r="F70" i="7"/>
  <c r="C70" i="7"/>
  <c r="AC69" i="7"/>
  <c r="AD69" i="7" s="1"/>
  <c r="AA69" i="7"/>
  <c r="X69" i="7"/>
  <c r="W69" i="7"/>
  <c r="U69" i="7"/>
  <c r="R69" i="7"/>
  <c r="O69" i="7"/>
  <c r="N69" i="7"/>
  <c r="L69" i="7"/>
  <c r="H69" i="7"/>
  <c r="I69" i="7" s="1"/>
  <c r="F69" i="7"/>
  <c r="C69" i="7"/>
  <c r="AD68" i="7"/>
  <c r="AC68" i="7"/>
  <c r="AA68" i="7"/>
  <c r="X68" i="7"/>
  <c r="W68" i="7"/>
  <c r="U68" i="7"/>
  <c r="R68" i="7"/>
  <c r="O68" i="7"/>
  <c r="N68" i="7"/>
  <c r="L68" i="7"/>
  <c r="I68" i="7"/>
  <c r="H68" i="7"/>
  <c r="F68" i="7"/>
  <c r="C68" i="7"/>
  <c r="AC67" i="7"/>
  <c r="AD67" i="7" s="1"/>
  <c r="AA67" i="7"/>
  <c r="X67" i="7"/>
  <c r="W67" i="7"/>
  <c r="U67" i="7"/>
  <c r="R67" i="7"/>
  <c r="O67" i="7"/>
  <c r="N67" i="7"/>
  <c r="L67" i="7"/>
  <c r="I67" i="7"/>
  <c r="H67" i="7"/>
  <c r="F67" i="7"/>
  <c r="C67" i="7"/>
  <c r="AC66" i="7"/>
  <c r="AD66" i="7" s="1"/>
  <c r="AA66" i="7"/>
  <c r="W66" i="7"/>
  <c r="X66" i="7" s="1"/>
  <c r="U66" i="7"/>
  <c r="R66" i="7"/>
  <c r="O66" i="7"/>
  <c r="N66" i="7"/>
  <c r="L66" i="7"/>
  <c r="H66" i="7"/>
  <c r="I66" i="7" s="1"/>
  <c r="F66" i="7"/>
  <c r="C66" i="7"/>
  <c r="AC65" i="7"/>
  <c r="AD65" i="7" s="1"/>
  <c r="AA65" i="7"/>
  <c r="X65" i="7"/>
  <c r="W65" i="7"/>
  <c r="U65" i="7"/>
  <c r="R65" i="7"/>
  <c r="N65" i="7"/>
  <c r="O65" i="7" s="1"/>
  <c r="L65" i="7"/>
  <c r="H65" i="7"/>
  <c r="I65" i="7" s="1"/>
  <c r="F65" i="7"/>
  <c r="C65" i="7"/>
  <c r="AD64" i="7"/>
  <c r="AC64" i="7"/>
  <c r="AA64" i="7"/>
  <c r="X64" i="7"/>
  <c r="W64" i="7"/>
  <c r="U64" i="7"/>
  <c r="R64" i="7"/>
  <c r="N64" i="7"/>
  <c r="O64" i="7" s="1"/>
  <c r="L64" i="7"/>
  <c r="H64" i="7"/>
  <c r="I64" i="7" s="1"/>
  <c r="F64" i="7"/>
  <c r="C64" i="7"/>
  <c r="AC62" i="7"/>
  <c r="AD62" i="7" s="1"/>
  <c r="Z62" i="7"/>
  <c r="AA62" i="7" s="1"/>
  <c r="T62" i="7"/>
  <c r="U62" i="7" s="1"/>
  <c r="Q62" i="7"/>
  <c r="K62" i="7"/>
  <c r="L62" i="7" s="1"/>
  <c r="E62" i="7"/>
  <c r="F62" i="7" s="1"/>
  <c r="B62" i="7"/>
  <c r="Z61" i="7"/>
  <c r="AA61" i="7" s="1"/>
  <c r="T61" i="7"/>
  <c r="U61" i="7" s="1"/>
  <c r="R61" i="7"/>
  <c r="Q61" i="7"/>
  <c r="K61" i="7"/>
  <c r="L61" i="7" s="1"/>
  <c r="E61" i="7"/>
  <c r="F61" i="7" s="1"/>
  <c r="B61" i="7"/>
  <c r="AC60" i="7"/>
  <c r="AD60" i="7" s="1"/>
  <c r="AA60" i="7"/>
  <c r="X60" i="7"/>
  <c r="W60" i="7"/>
  <c r="U60" i="7"/>
  <c r="R60" i="7"/>
  <c r="O60" i="7"/>
  <c r="N60" i="7"/>
  <c r="L60" i="7"/>
  <c r="H60" i="7"/>
  <c r="I60" i="7" s="1"/>
  <c r="F60" i="7"/>
  <c r="C60" i="7"/>
  <c r="AC59" i="7"/>
  <c r="AD59" i="7" s="1"/>
  <c r="AA59" i="7"/>
  <c r="W59" i="7"/>
  <c r="X59" i="7" s="1"/>
  <c r="U59" i="7"/>
  <c r="R59" i="7"/>
  <c r="O59" i="7"/>
  <c r="N59" i="7"/>
  <c r="L59" i="7"/>
  <c r="H59" i="7"/>
  <c r="I59" i="7" s="1"/>
  <c r="F59" i="7"/>
  <c r="C59" i="7"/>
  <c r="AC58" i="7"/>
  <c r="AD58" i="7" s="1"/>
  <c r="AA58" i="7"/>
  <c r="X58" i="7"/>
  <c r="W58" i="7"/>
  <c r="U58" i="7"/>
  <c r="R58" i="7"/>
  <c r="O58" i="7"/>
  <c r="N58" i="7"/>
  <c r="L58" i="7"/>
  <c r="H58" i="7"/>
  <c r="I58" i="7" s="1"/>
  <c r="F58" i="7"/>
  <c r="C58" i="7"/>
  <c r="AC57" i="7"/>
  <c r="AD57" i="7" s="1"/>
  <c r="AA57" i="7"/>
  <c r="X57" i="7"/>
  <c r="W57" i="7"/>
  <c r="U57" i="7"/>
  <c r="R57" i="7"/>
  <c r="N57" i="7"/>
  <c r="O57" i="7" s="1"/>
  <c r="L57" i="7"/>
  <c r="I57" i="7"/>
  <c r="H57" i="7"/>
  <c r="F57" i="7"/>
  <c r="C57" i="7"/>
  <c r="AC56" i="7"/>
  <c r="AD56" i="7" s="1"/>
  <c r="AA56" i="7"/>
  <c r="W56" i="7"/>
  <c r="X56" i="7" s="1"/>
  <c r="U56" i="7"/>
  <c r="R56" i="7"/>
  <c r="O56" i="7"/>
  <c r="N56" i="7"/>
  <c r="L56" i="7"/>
  <c r="H56" i="7"/>
  <c r="I56" i="7" s="1"/>
  <c r="F56" i="7"/>
  <c r="C56" i="7"/>
  <c r="AC55" i="7"/>
  <c r="AD55" i="7" s="1"/>
  <c r="AA55" i="7"/>
  <c r="W55" i="7"/>
  <c r="X55" i="7" s="1"/>
  <c r="U55" i="7"/>
  <c r="R55" i="7"/>
  <c r="O55" i="7"/>
  <c r="N55" i="7"/>
  <c r="L55" i="7"/>
  <c r="H55" i="7"/>
  <c r="I55" i="7" s="1"/>
  <c r="F55" i="7"/>
  <c r="C55" i="7"/>
  <c r="AC54" i="7"/>
  <c r="AD54" i="7" s="1"/>
  <c r="AA54" i="7"/>
  <c r="X54" i="7"/>
  <c r="W54" i="7"/>
  <c r="U54" i="7"/>
  <c r="R54" i="7"/>
  <c r="O54" i="7"/>
  <c r="N54" i="7"/>
  <c r="L54" i="7"/>
  <c r="H54" i="7"/>
  <c r="I54" i="7" s="1"/>
  <c r="F54" i="7"/>
  <c r="C54" i="7"/>
  <c r="AC53" i="7"/>
  <c r="AD53" i="7" s="1"/>
  <c r="AA53" i="7"/>
  <c r="W53" i="7"/>
  <c r="X53" i="7" s="1"/>
  <c r="U53" i="7"/>
  <c r="R53" i="7"/>
  <c r="O53" i="7"/>
  <c r="N53" i="7"/>
  <c r="L53" i="7"/>
  <c r="H53" i="7"/>
  <c r="I53" i="7" s="1"/>
  <c r="F53" i="7"/>
  <c r="C53" i="7"/>
  <c r="AD52" i="7"/>
  <c r="AC52" i="7"/>
  <c r="AA52" i="7"/>
  <c r="X52" i="7"/>
  <c r="W52" i="7"/>
  <c r="U52" i="7"/>
  <c r="R52" i="7"/>
  <c r="N52" i="7"/>
  <c r="O52" i="7" s="1"/>
  <c r="L52" i="7"/>
  <c r="H52" i="7"/>
  <c r="I52" i="7" s="1"/>
  <c r="F52" i="7"/>
  <c r="C52" i="7"/>
  <c r="AD51" i="7"/>
  <c r="AC51" i="7"/>
  <c r="AA51" i="7"/>
  <c r="X51" i="7"/>
  <c r="W51" i="7"/>
  <c r="U51" i="7"/>
  <c r="R51" i="7"/>
  <c r="N51" i="7"/>
  <c r="O51" i="7" s="1"/>
  <c r="L51" i="7"/>
  <c r="I51" i="7"/>
  <c r="H51" i="7"/>
  <c r="F51" i="7"/>
  <c r="C51" i="7"/>
  <c r="AC50" i="7"/>
  <c r="AD50" i="7" s="1"/>
  <c r="AA50" i="7"/>
  <c r="X50" i="7"/>
  <c r="W50" i="7"/>
  <c r="U50" i="7"/>
  <c r="R50" i="7"/>
  <c r="O50" i="7"/>
  <c r="N50" i="7"/>
  <c r="L50" i="7"/>
  <c r="H50" i="7"/>
  <c r="I50" i="7" s="1"/>
  <c r="F50" i="7"/>
  <c r="C50" i="7"/>
  <c r="AC49" i="7"/>
  <c r="AD49" i="7" s="1"/>
  <c r="AA49" i="7"/>
  <c r="W49" i="7"/>
  <c r="X49" i="7" s="1"/>
  <c r="U49" i="7"/>
  <c r="R49" i="7"/>
  <c r="O49" i="7"/>
  <c r="N49" i="7"/>
  <c r="L49" i="7"/>
  <c r="H49" i="7"/>
  <c r="I49" i="7" s="1"/>
  <c r="F49" i="7"/>
  <c r="C49" i="7"/>
  <c r="AD48" i="7"/>
  <c r="AC48" i="7"/>
  <c r="AA48" i="7"/>
  <c r="X48" i="7"/>
  <c r="W48" i="7"/>
  <c r="U48" i="7"/>
  <c r="R48" i="7"/>
  <c r="N48" i="7"/>
  <c r="O48" i="7" s="1"/>
  <c r="L48" i="7"/>
  <c r="H48" i="7"/>
  <c r="I48" i="7" s="1"/>
  <c r="F48" i="7"/>
  <c r="C48" i="7"/>
  <c r="AC47" i="7"/>
  <c r="AD47" i="7" s="1"/>
  <c r="AA47" i="7"/>
  <c r="X47" i="7"/>
  <c r="W47" i="7"/>
  <c r="U47" i="7"/>
  <c r="R47" i="7"/>
  <c r="O47" i="7"/>
  <c r="N47" i="7"/>
  <c r="L47" i="7"/>
  <c r="H47" i="7"/>
  <c r="I47" i="7" s="1"/>
  <c r="F47" i="7"/>
  <c r="C47" i="7"/>
  <c r="AC46" i="7"/>
  <c r="AD46" i="7" s="1"/>
  <c r="AA46" i="7"/>
  <c r="W46" i="7"/>
  <c r="X46" i="7" s="1"/>
  <c r="U46" i="7"/>
  <c r="R46" i="7"/>
  <c r="O46" i="7"/>
  <c r="N46" i="7"/>
  <c r="L46" i="7"/>
  <c r="I46" i="7"/>
  <c r="H46" i="7"/>
  <c r="F46" i="7"/>
  <c r="C46" i="7"/>
  <c r="AC44" i="7"/>
  <c r="AD44" i="7" s="1"/>
  <c r="AA44" i="7"/>
  <c r="W44" i="7"/>
  <c r="X44" i="7" s="1"/>
  <c r="U44" i="7"/>
  <c r="R44" i="7"/>
  <c r="O44" i="7"/>
  <c r="N44" i="7"/>
  <c r="L44" i="7"/>
  <c r="H44" i="7"/>
  <c r="I44" i="7" s="1"/>
  <c r="F44" i="7"/>
  <c r="C44" i="7"/>
  <c r="AD43" i="7"/>
  <c r="AC43" i="7"/>
  <c r="AA43" i="7"/>
  <c r="X43" i="7"/>
  <c r="W43" i="7"/>
  <c r="U43" i="7"/>
  <c r="R43" i="7"/>
  <c r="O43" i="7"/>
  <c r="N43" i="7"/>
  <c r="L43" i="7"/>
  <c r="H43" i="7"/>
  <c r="I43" i="7" s="1"/>
  <c r="F43" i="7"/>
  <c r="C43" i="7"/>
  <c r="AD42" i="7"/>
  <c r="AC42" i="7"/>
  <c r="AA42" i="7"/>
  <c r="X42" i="7"/>
  <c r="W42" i="7"/>
  <c r="U42" i="7"/>
  <c r="R42" i="7"/>
  <c r="O42" i="7"/>
  <c r="N42" i="7"/>
  <c r="L42" i="7"/>
  <c r="I42" i="7"/>
  <c r="H42" i="7"/>
  <c r="F42" i="7"/>
  <c r="C42" i="7"/>
  <c r="Z40" i="7"/>
  <c r="AA40" i="7" s="1"/>
  <c r="X40" i="7"/>
  <c r="W40" i="7"/>
  <c r="T40" i="7"/>
  <c r="U40" i="7" s="1"/>
  <c r="Q40" i="7"/>
  <c r="R40" i="7" s="1"/>
  <c r="K40" i="7"/>
  <c r="L40" i="7" s="1"/>
  <c r="E40" i="7"/>
  <c r="F40" i="7" s="1"/>
  <c r="C40" i="7"/>
  <c r="B40" i="7"/>
  <c r="AD39" i="7"/>
  <c r="AC39" i="7"/>
  <c r="AA39" i="7"/>
  <c r="X39" i="7"/>
  <c r="W39" i="7"/>
  <c r="U39" i="7"/>
  <c r="R39" i="7"/>
  <c r="N39" i="7"/>
  <c r="O39" i="7" s="1"/>
  <c r="L39" i="7"/>
  <c r="H39" i="7"/>
  <c r="I39" i="7" s="1"/>
  <c r="F39" i="7"/>
  <c r="C39" i="7"/>
  <c r="AD38" i="7"/>
  <c r="AC38" i="7"/>
  <c r="AA38" i="7"/>
  <c r="X38" i="7"/>
  <c r="W38" i="7"/>
  <c r="U38" i="7"/>
  <c r="R38" i="7"/>
  <c r="O38" i="7"/>
  <c r="N38" i="7"/>
  <c r="L38" i="7"/>
  <c r="H38" i="7"/>
  <c r="I38" i="7" s="1"/>
  <c r="F38" i="7"/>
  <c r="C38" i="7"/>
  <c r="AC37" i="7"/>
  <c r="AD37" i="7" s="1"/>
  <c r="AA37" i="7"/>
  <c r="X37" i="7"/>
  <c r="W37" i="7"/>
  <c r="U37" i="7"/>
  <c r="R37" i="7"/>
  <c r="O37" i="7"/>
  <c r="N37" i="7"/>
  <c r="L37" i="7"/>
  <c r="H37" i="7"/>
  <c r="I37" i="7" s="1"/>
  <c r="F37" i="7"/>
  <c r="C37" i="7"/>
  <c r="AC36" i="7"/>
  <c r="AD36" i="7" s="1"/>
  <c r="AA36" i="7"/>
  <c r="W36" i="7"/>
  <c r="X36" i="7" s="1"/>
  <c r="U36" i="7"/>
  <c r="R36" i="7"/>
  <c r="O36" i="7"/>
  <c r="N36" i="7"/>
  <c r="L36" i="7"/>
  <c r="H36" i="7"/>
  <c r="I36" i="7" s="1"/>
  <c r="F36" i="7"/>
  <c r="C36" i="7"/>
  <c r="AC35" i="7"/>
  <c r="AD35" i="7" s="1"/>
  <c r="AA35" i="7"/>
  <c r="X35" i="7"/>
  <c r="W35" i="7"/>
  <c r="U35" i="7"/>
  <c r="R35" i="7"/>
  <c r="O35" i="7"/>
  <c r="N35" i="7"/>
  <c r="L35" i="7"/>
  <c r="H35" i="7"/>
  <c r="I35" i="7" s="1"/>
  <c r="F35" i="7"/>
  <c r="C35" i="7"/>
  <c r="AC34" i="7"/>
  <c r="AD34" i="7" s="1"/>
  <c r="AA34" i="7"/>
  <c r="X34" i="7"/>
  <c r="W34" i="7"/>
  <c r="U34" i="7"/>
  <c r="R34" i="7"/>
  <c r="O34" i="7"/>
  <c r="N34" i="7"/>
  <c r="L34" i="7"/>
  <c r="H34" i="7"/>
  <c r="I34" i="7" s="1"/>
  <c r="F34" i="7"/>
  <c r="C34" i="7"/>
  <c r="AC33" i="7"/>
  <c r="AD33" i="7" s="1"/>
  <c r="AA33" i="7"/>
  <c r="W33" i="7"/>
  <c r="X33" i="7" s="1"/>
  <c r="U33" i="7"/>
  <c r="R33" i="7"/>
  <c r="O33" i="7"/>
  <c r="N33" i="7"/>
  <c r="L33" i="7"/>
  <c r="I33" i="7"/>
  <c r="H33" i="7"/>
  <c r="F33" i="7"/>
  <c r="C33" i="7"/>
  <c r="AC32" i="7"/>
  <c r="AD32" i="7" s="1"/>
  <c r="AA32" i="7"/>
  <c r="X32" i="7"/>
  <c r="W32" i="7"/>
  <c r="U32" i="7"/>
  <c r="R32" i="7"/>
  <c r="O32" i="7"/>
  <c r="N32" i="7"/>
  <c r="L32" i="7"/>
  <c r="H32" i="7"/>
  <c r="I32" i="7" s="1"/>
  <c r="F32" i="7"/>
  <c r="C32" i="7"/>
  <c r="AD31" i="7"/>
  <c r="AC31" i="7"/>
  <c r="AA31" i="7"/>
  <c r="X31" i="7"/>
  <c r="W31" i="7"/>
  <c r="U31" i="7"/>
  <c r="R31" i="7"/>
  <c r="N31" i="7"/>
  <c r="O31" i="7" s="1"/>
  <c r="L31" i="7"/>
  <c r="H31" i="7"/>
  <c r="I31" i="7" s="1"/>
  <c r="F31" i="7"/>
  <c r="C31" i="7"/>
  <c r="Z29" i="7"/>
  <c r="AA29" i="7" s="1"/>
  <c r="T29" i="7"/>
  <c r="U29" i="7" s="1"/>
  <c r="R29" i="7"/>
  <c r="Q29" i="7"/>
  <c r="K29" i="7"/>
  <c r="L29" i="7" s="1"/>
  <c r="E29" i="7"/>
  <c r="F29" i="7" s="1"/>
  <c r="C29" i="7"/>
  <c r="B29" i="7"/>
  <c r="AC28" i="7"/>
  <c r="AD28" i="7" s="1"/>
  <c r="AA28" i="7"/>
  <c r="W28" i="7"/>
  <c r="X28" i="7" s="1"/>
  <c r="U28" i="7"/>
  <c r="R28" i="7"/>
  <c r="O28" i="7"/>
  <c r="N28" i="7"/>
  <c r="L28" i="7"/>
  <c r="H28" i="7"/>
  <c r="I28" i="7" s="1"/>
  <c r="F28" i="7"/>
  <c r="C28" i="7"/>
  <c r="AC27" i="7"/>
  <c r="AD27" i="7" s="1"/>
  <c r="AA27" i="7"/>
  <c r="X27" i="7"/>
  <c r="W27" i="7"/>
  <c r="U27" i="7"/>
  <c r="R27" i="7"/>
  <c r="O27" i="7"/>
  <c r="N27" i="7"/>
  <c r="L27" i="7"/>
  <c r="H27" i="7"/>
  <c r="I27" i="7" s="1"/>
  <c r="F27" i="7"/>
  <c r="C27" i="7"/>
  <c r="AD26" i="7"/>
  <c r="AC26" i="7"/>
  <c r="AA26" i="7"/>
  <c r="X26" i="7"/>
  <c r="W26" i="7"/>
  <c r="U26" i="7"/>
  <c r="R26" i="7"/>
  <c r="O26" i="7"/>
  <c r="N26" i="7"/>
  <c r="L26" i="7"/>
  <c r="I26" i="7"/>
  <c r="H26" i="7"/>
  <c r="F26" i="7"/>
  <c r="C26" i="7"/>
  <c r="AC25" i="7"/>
  <c r="AD25" i="7" s="1"/>
  <c r="AA25" i="7"/>
  <c r="X25" i="7"/>
  <c r="W25" i="7"/>
  <c r="U25" i="7"/>
  <c r="R25" i="7"/>
  <c r="O25" i="7"/>
  <c r="N25" i="7"/>
  <c r="L25" i="7"/>
  <c r="I25" i="7"/>
  <c r="H25" i="7"/>
  <c r="F25" i="7"/>
  <c r="C25" i="7"/>
  <c r="AC24" i="7"/>
  <c r="AD24" i="7" s="1"/>
  <c r="AA24" i="7"/>
  <c r="X24" i="7"/>
  <c r="W24" i="7"/>
  <c r="U24" i="7"/>
  <c r="R24" i="7"/>
  <c r="O24" i="7"/>
  <c r="N24" i="7"/>
  <c r="L24" i="7"/>
  <c r="H24" i="7"/>
  <c r="I24" i="7" s="1"/>
  <c r="F24" i="7"/>
  <c r="C24" i="7"/>
  <c r="AD23" i="7"/>
  <c r="AC23" i="7"/>
  <c r="AA23" i="7"/>
  <c r="X23" i="7"/>
  <c r="W23" i="7"/>
  <c r="U23" i="7"/>
  <c r="R23" i="7"/>
  <c r="N23" i="7"/>
  <c r="O23" i="7" s="1"/>
  <c r="L23" i="7"/>
  <c r="H23" i="7"/>
  <c r="I23" i="7" s="1"/>
  <c r="F23" i="7"/>
  <c r="C23" i="7"/>
  <c r="AD22" i="7"/>
  <c r="AC22" i="7"/>
  <c r="AA22" i="7"/>
  <c r="X22" i="7"/>
  <c r="W22" i="7"/>
  <c r="U22" i="7"/>
  <c r="R22" i="7"/>
  <c r="N22" i="7"/>
  <c r="O22" i="7" s="1"/>
  <c r="L22" i="7"/>
  <c r="I22" i="7"/>
  <c r="H22" i="7"/>
  <c r="F22" i="7"/>
  <c r="C22" i="7"/>
  <c r="AC21" i="7"/>
  <c r="AD21" i="7" s="1"/>
  <c r="AA21" i="7"/>
  <c r="W21" i="7"/>
  <c r="X21" i="7" s="1"/>
  <c r="U21" i="7"/>
  <c r="R21" i="7"/>
  <c r="O21" i="7"/>
  <c r="N21" i="7"/>
  <c r="L21" i="7"/>
  <c r="H21" i="7"/>
  <c r="I21" i="7" s="1"/>
  <c r="F21" i="7"/>
  <c r="C21" i="7"/>
  <c r="AC19" i="7"/>
  <c r="AD19" i="7" s="1"/>
  <c r="AA19" i="7"/>
  <c r="W19" i="7"/>
  <c r="X19" i="7" s="1"/>
  <c r="U19" i="7"/>
  <c r="R19" i="7"/>
  <c r="O19" i="7"/>
  <c r="N19" i="7"/>
  <c r="L19" i="7"/>
  <c r="H19" i="7"/>
  <c r="I19" i="7" s="1"/>
  <c r="F19" i="7"/>
  <c r="C19" i="7"/>
  <c r="AC18" i="7"/>
  <c r="AD18" i="7" s="1"/>
  <c r="Z18" i="7"/>
  <c r="AA18" i="7" s="1"/>
  <c r="W18" i="7"/>
  <c r="X18" i="7" s="1"/>
  <c r="U18" i="7"/>
  <c r="T18" i="7"/>
  <c r="Q18" i="7"/>
  <c r="R18" i="7" s="1"/>
  <c r="K18" i="7"/>
  <c r="L18" i="7" s="1"/>
  <c r="I18" i="7"/>
  <c r="H18" i="7"/>
  <c r="F18" i="7"/>
  <c r="E18" i="7"/>
  <c r="B18" i="7"/>
  <c r="C18" i="7" s="1"/>
  <c r="AC17" i="7"/>
  <c r="AD17" i="7" s="1"/>
  <c r="AA17" i="7"/>
  <c r="W17" i="7"/>
  <c r="X17" i="7" s="1"/>
  <c r="U17" i="7"/>
  <c r="R17" i="7"/>
  <c r="O17" i="7"/>
  <c r="N17" i="7"/>
  <c r="L17" i="7"/>
  <c r="H17" i="7"/>
  <c r="I17" i="7" s="1"/>
  <c r="F17" i="7"/>
  <c r="C17" i="7"/>
  <c r="AC16" i="7"/>
  <c r="AD16" i="7" s="1"/>
  <c r="AA16" i="7"/>
  <c r="W16" i="7"/>
  <c r="X16" i="7" s="1"/>
  <c r="U16" i="7"/>
  <c r="R16" i="7"/>
  <c r="O16" i="7"/>
  <c r="N16" i="7"/>
  <c r="L16" i="7"/>
  <c r="H16" i="7"/>
  <c r="I16" i="7" s="1"/>
  <c r="F16" i="7"/>
  <c r="C16" i="7"/>
  <c r="AC15" i="7"/>
  <c r="AD15" i="7" s="1"/>
  <c r="AA15" i="7"/>
  <c r="X15" i="7"/>
  <c r="W15" i="7"/>
  <c r="U15" i="7"/>
  <c r="R15" i="7"/>
  <c r="O15" i="7"/>
  <c r="N15" i="7"/>
  <c r="L15" i="7"/>
  <c r="H15" i="7"/>
  <c r="I15" i="7" s="1"/>
  <c r="F15" i="7"/>
  <c r="C15" i="7"/>
  <c r="AD14" i="7"/>
  <c r="AC14" i="7"/>
  <c r="AA14" i="7"/>
  <c r="X14" i="7"/>
  <c r="W14" i="7"/>
  <c r="U14" i="7"/>
  <c r="R14" i="7"/>
  <c r="O14" i="7"/>
  <c r="N14" i="7"/>
  <c r="L14" i="7"/>
  <c r="I14" i="7"/>
  <c r="H14" i="7"/>
  <c r="F14" i="7"/>
  <c r="C14" i="7"/>
  <c r="AC13" i="7"/>
  <c r="AD13" i="7" s="1"/>
  <c r="AA13" i="7"/>
  <c r="X13" i="7"/>
  <c r="W13" i="7"/>
  <c r="U13" i="7"/>
  <c r="R13" i="7"/>
  <c r="O13" i="7"/>
  <c r="N13" i="7"/>
  <c r="L13" i="7"/>
  <c r="I13" i="7"/>
  <c r="H13" i="7"/>
  <c r="F13" i="7"/>
  <c r="C13" i="7"/>
  <c r="AC12" i="7"/>
  <c r="AD12" i="7" s="1"/>
  <c r="AA12" i="7"/>
  <c r="X12" i="7"/>
  <c r="W12" i="7"/>
  <c r="U12" i="7"/>
  <c r="R12" i="7"/>
  <c r="O12" i="7"/>
  <c r="N12" i="7"/>
  <c r="L12" i="7"/>
  <c r="H12" i="7"/>
  <c r="I12" i="7" s="1"/>
  <c r="F12" i="7"/>
  <c r="C12" i="7"/>
  <c r="AD11" i="7"/>
  <c r="AC11" i="7"/>
  <c r="AA11" i="7"/>
  <c r="X11" i="7"/>
  <c r="W11" i="7"/>
  <c r="U11" i="7"/>
  <c r="R11" i="7"/>
  <c r="O11" i="7"/>
  <c r="N11" i="7"/>
  <c r="L11" i="7"/>
  <c r="H11" i="7"/>
  <c r="I11" i="7" s="1"/>
  <c r="F11" i="7"/>
  <c r="C11" i="7"/>
  <c r="AC10" i="7"/>
  <c r="AD10" i="7" s="1"/>
  <c r="AA10" i="7"/>
  <c r="X10" i="7"/>
  <c r="W10" i="7"/>
  <c r="U10" i="7"/>
  <c r="R10" i="7"/>
  <c r="N10" i="7"/>
  <c r="O10" i="7" s="1"/>
  <c r="L10" i="7"/>
  <c r="I10" i="7"/>
  <c r="H10" i="7"/>
  <c r="F10" i="7"/>
  <c r="C10" i="7"/>
  <c r="AC8" i="7"/>
  <c r="AD8" i="7" s="1"/>
  <c r="AA8" i="7"/>
  <c r="X8" i="7"/>
  <c r="W8" i="7"/>
  <c r="U8" i="7"/>
  <c r="R8" i="7"/>
  <c r="O8" i="7"/>
  <c r="N8" i="7"/>
  <c r="L8" i="7"/>
  <c r="H8" i="7"/>
  <c r="I8" i="7" s="1"/>
  <c r="F8" i="7"/>
  <c r="C8" i="7"/>
  <c r="AC445" i="6"/>
  <c r="W445" i="6"/>
  <c r="N445" i="6"/>
  <c r="H445" i="6"/>
  <c r="Z443" i="6"/>
  <c r="AA443" i="6" s="1"/>
  <c r="X443" i="6"/>
  <c r="W443" i="6"/>
  <c r="U443" i="6"/>
  <c r="T443" i="6"/>
  <c r="Q443" i="6"/>
  <c r="R443" i="6" s="1"/>
  <c r="K443" i="6"/>
  <c r="L443" i="6" s="1"/>
  <c r="E443" i="6"/>
  <c r="F443" i="6" s="1"/>
  <c r="B443" i="6"/>
  <c r="C443" i="6" s="1"/>
  <c r="Z442" i="6"/>
  <c r="AA442" i="6" s="1"/>
  <c r="W442" i="6"/>
  <c r="X442" i="6" s="1"/>
  <c r="T442" i="6"/>
  <c r="U442" i="6" s="1"/>
  <c r="R442" i="6"/>
  <c r="Q442" i="6"/>
  <c r="AC442" i="6" s="1"/>
  <c r="AD442" i="6" s="1"/>
  <c r="K442" i="6"/>
  <c r="L442" i="6" s="1"/>
  <c r="H442" i="6"/>
  <c r="I442" i="6" s="1"/>
  <c r="F442" i="6"/>
  <c r="E442" i="6"/>
  <c r="C442" i="6"/>
  <c r="B442" i="6"/>
  <c r="N442" i="6" s="1"/>
  <c r="O442" i="6" s="1"/>
  <c r="AC441" i="6"/>
  <c r="AD441" i="6" s="1"/>
  <c r="AA441" i="6"/>
  <c r="W441" i="6"/>
  <c r="X441" i="6" s="1"/>
  <c r="U441" i="6"/>
  <c r="R441" i="6"/>
  <c r="O441" i="6"/>
  <c r="N441" i="6"/>
  <c r="L441" i="6"/>
  <c r="H441" i="6"/>
  <c r="I441" i="6" s="1"/>
  <c r="F441" i="6"/>
  <c r="C441" i="6"/>
  <c r="AD440" i="6"/>
  <c r="AC440" i="6"/>
  <c r="AA440" i="6"/>
  <c r="X440" i="6"/>
  <c r="W440" i="6"/>
  <c r="U440" i="6"/>
  <c r="R440" i="6"/>
  <c r="N440" i="6"/>
  <c r="O440" i="6" s="1"/>
  <c r="L440" i="6"/>
  <c r="H440" i="6"/>
  <c r="I440" i="6" s="1"/>
  <c r="F440" i="6"/>
  <c r="C440" i="6"/>
  <c r="AD439" i="6"/>
  <c r="AC439" i="6"/>
  <c r="AA439" i="6"/>
  <c r="X439" i="6"/>
  <c r="W439" i="6"/>
  <c r="U439" i="6"/>
  <c r="R439" i="6"/>
  <c r="N439" i="6"/>
  <c r="O439" i="6" s="1"/>
  <c r="L439" i="6"/>
  <c r="I439" i="6"/>
  <c r="H439" i="6"/>
  <c r="F439" i="6"/>
  <c r="C439" i="6"/>
  <c r="AD438" i="6"/>
  <c r="AC438" i="6"/>
  <c r="AA438" i="6"/>
  <c r="W438" i="6"/>
  <c r="X438" i="6" s="1"/>
  <c r="U438" i="6"/>
  <c r="R438" i="6"/>
  <c r="O438" i="6"/>
  <c r="N438" i="6"/>
  <c r="L438" i="6"/>
  <c r="I438" i="6"/>
  <c r="H438" i="6"/>
  <c r="F438" i="6"/>
  <c r="C438" i="6"/>
  <c r="AC437" i="6"/>
  <c r="AD437" i="6" s="1"/>
  <c r="AA437" i="6"/>
  <c r="X437" i="6"/>
  <c r="W437" i="6"/>
  <c r="U437" i="6"/>
  <c r="R437" i="6"/>
  <c r="O437" i="6"/>
  <c r="N437" i="6"/>
  <c r="L437" i="6"/>
  <c r="I437" i="6"/>
  <c r="H437" i="6"/>
  <c r="F437" i="6"/>
  <c r="C437" i="6"/>
  <c r="AC436" i="6"/>
  <c r="AD436" i="6" s="1"/>
  <c r="AA436" i="6"/>
  <c r="X436" i="6"/>
  <c r="W436" i="6"/>
  <c r="U436" i="6"/>
  <c r="R436" i="6"/>
  <c r="O436" i="6"/>
  <c r="N436" i="6"/>
  <c r="L436" i="6"/>
  <c r="H436" i="6"/>
  <c r="I436" i="6" s="1"/>
  <c r="F436" i="6"/>
  <c r="C436" i="6"/>
  <c r="AC435" i="6"/>
  <c r="AD435" i="6" s="1"/>
  <c r="AA435" i="6"/>
  <c r="X435" i="6"/>
  <c r="W435" i="6"/>
  <c r="U435" i="6"/>
  <c r="R435" i="6"/>
  <c r="O435" i="6"/>
  <c r="N435" i="6"/>
  <c r="L435" i="6"/>
  <c r="H435" i="6"/>
  <c r="I435" i="6" s="1"/>
  <c r="F435" i="6"/>
  <c r="C435" i="6"/>
  <c r="AD434" i="6"/>
  <c r="AC434" i="6"/>
  <c r="AA434" i="6"/>
  <c r="X434" i="6"/>
  <c r="W434" i="6"/>
  <c r="U434" i="6"/>
  <c r="R434" i="6"/>
  <c r="O434" i="6"/>
  <c r="N434" i="6"/>
  <c r="L434" i="6"/>
  <c r="H434" i="6"/>
  <c r="I434" i="6" s="1"/>
  <c r="F434" i="6"/>
  <c r="C434" i="6"/>
  <c r="AC433" i="6"/>
  <c r="AD433" i="6" s="1"/>
  <c r="AA433" i="6"/>
  <c r="X433" i="6"/>
  <c r="W433" i="6"/>
  <c r="U433" i="6"/>
  <c r="R433" i="6"/>
  <c r="O433" i="6"/>
  <c r="N433" i="6"/>
  <c r="L433" i="6"/>
  <c r="I433" i="6"/>
  <c r="H433" i="6"/>
  <c r="F433" i="6"/>
  <c r="C433" i="6"/>
  <c r="AC430" i="6"/>
  <c r="AD430" i="6" s="1"/>
  <c r="AA430" i="6"/>
  <c r="Z430" i="6"/>
  <c r="T430" i="6"/>
  <c r="U430" i="6" s="1"/>
  <c r="Q430" i="6"/>
  <c r="N430" i="6"/>
  <c r="O430" i="6" s="1"/>
  <c r="L430" i="6"/>
  <c r="K430" i="6"/>
  <c r="E430" i="6"/>
  <c r="F430" i="6" s="1"/>
  <c r="C430" i="6"/>
  <c r="B430" i="6"/>
  <c r="H430" i="6" s="1"/>
  <c r="I430" i="6" s="1"/>
  <c r="Z429" i="6"/>
  <c r="AA429" i="6" s="1"/>
  <c r="U429" i="6"/>
  <c r="T429" i="6"/>
  <c r="W429" i="6" s="1"/>
  <c r="X429" i="6" s="1"/>
  <c r="R429" i="6"/>
  <c r="Q429" i="6"/>
  <c r="AC429" i="6" s="1"/>
  <c r="AD429" i="6" s="1"/>
  <c r="K429" i="6"/>
  <c r="L429" i="6" s="1"/>
  <c r="H429" i="6"/>
  <c r="I429" i="6" s="1"/>
  <c r="F429" i="6"/>
  <c r="E429" i="6"/>
  <c r="B429" i="6"/>
  <c r="C429" i="6" s="1"/>
  <c r="AC428" i="6"/>
  <c r="AD428" i="6" s="1"/>
  <c r="AA428" i="6"/>
  <c r="X428" i="6"/>
  <c r="W428" i="6"/>
  <c r="U428" i="6"/>
  <c r="R428" i="6"/>
  <c r="O428" i="6"/>
  <c r="N428" i="6"/>
  <c r="L428" i="6"/>
  <c r="H428" i="6"/>
  <c r="I428" i="6" s="1"/>
  <c r="F428" i="6"/>
  <c r="C428" i="6"/>
  <c r="AC427" i="6"/>
  <c r="AD427" i="6" s="1"/>
  <c r="AA427" i="6"/>
  <c r="X427" i="6"/>
  <c r="W427" i="6"/>
  <c r="U427" i="6"/>
  <c r="R427" i="6"/>
  <c r="O427" i="6"/>
  <c r="N427" i="6"/>
  <c r="L427" i="6"/>
  <c r="H427" i="6"/>
  <c r="I427" i="6" s="1"/>
  <c r="F427" i="6"/>
  <c r="C427" i="6"/>
  <c r="AD426" i="6"/>
  <c r="AC426" i="6"/>
  <c r="AA426" i="6"/>
  <c r="X426" i="6"/>
  <c r="W426" i="6"/>
  <c r="U426" i="6"/>
  <c r="R426" i="6"/>
  <c r="N426" i="6"/>
  <c r="O426" i="6" s="1"/>
  <c r="L426" i="6"/>
  <c r="H426" i="6"/>
  <c r="I426" i="6" s="1"/>
  <c r="F426" i="6"/>
  <c r="C426" i="6"/>
  <c r="AC425" i="6"/>
  <c r="AD425" i="6" s="1"/>
  <c r="AA425" i="6"/>
  <c r="X425" i="6"/>
  <c r="W425" i="6"/>
  <c r="U425" i="6"/>
  <c r="R425" i="6"/>
  <c r="O425" i="6"/>
  <c r="N425" i="6"/>
  <c r="L425" i="6"/>
  <c r="I425" i="6"/>
  <c r="H425" i="6"/>
  <c r="F425" i="6"/>
  <c r="C425" i="6"/>
  <c r="AC424" i="6"/>
  <c r="AD424" i="6" s="1"/>
  <c r="AA424" i="6"/>
  <c r="W424" i="6"/>
  <c r="X424" i="6" s="1"/>
  <c r="U424" i="6"/>
  <c r="R424" i="6"/>
  <c r="O424" i="6"/>
  <c r="N424" i="6"/>
  <c r="L424" i="6"/>
  <c r="I424" i="6"/>
  <c r="H424" i="6"/>
  <c r="F424" i="6"/>
  <c r="C424" i="6"/>
  <c r="AC423" i="6"/>
  <c r="AD423" i="6" s="1"/>
  <c r="AA423" i="6"/>
  <c r="W423" i="6"/>
  <c r="X423" i="6" s="1"/>
  <c r="U423" i="6"/>
  <c r="R423" i="6"/>
  <c r="O423" i="6"/>
  <c r="N423" i="6"/>
  <c r="L423" i="6"/>
  <c r="H423" i="6"/>
  <c r="I423" i="6" s="1"/>
  <c r="F423" i="6"/>
  <c r="C423" i="6"/>
  <c r="AD422" i="6"/>
  <c r="AC422" i="6"/>
  <c r="AA422" i="6"/>
  <c r="X422" i="6"/>
  <c r="W422" i="6"/>
  <c r="U422" i="6"/>
  <c r="R422" i="6"/>
  <c r="O422" i="6"/>
  <c r="N422" i="6"/>
  <c r="L422" i="6"/>
  <c r="H422" i="6"/>
  <c r="I422" i="6" s="1"/>
  <c r="F422" i="6"/>
  <c r="C422" i="6"/>
  <c r="AD421" i="6"/>
  <c r="AC421" i="6"/>
  <c r="AA421" i="6"/>
  <c r="X421" i="6"/>
  <c r="W421" i="6"/>
  <c r="U421" i="6"/>
  <c r="R421" i="6"/>
  <c r="N421" i="6"/>
  <c r="O421" i="6" s="1"/>
  <c r="L421" i="6"/>
  <c r="I421" i="6"/>
  <c r="H421" i="6"/>
  <c r="F421" i="6"/>
  <c r="C421" i="6"/>
  <c r="AC420" i="6"/>
  <c r="AD420" i="6" s="1"/>
  <c r="AA420" i="6"/>
  <c r="X420" i="6"/>
  <c r="W420" i="6"/>
  <c r="U420" i="6"/>
  <c r="R420" i="6"/>
  <c r="O420" i="6"/>
  <c r="N420" i="6"/>
  <c r="L420" i="6"/>
  <c r="H420" i="6"/>
  <c r="I420" i="6" s="1"/>
  <c r="F420" i="6"/>
  <c r="C420" i="6"/>
  <c r="AC419" i="6"/>
  <c r="AD419" i="6" s="1"/>
  <c r="AA419" i="6"/>
  <c r="X419" i="6"/>
  <c r="W419" i="6"/>
  <c r="U419" i="6"/>
  <c r="R419" i="6"/>
  <c r="O419" i="6"/>
  <c r="N419" i="6"/>
  <c r="L419" i="6"/>
  <c r="H419" i="6"/>
  <c r="I419" i="6" s="1"/>
  <c r="F419" i="6"/>
  <c r="C419" i="6"/>
  <c r="AD418" i="6"/>
  <c r="AC418" i="6"/>
  <c r="AA418" i="6"/>
  <c r="X418" i="6"/>
  <c r="W418" i="6"/>
  <c r="U418" i="6"/>
  <c r="R418" i="6"/>
  <c r="N418" i="6"/>
  <c r="O418" i="6" s="1"/>
  <c r="L418" i="6"/>
  <c r="H418" i="6"/>
  <c r="I418" i="6" s="1"/>
  <c r="F418" i="6"/>
  <c r="C418" i="6"/>
  <c r="AD417" i="6"/>
  <c r="AC417" i="6"/>
  <c r="AA417" i="6"/>
  <c r="X417" i="6"/>
  <c r="W417" i="6"/>
  <c r="U417" i="6"/>
  <c r="R417" i="6"/>
  <c r="O417" i="6"/>
  <c r="N417" i="6"/>
  <c r="L417" i="6"/>
  <c r="I417" i="6"/>
  <c r="H417" i="6"/>
  <c r="F417" i="6"/>
  <c r="C417" i="6"/>
  <c r="AC416" i="6"/>
  <c r="AD416" i="6" s="1"/>
  <c r="AA416" i="6"/>
  <c r="X416" i="6"/>
  <c r="W416" i="6"/>
  <c r="U416" i="6"/>
  <c r="R416" i="6"/>
  <c r="O416" i="6"/>
  <c r="N416" i="6"/>
  <c r="L416" i="6"/>
  <c r="I416" i="6"/>
  <c r="H416" i="6"/>
  <c r="F416" i="6"/>
  <c r="C416" i="6"/>
  <c r="AC415" i="6"/>
  <c r="AD415" i="6" s="1"/>
  <c r="AA415" i="6"/>
  <c r="W415" i="6"/>
  <c r="X415" i="6" s="1"/>
  <c r="U415" i="6"/>
  <c r="R415" i="6"/>
  <c r="O415" i="6"/>
  <c r="N415" i="6"/>
  <c r="L415" i="6"/>
  <c r="H415" i="6"/>
  <c r="I415" i="6" s="1"/>
  <c r="F415" i="6"/>
  <c r="C415" i="6"/>
  <c r="AD414" i="6"/>
  <c r="AC414" i="6"/>
  <c r="AA414" i="6"/>
  <c r="X414" i="6"/>
  <c r="W414" i="6"/>
  <c r="U414" i="6"/>
  <c r="R414" i="6"/>
  <c r="N414" i="6"/>
  <c r="O414" i="6" s="1"/>
  <c r="L414" i="6"/>
  <c r="H414" i="6"/>
  <c r="I414" i="6" s="1"/>
  <c r="F414" i="6"/>
  <c r="C414" i="6"/>
  <c r="AD413" i="6"/>
  <c r="AC413" i="6"/>
  <c r="AA413" i="6"/>
  <c r="X413" i="6"/>
  <c r="W413" i="6"/>
  <c r="U413" i="6"/>
  <c r="R413" i="6"/>
  <c r="N413" i="6"/>
  <c r="O413" i="6" s="1"/>
  <c r="L413" i="6"/>
  <c r="I413" i="6"/>
  <c r="H413" i="6"/>
  <c r="F413" i="6"/>
  <c r="C413" i="6"/>
  <c r="AC412" i="6"/>
  <c r="AD412" i="6" s="1"/>
  <c r="AA412" i="6"/>
  <c r="X412" i="6"/>
  <c r="W412" i="6"/>
  <c r="U412" i="6"/>
  <c r="R412" i="6"/>
  <c r="O412" i="6"/>
  <c r="N412" i="6"/>
  <c r="L412" i="6"/>
  <c r="H412" i="6"/>
  <c r="I412" i="6" s="1"/>
  <c r="F412" i="6"/>
  <c r="C412" i="6"/>
  <c r="AC411" i="6"/>
  <c r="AD411" i="6" s="1"/>
  <c r="AA411" i="6"/>
  <c r="X411" i="6"/>
  <c r="W411" i="6"/>
  <c r="U411" i="6"/>
  <c r="R411" i="6"/>
  <c r="O411" i="6"/>
  <c r="N411" i="6"/>
  <c r="L411" i="6"/>
  <c r="H411" i="6"/>
  <c r="I411" i="6" s="1"/>
  <c r="F411" i="6"/>
  <c r="C411" i="6"/>
  <c r="AC410" i="6"/>
  <c r="AD410" i="6" s="1"/>
  <c r="AA410" i="6"/>
  <c r="X410" i="6"/>
  <c r="W410" i="6"/>
  <c r="U410" i="6"/>
  <c r="R410" i="6"/>
  <c r="N410" i="6"/>
  <c r="O410" i="6" s="1"/>
  <c r="L410" i="6"/>
  <c r="H410" i="6"/>
  <c r="I410" i="6" s="1"/>
  <c r="F410" i="6"/>
  <c r="C410" i="6"/>
  <c r="AD409" i="6"/>
  <c r="AC409" i="6"/>
  <c r="AA409" i="6"/>
  <c r="X409" i="6"/>
  <c r="W409" i="6"/>
  <c r="U409" i="6"/>
  <c r="R409" i="6"/>
  <c r="N409" i="6"/>
  <c r="O409" i="6" s="1"/>
  <c r="L409" i="6"/>
  <c r="H409" i="6"/>
  <c r="I409" i="6" s="1"/>
  <c r="F409" i="6"/>
  <c r="C409" i="6"/>
  <c r="AC408" i="6"/>
  <c r="AD408" i="6" s="1"/>
  <c r="AA408" i="6"/>
  <c r="W408" i="6"/>
  <c r="X408" i="6" s="1"/>
  <c r="U408" i="6"/>
  <c r="R408" i="6"/>
  <c r="O408" i="6"/>
  <c r="N408" i="6"/>
  <c r="L408" i="6"/>
  <c r="I408" i="6"/>
  <c r="H408" i="6"/>
  <c r="F408" i="6"/>
  <c r="C408" i="6"/>
  <c r="Z404" i="6"/>
  <c r="AA404" i="6" s="1"/>
  <c r="T404" i="6"/>
  <c r="U404" i="6" s="1"/>
  <c r="R404" i="6"/>
  <c r="Q404" i="6"/>
  <c r="K404" i="6"/>
  <c r="L404" i="6" s="1"/>
  <c r="E404" i="6"/>
  <c r="F404" i="6" s="1"/>
  <c r="B404" i="6"/>
  <c r="AC403" i="6"/>
  <c r="AD403" i="6" s="1"/>
  <c r="AA403" i="6"/>
  <c r="X403" i="6"/>
  <c r="W403" i="6"/>
  <c r="U403" i="6"/>
  <c r="R403" i="6"/>
  <c r="O403" i="6"/>
  <c r="N403" i="6"/>
  <c r="L403" i="6"/>
  <c r="H403" i="6"/>
  <c r="I403" i="6" s="1"/>
  <c r="F403" i="6"/>
  <c r="C403" i="6"/>
  <c r="AC402" i="6"/>
  <c r="AD402" i="6" s="1"/>
  <c r="AA402" i="6"/>
  <c r="X402" i="6"/>
  <c r="W402" i="6"/>
  <c r="U402" i="6"/>
  <c r="R402" i="6"/>
  <c r="O402" i="6"/>
  <c r="N402" i="6"/>
  <c r="L402" i="6"/>
  <c r="H402" i="6"/>
  <c r="I402" i="6" s="1"/>
  <c r="F402" i="6"/>
  <c r="C402" i="6"/>
  <c r="AC401" i="6"/>
  <c r="AD401" i="6" s="1"/>
  <c r="AA401" i="6"/>
  <c r="X401" i="6"/>
  <c r="W401" i="6"/>
  <c r="U401" i="6"/>
  <c r="R401" i="6"/>
  <c r="O401" i="6"/>
  <c r="N401" i="6"/>
  <c r="L401" i="6"/>
  <c r="I401" i="6"/>
  <c r="H401" i="6"/>
  <c r="F401" i="6"/>
  <c r="C401" i="6"/>
  <c r="AC400" i="6"/>
  <c r="AD400" i="6" s="1"/>
  <c r="AA400" i="6"/>
  <c r="W400" i="6"/>
  <c r="X400" i="6" s="1"/>
  <c r="U400" i="6"/>
  <c r="R400" i="6"/>
  <c r="O400" i="6"/>
  <c r="N400" i="6"/>
  <c r="L400" i="6"/>
  <c r="I400" i="6"/>
  <c r="H400" i="6"/>
  <c r="F400" i="6"/>
  <c r="C400" i="6"/>
  <c r="AC399" i="6"/>
  <c r="AD399" i="6" s="1"/>
  <c r="AA399" i="6"/>
  <c r="X399" i="6"/>
  <c r="W399" i="6"/>
  <c r="U399" i="6"/>
  <c r="R399" i="6"/>
  <c r="O399" i="6"/>
  <c r="N399" i="6"/>
  <c r="L399" i="6"/>
  <c r="H399" i="6"/>
  <c r="I399" i="6" s="1"/>
  <c r="F399" i="6"/>
  <c r="C399" i="6"/>
  <c r="AD398" i="6"/>
  <c r="AC398" i="6"/>
  <c r="AA398" i="6"/>
  <c r="X398" i="6"/>
  <c r="W398" i="6"/>
  <c r="U398" i="6"/>
  <c r="R398" i="6"/>
  <c r="N398" i="6"/>
  <c r="O398" i="6" s="1"/>
  <c r="L398" i="6"/>
  <c r="H398" i="6"/>
  <c r="I398" i="6" s="1"/>
  <c r="F398" i="6"/>
  <c r="C398" i="6"/>
  <c r="AD397" i="6"/>
  <c r="Z397" i="6"/>
  <c r="AC397" i="6" s="1"/>
  <c r="T397" i="6"/>
  <c r="U397" i="6" s="1"/>
  <c r="R397" i="6"/>
  <c r="Q397" i="6"/>
  <c r="N397" i="6"/>
  <c r="O397" i="6" s="1"/>
  <c r="K397" i="6"/>
  <c r="L397" i="6" s="1"/>
  <c r="H397" i="6"/>
  <c r="I397" i="6" s="1"/>
  <c r="E397" i="6"/>
  <c r="F397" i="6" s="1"/>
  <c r="C397" i="6"/>
  <c r="B397" i="6"/>
  <c r="AC396" i="6"/>
  <c r="AD396" i="6" s="1"/>
  <c r="AA396" i="6"/>
  <c r="X396" i="6"/>
  <c r="W396" i="6"/>
  <c r="U396" i="6"/>
  <c r="R396" i="6"/>
  <c r="O396" i="6"/>
  <c r="N396" i="6"/>
  <c r="L396" i="6"/>
  <c r="H396" i="6"/>
  <c r="I396" i="6" s="1"/>
  <c r="F396" i="6"/>
  <c r="C396" i="6"/>
  <c r="AC395" i="6"/>
  <c r="AD395" i="6" s="1"/>
  <c r="AA395" i="6"/>
  <c r="X395" i="6"/>
  <c r="W395" i="6"/>
  <c r="U395" i="6"/>
  <c r="R395" i="6"/>
  <c r="O395" i="6"/>
  <c r="N395" i="6"/>
  <c r="L395" i="6"/>
  <c r="H395" i="6"/>
  <c r="I395" i="6" s="1"/>
  <c r="F395" i="6"/>
  <c r="C395" i="6"/>
  <c r="AC394" i="6"/>
  <c r="AD394" i="6" s="1"/>
  <c r="AA394" i="6"/>
  <c r="Z394" i="6"/>
  <c r="T394" i="6"/>
  <c r="U394" i="6" s="1"/>
  <c r="Q394" i="6"/>
  <c r="N394" i="6"/>
  <c r="O394" i="6" s="1"/>
  <c r="K394" i="6"/>
  <c r="L394" i="6" s="1"/>
  <c r="F394" i="6"/>
  <c r="E394" i="6"/>
  <c r="B394" i="6"/>
  <c r="AC393" i="6"/>
  <c r="AD393" i="6" s="1"/>
  <c r="AA393" i="6"/>
  <c r="X393" i="6"/>
  <c r="W393" i="6"/>
  <c r="U393" i="6"/>
  <c r="R393" i="6"/>
  <c r="O393" i="6"/>
  <c r="N393" i="6"/>
  <c r="L393" i="6"/>
  <c r="H393" i="6"/>
  <c r="I393" i="6" s="1"/>
  <c r="F393" i="6"/>
  <c r="C393" i="6"/>
  <c r="AD392" i="6"/>
  <c r="AC392" i="6"/>
  <c r="AA392" i="6"/>
  <c r="X392" i="6"/>
  <c r="W392" i="6"/>
  <c r="U392" i="6"/>
  <c r="R392" i="6"/>
  <c r="N392" i="6"/>
  <c r="O392" i="6" s="1"/>
  <c r="L392" i="6"/>
  <c r="H392" i="6"/>
  <c r="I392" i="6" s="1"/>
  <c r="F392" i="6"/>
  <c r="C392" i="6"/>
  <c r="AC391" i="6"/>
  <c r="AD391" i="6" s="1"/>
  <c r="AA391" i="6"/>
  <c r="X391" i="6"/>
  <c r="W391" i="6"/>
  <c r="U391" i="6"/>
  <c r="R391" i="6"/>
  <c r="O391" i="6"/>
  <c r="N391" i="6"/>
  <c r="L391" i="6"/>
  <c r="H391" i="6"/>
  <c r="I391" i="6" s="1"/>
  <c r="F391" i="6"/>
  <c r="C391" i="6"/>
  <c r="AC390" i="6"/>
  <c r="AD390" i="6" s="1"/>
  <c r="AA390" i="6"/>
  <c r="X390" i="6"/>
  <c r="W390" i="6"/>
  <c r="U390" i="6"/>
  <c r="R390" i="6"/>
  <c r="O390" i="6"/>
  <c r="N390" i="6"/>
  <c r="L390" i="6"/>
  <c r="I390" i="6"/>
  <c r="H390" i="6"/>
  <c r="F390" i="6"/>
  <c r="C390" i="6"/>
  <c r="AC389" i="6"/>
  <c r="AD389" i="6" s="1"/>
  <c r="AA389" i="6"/>
  <c r="W389" i="6"/>
  <c r="X389" i="6" s="1"/>
  <c r="U389" i="6"/>
  <c r="R389" i="6"/>
  <c r="O389" i="6"/>
  <c r="N389" i="6"/>
  <c r="L389" i="6"/>
  <c r="H389" i="6"/>
  <c r="I389" i="6" s="1"/>
  <c r="F389" i="6"/>
  <c r="C389" i="6"/>
  <c r="AC387" i="6"/>
  <c r="AD387" i="6" s="1"/>
  <c r="AA387" i="6"/>
  <c r="X387" i="6"/>
  <c r="W387" i="6"/>
  <c r="U387" i="6"/>
  <c r="R387" i="6"/>
  <c r="O387" i="6"/>
  <c r="N387" i="6"/>
  <c r="L387" i="6"/>
  <c r="H387" i="6"/>
  <c r="I387" i="6" s="1"/>
  <c r="F387" i="6"/>
  <c r="C387" i="6"/>
  <c r="AD386" i="6"/>
  <c r="AC386" i="6"/>
  <c r="AA386" i="6"/>
  <c r="X386" i="6"/>
  <c r="W386" i="6"/>
  <c r="U386" i="6"/>
  <c r="R386" i="6"/>
  <c r="O386" i="6"/>
  <c r="N386" i="6"/>
  <c r="L386" i="6"/>
  <c r="I386" i="6"/>
  <c r="H386" i="6"/>
  <c r="F386" i="6"/>
  <c r="C386" i="6"/>
  <c r="AC384" i="6"/>
  <c r="AD384" i="6" s="1"/>
  <c r="AA384" i="6"/>
  <c r="X384" i="6"/>
  <c r="W384" i="6"/>
  <c r="U384" i="6"/>
  <c r="R384" i="6"/>
  <c r="O384" i="6"/>
  <c r="N384" i="6"/>
  <c r="L384" i="6"/>
  <c r="I384" i="6"/>
  <c r="H384" i="6"/>
  <c r="F384" i="6"/>
  <c r="C384" i="6"/>
  <c r="AC383" i="6"/>
  <c r="AD383" i="6" s="1"/>
  <c r="AA383" i="6"/>
  <c r="X383" i="6"/>
  <c r="W383" i="6"/>
  <c r="U383" i="6"/>
  <c r="R383" i="6"/>
  <c r="O383" i="6"/>
  <c r="N383" i="6"/>
  <c r="L383" i="6"/>
  <c r="H383" i="6"/>
  <c r="I383" i="6" s="1"/>
  <c r="F383" i="6"/>
  <c r="C383" i="6"/>
  <c r="AD382" i="6"/>
  <c r="AC382" i="6"/>
  <c r="AA382" i="6"/>
  <c r="X382" i="6"/>
  <c r="W382" i="6"/>
  <c r="U382" i="6"/>
  <c r="R382" i="6"/>
  <c r="N382" i="6"/>
  <c r="O382" i="6" s="1"/>
  <c r="L382" i="6"/>
  <c r="H382" i="6"/>
  <c r="I382" i="6" s="1"/>
  <c r="F382" i="6"/>
  <c r="C382" i="6"/>
  <c r="AD381" i="6"/>
  <c r="AC381" i="6"/>
  <c r="AA381" i="6"/>
  <c r="X381" i="6"/>
  <c r="W381" i="6"/>
  <c r="U381" i="6"/>
  <c r="R381" i="6"/>
  <c r="O381" i="6"/>
  <c r="N381" i="6"/>
  <c r="L381" i="6"/>
  <c r="I381" i="6"/>
  <c r="H381" i="6"/>
  <c r="F381" i="6"/>
  <c r="C381" i="6"/>
  <c r="AC380" i="6"/>
  <c r="AD380" i="6" s="1"/>
  <c r="AA380" i="6"/>
  <c r="X380" i="6"/>
  <c r="W380" i="6"/>
  <c r="U380" i="6"/>
  <c r="R380" i="6"/>
  <c r="O380" i="6"/>
  <c r="N380" i="6"/>
  <c r="L380" i="6"/>
  <c r="I380" i="6"/>
  <c r="H380" i="6"/>
  <c r="F380" i="6"/>
  <c r="C380" i="6"/>
  <c r="AD379" i="6"/>
  <c r="AC379" i="6"/>
  <c r="AA379" i="6"/>
  <c r="W379" i="6"/>
  <c r="X379" i="6" s="1"/>
  <c r="U379" i="6"/>
  <c r="R379" i="6"/>
  <c r="N379" i="6"/>
  <c r="O379" i="6" s="1"/>
  <c r="L379" i="6"/>
  <c r="H379" i="6"/>
  <c r="I379" i="6" s="1"/>
  <c r="F379" i="6"/>
  <c r="C379" i="6"/>
  <c r="AD378" i="6"/>
  <c r="AC378" i="6"/>
  <c r="AA378" i="6"/>
  <c r="X378" i="6"/>
  <c r="W378" i="6"/>
  <c r="U378" i="6"/>
  <c r="R378" i="6"/>
  <c r="N378" i="6"/>
  <c r="O378" i="6" s="1"/>
  <c r="L378" i="6"/>
  <c r="H378" i="6"/>
  <c r="I378" i="6" s="1"/>
  <c r="F378" i="6"/>
  <c r="C378" i="6"/>
  <c r="AD377" i="6"/>
  <c r="AC377" i="6"/>
  <c r="AA377" i="6"/>
  <c r="W377" i="6"/>
  <c r="X377" i="6" s="1"/>
  <c r="U377" i="6"/>
  <c r="R377" i="6"/>
  <c r="O377" i="6"/>
  <c r="N377" i="6"/>
  <c r="L377" i="6"/>
  <c r="I377" i="6"/>
  <c r="H377" i="6"/>
  <c r="F377" i="6"/>
  <c r="C377" i="6"/>
  <c r="AC376" i="6"/>
  <c r="AD376" i="6" s="1"/>
  <c r="AA376" i="6"/>
  <c r="W376" i="6"/>
  <c r="X376" i="6" s="1"/>
  <c r="U376" i="6"/>
  <c r="R376" i="6"/>
  <c r="O376" i="6"/>
  <c r="N376" i="6"/>
  <c r="L376" i="6"/>
  <c r="I376" i="6"/>
  <c r="H376" i="6"/>
  <c r="F376" i="6"/>
  <c r="C376" i="6"/>
  <c r="AC375" i="6"/>
  <c r="AD375" i="6" s="1"/>
  <c r="AA375" i="6"/>
  <c r="W375" i="6"/>
  <c r="X375" i="6" s="1"/>
  <c r="U375" i="6"/>
  <c r="R375" i="6"/>
  <c r="O375" i="6"/>
  <c r="N375" i="6"/>
  <c r="L375" i="6"/>
  <c r="H375" i="6"/>
  <c r="I375" i="6" s="1"/>
  <c r="F375" i="6"/>
  <c r="C375" i="6"/>
  <c r="AD374" i="6"/>
  <c r="AC374" i="6"/>
  <c r="AA374" i="6"/>
  <c r="X374" i="6"/>
  <c r="W374" i="6"/>
  <c r="U374" i="6"/>
  <c r="R374" i="6"/>
  <c r="O374" i="6"/>
  <c r="N374" i="6"/>
  <c r="L374" i="6"/>
  <c r="I374" i="6"/>
  <c r="H374" i="6"/>
  <c r="F374" i="6"/>
  <c r="C374" i="6"/>
  <c r="AC373" i="6"/>
  <c r="AD373" i="6" s="1"/>
  <c r="AA373" i="6"/>
  <c r="X373" i="6"/>
  <c r="W373" i="6"/>
  <c r="U373" i="6"/>
  <c r="R373" i="6"/>
  <c r="O373" i="6"/>
  <c r="N373" i="6"/>
  <c r="L373" i="6"/>
  <c r="I373" i="6"/>
  <c r="H373" i="6"/>
  <c r="F373" i="6"/>
  <c r="C373" i="6"/>
  <c r="AC372" i="6"/>
  <c r="AD372" i="6" s="1"/>
  <c r="AA372" i="6"/>
  <c r="W372" i="6"/>
  <c r="X372" i="6" s="1"/>
  <c r="U372" i="6"/>
  <c r="R372" i="6"/>
  <c r="O372" i="6"/>
  <c r="N372" i="6"/>
  <c r="L372" i="6"/>
  <c r="I372" i="6"/>
  <c r="H372" i="6"/>
  <c r="F372" i="6"/>
  <c r="C372" i="6"/>
  <c r="AD371" i="6"/>
  <c r="AC371" i="6"/>
  <c r="AA371" i="6"/>
  <c r="W371" i="6"/>
  <c r="X371" i="6" s="1"/>
  <c r="U371" i="6"/>
  <c r="R371" i="6"/>
  <c r="O371" i="6"/>
  <c r="N371" i="6"/>
  <c r="L371" i="6"/>
  <c r="H371" i="6"/>
  <c r="I371" i="6" s="1"/>
  <c r="F371" i="6"/>
  <c r="C371" i="6"/>
  <c r="AC370" i="6"/>
  <c r="AD370" i="6" s="1"/>
  <c r="AA370" i="6"/>
  <c r="X370" i="6"/>
  <c r="W370" i="6"/>
  <c r="U370" i="6"/>
  <c r="R370" i="6"/>
  <c r="O370" i="6"/>
  <c r="N370" i="6"/>
  <c r="L370" i="6"/>
  <c r="H370" i="6"/>
  <c r="I370" i="6" s="1"/>
  <c r="F370" i="6"/>
  <c r="C370" i="6"/>
  <c r="Z369" i="6"/>
  <c r="AA369" i="6" s="1"/>
  <c r="T369" i="6"/>
  <c r="U369" i="6" s="1"/>
  <c r="Q369" i="6"/>
  <c r="R369" i="6" s="1"/>
  <c r="L369" i="6"/>
  <c r="K369" i="6"/>
  <c r="H369" i="6"/>
  <c r="I369" i="6" s="1"/>
  <c r="F369" i="6"/>
  <c r="E369" i="6"/>
  <c r="B369" i="6"/>
  <c r="C369" i="6" s="1"/>
  <c r="AC368" i="6"/>
  <c r="AD368" i="6" s="1"/>
  <c r="AA368" i="6"/>
  <c r="X368" i="6"/>
  <c r="W368" i="6"/>
  <c r="U368" i="6"/>
  <c r="R368" i="6"/>
  <c r="O368" i="6"/>
  <c r="N368" i="6"/>
  <c r="L368" i="6"/>
  <c r="H368" i="6"/>
  <c r="I368" i="6" s="1"/>
  <c r="F368" i="6"/>
  <c r="C368" i="6"/>
  <c r="AC367" i="6"/>
  <c r="AD367" i="6" s="1"/>
  <c r="AA367" i="6"/>
  <c r="X367" i="6"/>
  <c r="W367" i="6"/>
  <c r="U367" i="6"/>
  <c r="R367" i="6"/>
  <c r="O367" i="6"/>
  <c r="N367" i="6"/>
  <c r="L367" i="6"/>
  <c r="I367" i="6"/>
  <c r="H367" i="6"/>
  <c r="F367" i="6"/>
  <c r="C367" i="6"/>
  <c r="AC366" i="6"/>
  <c r="AD366" i="6" s="1"/>
  <c r="AA366" i="6"/>
  <c r="W366" i="6"/>
  <c r="X366" i="6" s="1"/>
  <c r="U366" i="6"/>
  <c r="R366" i="6"/>
  <c r="N366" i="6"/>
  <c r="O366" i="6" s="1"/>
  <c r="L366" i="6"/>
  <c r="H366" i="6"/>
  <c r="I366" i="6" s="1"/>
  <c r="F366" i="6"/>
  <c r="C366" i="6"/>
  <c r="AC365" i="6"/>
  <c r="AD365" i="6" s="1"/>
  <c r="AA365" i="6"/>
  <c r="W365" i="6"/>
  <c r="X365" i="6" s="1"/>
  <c r="U365" i="6"/>
  <c r="R365" i="6"/>
  <c r="O365" i="6"/>
  <c r="N365" i="6"/>
  <c r="L365" i="6"/>
  <c r="I365" i="6"/>
  <c r="H365" i="6"/>
  <c r="F365" i="6"/>
  <c r="C365" i="6"/>
  <c r="AC364" i="6"/>
  <c r="AD364" i="6" s="1"/>
  <c r="AA364" i="6"/>
  <c r="W364" i="6"/>
  <c r="X364" i="6" s="1"/>
  <c r="U364" i="6"/>
  <c r="R364" i="6"/>
  <c r="N364" i="6"/>
  <c r="O364" i="6" s="1"/>
  <c r="L364" i="6"/>
  <c r="H364" i="6"/>
  <c r="I364" i="6" s="1"/>
  <c r="F364" i="6"/>
  <c r="C364" i="6"/>
  <c r="AD363" i="6"/>
  <c r="AC363" i="6"/>
  <c r="AA363" i="6"/>
  <c r="X363" i="6"/>
  <c r="W363" i="6"/>
  <c r="U363" i="6"/>
  <c r="R363" i="6"/>
  <c r="N363" i="6"/>
  <c r="O363" i="6" s="1"/>
  <c r="L363" i="6"/>
  <c r="H363" i="6"/>
  <c r="I363" i="6" s="1"/>
  <c r="F363" i="6"/>
  <c r="C363" i="6"/>
  <c r="AD362" i="6"/>
  <c r="AC362" i="6"/>
  <c r="AA362" i="6"/>
  <c r="X362" i="6"/>
  <c r="W362" i="6"/>
  <c r="U362" i="6"/>
  <c r="R362" i="6"/>
  <c r="N362" i="6"/>
  <c r="O362" i="6" s="1"/>
  <c r="L362" i="6"/>
  <c r="H362" i="6"/>
  <c r="I362" i="6" s="1"/>
  <c r="F362" i="6"/>
  <c r="C362" i="6"/>
  <c r="AC361" i="6"/>
  <c r="AD361" i="6" s="1"/>
  <c r="AA361" i="6"/>
  <c r="W361" i="6"/>
  <c r="X361" i="6" s="1"/>
  <c r="U361" i="6"/>
  <c r="R361" i="6"/>
  <c r="O361" i="6"/>
  <c r="N361" i="6"/>
  <c r="L361" i="6"/>
  <c r="H361" i="6"/>
  <c r="I361" i="6" s="1"/>
  <c r="F361" i="6"/>
  <c r="C361" i="6"/>
  <c r="Z359" i="6"/>
  <c r="AA359" i="6" s="1"/>
  <c r="U359" i="6"/>
  <c r="T359" i="6"/>
  <c r="Q359" i="6"/>
  <c r="K359" i="6"/>
  <c r="L359" i="6" s="1"/>
  <c r="H359" i="6"/>
  <c r="I359" i="6" s="1"/>
  <c r="E359" i="6"/>
  <c r="F359" i="6" s="1"/>
  <c r="B359" i="6"/>
  <c r="AC358" i="6"/>
  <c r="AD358" i="6" s="1"/>
  <c r="AA358" i="6"/>
  <c r="W358" i="6"/>
  <c r="X358" i="6" s="1"/>
  <c r="U358" i="6"/>
  <c r="R358" i="6"/>
  <c r="O358" i="6"/>
  <c r="N358" i="6"/>
  <c r="L358" i="6"/>
  <c r="I358" i="6"/>
  <c r="H358" i="6"/>
  <c r="F358" i="6"/>
  <c r="C358" i="6"/>
  <c r="AC357" i="6"/>
  <c r="AD357" i="6" s="1"/>
  <c r="AA357" i="6"/>
  <c r="W357" i="6"/>
  <c r="X357" i="6" s="1"/>
  <c r="U357" i="6"/>
  <c r="R357" i="6"/>
  <c r="O357" i="6"/>
  <c r="N357" i="6"/>
  <c r="L357" i="6"/>
  <c r="I357" i="6"/>
  <c r="H357" i="6"/>
  <c r="F357" i="6"/>
  <c r="C357" i="6"/>
  <c r="AC356" i="6"/>
  <c r="AD356" i="6" s="1"/>
  <c r="AA356" i="6"/>
  <c r="X356" i="6"/>
  <c r="W356" i="6"/>
  <c r="U356" i="6"/>
  <c r="R356" i="6"/>
  <c r="O356" i="6"/>
  <c r="N356" i="6"/>
  <c r="L356" i="6"/>
  <c r="H356" i="6"/>
  <c r="I356" i="6" s="1"/>
  <c r="F356" i="6"/>
  <c r="C356" i="6"/>
  <c r="AC355" i="6"/>
  <c r="AD355" i="6" s="1"/>
  <c r="AA355" i="6"/>
  <c r="X355" i="6"/>
  <c r="W355" i="6"/>
  <c r="U355" i="6"/>
  <c r="R355" i="6"/>
  <c r="O355" i="6"/>
  <c r="N355" i="6"/>
  <c r="L355" i="6"/>
  <c r="I355" i="6"/>
  <c r="H355" i="6"/>
  <c r="F355" i="6"/>
  <c r="C355" i="6"/>
  <c r="AC354" i="6"/>
  <c r="AD354" i="6" s="1"/>
  <c r="AA354" i="6"/>
  <c r="W354" i="6"/>
  <c r="X354" i="6" s="1"/>
  <c r="U354" i="6"/>
  <c r="R354" i="6"/>
  <c r="O354" i="6"/>
  <c r="N354" i="6"/>
  <c r="L354" i="6"/>
  <c r="H354" i="6"/>
  <c r="I354" i="6" s="1"/>
  <c r="F354" i="6"/>
  <c r="C354" i="6"/>
  <c r="AC353" i="6"/>
  <c r="AD353" i="6" s="1"/>
  <c r="AA353" i="6"/>
  <c r="X353" i="6"/>
  <c r="W353" i="6"/>
  <c r="U353" i="6"/>
  <c r="R353" i="6"/>
  <c r="O353" i="6"/>
  <c r="N353" i="6"/>
  <c r="L353" i="6"/>
  <c r="H353" i="6"/>
  <c r="I353" i="6" s="1"/>
  <c r="F353" i="6"/>
  <c r="C353" i="6"/>
  <c r="AC352" i="6"/>
  <c r="AD352" i="6" s="1"/>
  <c r="AA352" i="6"/>
  <c r="W352" i="6"/>
  <c r="X352" i="6" s="1"/>
  <c r="U352" i="6"/>
  <c r="R352" i="6"/>
  <c r="N352" i="6"/>
  <c r="O352" i="6" s="1"/>
  <c r="L352" i="6"/>
  <c r="H352" i="6"/>
  <c r="I352" i="6" s="1"/>
  <c r="F352" i="6"/>
  <c r="C352" i="6"/>
  <c r="AD351" i="6"/>
  <c r="AC351" i="6"/>
  <c r="AA351" i="6"/>
  <c r="X351" i="6"/>
  <c r="W351" i="6"/>
  <c r="U351" i="6"/>
  <c r="R351" i="6"/>
  <c r="N351" i="6"/>
  <c r="O351" i="6" s="1"/>
  <c r="L351" i="6"/>
  <c r="H351" i="6"/>
  <c r="I351" i="6" s="1"/>
  <c r="F351" i="6"/>
  <c r="C351" i="6"/>
  <c r="AD350" i="6"/>
  <c r="AC350" i="6"/>
  <c r="AA350" i="6"/>
  <c r="X350" i="6"/>
  <c r="W350" i="6"/>
  <c r="U350" i="6"/>
  <c r="R350" i="6"/>
  <c r="N350" i="6"/>
  <c r="O350" i="6" s="1"/>
  <c r="L350" i="6"/>
  <c r="H350" i="6"/>
  <c r="I350" i="6" s="1"/>
  <c r="F350" i="6"/>
  <c r="C350" i="6"/>
  <c r="AC348" i="6"/>
  <c r="AD348" i="6" s="1"/>
  <c r="AA348" i="6"/>
  <c r="W348" i="6"/>
  <c r="X348" i="6" s="1"/>
  <c r="U348" i="6"/>
  <c r="R348" i="6"/>
  <c r="O348" i="6"/>
  <c r="N348" i="6"/>
  <c r="L348" i="6"/>
  <c r="H348" i="6"/>
  <c r="I348" i="6" s="1"/>
  <c r="F348" i="6"/>
  <c r="C348" i="6"/>
  <c r="AC345" i="6"/>
  <c r="AD345" i="6" s="1"/>
  <c r="AA345" i="6"/>
  <c r="Z345" i="6"/>
  <c r="X345" i="6"/>
  <c r="W345" i="6"/>
  <c r="T345" i="6"/>
  <c r="U345" i="6" s="1"/>
  <c r="R345" i="6"/>
  <c r="Q345" i="6"/>
  <c r="K345" i="6"/>
  <c r="L345" i="6" s="1"/>
  <c r="F345" i="6"/>
  <c r="E345" i="6"/>
  <c r="H345" i="6" s="1"/>
  <c r="I345" i="6" s="1"/>
  <c r="B345" i="6"/>
  <c r="C345" i="6" s="1"/>
  <c r="Z344" i="6"/>
  <c r="AA344" i="6" s="1"/>
  <c r="X344" i="6"/>
  <c r="W344" i="6"/>
  <c r="U344" i="6"/>
  <c r="T344" i="6"/>
  <c r="Q344" i="6"/>
  <c r="R344" i="6" s="1"/>
  <c r="L344" i="6"/>
  <c r="K344" i="6"/>
  <c r="H344" i="6"/>
  <c r="I344" i="6" s="1"/>
  <c r="E344" i="6"/>
  <c r="F344" i="6" s="1"/>
  <c r="B344" i="6"/>
  <c r="C344" i="6" s="1"/>
  <c r="AC343" i="6"/>
  <c r="AD343" i="6" s="1"/>
  <c r="Z343" i="6"/>
  <c r="AA343" i="6" s="1"/>
  <c r="T343" i="6"/>
  <c r="U343" i="6" s="1"/>
  <c r="R343" i="6"/>
  <c r="Q343" i="6"/>
  <c r="O343" i="6"/>
  <c r="N343" i="6"/>
  <c r="L343" i="6"/>
  <c r="K343" i="6"/>
  <c r="E343" i="6"/>
  <c r="F343" i="6" s="1"/>
  <c r="B343" i="6"/>
  <c r="AD342" i="6"/>
  <c r="AC342" i="6"/>
  <c r="AA342" i="6"/>
  <c r="W342" i="6"/>
  <c r="X342" i="6" s="1"/>
  <c r="U342" i="6"/>
  <c r="R342" i="6"/>
  <c r="O342" i="6"/>
  <c r="N342" i="6"/>
  <c r="L342" i="6"/>
  <c r="H342" i="6"/>
  <c r="I342" i="6" s="1"/>
  <c r="F342" i="6"/>
  <c r="C342" i="6"/>
  <c r="AD341" i="6"/>
  <c r="AC341" i="6"/>
  <c r="AA341" i="6"/>
  <c r="X341" i="6"/>
  <c r="W341" i="6"/>
  <c r="U341" i="6"/>
  <c r="R341" i="6"/>
  <c r="N341" i="6"/>
  <c r="O341" i="6" s="1"/>
  <c r="L341" i="6"/>
  <c r="I341" i="6"/>
  <c r="H341" i="6"/>
  <c r="F341" i="6"/>
  <c r="C341" i="6"/>
  <c r="AC340" i="6"/>
  <c r="AD340" i="6" s="1"/>
  <c r="AA340" i="6"/>
  <c r="W340" i="6"/>
  <c r="X340" i="6" s="1"/>
  <c r="U340" i="6"/>
  <c r="R340" i="6"/>
  <c r="O340" i="6"/>
  <c r="N340" i="6"/>
  <c r="L340" i="6"/>
  <c r="I340" i="6"/>
  <c r="H340" i="6"/>
  <c r="F340" i="6"/>
  <c r="C340" i="6"/>
  <c r="AC339" i="6"/>
  <c r="AD339" i="6" s="1"/>
  <c r="AA339" i="6"/>
  <c r="W339" i="6"/>
  <c r="X339" i="6" s="1"/>
  <c r="U339" i="6"/>
  <c r="R339" i="6"/>
  <c r="O339" i="6"/>
  <c r="N339" i="6"/>
  <c r="L339" i="6"/>
  <c r="I339" i="6"/>
  <c r="H339" i="6"/>
  <c r="F339" i="6"/>
  <c r="C339" i="6"/>
  <c r="AC338" i="6"/>
  <c r="AD338" i="6" s="1"/>
  <c r="AA338" i="6"/>
  <c r="W338" i="6"/>
  <c r="X338" i="6" s="1"/>
  <c r="U338" i="6"/>
  <c r="R338" i="6"/>
  <c r="O338" i="6"/>
  <c r="N338" i="6"/>
  <c r="L338" i="6"/>
  <c r="H338" i="6"/>
  <c r="I338" i="6" s="1"/>
  <c r="F338" i="6"/>
  <c r="C338" i="6"/>
  <c r="AC336" i="6"/>
  <c r="AD336" i="6" s="1"/>
  <c r="AA336" i="6"/>
  <c r="X336" i="6"/>
  <c r="W336" i="6"/>
  <c r="U336" i="6"/>
  <c r="R336" i="6"/>
  <c r="O336" i="6"/>
  <c r="N336" i="6"/>
  <c r="L336" i="6"/>
  <c r="I336" i="6"/>
  <c r="H336" i="6"/>
  <c r="F336" i="6"/>
  <c r="C336" i="6"/>
  <c r="AD335" i="6"/>
  <c r="AC335" i="6"/>
  <c r="AA335" i="6"/>
  <c r="X335" i="6"/>
  <c r="W335" i="6"/>
  <c r="U335" i="6"/>
  <c r="R335" i="6"/>
  <c r="N335" i="6"/>
  <c r="O335" i="6" s="1"/>
  <c r="L335" i="6"/>
  <c r="H335" i="6"/>
  <c r="I335" i="6" s="1"/>
  <c r="F335" i="6"/>
  <c r="C335" i="6"/>
  <c r="AC334" i="6"/>
  <c r="AD334" i="6" s="1"/>
  <c r="AA334" i="6"/>
  <c r="W334" i="6"/>
  <c r="X334" i="6" s="1"/>
  <c r="U334" i="6"/>
  <c r="R334" i="6"/>
  <c r="O334" i="6"/>
  <c r="N334" i="6"/>
  <c r="L334" i="6"/>
  <c r="I334" i="6"/>
  <c r="H334" i="6"/>
  <c r="F334" i="6"/>
  <c r="C334" i="6"/>
  <c r="AD333" i="6"/>
  <c r="AC333" i="6"/>
  <c r="AA333" i="6"/>
  <c r="W333" i="6"/>
  <c r="X333" i="6" s="1"/>
  <c r="U333" i="6"/>
  <c r="R333" i="6"/>
  <c r="N333" i="6"/>
  <c r="O333" i="6" s="1"/>
  <c r="L333" i="6"/>
  <c r="H333" i="6"/>
  <c r="I333" i="6" s="1"/>
  <c r="F333" i="6"/>
  <c r="C333" i="6"/>
  <c r="AD332" i="6"/>
  <c r="AC332" i="6"/>
  <c r="AA332" i="6"/>
  <c r="X332" i="6"/>
  <c r="W332" i="6"/>
  <c r="U332" i="6"/>
  <c r="R332" i="6"/>
  <c r="N332" i="6"/>
  <c r="O332" i="6" s="1"/>
  <c r="L332" i="6"/>
  <c r="H332" i="6"/>
  <c r="I332" i="6" s="1"/>
  <c r="F332" i="6"/>
  <c r="C332" i="6"/>
  <c r="AD331" i="6"/>
  <c r="AC331" i="6"/>
  <c r="AA331" i="6"/>
  <c r="X331" i="6"/>
  <c r="W331" i="6"/>
  <c r="U331" i="6"/>
  <c r="R331" i="6"/>
  <c r="N331" i="6"/>
  <c r="O331" i="6" s="1"/>
  <c r="L331" i="6"/>
  <c r="I331" i="6"/>
  <c r="H331" i="6"/>
  <c r="F331" i="6"/>
  <c r="C331" i="6"/>
  <c r="AC330" i="6"/>
  <c r="AD330" i="6" s="1"/>
  <c r="AA330" i="6"/>
  <c r="W330" i="6"/>
  <c r="X330" i="6" s="1"/>
  <c r="U330" i="6"/>
  <c r="R330" i="6"/>
  <c r="O330" i="6"/>
  <c r="N330" i="6"/>
  <c r="L330" i="6"/>
  <c r="H330" i="6"/>
  <c r="I330" i="6" s="1"/>
  <c r="F330" i="6"/>
  <c r="C330" i="6"/>
  <c r="AD329" i="6"/>
  <c r="AC329" i="6"/>
  <c r="AA329" i="6"/>
  <c r="X329" i="6"/>
  <c r="W329" i="6"/>
  <c r="U329" i="6"/>
  <c r="R329" i="6"/>
  <c r="O329" i="6"/>
  <c r="N329" i="6"/>
  <c r="L329" i="6"/>
  <c r="H329" i="6"/>
  <c r="I329" i="6" s="1"/>
  <c r="F329" i="6"/>
  <c r="C329" i="6"/>
  <c r="AC326" i="6"/>
  <c r="AD326" i="6" s="1"/>
  <c r="AA326" i="6"/>
  <c r="Z326" i="6"/>
  <c r="T326" i="6"/>
  <c r="U326" i="6" s="1"/>
  <c r="Q326" i="6"/>
  <c r="K326" i="6"/>
  <c r="L326" i="6" s="1"/>
  <c r="F326" i="6"/>
  <c r="E326" i="6"/>
  <c r="C326" i="6"/>
  <c r="B326" i="6"/>
  <c r="H326" i="6" s="1"/>
  <c r="I326" i="6" s="1"/>
  <c r="AA325" i="6"/>
  <c r="Z325" i="6"/>
  <c r="T325" i="6"/>
  <c r="U325" i="6" s="1"/>
  <c r="Q325" i="6"/>
  <c r="K325" i="6"/>
  <c r="L325" i="6" s="1"/>
  <c r="E325" i="6"/>
  <c r="F325" i="6" s="1"/>
  <c r="B325" i="6"/>
  <c r="AD324" i="6"/>
  <c r="AC324" i="6"/>
  <c r="AA324" i="6"/>
  <c r="X324" i="6"/>
  <c r="W324" i="6"/>
  <c r="U324" i="6"/>
  <c r="R324" i="6"/>
  <c r="N324" i="6"/>
  <c r="O324" i="6" s="1"/>
  <c r="L324" i="6"/>
  <c r="I324" i="6"/>
  <c r="H324" i="6"/>
  <c r="F324" i="6"/>
  <c r="C324" i="6"/>
  <c r="AC323" i="6"/>
  <c r="AD323" i="6" s="1"/>
  <c r="AA323" i="6"/>
  <c r="W323" i="6"/>
  <c r="X323" i="6" s="1"/>
  <c r="U323" i="6"/>
  <c r="R323" i="6"/>
  <c r="N323" i="6"/>
  <c r="O323" i="6" s="1"/>
  <c r="L323" i="6"/>
  <c r="I323" i="6"/>
  <c r="H323" i="6"/>
  <c r="F323" i="6"/>
  <c r="C323" i="6"/>
  <c r="AC322" i="6"/>
  <c r="AD322" i="6" s="1"/>
  <c r="AA322" i="6"/>
  <c r="X322" i="6"/>
  <c r="W322" i="6"/>
  <c r="U322" i="6"/>
  <c r="R322" i="6"/>
  <c r="O322" i="6"/>
  <c r="N322" i="6"/>
  <c r="L322" i="6"/>
  <c r="H322" i="6"/>
  <c r="I322" i="6" s="1"/>
  <c r="F322" i="6"/>
  <c r="C322" i="6"/>
  <c r="AC321" i="6"/>
  <c r="AD321" i="6" s="1"/>
  <c r="AA321" i="6"/>
  <c r="W321" i="6"/>
  <c r="X321" i="6" s="1"/>
  <c r="U321" i="6"/>
  <c r="R321" i="6"/>
  <c r="O321" i="6"/>
  <c r="N321" i="6"/>
  <c r="L321" i="6"/>
  <c r="H321" i="6"/>
  <c r="I321" i="6" s="1"/>
  <c r="F321" i="6"/>
  <c r="C321" i="6"/>
  <c r="AD320" i="6"/>
  <c r="AC320" i="6"/>
  <c r="AA320" i="6"/>
  <c r="X320" i="6"/>
  <c r="W320" i="6"/>
  <c r="U320" i="6"/>
  <c r="R320" i="6"/>
  <c r="O320" i="6"/>
  <c r="N320" i="6"/>
  <c r="L320" i="6"/>
  <c r="I320" i="6"/>
  <c r="H320" i="6"/>
  <c r="F320" i="6"/>
  <c r="C320" i="6"/>
  <c r="AC319" i="6"/>
  <c r="AD319" i="6" s="1"/>
  <c r="AA319" i="6"/>
  <c r="X319" i="6"/>
  <c r="W319" i="6"/>
  <c r="U319" i="6"/>
  <c r="R319" i="6"/>
  <c r="O319" i="6"/>
  <c r="N319" i="6"/>
  <c r="L319" i="6"/>
  <c r="I319" i="6"/>
  <c r="H319" i="6"/>
  <c r="F319" i="6"/>
  <c r="C319" i="6"/>
  <c r="AC318" i="6"/>
  <c r="AD318" i="6" s="1"/>
  <c r="AA318" i="6"/>
  <c r="W318" i="6"/>
  <c r="X318" i="6" s="1"/>
  <c r="U318" i="6"/>
  <c r="R318" i="6"/>
  <c r="O318" i="6"/>
  <c r="N318" i="6"/>
  <c r="L318" i="6"/>
  <c r="I318" i="6"/>
  <c r="H318" i="6"/>
  <c r="F318" i="6"/>
  <c r="C318" i="6"/>
  <c r="AD317" i="6"/>
  <c r="AC317" i="6"/>
  <c r="AA317" i="6"/>
  <c r="W317" i="6"/>
  <c r="X317" i="6" s="1"/>
  <c r="U317" i="6"/>
  <c r="R317" i="6"/>
  <c r="N317" i="6"/>
  <c r="O317" i="6" s="1"/>
  <c r="L317" i="6"/>
  <c r="H317" i="6"/>
  <c r="I317" i="6" s="1"/>
  <c r="F317" i="6"/>
  <c r="C317" i="6"/>
  <c r="AC316" i="6"/>
  <c r="AD316" i="6" s="1"/>
  <c r="AA316" i="6"/>
  <c r="X316" i="6"/>
  <c r="W316" i="6"/>
  <c r="U316" i="6"/>
  <c r="R316" i="6"/>
  <c r="O316" i="6"/>
  <c r="N316" i="6"/>
  <c r="L316" i="6"/>
  <c r="H316" i="6"/>
  <c r="I316" i="6" s="1"/>
  <c r="F316" i="6"/>
  <c r="C316" i="6"/>
  <c r="AC315" i="6"/>
  <c r="AD315" i="6" s="1"/>
  <c r="AA315" i="6"/>
  <c r="X315" i="6"/>
  <c r="W315" i="6"/>
  <c r="U315" i="6"/>
  <c r="R315" i="6"/>
  <c r="N315" i="6"/>
  <c r="O315" i="6" s="1"/>
  <c r="L315" i="6"/>
  <c r="H315" i="6"/>
  <c r="I315" i="6" s="1"/>
  <c r="F315" i="6"/>
  <c r="C315" i="6"/>
  <c r="AC314" i="6"/>
  <c r="AD314" i="6" s="1"/>
  <c r="AA314" i="6"/>
  <c r="W314" i="6"/>
  <c r="X314" i="6" s="1"/>
  <c r="U314" i="6"/>
  <c r="R314" i="6"/>
  <c r="O314" i="6"/>
  <c r="N314" i="6"/>
  <c r="L314" i="6"/>
  <c r="H314" i="6"/>
  <c r="I314" i="6" s="1"/>
  <c r="F314" i="6"/>
  <c r="C314" i="6"/>
  <c r="AC313" i="6"/>
  <c r="AD313" i="6" s="1"/>
  <c r="AA313" i="6"/>
  <c r="X313" i="6"/>
  <c r="W313" i="6"/>
  <c r="U313" i="6"/>
  <c r="R313" i="6"/>
  <c r="N313" i="6"/>
  <c r="O313" i="6" s="1"/>
  <c r="L313" i="6"/>
  <c r="H313" i="6"/>
  <c r="I313" i="6" s="1"/>
  <c r="F313" i="6"/>
  <c r="C313" i="6"/>
  <c r="AC312" i="6"/>
  <c r="AD312" i="6" s="1"/>
  <c r="AA312" i="6"/>
  <c r="X312" i="6"/>
  <c r="W312" i="6"/>
  <c r="U312" i="6"/>
  <c r="R312" i="6"/>
  <c r="N312" i="6"/>
  <c r="O312" i="6" s="1"/>
  <c r="L312" i="6"/>
  <c r="H312" i="6"/>
  <c r="I312" i="6" s="1"/>
  <c r="F312" i="6"/>
  <c r="C312" i="6"/>
  <c r="AD311" i="6"/>
  <c r="AC311" i="6"/>
  <c r="AA311" i="6"/>
  <c r="X311" i="6"/>
  <c r="W311" i="6"/>
  <c r="U311" i="6"/>
  <c r="R311" i="6"/>
  <c r="N311" i="6"/>
  <c r="O311" i="6" s="1"/>
  <c r="L311" i="6"/>
  <c r="H311" i="6"/>
  <c r="I311" i="6" s="1"/>
  <c r="F311" i="6"/>
  <c r="C311" i="6"/>
  <c r="AC310" i="6"/>
  <c r="AD310" i="6" s="1"/>
  <c r="AA310" i="6"/>
  <c r="X310" i="6"/>
  <c r="W310" i="6"/>
  <c r="U310" i="6"/>
  <c r="R310" i="6"/>
  <c r="O310" i="6"/>
  <c r="N310" i="6"/>
  <c r="L310" i="6"/>
  <c r="H310" i="6"/>
  <c r="I310" i="6" s="1"/>
  <c r="F310" i="6"/>
  <c r="C310" i="6"/>
  <c r="AD309" i="6"/>
  <c r="AC309" i="6"/>
  <c r="AA309" i="6"/>
  <c r="X309" i="6"/>
  <c r="W309" i="6"/>
  <c r="U309" i="6"/>
  <c r="R309" i="6"/>
  <c r="N309" i="6"/>
  <c r="O309" i="6" s="1"/>
  <c r="L309" i="6"/>
  <c r="H309" i="6"/>
  <c r="I309" i="6" s="1"/>
  <c r="F309" i="6"/>
  <c r="C309" i="6"/>
  <c r="AD308" i="6"/>
  <c r="AC308" i="6"/>
  <c r="AA308" i="6"/>
  <c r="X308" i="6"/>
  <c r="W308" i="6"/>
  <c r="U308" i="6"/>
  <c r="R308" i="6"/>
  <c r="O308" i="6"/>
  <c r="N308" i="6"/>
  <c r="L308" i="6"/>
  <c r="H308" i="6"/>
  <c r="I308" i="6" s="1"/>
  <c r="F308" i="6"/>
  <c r="C308" i="6"/>
  <c r="AD307" i="6"/>
  <c r="AC307" i="6"/>
  <c r="AA307" i="6"/>
  <c r="W307" i="6"/>
  <c r="X307" i="6" s="1"/>
  <c r="U307" i="6"/>
  <c r="R307" i="6"/>
  <c r="N307" i="6"/>
  <c r="O307" i="6" s="1"/>
  <c r="L307" i="6"/>
  <c r="I307" i="6"/>
  <c r="H307" i="6"/>
  <c r="F307" i="6"/>
  <c r="C307" i="6"/>
  <c r="AC306" i="6"/>
  <c r="AD306" i="6" s="1"/>
  <c r="AA306" i="6"/>
  <c r="X306" i="6"/>
  <c r="W306" i="6"/>
  <c r="U306" i="6"/>
  <c r="R306" i="6"/>
  <c r="O306" i="6"/>
  <c r="N306" i="6"/>
  <c r="L306" i="6"/>
  <c r="H306" i="6"/>
  <c r="I306" i="6" s="1"/>
  <c r="F306" i="6"/>
  <c r="C306" i="6"/>
  <c r="AC305" i="6"/>
  <c r="AD305" i="6" s="1"/>
  <c r="AA305" i="6"/>
  <c r="W305" i="6"/>
  <c r="X305" i="6" s="1"/>
  <c r="U305" i="6"/>
  <c r="R305" i="6"/>
  <c r="O305" i="6"/>
  <c r="N305" i="6"/>
  <c r="L305" i="6"/>
  <c r="H305" i="6"/>
  <c r="I305" i="6" s="1"/>
  <c r="F305" i="6"/>
  <c r="C305" i="6"/>
  <c r="AC304" i="6"/>
  <c r="AD304" i="6" s="1"/>
  <c r="AA304" i="6"/>
  <c r="X304" i="6"/>
  <c r="W304" i="6"/>
  <c r="U304" i="6"/>
  <c r="R304" i="6"/>
  <c r="O304" i="6"/>
  <c r="N304" i="6"/>
  <c r="L304" i="6"/>
  <c r="I304" i="6"/>
  <c r="H304" i="6"/>
  <c r="F304" i="6"/>
  <c r="C304" i="6"/>
  <c r="AC303" i="6"/>
  <c r="AD303" i="6" s="1"/>
  <c r="AA303" i="6"/>
  <c r="W303" i="6"/>
  <c r="X303" i="6" s="1"/>
  <c r="U303" i="6"/>
  <c r="R303" i="6"/>
  <c r="O303" i="6"/>
  <c r="N303" i="6"/>
  <c r="L303" i="6"/>
  <c r="I303" i="6"/>
  <c r="H303" i="6"/>
  <c r="F303" i="6"/>
  <c r="C303" i="6"/>
  <c r="AC302" i="6"/>
  <c r="AD302" i="6" s="1"/>
  <c r="AA302" i="6"/>
  <c r="W302" i="6"/>
  <c r="X302" i="6" s="1"/>
  <c r="U302" i="6"/>
  <c r="R302" i="6"/>
  <c r="O302" i="6"/>
  <c r="N302" i="6"/>
  <c r="L302" i="6"/>
  <c r="I302" i="6"/>
  <c r="H302" i="6"/>
  <c r="F302" i="6"/>
  <c r="C302" i="6"/>
  <c r="AD301" i="6"/>
  <c r="AC301" i="6"/>
  <c r="AA301" i="6"/>
  <c r="W301" i="6"/>
  <c r="X301" i="6" s="1"/>
  <c r="U301" i="6"/>
  <c r="R301" i="6"/>
  <c r="O301" i="6"/>
  <c r="N301" i="6"/>
  <c r="L301" i="6"/>
  <c r="H301" i="6"/>
  <c r="I301" i="6" s="1"/>
  <c r="F301" i="6"/>
  <c r="C301" i="6"/>
  <c r="AC300" i="6"/>
  <c r="AD300" i="6" s="1"/>
  <c r="AA300" i="6"/>
  <c r="X300" i="6"/>
  <c r="W300" i="6"/>
  <c r="U300" i="6"/>
  <c r="R300" i="6"/>
  <c r="O300" i="6"/>
  <c r="N300" i="6"/>
  <c r="L300" i="6"/>
  <c r="H300" i="6"/>
  <c r="I300" i="6" s="1"/>
  <c r="F300" i="6"/>
  <c r="C300" i="6"/>
  <c r="AC299" i="6"/>
  <c r="AD299" i="6" s="1"/>
  <c r="AA299" i="6"/>
  <c r="X299" i="6"/>
  <c r="W299" i="6"/>
  <c r="U299" i="6"/>
  <c r="R299" i="6"/>
  <c r="N299" i="6"/>
  <c r="O299" i="6" s="1"/>
  <c r="L299" i="6"/>
  <c r="H299" i="6"/>
  <c r="I299" i="6" s="1"/>
  <c r="F299" i="6"/>
  <c r="C299" i="6"/>
  <c r="AC298" i="6"/>
  <c r="AD298" i="6" s="1"/>
  <c r="AA298" i="6"/>
  <c r="W298" i="6"/>
  <c r="X298" i="6" s="1"/>
  <c r="U298" i="6"/>
  <c r="R298" i="6"/>
  <c r="O298" i="6"/>
  <c r="N298" i="6"/>
  <c r="L298" i="6"/>
  <c r="H298" i="6"/>
  <c r="I298" i="6" s="1"/>
  <c r="F298" i="6"/>
  <c r="C298" i="6"/>
  <c r="AC296" i="6"/>
  <c r="AD296" i="6" s="1"/>
  <c r="Z296" i="6"/>
  <c r="AA296" i="6" s="1"/>
  <c r="T296" i="6"/>
  <c r="U296" i="6" s="1"/>
  <c r="Q296" i="6"/>
  <c r="L296" i="6"/>
  <c r="K296" i="6"/>
  <c r="F296" i="6"/>
  <c r="E296" i="6"/>
  <c r="B296" i="6"/>
  <c r="AD295" i="6"/>
  <c r="AC295" i="6"/>
  <c r="AA295" i="6"/>
  <c r="W295" i="6"/>
  <c r="X295" i="6" s="1"/>
  <c r="U295" i="6"/>
  <c r="R295" i="6"/>
  <c r="O295" i="6"/>
  <c r="N295" i="6"/>
  <c r="L295" i="6"/>
  <c r="I295" i="6"/>
  <c r="H295" i="6"/>
  <c r="F295" i="6"/>
  <c r="C295" i="6"/>
  <c r="AC294" i="6"/>
  <c r="AD294" i="6" s="1"/>
  <c r="AA294" i="6"/>
  <c r="W294" i="6"/>
  <c r="X294" i="6" s="1"/>
  <c r="U294" i="6"/>
  <c r="R294" i="6"/>
  <c r="O294" i="6"/>
  <c r="N294" i="6"/>
  <c r="L294" i="6"/>
  <c r="I294" i="6"/>
  <c r="H294" i="6"/>
  <c r="F294" i="6"/>
  <c r="C294" i="6"/>
  <c r="AC293" i="6"/>
  <c r="AD293" i="6" s="1"/>
  <c r="AA293" i="6"/>
  <c r="W293" i="6"/>
  <c r="X293" i="6" s="1"/>
  <c r="U293" i="6"/>
  <c r="R293" i="6"/>
  <c r="O293" i="6"/>
  <c r="N293" i="6"/>
  <c r="L293" i="6"/>
  <c r="H293" i="6"/>
  <c r="I293" i="6" s="1"/>
  <c r="F293" i="6"/>
  <c r="C293" i="6"/>
  <c r="AC292" i="6"/>
  <c r="AD292" i="6" s="1"/>
  <c r="AA292" i="6"/>
  <c r="X292" i="6"/>
  <c r="W292" i="6"/>
  <c r="U292" i="6"/>
  <c r="R292" i="6"/>
  <c r="N292" i="6"/>
  <c r="O292" i="6" s="1"/>
  <c r="L292" i="6"/>
  <c r="I292" i="6"/>
  <c r="H292" i="6"/>
  <c r="F292" i="6"/>
  <c r="C292" i="6"/>
  <c r="AC291" i="6"/>
  <c r="AD291" i="6" s="1"/>
  <c r="AA291" i="6"/>
  <c r="X291" i="6"/>
  <c r="W291" i="6"/>
  <c r="U291" i="6"/>
  <c r="R291" i="6"/>
  <c r="O291" i="6"/>
  <c r="N291" i="6"/>
  <c r="L291" i="6"/>
  <c r="H291" i="6"/>
  <c r="I291" i="6" s="1"/>
  <c r="F291" i="6"/>
  <c r="C291" i="6"/>
  <c r="AC290" i="6"/>
  <c r="AD290" i="6" s="1"/>
  <c r="AA290" i="6"/>
  <c r="W290" i="6"/>
  <c r="X290" i="6" s="1"/>
  <c r="U290" i="6"/>
  <c r="R290" i="6"/>
  <c r="O290" i="6"/>
  <c r="N290" i="6"/>
  <c r="L290" i="6"/>
  <c r="I290" i="6"/>
  <c r="H290" i="6"/>
  <c r="F290" i="6"/>
  <c r="C290" i="6"/>
  <c r="AC289" i="6"/>
  <c r="AD289" i="6" s="1"/>
  <c r="AA289" i="6"/>
  <c r="W289" i="6"/>
  <c r="X289" i="6" s="1"/>
  <c r="U289" i="6"/>
  <c r="R289" i="6"/>
  <c r="N289" i="6"/>
  <c r="O289" i="6" s="1"/>
  <c r="L289" i="6"/>
  <c r="H289" i="6"/>
  <c r="I289" i="6" s="1"/>
  <c r="F289" i="6"/>
  <c r="C289" i="6"/>
  <c r="AC288" i="6"/>
  <c r="AD288" i="6" s="1"/>
  <c r="AA288" i="6"/>
  <c r="X288" i="6"/>
  <c r="W288" i="6"/>
  <c r="U288" i="6"/>
  <c r="R288" i="6"/>
  <c r="O288" i="6"/>
  <c r="N288" i="6"/>
  <c r="L288" i="6"/>
  <c r="I288" i="6"/>
  <c r="H288" i="6"/>
  <c r="F288" i="6"/>
  <c r="C288" i="6"/>
  <c r="AC287" i="6"/>
  <c r="AD287" i="6" s="1"/>
  <c r="AA287" i="6"/>
  <c r="X287" i="6"/>
  <c r="W287" i="6"/>
  <c r="U287" i="6"/>
  <c r="R287" i="6"/>
  <c r="N287" i="6"/>
  <c r="O287" i="6" s="1"/>
  <c r="L287" i="6"/>
  <c r="H287" i="6"/>
  <c r="I287" i="6" s="1"/>
  <c r="F287" i="6"/>
  <c r="C287" i="6"/>
  <c r="AC285" i="6"/>
  <c r="AD285" i="6" s="1"/>
  <c r="Z285" i="6"/>
  <c r="AA285" i="6" s="1"/>
  <c r="U285" i="6"/>
  <c r="T285" i="6"/>
  <c r="Q285" i="6"/>
  <c r="K285" i="6"/>
  <c r="L285" i="6" s="1"/>
  <c r="H285" i="6"/>
  <c r="I285" i="6" s="1"/>
  <c r="E285" i="6"/>
  <c r="F285" i="6" s="1"/>
  <c r="B285" i="6"/>
  <c r="AC284" i="6"/>
  <c r="AD284" i="6" s="1"/>
  <c r="AA284" i="6"/>
  <c r="X284" i="6"/>
  <c r="W284" i="6"/>
  <c r="U284" i="6"/>
  <c r="R284" i="6"/>
  <c r="O284" i="6"/>
  <c r="N284" i="6"/>
  <c r="L284" i="6"/>
  <c r="I284" i="6"/>
  <c r="H284" i="6"/>
  <c r="F284" i="6"/>
  <c r="C284" i="6"/>
  <c r="AD283" i="6"/>
  <c r="AC283" i="6"/>
  <c r="AA283" i="6"/>
  <c r="W283" i="6"/>
  <c r="X283" i="6" s="1"/>
  <c r="U283" i="6"/>
  <c r="R283" i="6"/>
  <c r="N283" i="6"/>
  <c r="O283" i="6" s="1"/>
  <c r="L283" i="6"/>
  <c r="H283" i="6"/>
  <c r="I283" i="6" s="1"/>
  <c r="F283" i="6"/>
  <c r="C283" i="6"/>
  <c r="AC282" i="6"/>
  <c r="AD282" i="6" s="1"/>
  <c r="AA282" i="6"/>
  <c r="W282" i="6"/>
  <c r="X282" i="6" s="1"/>
  <c r="U282" i="6"/>
  <c r="R282" i="6"/>
  <c r="O282" i="6"/>
  <c r="N282" i="6"/>
  <c r="L282" i="6"/>
  <c r="I282" i="6"/>
  <c r="H282" i="6"/>
  <c r="F282" i="6"/>
  <c r="C282" i="6"/>
  <c r="AC281" i="6"/>
  <c r="AD281" i="6" s="1"/>
  <c r="AA281" i="6"/>
  <c r="W281" i="6"/>
  <c r="X281" i="6" s="1"/>
  <c r="U281" i="6"/>
  <c r="R281" i="6"/>
  <c r="N281" i="6"/>
  <c r="O281" i="6" s="1"/>
  <c r="L281" i="6"/>
  <c r="H281" i="6"/>
  <c r="I281" i="6" s="1"/>
  <c r="F281" i="6"/>
  <c r="C281" i="6"/>
  <c r="AD280" i="6"/>
  <c r="AC280" i="6"/>
  <c r="AA280" i="6"/>
  <c r="X280" i="6"/>
  <c r="W280" i="6"/>
  <c r="U280" i="6"/>
  <c r="R280" i="6"/>
  <c r="N280" i="6"/>
  <c r="O280" i="6" s="1"/>
  <c r="L280" i="6"/>
  <c r="H280" i="6"/>
  <c r="I280" i="6" s="1"/>
  <c r="F280" i="6"/>
  <c r="C280" i="6"/>
  <c r="AC279" i="6"/>
  <c r="AD279" i="6" s="1"/>
  <c r="AA279" i="6"/>
  <c r="X279" i="6"/>
  <c r="W279" i="6"/>
  <c r="U279" i="6"/>
  <c r="R279" i="6"/>
  <c r="N279" i="6"/>
  <c r="O279" i="6" s="1"/>
  <c r="L279" i="6"/>
  <c r="I279" i="6"/>
  <c r="H279" i="6"/>
  <c r="F279" i="6"/>
  <c r="C279" i="6"/>
  <c r="AC278" i="6"/>
  <c r="AD278" i="6" s="1"/>
  <c r="AA278" i="6"/>
  <c r="X278" i="6"/>
  <c r="W278" i="6"/>
  <c r="U278" i="6"/>
  <c r="R278" i="6"/>
  <c r="O278" i="6"/>
  <c r="N278" i="6"/>
  <c r="L278" i="6"/>
  <c r="H278" i="6"/>
  <c r="I278" i="6" s="1"/>
  <c r="F278" i="6"/>
  <c r="C278" i="6"/>
  <c r="AD277" i="6"/>
  <c r="AC277" i="6"/>
  <c r="AA277" i="6"/>
  <c r="X277" i="6"/>
  <c r="W277" i="6"/>
  <c r="U277" i="6"/>
  <c r="R277" i="6"/>
  <c r="N277" i="6"/>
  <c r="O277" i="6" s="1"/>
  <c r="L277" i="6"/>
  <c r="H277" i="6"/>
  <c r="I277" i="6" s="1"/>
  <c r="F277" i="6"/>
  <c r="C277" i="6"/>
  <c r="AD276" i="6"/>
  <c r="AC276" i="6"/>
  <c r="AA276" i="6"/>
  <c r="X276" i="6"/>
  <c r="W276" i="6"/>
  <c r="U276" i="6"/>
  <c r="R276" i="6"/>
  <c r="N276" i="6"/>
  <c r="O276" i="6" s="1"/>
  <c r="L276" i="6"/>
  <c r="I276" i="6"/>
  <c r="H276" i="6"/>
  <c r="F276" i="6"/>
  <c r="C276" i="6"/>
  <c r="AA274" i="6"/>
  <c r="Z274" i="6"/>
  <c r="T274" i="6"/>
  <c r="U274" i="6" s="1"/>
  <c r="Q274" i="6"/>
  <c r="K274" i="6"/>
  <c r="N274" i="6" s="1"/>
  <c r="O274" i="6" s="1"/>
  <c r="H274" i="6"/>
  <c r="I274" i="6" s="1"/>
  <c r="E274" i="6"/>
  <c r="F274" i="6" s="1"/>
  <c r="C274" i="6"/>
  <c r="B274" i="6"/>
  <c r="AD273" i="6"/>
  <c r="AC273" i="6"/>
  <c r="AA273" i="6"/>
  <c r="X273" i="6"/>
  <c r="W273" i="6"/>
  <c r="U273" i="6"/>
  <c r="R273" i="6"/>
  <c r="N273" i="6"/>
  <c r="O273" i="6" s="1"/>
  <c r="L273" i="6"/>
  <c r="H273" i="6"/>
  <c r="I273" i="6" s="1"/>
  <c r="F273" i="6"/>
  <c r="C273" i="6"/>
  <c r="AC272" i="6"/>
  <c r="AD272" i="6" s="1"/>
  <c r="AA272" i="6"/>
  <c r="X272" i="6"/>
  <c r="W272" i="6"/>
  <c r="U272" i="6"/>
  <c r="R272" i="6"/>
  <c r="N272" i="6"/>
  <c r="O272" i="6" s="1"/>
  <c r="L272" i="6"/>
  <c r="H272" i="6"/>
  <c r="I272" i="6" s="1"/>
  <c r="F272" i="6"/>
  <c r="C272" i="6"/>
  <c r="AD271" i="6"/>
  <c r="AC271" i="6"/>
  <c r="AA271" i="6"/>
  <c r="X271" i="6"/>
  <c r="W271" i="6"/>
  <c r="U271" i="6"/>
  <c r="R271" i="6"/>
  <c r="O271" i="6"/>
  <c r="N271" i="6"/>
  <c r="L271" i="6"/>
  <c r="H271" i="6"/>
  <c r="I271" i="6" s="1"/>
  <c r="F271" i="6"/>
  <c r="C271" i="6"/>
  <c r="AC270" i="6"/>
  <c r="AD270" i="6" s="1"/>
  <c r="AA270" i="6"/>
  <c r="X270" i="6"/>
  <c r="W270" i="6"/>
  <c r="U270" i="6"/>
  <c r="R270" i="6"/>
  <c r="O270" i="6"/>
  <c r="N270" i="6"/>
  <c r="L270" i="6"/>
  <c r="I270" i="6"/>
  <c r="H270" i="6"/>
  <c r="F270" i="6"/>
  <c r="C270" i="6"/>
  <c r="Z268" i="6"/>
  <c r="AA268" i="6" s="1"/>
  <c r="W268" i="6"/>
  <c r="X268" i="6" s="1"/>
  <c r="U268" i="6"/>
  <c r="T268" i="6"/>
  <c r="Q268" i="6"/>
  <c r="L268" i="6"/>
  <c r="K268" i="6"/>
  <c r="E268" i="6"/>
  <c r="F268" i="6" s="1"/>
  <c r="B268" i="6"/>
  <c r="AC267" i="6"/>
  <c r="AD267" i="6" s="1"/>
  <c r="AA267" i="6"/>
  <c r="X267" i="6"/>
  <c r="W267" i="6"/>
  <c r="U267" i="6"/>
  <c r="R267" i="6"/>
  <c r="O267" i="6"/>
  <c r="N267" i="6"/>
  <c r="L267" i="6"/>
  <c r="H267" i="6"/>
  <c r="I267" i="6" s="1"/>
  <c r="F267" i="6"/>
  <c r="C267" i="6"/>
  <c r="AC266" i="6"/>
  <c r="AD266" i="6" s="1"/>
  <c r="AA266" i="6"/>
  <c r="W266" i="6"/>
  <c r="X266" i="6" s="1"/>
  <c r="U266" i="6"/>
  <c r="R266" i="6"/>
  <c r="O266" i="6"/>
  <c r="N266" i="6"/>
  <c r="L266" i="6"/>
  <c r="I266" i="6"/>
  <c r="H266" i="6"/>
  <c r="F266" i="6"/>
  <c r="C266" i="6"/>
  <c r="Z264" i="6"/>
  <c r="AA264" i="6" s="1"/>
  <c r="W264" i="6"/>
  <c r="X264" i="6" s="1"/>
  <c r="T264" i="6"/>
  <c r="U264" i="6" s="1"/>
  <c r="Q264" i="6"/>
  <c r="AC264" i="6" s="1"/>
  <c r="AD264" i="6" s="1"/>
  <c r="K264" i="6"/>
  <c r="L264" i="6" s="1"/>
  <c r="E264" i="6"/>
  <c r="F264" i="6" s="1"/>
  <c r="C264" i="6"/>
  <c r="B264" i="6"/>
  <c r="AA263" i="6"/>
  <c r="Z263" i="6"/>
  <c r="T263" i="6"/>
  <c r="Q263" i="6"/>
  <c r="R263" i="6" s="1"/>
  <c r="O263" i="6"/>
  <c r="L263" i="6"/>
  <c r="K263" i="6"/>
  <c r="H263" i="6"/>
  <c r="I263" i="6" s="1"/>
  <c r="E263" i="6"/>
  <c r="F263" i="6" s="1"/>
  <c r="C263" i="6"/>
  <c r="B263" i="6"/>
  <c r="N263" i="6" s="1"/>
  <c r="AD262" i="6"/>
  <c r="AC262" i="6"/>
  <c r="AA262" i="6"/>
  <c r="X262" i="6"/>
  <c r="W262" i="6"/>
  <c r="U262" i="6"/>
  <c r="R262" i="6"/>
  <c r="N262" i="6"/>
  <c r="O262" i="6" s="1"/>
  <c r="L262" i="6"/>
  <c r="I262" i="6"/>
  <c r="H262" i="6"/>
  <c r="F262" i="6"/>
  <c r="C262" i="6"/>
  <c r="AD261" i="6"/>
  <c r="AC261" i="6"/>
  <c r="AA261" i="6"/>
  <c r="X261" i="6"/>
  <c r="W261" i="6"/>
  <c r="U261" i="6"/>
  <c r="R261" i="6"/>
  <c r="N261" i="6"/>
  <c r="O261" i="6" s="1"/>
  <c r="L261" i="6"/>
  <c r="I261" i="6"/>
  <c r="H261" i="6"/>
  <c r="F261" i="6"/>
  <c r="C261" i="6"/>
  <c r="AC260" i="6"/>
  <c r="AD260" i="6" s="1"/>
  <c r="AA260" i="6"/>
  <c r="W260" i="6"/>
  <c r="X260" i="6" s="1"/>
  <c r="U260" i="6"/>
  <c r="R260" i="6"/>
  <c r="O260" i="6"/>
  <c r="N260" i="6"/>
  <c r="L260" i="6"/>
  <c r="I260" i="6"/>
  <c r="H260" i="6"/>
  <c r="F260" i="6"/>
  <c r="C260" i="6"/>
  <c r="AD259" i="6"/>
  <c r="AC259" i="6"/>
  <c r="AA259" i="6"/>
  <c r="W259" i="6"/>
  <c r="X259" i="6" s="1"/>
  <c r="U259" i="6"/>
  <c r="R259" i="6"/>
  <c r="O259" i="6"/>
  <c r="N259" i="6"/>
  <c r="L259" i="6"/>
  <c r="H259" i="6"/>
  <c r="I259" i="6" s="1"/>
  <c r="F259" i="6"/>
  <c r="C259" i="6"/>
  <c r="AD258" i="6"/>
  <c r="AC258" i="6"/>
  <c r="AA258" i="6"/>
  <c r="X258" i="6"/>
  <c r="W258" i="6"/>
  <c r="U258" i="6"/>
  <c r="R258" i="6"/>
  <c r="N258" i="6"/>
  <c r="O258" i="6" s="1"/>
  <c r="L258" i="6"/>
  <c r="H258" i="6"/>
  <c r="I258" i="6" s="1"/>
  <c r="F258" i="6"/>
  <c r="C258" i="6"/>
  <c r="AD257" i="6"/>
  <c r="AC257" i="6"/>
  <c r="AA257" i="6"/>
  <c r="X257" i="6"/>
  <c r="W257" i="6"/>
  <c r="U257" i="6"/>
  <c r="R257" i="6"/>
  <c r="N257" i="6"/>
  <c r="O257" i="6" s="1"/>
  <c r="L257" i="6"/>
  <c r="H257" i="6"/>
  <c r="I257" i="6" s="1"/>
  <c r="F257" i="6"/>
  <c r="C257" i="6"/>
  <c r="AC256" i="6"/>
  <c r="AD256" i="6" s="1"/>
  <c r="AA256" i="6"/>
  <c r="W256" i="6"/>
  <c r="X256" i="6" s="1"/>
  <c r="U256" i="6"/>
  <c r="R256" i="6"/>
  <c r="O256" i="6"/>
  <c r="N256" i="6"/>
  <c r="L256" i="6"/>
  <c r="I256" i="6"/>
  <c r="H256" i="6"/>
  <c r="F256" i="6"/>
  <c r="C256" i="6"/>
  <c r="AC255" i="6"/>
  <c r="AD255" i="6" s="1"/>
  <c r="AA255" i="6"/>
  <c r="W255" i="6"/>
  <c r="X255" i="6" s="1"/>
  <c r="U255" i="6"/>
  <c r="R255" i="6"/>
  <c r="O255" i="6"/>
  <c r="N255" i="6"/>
  <c r="L255" i="6"/>
  <c r="H255" i="6"/>
  <c r="I255" i="6" s="1"/>
  <c r="F255" i="6"/>
  <c r="C255" i="6"/>
  <c r="AD254" i="6"/>
  <c r="AC254" i="6"/>
  <c r="AA254" i="6"/>
  <c r="X254" i="6"/>
  <c r="W254" i="6"/>
  <c r="U254" i="6"/>
  <c r="R254" i="6"/>
  <c r="N254" i="6"/>
  <c r="O254" i="6" s="1"/>
  <c r="L254" i="6"/>
  <c r="H254" i="6"/>
  <c r="I254" i="6" s="1"/>
  <c r="F254" i="6"/>
  <c r="C254" i="6"/>
  <c r="AD253" i="6"/>
  <c r="AC253" i="6"/>
  <c r="AA253" i="6"/>
  <c r="X253" i="6"/>
  <c r="W253" i="6"/>
  <c r="U253" i="6"/>
  <c r="R253" i="6"/>
  <c r="N253" i="6"/>
  <c r="O253" i="6" s="1"/>
  <c r="L253" i="6"/>
  <c r="I253" i="6"/>
  <c r="H253" i="6"/>
  <c r="F253" i="6"/>
  <c r="C253" i="6"/>
  <c r="AC252" i="6"/>
  <c r="AD252" i="6" s="1"/>
  <c r="AA252" i="6"/>
  <c r="W252" i="6"/>
  <c r="X252" i="6" s="1"/>
  <c r="U252" i="6"/>
  <c r="R252" i="6"/>
  <c r="O252" i="6"/>
  <c r="N252" i="6"/>
  <c r="L252" i="6"/>
  <c r="I252" i="6"/>
  <c r="H252" i="6"/>
  <c r="F252" i="6"/>
  <c r="C252" i="6"/>
  <c r="AD251" i="6"/>
  <c r="AC251" i="6"/>
  <c r="AA251" i="6"/>
  <c r="W251" i="6"/>
  <c r="X251" i="6" s="1"/>
  <c r="U251" i="6"/>
  <c r="R251" i="6"/>
  <c r="O251" i="6"/>
  <c r="N251" i="6"/>
  <c r="L251" i="6"/>
  <c r="H251" i="6"/>
  <c r="I251" i="6" s="1"/>
  <c r="F251" i="6"/>
  <c r="C251" i="6"/>
  <c r="AC250" i="6"/>
  <c r="AD250" i="6" s="1"/>
  <c r="AA250" i="6"/>
  <c r="X250" i="6"/>
  <c r="W250" i="6"/>
  <c r="U250" i="6"/>
  <c r="R250" i="6"/>
  <c r="N250" i="6"/>
  <c r="O250" i="6" s="1"/>
  <c r="L250" i="6"/>
  <c r="I250" i="6"/>
  <c r="H250" i="6"/>
  <c r="F250" i="6"/>
  <c r="C250" i="6"/>
  <c r="AD249" i="6"/>
  <c r="AC249" i="6"/>
  <c r="AA249" i="6"/>
  <c r="W249" i="6"/>
  <c r="X249" i="6" s="1"/>
  <c r="U249" i="6"/>
  <c r="R249" i="6"/>
  <c r="N249" i="6"/>
  <c r="O249" i="6" s="1"/>
  <c r="L249" i="6"/>
  <c r="I249" i="6"/>
  <c r="H249" i="6"/>
  <c r="F249" i="6"/>
  <c r="C249" i="6"/>
  <c r="AC248" i="6"/>
  <c r="AD248" i="6" s="1"/>
  <c r="AA248" i="6"/>
  <c r="W248" i="6"/>
  <c r="X248" i="6" s="1"/>
  <c r="U248" i="6"/>
  <c r="R248" i="6"/>
  <c r="O248" i="6"/>
  <c r="N248" i="6"/>
  <c r="L248" i="6"/>
  <c r="I248" i="6"/>
  <c r="H248" i="6"/>
  <c r="F248" i="6"/>
  <c r="C248" i="6"/>
  <c r="AD247" i="6"/>
  <c r="AC247" i="6"/>
  <c r="AA247" i="6"/>
  <c r="X247" i="6"/>
  <c r="W247" i="6"/>
  <c r="U247" i="6"/>
  <c r="R247" i="6"/>
  <c r="N247" i="6"/>
  <c r="O247" i="6" s="1"/>
  <c r="L247" i="6"/>
  <c r="H247" i="6"/>
  <c r="I247" i="6" s="1"/>
  <c r="F247" i="6"/>
  <c r="C247" i="6"/>
  <c r="AD246" i="6"/>
  <c r="AC246" i="6"/>
  <c r="AA246" i="6"/>
  <c r="X246" i="6"/>
  <c r="W246" i="6"/>
  <c r="U246" i="6"/>
  <c r="R246" i="6"/>
  <c r="N246" i="6"/>
  <c r="O246" i="6" s="1"/>
  <c r="L246" i="6"/>
  <c r="I246" i="6"/>
  <c r="H246" i="6"/>
  <c r="F246" i="6"/>
  <c r="C246" i="6"/>
  <c r="AD245" i="6"/>
  <c r="AC245" i="6"/>
  <c r="AA245" i="6"/>
  <c r="X245" i="6"/>
  <c r="W245" i="6"/>
  <c r="U245" i="6"/>
  <c r="R245" i="6"/>
  <c r="N245" i="6"/>
  <c r="O245" i="6" s="1"/>
  <c r="L245" i="6"/>
  <c r="H245" i="6"/>
  <c r="I245" i="6" s="1"/>
  <c r="F245" i="6"/>
  <c r="C245" i="6"/>
  <c r="AC244" i="6"/>
  <c r="AD244" i="6" s="1"/>
  <c r="AA244" i="6"/>
  <c r="W244" i="6"/>
  <c r="X244" i="6" s="1"/>
  <c r="U244" i="6"/>
  <c r="R244" i="6"/>
  <c r="O244" i="6"/>
  <c r="N244" i="6"/>
  <c r="L244" i="6"/>
  <c r="I244" i="6"/>
  <c r="H244" i="6"/>
  <c r="F244" i="6"/>
  <c r="C244" i="6"/>
  <c r="AC243" i="6"/>
  <c r="AD243" i="6" s="1"/>
  <c r="AA243" i="6"/>
  <c r="W243" i="6"/>
  <c r="X243" i="6" s="1"/>
  <c r="U243" i="6"/>
  <c r="R243" i="6"/>
  <c r="N243" i="6"/>
  <c r="O243" i="6" s="1"/>
  <c r="L243" i="6"/>
  <c r="H243" i="6"/>
  <c r="I243" i="6" s="1"/>
  <c r="F243" i="6"/>
  <c r="C243" i="6"/>
  <c r="AC242" i="6"/>
  <c r="AD242" i="6" s="1"/>
  <c r="AA242" i="6"/>
  <c r="X242" i="6"/>
  <c r="W242" i="6"/>
  <c r="U242" i="6"/>
  <c r="R242" i="6"/>
  <c r="N242" i="6"/>
  <c r="O242" i="6" s="1"/>
  <c r="L242" i="6"/>
  <c r="I242" i="6"/>
  <c r="H242" i="6"/>
  <c r="F242" i="6"/>
  <c r="C242" i="6"/>
  <c r="AD241" i="6"/>
  <c r="AC241" i="6"/>
  <c r="AA241" i="6"/>
  <c r="W241" i="6"/>
  <c r="X241" i="6" s="1"/>
  <c r="U241" i="6"/>
  <c r="R241" i="6"/>
  <c r="O241" i="6"/>
  <c r="N241" i="6"/>
  <c r="L241" i="6"/>
  <c r="I241" i="6"/>
  <c r="H241" i="6"/>
  <c r="F241" i="6"/>
  <c r="C241" i="6"/>
  <c r="AC240" i="6"/>
  <c r="AD240" i="6" s="1"/>
  <c r="AA240" i="6"/>
  <c r="W240" i="6"/>
  <c r="X240" i="6" s="1"/>
  <c r="U240" i="6"/>
  <c r="R240" i="6"/>
  <c r="O240" i="6"/>
  <c r="N240" i="6"/>
  <c r="L240" i="6"/>
  <c r="I240" i="6"/>
  <c r="H240" i="6"/>
  <c r="F240" i="6"/>
  <c r="C240" i="6"/>
  <c r="AD238" i="6"/>
  <c r="AC238" i="6"/>
  <c r="AA238" i="6"/>
  <c r="X238" i="6"/>
  <c r="W238" i="6"/>
  <c r="U238" i="6"/>
  <c r="R238" i="6"/>
  <c r="N238" i="6"/>
  <c r="O238" i="6" s="1"/>
  <c r="L238" i="6"/>
  <c r="H238" i="6"/>
  <c r="I238" i="6" s="1"/>
  <c r="F238" i="6"/>
  <c r="C238" i="6"/>
  <c r="Z236" i="6"/>
  <c r="AA236" i="6" s="1"/>
  <c r="U236" i="6"/>
  <c r="T236" i="6"/>
  <c r="R236" i="6"/>
  <c r="Q236" i="6"/>
  <c r="K236" i="6"/>
  <c r="L236" i="6" s="1"/>
  <c r="F236" i="6"/>
  <c r="E236" i="6"/>
  <c r="B236" i="6"/>
  <c r="AC235" i="6"/>
  <c r="AD235" i="6" s="1"/>
  <c r="AA235" i="6"/>
  <c r="W235" i="6"/>
  <c r="X235" i="6" s="1"/>
  <c r="U235" i="6"/>
  <c r="R235" i="6"/>
  <c r="O235" i="6"/>
  <c r="N235" i="6"/>
  <c r="L235" i="6"/>
  <c r="I235" i="6"/>
  <c r="H235" i="6"/>
  <c r="F235" i="6"/>
  <c r="C235" i="6"/>
  <c r="AD234" i="6"/>
  <c r="AC234" i="6"/>
  <c r="AA234" i="6"/>
  <c r="X234" i="6"/>
  <c r="W234" i="6"/>
  <c r="U234" i="6"/>
  <c r="R234" i="6"/>
  <c r="N234" i="6"/>
  <c r="O234" i="6" s="1"/>
  <c r="L234" i="6"/>
  <c r="H234" i="6"/>
  <c r="I234" i="6" s="1"/>
  <c r="F234" i="6"/>
  <c r="C234" i="6"/>
  <c r="AC233" i="6"/>
  <c r="AD233" i="6" s="1"/>
  <c r="AA233" i="6"/>
  <c r="X233" i="6"/>
  <c r="W233" i="6"/>
  <c r="U233" i="6"/>
  <c r="R233" i="6"/>
  <c r="N233" i="6"/>
  <c r="O233" i="6" s="1"/>
  <c r="L233" i="6"/>
  <c r="I233" i="6"/>
  <c r="H233" i="6"/>
  <c r="F233" i="6"/>
  <c r="C233" i="6"/>
  <c r="AD232" i="6"/>
  <c r="AC232" i="6"/>
  <c r="AA232" i="6"/>
  <c r="W232" i="6"/>
  <c r="X232" i="6" s="1"/>
  <c r="U232" i="6"/>
  <c r="R232" i="6"/>
  <c r="O232" i="6"/>
  <c r="N232" i="6"/>
  <c r="L232" i="6"/>
  <c r="I232" i="6"/>
  <c r="H232" i="6"/>
  <c r="F232" i="6"/>
  <c r="C232" i="6"/>
  <c r="AC231" i="6"/>
  <c r="AD231" i="6" s="1"/>
  <c r="AA231" i="6"/>
  <c r="W231" i="6"/>
  <c r="X231" i="6" s="1"/>
  <c r="U231" i="6"/>
  <c r="R231" i="6"/>
  <c r="O231" i="6"/>
  <c r="N231" i="6"/>
  <c r="L231" i="6"/>
  <c r="I231" i="6"/>
  <c r="H231" i="6"/>
  <c r="F231" i="6"/>
  <c r="C231" i="6"/>
  <c r="AD230" i="6"/>
  <c r="AC230" i="6"/>
  <c r="AA230" i="6"/>
  <c r="W230" i="6"/>
  <c r="X230" i="6" s="1"/>
  <c r="U230" i="6"/>
  <c r="R230" i="6"/>
  <c r="N230" i="6"/>
  <c r="O230" i="6" s="1"/>
  <c r="L230" i="6"/>
  <c r="H230" i="6"/>
  <c r="I230" i="6" s="1"/>
  <c r="F230" i="6"/>
  <c r="C230" i="6"/>
  <c r="AC229" i="6"/>
  <c r="AD229" i="6" s="1"/>
  <c r="AA229" i="6"/>
  <c r="X229" i="6"/>
  <c r="W229" i="6"/>
  <c r="U229" i="6"/>
  <c r="R229" i="6"/>
  <c r="N229" i="6"/>
  <c r="O229" i="6" s="1"/>
  <c r="L229" i="6"/>
  <c r="I229" i="6"/>
  <c r="H229" i="6"/>
  <c r="F229" i="6"/>
  <c r="C229" i="6"/>
  <c r="Z227" i="6"/>
  <c r="AA227" i="6" s="1"/>
  <c r="W227" i="6"/>
  <c r="X227" i="6" s="1"/>
  <c r="T227" i="6"/>
  <c r="U227" i="6" s="1"/>
  <c r="R227" i="6"/>
  <c r="Q227" i="6"/>
  <c r="K227" i="6"/>
  <c r="L227" i="6" s="1"/>
  <c r="H227" i="6"/>
  <c r="I227" i="6" s="1"/>
  <c r="F227" i="6"/>
  <c r="E227" i="6"/>
  <c r="B227" i="6"/>
  <c r="AC226" i="6"/>
  <c r="AD226" i="6" s="1"/>
  <c r="AA226" i="6"/>
  <c r="W226" i="6"/>
  <c r="X226" i="6" s="1"/>
  <c r="U226" i="6"/>
  <c r="R226" i="6"/>
  <c r="O226" i="6"/>
  <c r="N226" i="6"/>
  <c r="L226" i="6"/>
  <c r="H226" i="6"/>
  <c r="I226" i="6" s="1"/>
  <c r="F226" i="6"/>
  <c r="C226" i="6"/>
  <c r="AD225" i="6"/>
  <c r="AC225" i="6"/>
  <c r="AA225" i="6"/>
  <c r="X225" i="6"/>
  <c r="W225" i="6"/>
  <c r="U225" i="6"/>
  <c r="R225" i="6"/>
  <c r="N225" i="6"/>
  <c r="O225" i="6" s="1"/>
  <c r="L225" i="6"/>
  <c r="H225" i="6"/>
  <c r="I225" i="6" s="1"/>
  <c r="F225" i="6"/>
  <c r="C225" i="6"/>
  <c r="AD224" i="6"/>
  <c r="AC224" i="6"/>
  <c r="AA224" i="6"/>
  <c r="X224" i="6"/>
  <c r="W224" i="6"/>
  <c r="U224" i="6"/>
  <c r="R224" i="6"/>
  <c r="N224" i="6"/>
  <c r="O224" i="6" s="1"/>
  <c r="L224" i="6"/>
  <c r="H224" i="6"/>
  <c r="I224" i="6" s="1"/>
  <c r="F224" i="6"/>
  <c r="C224" i="6"/>
  <c r="AC223" i="6"/>
  <c r="AD223" i="6" s="1"/>
  <c r="AA223" i="6"/>
  <c r="W223" i="6"/>
  <c r="X223" i="6" s="1"/>
  <c r="U223" i="6"/>
  <c r="R223" i="6"/>
  <c r="O223" i="6"/>
  <c r="N223" i="6"/>
  <c r="L223" i="6"/>
  <c r="I223" i="6"/>
  <c r="H223" i="6"/>
  <c r="F223" i="6"/>
  <c r="C223" i="6"/>
  <c r="AC222" i="6"/>
  <c r="AD222" i="6" s="1"/>
  <c r="AA222" i="6"/>
  <c r="W222" i="6"/>
  <c r="X222" i="6" s="1"/>
  <c r="U222" i="6"/>
  <c r="R222" i="6"/>
  <c r="N222" i="6"/>
  <c r="O222" i="6" s="1"/>
  <c r="L222" i="6"/>
  <c r="H222" i="6"/>
  <c r="I222" i="6" s="1"/>
  <c r="F222" i="6"/>
  <c r="C222" i="6"/>
  <c r="AC221" i="6"/>
  <c r="AD221" i="6" s="1"/>
  <c r="AA221" i="6"/>
  <c r="X221" i="6"/>
  <c r="W221" i="6"/>
  <c r="U221" i="6"/>
  <c r="R221" i="6"/>
  <c r="N221" i="6"/>
  <c r="O221" i="6" s="1"/>
  <c r="L221" i="6"/>
  <c r="I221" i="6"/>
  <c r="H221" i="6"/>
  <c r="F221" i="6"/>
  <c r="C221" i="6"/>
  <c r="AD220" i="6"/>
  <c r="AC220" i="6"/>
  <c r="AA220" i="6"/>
  <c r="W220" i="6"/>
  <c r="X220" i="6" s="1"/>
  <c r="U220" i="6"/>
  <c r="R220" i="6"/>
  <c r="O220" i="6"/>
  <c r="N220" i="6"/>
  <c r="L220" i="6"/>
  <c r="I220" i="6"/>
  <c r="H220" i="6"/>
  <c r="F220" i="6"/>
  <c r="C220" i="6"/>
  <c r="AC219" i="6"/>
  <c r="AD219" i="6" s="1"/>
  <c r="AA219" i="6"/>
  <c r="W219" i="6"/>
  <c r="X219" i="6" s="1"/>
  <c r="U219" i="6"/>
  <c r="R219" i="6"/>
  <c r="O219" i="6"/>
  <c r="N219" i="6"/>
  <c r="L219" i="6"/>
  <c r="I219" i="6"/>
  <c r="H219" i="6"/>
  <c r="F219" i="6"/>
  <c r="C219" i="6"/>
  <c r="Z218" i="6"/>
  <c r="AA218" i="6" s="1"/>
  <c r="T218" i="6"/>
  <c r="U218" i="6" s="1"/>
  <c r="Q218" i="6"/>
  <c r="L218" i="6"/>
  <c r="K218" i="6"/>
  <c r="F218" i="6"/>
  <c r="E218" i="6"/>
  <c r="B218" i="6"/>
  <c r="AD217" i="6"/>
  <c r="AC217" i="6"/>
  <c r="AA217" i="6"/>
  <c r="X217" i="6"/>
  <c r="W217" i="6"/>
  <c r="U217" i="6"/>
  <c r="R217" i="6"/>
  <c r="O217" i="6"/>
  <c r="N217" i="6"/>
  <c r="L217" i="6"/>
  <c r="H217" i="6"/>
  <c r="I217" i="6" s="1"/>
  <c r="F217" i="6"/>
  <c r="C217" i="6"/>
  <c r="AC216" i="6"/>
  <c r="AD216" i="6" s="1"/>
  <c r="AA216" i="6"/>
  <c r="W216" i="6"/>
  <c r="X216" i="6" s="1"/>
  <c r="U216" i="6"/>
  <c r="R216" i="6"/>
  <c r="O216" i="6"/>
  <c r="N216" i="6"/>
  <c r="L216" i="6"/>
  <c r="I216" i="6"/>
  <c r="H216" i="6"/>
  <c r="F216" i="6"/>
  <c r="C216" i="6"/>
  <c r="AC215" i="6"/>
  <c r="AD215" i="6" s="1"/>
  <c r="AA215" i="6"/>
  <c r="X215" i="6"/>
  <c r="W215" i="6"/>
  <c r="U215" i="6"/>
  <c r="R215" i="6"/>
  <c r="O215" i="6"/>
  <c r="N215" i="6"/>
  <c r="L215" i="6"/>
  <c r="H215" i="6"/>
  <c r="I215" i="6" s="1"/>
  <c r="F215" i="6"/>
  <c r="C215" i="6"/>
  <c r="AC214" i="6"/>
  <c r="AD214" i="6" s="1"/>
  <c r="AA214" i="6"/>
  <c r="X214" i="6"/>
  <c r="W214" i="6"/>
  <c r="U214" i="6"/>
  <c r="R214" i="6"/>
  <c r="N214" i="6"/>
  <c r="O214" i="6" s="1"/>
  <c r="L214" i="6"/>
  <c r="H214" i="6"/>
  <c r="I214" i="6" s="1"/>
  <c r="F214" i="6"/>
  <c r="C214" i="6"/>
  <c r="AD213" i="6"/>
  <c r="AC213" i="6"/>
  <c r="AA213" i="6"/>
  <c r="W213" i="6"/>
  <c r="X213" i="6" s="1"/>
  <c r="U213" i="6"/>
  <c r="R213" i="6"/>
  <c r="O213" i="6"/>
  <c r="N213" i="6"/>
  <c r="L213" i="6"/>
  <c r="H213" i="6"/>
  <c r="I213" i="6" s="1"/>
  <c r="F213" i="6"/>
  <c r="C213" i="6"/>
  <c r="AC211" i="6"/>
  <c r="AD211" i="6" s="1"/>
  <c r="AA211" i="6"/>
  <c r="W211" i="6"/>
  <c r="X211" i="6" s="1"/>
  <c r="U211" i="6"/>
  <c r="R211" i="6"/>
  <c r="O211" i="6"/>
  <c r="N211" i="6"/>
  <c r="L211" i="6"/>
  <c r="I211" i="6"/>
  <c r="H211" i="6"/>
  <c r="F211" i="6"/>
  <c r="C211" i="6"/>
  <c r="Z209" i="6"/>
  <c r="AA209" i="6" s="1"/>
  <c r="T209" i="6"/>
  <c r="U209" i="6" s="1"/>
  <c r="Q209" i="6"/>
  <c r="AC209" i="6" s="1"/>
  <c r="AD209" i="6" s="1"/>
  <c r="L209" i="6"/>
  <c r="K209" i="6"/>
  <c r="H209" i="6"/>
  <c r="I209" i="6" s="1"/>
  <c r="F209" i="6"/>
  <c r="E209" i="6"/>
  <c r="B209" i="6"/>
  <c r="AD208" i="6"/>
  <c r="AC208" i="6"/>
  <c r="AA208" i="6"/>
  <c r="W208" i="6"/>
  <c r="X208" i="6" s="1"/>
  <c r="U208" i="6"/>
  <c r="R208" i="6"/>
  <c r="O208" i="6"/>
  <c r="N208" i="6"/>
  <c r="L208" i="6"/>
  <c r="H208" i="6"/>
  <c r="I208" i="6" s="1"/>
  <c r="F208" i="6"/>
  <c r="C208" i="6"/>
  <c r="AC207" i="6"/>
  <c r="AD207" i="6" s="1"/>
  <c r="AA207" i="6"/>
  <c r="W207" i="6"/>
  <c r="X207" i="6" s="1"/>
  <c r="U207" i="6"/>
  <c r="R207" i="6"/>
  <c r="O207" i="6"/>
  <c r="N207" i="6"/>
  <c r="L207" i="6"/>
  <c r="I207" i="6"/>
  <c r="H207" i="6"/>
  <c r="F207" i="6"/>
  <c r="C207" i="6"/>
  <c r="AC206" i="6"/>
  <c r="AD206" i="6" s="1"/>
  <c r="AA206" i="6"/>
  <c r="W206" i="6"/>
  <c r="X206" i="6" s="1"/>
  <c r="U206" i="6"/>
  <c r="R206" i="6"/>
  <c r="N206" i="6"/>
  <c r="O206" i="6" s="1"/>
  <c r="L206" i="6"/>
  <c r="H206" i="6"/>
  <c r="I206" i="6" s="1"/>
  <c r="F206" i="6"/>
  <c r="C206" i="6"/>
  <c r="AD205" i="6"/>
  <c r="AC205" i="6"/>
  <c r="AA205" i="6"/>
  <c r="X205" i="6"/>
  <c r="W205" i="6"/>
  <c r="U205" i="6"/>
  <c r="R205" i="6"/>
  <c r="N205" i="6"/>
  <c r="O205" i="6" s="1"/>
  <c r="L205" i="6"/>
  <c r="H205" i="6"/>
  <c r="I205" i="6" s="1"/>
  <c r="F205" i="6"/>
  <c r="C205" i="6"/>
  <c r="AD204" i="6"/>
  <c r="AC204" i="6"/>
  <c r="AA204" i="6"/>
  <c r="X204" i="6"/>
  <c r="W204" i="6"/>
  <c r="U204" i="6"/>
  <c r="R204" i="6"/>
  <c r="N204" i="6"/>
  <c r="O204" i="6" s="1"/>
  <c r="L204" i="6"/>
  <c r="I204" i="6"/>
  <c r="H204" i="6"/>
  <c r="F204" i="6"/>
  <c r="C204" i="6"/>
  <c r="AC203" i="6"/>
  <c r="AD203" i="6" s="1"/>
  <c r="AA203" i="6"/>
  <c r="W203" i="6"/>
  <c r="X203" i="6" s="1"/>
  <c r="U203" i="6"/>
  <c r="R203" i="6"/>
  <c r="O203" i="6"/>
  <c r="N203" i="6"/>
  <c r="L203" i="6"/>
  <c r="I203" i="6"/>
  <c r="H203" i="6"/>
  <c r="F203" i="6"/>
  <c r="C203" i="6"/>
  <c r="AD202" i="6"/>
  <c r="AC202" i="6"/>
  <c r="AA202" i="6"/>
  <c r="X202" i="6"/>
  <c r="W202" i="6"/>
  <c r="U202" i="6"/>
  <c r="R202" i="6"/>
  <c r="N202" i="6"/>
  <c r="O202" i="6" s="1"/>
  <c r="L202" i="6"/>
  <c r="H202" i="6"/>
  <c r="I202" i="6" s="1"/>
  <c r="F202" i="6"/>
  <c r="C202" i="6"/>
  <c r="AC201" i="6"/>
  <c r="AD201" i="6" s="1"/>
  <c r="AA201" i="6"/>
  <c r="X201" i="6"/>
  <c r="W201" i="6"/>
  <c r="U201" i="6"/>
  <c r="R201" i="6"/>
  <c r="N201" i="6"/>
  <c r="O201" i="6" s="1"/>
  <c r="L201" i="6"/>
  <c r="H201" i="6"/>
  <c r="I201" i="6" s="1"/>
  <c r="F201" i="6"/>
  <c r="C201" i="6"/>
  <c r="Z197" i="6"/>
  <c r="AA197" i="6" s="1"/>
  <c r="T197" i="6"/>
  <c r="U197" i="6" s="1"/>
  <c r="Q197" i="6"/>
  <c r="N197" i="6"/>
  <c r="O197" i="6" s="1"/>
  <c r="L197" i="6"/>
  <c r="K197" i="6"/>
  <c r="F197" i="6"/>
  <c r="E197" i="6"/>
  <c r="B197" i="6"/>
  <c r="C197" i="6" s="1"/>
  <c r="Z196" i="6"/>
  <c r="AA196" i="6" s="1"/>
  <c r="X196" i="6"/>
  <c r="W196" i="6"/>
  <c r="T196" i="6"/>
  <c r="U196" i="6" s="1"/>
  <c r="R196" i="6"/>
  <c r="Q196" i="6"/>
  <c r="L196" i="6"/>
  <c r="K196" i="6"/>
  <c r="H196" i="6"/>
  <c r="I196" i="6" s="1"/>
  <c r="F196" i="6"/>
  <c r="E196" i="6"/>
  <c r="C196" i="6"/>
  <c r="B196" i="6"/>
  <c r="AC195" i="6"/>
  <c r="AD195" i="6" s="1"/>
  <c r="AA195" i="6"/>
  <c r="W195" i="6"/>
  <c r="X195" i="6" s="1"/>
  <c r="U195" i="6"/>
  <c r="R195" i="6"/>
  <c r="O195" i="6"/>
  <c r="N195" i="6"/>
  <c r="L195" i="6"/>
  <c r="H195" i="6"/>
  <c r="I195" i="6" s="1"/>
  <c r="F195" i="6"/>
  <c r="C195" i="6"/>
  <c r="AD194" i="6"/>
  <c r="AC194" i="6"/>
  <c r="AA194" i="6"/>
  <c r="X194" i="6"/>
  <c r="W194" i="6"/>
  <c r="U194" i="6"/>
  <c r="R194" i="6"/>
  <c r="N194" i="6"/>
  <c r="O194" i="6" s="1"/>
  <c r="L194" i="6"/>
  <c r="H194" i="6"/>
  <c r="I194" i="6" s="1"/>
  <c r="F194" i="6"/>
  <c r="C194" i="6"/>
  <c r="AA193" i="6"/>
  <c r="Z193" i="6"/>
  <c r="T193" i="6"/>
  <c r="U193" i="6" s="1"/>
  <c r="R193" i="6"/>
  <c r="Q193" i="6"/>
  <c r="N193" i="6"/>
  <c r="O193" i="6" s="1"/>
  <c r="L193" i="6"/>
  <c r="K193" i="6"/>
  <c r="F193" i="6"/>
  <c r="E193" i="6"/>
  <c r="B193" i="6"/>
  <c r="AD192" i="6"/>
  <c r="AC192" i="6"/>
  <c r="AA192" i="6"/>
  <c r="W192" i="6"/>
  <c r="X192" i="6" s="1"/>
  <c r="U192" i="6"/>
  <c r="R192" i="6"/>
  <c r="O192" i="6"/>
  <c r="N192" i="6"/>
  <c r="L192" i="6"/>
  <c r="H192" i="6"/>
  <c r="I192" i="6" s="1"/>
  <c r="F192" i="6"/>
  <c r="C192" i="6"/>
  <c r="AC191" i="6"/>
  <c r="AD191" i="6" s="1"/>
  <c r="AA191" i="6"/>
  <c r="X191" i="6"/>
  <c r="W191" i="6"/>
  <c r="U191" i="6"/>
  <c r="R191" i="6"/>
  <c r="N191" i="6"/>
  <c r="O191" i="6" s="1"/>
  <c r="L191" i="6"/>
  <c r="H191" i="6"/>
  <c r="I191" i="6" s="1"/>
  <c r="F191" i="6"/>
  <c r="C191" i="6"/>
  <c r="AD190" i="6"/>
  <c r="AC190" i="6"/>
  <c r="AA190" i="6"/>
  <c r="W190" i="6"/>
  <c r="X190" i="6" s="1"/>
  <c r="U190" i="6"/>
  <c r="R190" i="6"/>
  <c r="O190" i="6"/>
  <c r="N190" i="6"/>
  <c r="L190" i="6"/>
  <c r="I190" i="6"/>
  <c r="H190" i="6"/>
  <c r="F190" i="6"/>
  <c r="C190" i="6"/>
  <c r="AC189" i="6"/>
  <c r="AD189" i="6" s="1"/>
  <c r="AA189" i="6"/>
  <c r="W189" i="6"/>
  <c r="X189" i="6" s="1"/>
  <c r="U189" i="6"/>
  <c r="R189" i="6"/>
  <c r="O189" i="6"/>
  <c r="N189" i="6"/>
  <c r="L189" i="6"/>
  <c r="I189" i="6"/>
  <c r="H189" i="6"/>
  <c r="F189" i="6"/>
  <c r="C189" i="6"/>
  <c r="AD188" i="6"/>
  <c r="AC188" i="6"/>
  <c r="AA188" i="6"/>
  <c r="W188" i="6"/>
  <c r="X188" i="6" s="1"/>
  <c r="U188" i="6"/>
  <c r="R188" i="6"/>
  <c r="O188" i="6"/>
  <c r="N188" i="6"/>
  <c r="L188" i="6"/>
  <c r="H188" i="6"/>
  <c r="I188" i="6" s="1"/>
  <c r="F188" i="6"/>
  <c r="C188" i="6"/>
  <c r="AC187" i="6"/>
  <c r="AD187" i="6" s="1"/>
  <c r="AA187" i="6"/>
  <c r="X187" i="6"/>
  <c r="W187" i="6"/>
  <c r="U187" i="6"/>
  <c r="R187" i="6"/>
  <c r="N187" i="6"/>
  <c r="O187" i="6" s="1"/>
  <c r="L187" i="6"/>
  <c r="I187" i="6"/>
  <c r="H187" i="6"/>
  <c r="F187" i="6"/>
  <c r="C187" i="6"/>
  <c r="AD186" i="6"/>
  <c r="AC186" i="6"/>
  <c r="AA186" i="6"/>
  <c r="W186" i="6"/>
  <c r="X186" i="6" s="1"/>
  <c r="U186" i="6"/>
  <c r="R186" i="6"/>
  <c r="N186" i="6"/>
  <c r="O186" i="6" s="1"/>
  <c r="L186" i="6"/>
  <c r="H186" i="6"/>
  <c r="I186" i="6" s="1"/>
  <c r="F186" i="6"/>
  <c r="C186" i="6"/>
  <c r="AC184" i="6"/>
  <c r="AD184" i="6" s="1"/>
  <c r="AA184" i="6"/>
  <c r="W184" i="6"/>
  <c r="X184" i="6" s="1"/>
  <c r="U184" i="6"/>
  <c r="R184" i="6"/>
  <c r="O184" i="6"/>
  <c r="N184" i="6"/>
  <c r="L184" i="6"/>
  <c r="I184" i="6"/>
  <c r="H184" i="6"/>
  <c r="F184" i="6"/>
  <c r="C184" i="6"/>
  <c r="AC183" i="6"/>
  <c r="AD183" i="6" s="1"/>
  <c r="AA183" i="6"/>
  <c r="X183" i="6"/>
  <c r="W183" i="6"/>
  <c r="U183" i="6"/>
  <c r="R183" i="6"/>
  <c r="O183" i="6"/>
  <c r="N183" i="6"/>
  <c r="L183" i="6"/>
  <c r="H183" i="6"/>
  <c r="I183" i="6" s="1"/>
  <c r="F183" i="6"/>
  <c r="C183" i="6"/>
  <c r="AC182" i="6"/>
  <c r="AD182" i="6" s="1"/>
  <c r="Z182" i="6"/>
  <c r="AA182" i="6" s="1"/>
  <c r="W182" i="6"/>
  <c r="X182" i="6" s="1"/>
  <c r="U182" i="6"/>
  <c r="T182" i="6"/>
  <c r="R182" i="6"/>
  <c r="Q182" i="6"/>
  <c r="K182" i="6"/>
  <c r="L182" i="6" s="1"/>
  <c r="E182" i="6"/>
  <c r="F182" i="6" s="1"/>
  <c r="C182" i="6"/>
  <c r="B182" i="6"/>
  <c r="AC181" i="6"/>
  <c r="AD181" i="6" s="1"/>
  <c r="AA181" i="6"/>
  <c r="W181" i="6"/>
  <c r="X181" i="6" s="1"/>
  <c r="U181" i="6"/>
  <c r="R181" i="6"/>
  <c r="O181" i="6"/>
  <c r="N181" i="6"/>
  <c r="L181" i="6"/>
  <c r="I181" i="6"/>
  <c r="H181" i="6"/>
  <c r="F181" i="6"/>
  <c r="C181" i="6"/>
  <c r="AC180" i="6"/>
  <c r="AD180" i="6" s="1"/>
  <c r="AA180" i="6"/>
  <c r="W180" i="6"/>
  <c r="X180" i="6" s="1"/>
  <c r="U180" i="6"/>
  <c r="R180" i="6"/>
  <c r="O180" i="6"/>
  <c r="N180" i="6"/>
  <c r="L180" i="6"/>
  <c r="H180" i="6"/>
  <c r="I180" i="6" s="1"/>
  <c r="F180" i="6"/>
  <c r="C180" i="6"/>
  <c r="AD179" i="6"/>
  <c r="AC179" i="6"/>
  <c r="AA179" i="6"/>
  <c r="X179" i="6"/>
  <c r="W179" i="6"/>
  <c r="U179" i="6"/>
  <c r="R179" i="6"/>
  <c r="N179" i="6"/>
  <c r="O179" i="6" s="1"/>
  <c r="L179" i="6"/>
  <c r="H179" i="6"/>
  <c r="I179" i="6" s="1"/>
  <c r="F179" i="6"/>
  <c r="C179" i="6"/>
  <c r="AD178" i="6"/>
  <c r="AC178" i="6"/>
  <c r="AA178" i="6"/>
  <c r="X178" i="6"/>
  <c r="W178" i="6"/>
  <c r="U178" i="6"/>
  <c r="R178" i="6"/>
  <c r="N178" i="6"/>
  <c r="O178" i="6" s="1"/>
  <c r="L178" i="6"/>
  <c r="I178" i="6"/>
  <c r="H178" i="6"/>
  <c r="F178" i="6"/>
  <c r="C178" i="6"/>
  <c r="AC177" i="6"/>
  <c r="AD177" i="6" s="1"/>
  <c r="AA177" i="6"/>
  <c r="W177" i="6"/>
  <c r="X177" i="6" s="1"/>
  <c r="U177" i="6"/>
  <c r="R177" i="6"/>
  <c r="O177" i="6"/>
  <c r="N177" i="6"/>
  <c r="L177" i="6"/>
  <c r="I177" i="6"/>
  <c r="H177" i="6"/>
  <c r="F177" i="6"/>
  <c r="C177" i="6"/>
  <c r="AD175" i="6"/>
  <c r="AC175" i="6"/>
  <c r="AA175" i="6"/>
  <c r="X175" i="6"/>
  <c r="W175" i="6"/>
  <c r="U175" i="6"/>
  <c r="R175" i="6"/>
  <c r="N175" i="6"/>
  <c r="O175" i="6" s="1"/>
  <c r="L175" i="6"/>
  <c r="H175" i="6"/>
  <c r="I175" i="6" s="1"/>
  <c r="F175" i="6"/>
  <c r="C175" i="6"/>
  <c r="Z172" i="6"/>
  <c r="B172" i="6"/>
  <c r="AA171" i="6"/>
  <c r="Z171" i="6"/>
  <c r="W171" i="6"/>
  <c r="X171" i="6" s="1"/>
  <c r="T171" i="6"/>
  <c r="U171" i="6" s="1"/>
  <c r="Q171" i="6"/>
  <c r="L171" i="6"/>
  <c r="K171" i="6"/>
  <c r="E171" i="6"/>
  <c r="C171" i="6"/>
  <c r="B171" i="6"/>
  <c r="N171" i="6" s="1"/>
  <c r="O171" i="6" s="1"/>
  <c r="Z170" i="6"/>
  <c r="AA170" i="6" s="1"/>
  <c r="U170" i="6"/>
  <c r="T170" i="6"/>
  <c r="R170" i="6"/>
  <c r="Q170" i="6"/>
  <c r="K170" i="6"/>
  <c r="L170" i="6" s="1"/>
  <c r="E170" i="6"/>
  <c r="F170" i="6" s="1"/>
  <c r="B170" i="6"/>
  <c r="AC169" i="6"/>
  <c r="AD169" i="6" s="1"/>
  <c r="AA169" i="6"/>
  <c r="W169" i="6"/>
  <c r="X169" i="6" s="1"/>
  <c r="U169" i="6"/>
  <c r="R169" i="6"/>
  <c r="O169" i="6"/>
  <c r="N169" i="6"/>
  <c r="L169" i="6"/>
  <c r="I169" i="6"/>
  <c r="H169" i="6"/>
  <c r="F169" i="6"/>
  <c r="C169" i="6"/>
  <c r="AC168" i="6"/>
  <c r="AD168" i="6" s="1"/>
  <c r="AA168" i="6"/>
  <c r="W168" i="6"/>
  <c r="X168" i="6" s="1"/>
  <c r="U168" i="6"/>
  <c r="R168" i="6"/>
  <c r="N168" i="6"/>
  <c r="O168" i="6" s="1"/>
  <c r="L168" i="6"/>
  <c r="H168" i="6"/>
  <c r="I168" i="6" s="1"/>
  <c r="F168" i="6"/>
  <c r="C168" i="6"/>
  <c r="AC167" i="6"/>
  <c r="AD167" i="6" s="1"/>
  <c r="AA167" i="6"/>
  <c r="X167" i="6"/>
  <c r="W167" i="6"/>
  <c r="U167" i="6"/>
  <c r="R167" i="6"/>
  <c r="N167" i="6"/>
  <c r="O167" i="6" s="1"/>
  <c r="L167" i="6"/>
  <c r="H167" i="6"/>
  <c r="I167" i="6" s="1"/>
  <c r="F167" i="6"/>
  <c r="C167" i="6"/>
  <c r="Z166" i="6"/>
  <c r="AA166" i="6" s="1"/>
  <c r="W166" i="6"/>
  <c r="X166" i="6" s="1"/>
  <c r="T166" i="6"/>
  <c r="U166" i="6" s="1"/>
  <c r="R166" i="6"/>
  <c r="Q166" i="6"/>
  <c r="N166" i="6"/>
  <c r="O166" i="6" s="1"/>
  <c r="L166" i="6"/>
  <c r="K166" i="6"/>
  <c r="H166" i="6"/>
  <c r="I166" i="6" s="1"/>
  <c r="F166" i="6"/>
  <c r="E166" i="6"/>
  <c r="B166" i="6"/>
  <c r="C166" i="6" s="1"/>
  <c r="AD165" i="6"/>
  <c r="AC165" i="6"/>
  <c r="AA165" i="6"/>
  <c r="X165" i="6"/>
  <c r="W165" i="6"/>
  <c r="U165" i="6"/>
  <c r="R165" i="6"/>
  <c r="N165" i="6"/>
  <c r="O165" i="6" s="1"/>
  <c r="L165" i="6"/>
  <c r="H165" i="6"/>
  <c r="I165" i="6" s="1"/>
  <c r="F165" i="6"/>
  <c r="C165" i="6"/>
  <c r="AD164" i="6"/>
  <c r="AC164" i="6"/>
  <c r="AA164" i="6"/>
  <c r="X164" i="6"/>
  <c r="W164" i="6"/>
  <c r="U164" i="6"/>
  <c r="R164" i="6"/>
  <c r="N164" i="6"/>
  <c r="O164" i="6" s="1"/>
  <c r="L164" i="6"/>
  <c r="H164" i="6"/>
  <c r="I164" i="6" s="1"/>
  <c r="F164" i="6"/>
  <c r="C164" i="6"/>
  <c r="AD163" i="6"/>
  <c r="AC163" i="6"/>
  <c r="AA163" i="6"/>
  <c r="X163" i="6"/>
  <c r="W163" i="6"/>
  <c r="U163" i="6"/>
  <c r="R163" i="6"/>
  <c r="O163" i="6"/>
  <c r="N163" i="6"/>
  <c r="L163" i="6"/>
  <c r="H163" i="6"/>
  <c r="I163" i="6" s="1"/>
  <c r="F163" i="6"/>
  <c r="C163" i="6"/>
  <c r="AC162" i="6"/>
  <c r="AD162" i="6" s="1"/>
  <c r="AA162" i="6"/>
  <c r="W162" i="6"/>
  <c r="X162" i="6" s="1"/>
  <c r="U162" i="6"/>
  <c r="R162" i="6"/>
  <c r="O162" i="6"/>
  <c r="N162" i="6"/>
  <c r="L162" i="6"/>
  <c r="I162" i="6"/>
  <c r="H162" i="6"/>
  <c r="F162" i="6"/>
  <c r="C162" i="6"/>
  <c r="AC161" i="6"/>
  <c r="AD161" i="6" s="1"/>
  <c r="AA161" i="6"/>
  <c r="W161" i="6"/>
  <c r="X161" i="6" s="1"/>
  <c r="U161" i="6"/>
  <c r="R161" i="6"/>
  <c r="O161" i="6"/>
  <c r="N161" i="6"/>
  <c r="L161" i="6"/>
  <c r="H161" i="6"/>
  <c r="I161" i="6" s="1"/>
  <c r="F161" i="6"/>
  <c r="C161" i="6"/>
  <c r="AD160" i="6"/>
  <c r="AC160" i="6"/>
  <c r="AA160" i="6"/>
  <c r="X160" i="6"/>
  <c r="W160" i="6"/>
  <c r="U160" i="6"/>
  <c r="R160" i="6"/>
  <c r="N160" i="6"/>
  <c r="O160" i="6" s="1"/>
  <c r="L160" i="6"/>
  <c r="H160" i="6"/>
  <c r="I160" i="6" s="1"/>
  <c r="F160" i="6"/>
  <c r="C160" i="6"/>
  <c r="Z158" i="6"/>
  <c r="AA158" i="6" s="1"/>
  <c r="T158" i="6"/>
  <c r="R158" i="6"/>
  <c r="Q158" i="6"/>
  <c r="AC158" i="6" s="1"/>
  <c r="AD158" i="6" s="1"/>
  <c r="K158" i="6"/>
  <c r="L158" i="6" s="1"/>
  <c r="F158" i="6"/>
  <c r="E158" i="6"/>
  <c r="C158" i="6"/>
  <c r="B158" i="6"/>
  <c r="AC157" i="6"/>
  <c r="AD157" i="6" s="1"/>
  <c r="AA157" i="6"/>
  <c r="W157" i="6"/>
  <c r="X157" i="6" s="1"/>
  <c r="U157" i="6"/>
  <c r="R157" i="6"/>
  <c r="O157" i="6"/>
  <c r="N157" i="6"/>
  <c r="L157" i="6"/>
  <c r="H157" i="6"/>
  <c r="I157" i="6" s="1"/>
  <c r="F157" i="6"/>
  <c r="C157" i="6"/>
  <c r="AD156" i="6"/>
  <c r="AC156" i="6"/>
  <c r="AA156" i="6"/>
  <c r="X156" i="6"/>
  <c r="W156" i="6"/>
  <c r="U156" i="6"/>
  <c r="R156" i="6"/>
  <c r="N156" i="6"/>
  <c r="O156" i="6" s="1"/>
  <c r="L156" i="6"/>
  <c r="H156" i="6"/>
  <c r="I156" i="6" s="1"/>
  <c r="F156" i="6"/>
  <c r="C156" i="6"/>
  <c r="AD155" i="6"/>
  <c r="AC155" i="6"/>
  <c r="AA155" i="6"/>
  <c r="X155" i="6"/>
  <c r="W155" i="6"/>
  <c r="U155" i="6"/>
  <c r="R155" i="6"/>
  <c r="N155" i="6"/>
  <c r="O155" i="6" s="1"/>
  <c r="L155" i="6"/>
  <c r="H155" i="6"/>
  <c r="I155" i="6" s="1"/>
  <c r="F155" i="6"/>
  <c r="C155" i="6"/>
  <c r="AC154" i="6"/>
  <c r="AD154" i="6" s="1"/>
  <c r="AA154" i="6"/>
  <c r="W154" i="6"/>
  <c r="X154" i="6" s="1"/>
  <c r="U154" i="6"/>
  <c r="R154" i="6"/>
  <c r="O154" i="6"/>
  <c r="N154" i="6"/>
  <c r="L154" i="6"/>
  <c r="I154" i="6"/>
  <c r="H154" i="6"/>
  <c r="F154" i="6"/>
  <c r="C154" i="6"/>
  <c r="AC153" i="6"/>
  <c r="AD153" i="6" s="1"/>
  <c r="AA153" i="6"/>
  <c r="W153" i="6"/>
  <c r="X153" i="6" s="1"/>
  <c r="U153" i="6"/>
  <c r="R153" i="6"/>
  <c r="N153" i="6"/>
  <c r="O153" i="6" s="1"/>
  <c r="L153" i="6"/>
  <c r="H153" i="6"/>
  <c r="I153" i="6" s="1"/>
  <c r="F153" i="6"/>
  <c r="C153" i="6"/>
  <c r="AD151" i="6"/>
  <c r="AC151" i="6"/>
  <c r="AA151" i="6"/>
  <c r="W151" i="6"/>
  <c r="X151" i="6" s="1"/>
  <c r="U151" i="6"/>
  <c r="R151" i="6"/>
  <c r="N151" i="6"/>
  <c r="O151" i="6" s="1"/>
  <c r="L151" i="6"/>
  <c r="I151" i="6"/>
  <c r="H151" i="6"/>
  <c r="F151" i="6"/>
  <c r="C151" i="6"/>
  <c r="Z149" i="6"/>
  <c r="AA149" i="6" s="1"/>
  <c r="T149" i="6"/>
  <c r="U149" i="6" s="1"/>
  <c r="Q149" i="6"/>
  <c r="K149" i="6"/>
  <c r="L149" i="6" s="1"/>
  <c r="F149" i="6"/>
  <c r="E149" i="6"/>
  <c r="B149" i="6"/>
  <c r="Z148" i="6"/>
  <c r="AA148" i="6" s="1"/>
  <c r="T148" i="6"/>
  <c r="U148" i="6" s="1"/>
  <c r="Q148" i="6"/>
  <c r="K148" i="6"/>
  <c r="L148" i="6" s="1"/>
  <c r="F148" i="6"/>
  <c r="E148" i="6"/>
  <c r="B148" i="6"/>
  <c r="AC147" i="6"/>
  <c r="AD147" i="6" s="1"/>
  <c r="AA147" i="6"/>
  <c r="W147" i="6"/>
  <c r="X147" i="6" s="1"/>
  <c r="U147" i="6"/>
  <c r="R147" i="6"/>
  <c r="O147" i="6"/>
  <c r="N147" i="6"/>
  <c r="L147" i="6"/>
  <c r="H147" i="6"/>
  <c r="I147" i="6" s="1"/>
  <c r="F147" i="6"/>
  <c r="C147" i="6"/>
  <c r="AC146" i="6"/>
  <c r="AD146" i="6" s="1"/>
  <c r="AA146" i="6"/>
  <c r="X146" i="6"/>
  <c r="W146" i="6"/>
  <c r="U146" i="6"/>
  <c r="R146" i="6"/>
  <c r="O146" i="6"/>
  <c r="N146" i="6"/>
  <c r="L146" i="6"/>
  <c r="H146" i="6"/>
  <c r="I146" i="6" s="1"/>
  <c r="F146" i="6"/>
  <c r="C146" i="6"/>
  <c r="AD145" i="6"/>
  <c r="AC145" i="6"/>
  <c r="AA145" i="6"/>
  <c r="X145" i="6"/>
  <c r="W145" i="6"/>
  <c r="U145" i="6"/>
  <c r="R145" i="6"/>
  <c r="N145" i="6"/>
  <c r="O145" i="6" s="1"/>
  <c r="L145" i="6"/>
  <c r="H145" i="6"/>
  <c r="I145" i="6" s="1"/>
  <c r="F145" i="6"/>
  <c r="C145" i="6"/>
  <c r="AC144" i="6"/>
  <c r="AD144" i="6" s="1"/>
  <c r="AA144" i="6"/>
  <c r="W144" i="6"/>
  <c r="X144" i="6" s="1"/>
  <c r="U144" i="6"/>
  <c r="R144" i="6"/>
  <c r="O144" i="6"/>
  <c r="N144" i="6"/>
  <c r="L144" i="6"/>
  <c r="H144" i="6"/>
  <c r="I144" i="6" s="1"/>
  <c r="F144" i="6"/>
  <c r="C144" i="6"/>
  <c r="AC143" i="6"/>
  <c r="AD143" i="6" s="1"/>
  <c r="AA143" i="6"/>
  <c r="W143" i="6"/>
  <c r="X143" i="6" s="1"/>
  <c r="U143" i="6"/>
  <c r="R143" i="6"/>
  <c r="O143" i="6"/>
  <c r="N143" i="6"/>
  <c r="L143" i="6"/>
  <c r="H143" i="6"/>
  <c r="I143" i="6" s="1"/>
  <c r="F143" i="6"/>
  <c r="C143" i="6"/>
  <c r="Z141" i="6"/>
  <c r="AA141" i="6" s="1"/>
  <c r="T141" i="6"/>
  <c r="U141" i="6" s="1"/>
  <c r="R141" i="6"/>
  <c r="Q141" i="6"/>
  <c r="AC141" i="6" s="1"/>
  <c r="AD141" i="6" s="1"/>
  <c r="K141" i="6"/>
  <c r="L141" i="6" s="1"/>
  <c r="E141" i="6"/>
  <c r="H141" i="6" s="1"/>
  <c r="I141" i="6" s="1"/>
  <c r="B141" i="6"/>
  <c r="C141" i="6" s="1"/>
  <c r="AC140" i="6"/>
  <c r="AD140" i="6" s="1"/>
  <c r="AA140" i="6"/>
  <c r="X140" i="6"/>
  <c r="W140" i="6"/>
  <c r="U140" i="6"/>
  <c r="R140" i="6"/>
  <c r="O140" i="6"/>
  <c r="N140" i="6"/>
  <c r="L140" i="6"/>
  <c r="H140" i="6"/>
  <c r="I140" i="6" s="1"/>
  <c r="F140" i="6"/>
  <c r="C140" i="6"/>
  <c r="AC139" i="6"/>
  <c r="AD139" i="6" s="1"/>
  <c r="AA139" i="6"/>
  <c r="W139" i="6"/>
  <c r="X139" i="6" s="1"/>
  <c r="U139" i="6"/>
  <c r="R139" i="6"/>
  <c r="O139" i="6"/>
  <c r="N139" i="6"/>
  <c r="L139" i="6"/>
  <c r="H139" i="6"/>
  <c r="I139" i="6" s="1"/>
  <c r="F139" i="6"/>
  <c r="C139" i="6"/>
  <c r="AD138" i="6"/>
  <c r="AC138" i="6"/>
  <c r="AA138" i="6"/>
  <c r="X138" i="6"/>
  <c r="W138" i="6"/>
  <c r="U138" i="6"/>
  <c r="R138" i="6"/>
  <c r="O138" i="6"/>
  <c r="N138" i="6"/>
  <c r="L138" i="6"/>
  <c r="H138" i="6"/>
  <c r="I138" i="6" s="1"/>
  <c r="F138" i="6"/>
  <c r="C138" i="6"/>
  <c r="AC137" i="6"/>
  <c r="AD137" i="6" s="1"/>
  <c r="AA137" i="6"/>
  <c r="X137" i="6"/>
  <c r="W137" i="6"/>
  <c r="U137" i="6"/>
  <c r="R137" i="6"/>
  <c r="N137" i="6"/>
  <c r="O137" i="6" s="1"/>
  <c r="L137" i="6"/>
  <c r="H137" i="6"/>
  <c r="I137" i="6" s="1"/>
  <c r="F137" i="6"/>
  <c r="C137" i="6"/>
  <c r="AC136" i="6"/>
  <c r="AD136" i="6" s="1"/>
  <c r="AA136" i="6"/>
  <c r="W136" i="6"/>
  <c r="X136" i="6" s="1"/>
  <c r="U136" i="6"/>
  <c r="R136" i="6"/>
  <c r="O136" i="6"/>
  <c r="N136" i="6"/>
  <c r="L136" i="6"/>
  <c r="I136" i="6"/>
  <c r="H136" i="6"/>
  <c r="F136" i="6"/>
  <c r="C136" i="6"/>
  <c r="AC135" i="6"/>
  <c r="AD135" i="6" s="1"/>
  <c r="AA135" i="6"/>
  <c r="W135" i="6"/>
  <c r="X135" i="6" s="1"/>
  <c r="U135" i="6"/>
  <c r="R135" i="6"/>
  <c r="O135" i="6"/>
  <c r="N135" i="6"/>
  <c r="L135" i="6"/>
  <c r="H135" i="6"/>
  <c r="I135" i="6" s="1"/>
  <c r="F135" i="6"/>
  <c r="C135" i="6"/>
  <c r="AD134" i="6"/>
  <c r="AC134" i="6"/>
  <c r="AA134" i="6"/>
  <c r="X134" i="6"/>
  <c r="W134" i="6"/>
  <c r="U134" i="6"/>
  <c r="R134" i="6"/>
  <c r="N134" i="6"/>
  <c r="O134" i="6" s="1"/>
  <c r="L134" i="6"/>
  <c r="H134" i="6"/>
  <c r="I134" i="6" s="1"/>
  <c r="F134" i="6"/>
  <c r="C134" i="6"/>
  <c r="AC133" i="6"/>
  <c r="AD133" i="6" s="1"/>
  <c r="AA133" i="6"/>
  <c r="X133" i="6"/>
  <c r="W133" i="6"/>
  <c r="U133" i="6"/>
  <c r="R133" i="6"/>
  <c r="N133" i="6"/>
  <c r="O133" i="6" s="1"/>
  <c r="L133" i="6"/>
  <c r="I133" i="6"/>
  <c r="H133" i="6"/>
  <c r="F133" i="6"/>
  <c r="C133" i="6"/>
  <c r="AC132" i="6"/>
  <c r="AD132" i="6" s="1"/>
  <c r="AA132" i="6"/>
  <c r="X132" i="6"/>
  <c r="W132" i="6"/>
  <c r="U132" i="6"/>
  <c r="R132" i="6"/>
  <c r="O132" i="6"/>
  <c r="N132" i="6"/>
  <c r="L132" i="6"/>
  <c r="H132" i="6"/>
  <c r="I132" i="6" s="1"/>
  <c r="F132" i="6"/>
  <c r="C132" i="6"/>
  <c r="AC131" i="6"/>
  <c r="AD131" i="6" s="1"/>
  <c r="AA131" i="6"/>
  <c r="W131" i="6"/>
  <c r="X131" i="6" s="1"/>
  <c r="U131" i="6"/>
  <c r="R131" i="6"/>
  <c r="O131" i="6"/>
  <c r="N131" i="6"/>
  <c r="L131" i="6"/>
  <c r="H131" i="6"/>
  <c r="I131" i="6" s="1"/>
  <c r="F131" i="6"/>
  <c r="C131" i="6"/>
  <c r="AC130" i="6"/>
  <c r="AD130" i="6" s="1"/>
  <c r="AA130" i="6"/>
  <c r="X130" i="6"/>
  <c r="W130" i="6"/>
  <c r="U130" i="6"/>
  <c r="R130" i="6"/>
  <c r="O130" i="6"/>
  <c r="N130" i="6"/>
  <c r="L130" i="6"/>
  <c r="H130" i="6"/>
  <c r="I130" i="6" s="1"/>
  <c r="F130" i="6"/>
  <c r="C130" i="6"/>
  <c r="AC129" i="6"/>
  <c r="AD129" i="6" s="1"/>
  <c r="AA129" i="6"/>
  <c r="X129" i="6"/>
  <c r="W129" i="6"/>
  <c r="U129" i="6"/>
  <c r="R129" i="6"/>
  <c r="N129" i="6"/>
  <c r="O129" i="6" s="1"/>
  <c r="L129" i="6"/>
  <c r="I129" i="6"/>
  <c r="H129" i="6"/>
  <c r="F129" i="6"/>
  <c r="C129" i="6"/>
  <c r="AC127" i="6"/>
  <c r="AD127" i="6" s="1"/>
  <c r="AA127" i="6"/>
  <c r="X127" i="6"/>
  <c r="W127" i="6"/>
  <c r="U127" i="6"/>
  <c r="R127" i="6"/>
  <c r="O127" i="6"/>
  <c r="N127" i="6"/>
  <c r="L127" i="6"/>
  <c r="H127" i="6"/>
  <c r="I127" i="6" s="1"/>
  <c r="F127" i="6"/>
  <c r="C127" i="6"/>
  <c r="Z124" i="6"/>
  <c r="AA124" i="6" s="1"/>
  <c r="T124" i="6"/>
  <c r="Q124" i="6"/>
  <c r="Q172" i="6" s="1"/>
  <c r="K124" i="6"/>
  <c r="K172" i="6" s="1"/>
  <c r="I124" i="6"/>
  <c r="H124" i="6"/>
  <c r="E124" i="6"/>
  <c r="F124" i="6" s="1"/>
  <c r="B124" i="6"/>
  <c r="C124" i="6" s="1"/>
  <c r="AC123" i="6"/>
  <c r="AD123" i="6" s="1"/>
  <c r="AA123" i="6"/>
  <c r="X123" i="6"/>
  <c r="W123" i="6"/>
  <c r="U123" i="6"/>
  <c r="R123" i="6"/>
  <c r="N123" i="6"/>
  <c r="O123" i="6" s="1"/>
  <c r="L123" i="6"/>
  <c r="I123" i="6"/>
  <c r="H123" i="6"/>
  <c r="F123" i="6"/>
  <c r="C123" i="6"/>
  <c r="Z122" i="6"/>
  <c r="AA122" i="6" s="1"/>
  <c r="X122" i="6"/>
  <c r="W122" i="6"/>
  <c r="T122" i="6"/>
  <c r="U122" i="6" s="1"/>
  <c r="Q122" i="6"/>
  <c r="R122" i="6" s="1"/>
  <c r="K122" i="6"/>
  <c r="L122" i="6" s="1"/>
  <c r="E122" i="6"/>
  <c r="F122" i="6" s="1"/>
  <c r="B122" i="6"/>
  <c r="AC121" i="6"/>
  <c r="AD121" i="6" s="1"/>
  <c r="AA121" i="6"/>
  <c r="X121" i="6"/>
  <c r="W121" i="6"/>
  <c r="U121" i="6"/>
  <c r="R121" i="6"/>
  <c r="O121" i="6"/>
  <c r="N121" i="6"/>
  <c r="L121" i="6"/>
  <c r="H121" i="6"/>
  <c r="I121" i="6" s="1"/>
  <c r="F121" i="6"/>
  <c r="C121" i="6"/>
  <c r="AD120" i="6"/>
  <c r="AC120" i="6"/>
  <c r="AA120" i="6"/>
  <c r="X120" i="6"/>
  <c r="W120" i="6"/>
  <c r="U120" i="6"/>
  <c r="R120" i="6"/>
  <c r="N120" i="6"/>
  <c r="O120" i="6" s="1"/>
  <c r="L120" i="6"/>
  <c r="I120" i="6"/>
  <c r="H120" i="6"/>
  <c r="F120" i="6"/>
  <c r="C120" i="6"/>
  <c r="AC119" i="6"/>
  <c r="AD119" i="6" s="1"/>
  <c r="AA119" i="6"/>
  <c r="W119" i="6"/>
  <c r="X119" i="6" s="1"/>
  <c r="U119" i="6"/>
  <c r="R119" i="6"/>
  <c r="O119" i="6"/>
  <c r="N119" i="6"/>
  <c r="L119" i="6"/>
  <c r="H119" i="6"/>
  <c r="I119" i="6" s="1"/>
  <c r="F119" i="6"/>
  <c r="C119" i="6"/>
  <c r="Z118" i="6"/>
  <c r="AA118" i="6" s="1"/>
  <c r="W118" i="6"/>
  <c r="X118" i="6" s="1"/>
  <c r="U118" i="6"/>
  <c r="T118" i="6"/>
  <c r="Q118" i="6"/>
  <c r="R118" i="6" s="1"/>
  <c r="K118" i="6"/>
  <c r="L118" i="6" s="1"/>
  <c r="I118" i="6"/>
  <c r="H118" i="6"/>
  <c r="E118" i="6"/>
  <c r="F118" i="6" s="1"/>
  <c r="B118" i="6"/>
  <c r="C118" i="6" s="1"/>
  <c r="AC117" i="6"/>
  <c r="AD117" i="6" s="1"/>
  <c r="AA117" i="6"/>
  <c r="X117" i="6"/>
  <c r="W117" i="6"/>
  <c r="U117" i="6"/>
  <c r="R117" i="6"/>
  <c r="N117" i="6"/>
  <c r="O117" i="6" s="1"/>
  <c r="L117" i="6"/>
  <c r="I117" i="6"/>
  <c r="H117" i="6"/>
  <c r="F117" i="6"/>
  <c r="C117" i="6"/>
  <c r="AC116" i="6"/>
  <c r="AD116" i="6" s="1"/>
  <c r="AA116" i="6"/>
  <c r="X116" i="6"/>
  <c r="W116" i="6"/>
  <c r="U116" i="6"/>
  <c r="R116" i="6"/>
  <c r="O116" i="6"/>
  <c r="N116" i="6"/>
  <c r="L116" i="6"/>
  <c r="I116" i="6"/>
  <c r="H116" i="6"/>
  <c r="F116" i="6"/>
  <c r="C116" i="6"/>
  <c r="AC115" i="6"/>
  <c r="AD115" i="6" s="1"/>
  <c r="AA115" i="6"/>
  <c r="W115" i="6"/>
  <c r="X115" i="6" s="1"/>
  <c r="U115" i="6"/>
  <c r="R115" i="6"/>
  <c r="O115" i="6"/>
  <c r="N115" i="6"/>
  <c r="L115" i="6"/>
  <c r="H115" i="6"/>
  <c r="I115" i="6" s="1"/>
  <c r="F115" i="6"/>
  <c r="C115" i="6"/>
  <c r="AC114" i="6"/>
  <c r="AD114" i="6" s="1"/>
  <c r="AA114" i="6"/>
  <c r="X114" i="6"/>
  <c r="W114" i="6"/>
  <c r="U114" i="6"/>
  <c r="R114" i="6"/>
  <c r="O114" i="6"/>
  <c r="N114" i="6"/>
  <c r="L114" i="6"/>
  <c r="H114" i="6"/>
  <c r="I114" i="6" s="1"/>
  <c r="F114" i="6"/>
  <c r="C114" i="6"/>
  <c r="AD113" i="6"/>
  <c r="AC113" i="6"/>
  <c r="AA113" i="6"/>
  <c r="X113" i="6"/>
  <c r="W113" i="6"/>
  <c r="U113" i="6"/>
  <c r="R113" i="6"/>
  <c r="N113" i="6"/>
  <c r="O113" i="6" s="1"/>
  <c r="L113" i="6"/>
  <c r="H113" i="6"/>
  <c r="I113" i="6" s="1"/>
  <c r="F113" i="6"/>
  <c r="C113" i="6"/>
  <c r="AC112" i="6"/>
  <c r="AD112" i="6" s="1"/>
  <c r="AA112" i="6"/>
  <c r="W112" i="6"/>
  <c r="X112" i="6" s="1"/>
  <c r="U112" i="6"/>
  <c r="R112" i="6"/>
  <c r="O112" i="6"/>
  <c r="N112" i="6"/>
  <c r="L112" i="6"/>
  <c r="H112" i="6"/>
  <c r="I112" i="6" s="1"/>
  <c r="F112" i="6"/>
  <c r="C112" i="6"/>
  <c r="AC111" i="6"/>
  <c r="AD111" i="6" s="1"/>
  <c r="AA111" i="6"/>
  <c r="W111" i="6"/>
  <c r="X111" i="6" s="1"/>
  <c r="U111" i="6"/>
  <c r="R111" i="6"/>
  <c r="O111" i="6"/>
  <c r="N111" i="6"/>
  <c r="L111" i="6"/>
  <c r="H111" i="6"/>
  <c r="I111" i="6" s="1"/>
  <c r="F111" i="6"/>
  <c r="C111" i="6"/>
  <c r="AD110" i="6"/>
  <c r="AC110" i="6"/>
  <c r="AA110" i="6"/>
  <c r="X110" i="6"/>
  <c r="W110" i="6"/>
  <c r="U110" i="6"/>
  <c r="R110" i="6"/>
  <c r="O110" i="6"/>
  <c r="N110" i="6"/>
  <c r="L110" i="6"/>
  <c r="H110" i="6"/>
  <c r="I110" i="6" s="1"/>
  <c r="F110" i="6"/>
  <c r="C110" i="6"/>
  <c r="AD109" i="6"/>
  <c r="AC109" i="6"/>
  <c r="AA109" i="6"/>
  <c r="X109" i="6"/>
  <c r="W109" i="6"/>
  <c r="U109" i="6"/>
  <c r="R109" i="6"/>
  <c r="N109" i="6"/>
  <c r="O109" i="6" s="1"/>
  <c r="L109" i="6"/>
  <c r="H109" i="6"/>
  <c r="I109" i="6" s="1"/>
  <c r="F109" i="6"/>
  <c r="C109" i="6"/>
  <c r="AC108" i="6"/>
  <c r="AD108" i="6" s="1"/>
  <c r="AA108" i="6"/>
  <c r="W108" i="6"/>
  <c r="X108" i="6" s="1"/>
  <c r="U108" i="6"/>
  <c r="R108" i="6"/>
  <c r="O108" i="6"/>
  <c r="N108" i="6"/>
  <c r="L108" i="6"/>
  <c r="H108" i="6"/>
  <c r="I108" i="6" s="1"/>
  <c r="F108" i="6"/>
  <c r="C108" i="6"/>
  <c r="AC107" i="6"/>
  <c r="AD107" i="6" s="1"/>
  <c r="AA107" i="6"/>
  <c r="W107" i="6"/>
  <c r="X107" i="6" s="1"/>
  <c r="U107" i="6"/>
  <c r="R107" i="6"/>
  <c r="O107" i="6"/>
  <c r="N107" i="6"/>
  <c r="L107" i="6"/>
  <c r="H107" i="6"/>
  <c r="I107" i="6" s="1"/>
  <c r="F107" i="6"/>
  <c r="C107" i="6"/>
  <c r="AD106" i="6"/>
  <c r="AC106" i="6"/>
  <c r="AA106" i="6"/>
  <c r="X106" i="6"/>
  <c r="W106" i="6"/>
  <c r="U106" i="6"/>
  <c r="R106" i="6"/>
  <c r="N106" i="6"/>
  <c r="O106" i="6" s="1"/>
  <c r="L106" i="6"/>
  <c r="H106" i="6"/>
  <c r="I106" i="6" s="1"/>
  <c r="F106" i="6"/>
  <c r="C106" i="6"/>
  <c r="AD105" i="6"/>
  <c r="AC105" i="6"/>
  <c r="AA105" i="6"/>
  <c r="X105" i="6"/>
  <c r="W105" i="6"/>
  <c r="U105" i="6"/>
  <c r="R105" i="6"/>
  <c r="N105" i="6"/>
  <c r="O105" i="6" s="1"/>
  <c r="L105" i="6"/>
  <c r="I105" i="6"/>
  <c r="H105" i="6"/>
  <c r="F105" i="6"/>
  <c r="C105" i="6"/>
  <c r="AC104" i="6"/>
  <c r="AD104" i="6" s="1"/>
  <c r="AA104" i="6"/>
  <c r="W104" i="6"/>
  <c r="X104" i="6" s="1"/>
  <c r="U104" i="6"/>
  <c r="R104" i="6"/>
  <c r="O104" i="6"/>
  <c r="N104" i="6"/>
  <c r="L104" i="6"/>
  <c r="I104" i="6"/>
  <c r="H104" i="6"/>
  <c r="F104" i="6"/>
  <c r="C104" i="6"/>
  <c r="AC103" i="6"/>
  <c r="AD103" i="6" s="1"/>
  <c r="AA103" i="6"/>
  <c r="W103" i="6"/>
  <c r="X103" i="6" s="1"/>
  <c r="U103" i="6"/>
  <c r="R103" i="6"/>
  <c r="O103" i="6"/>
  <c r="N103" i="6"/>
  <c r="L103" i="6"/>
  <c r="H103" i="6"/>
  <c r="I103" i="6" s="1"/>
  <c r="F103" i="6"/>
  <c r="C103" i="6"/>
  <c r="AD102" i="6"/>
  <c r="AC102" i="6"/>
  <c r="AA102" i="6"/>
  <c r="X102" i="6"/>
  <c r="W102" i="6"/>
  <c r="U102" i="6"/>
  <c r="R102" i="6"/>
  <c r="N102" i="6"/>
  <c r="O102" i="6" s="1"/>
  <c r="L102" i="6"/>
  <c r="H102" i="6"/>
  <c r="I102" i="6" s="1"/>
  <c r="F102" i="6"/>
  <c r="C102" i="6"/>
  <c r="AC101" i="6"/>
  <c r="AD101" i="6" s="1"/>
  <c r="AA101" i="6"/>
  <c r="X101" i="6"/>
  <c r="W101" i="6"/>
  <c r="U101" i="6"/>
  <c r="R101" i="6"/>
  <c r="N101" i="6"/>
  <c r="O101" i="6" s="1"/>
  <c r="L101" i="6"/>
  <c r="H101" i="6"/>
  <c r="I101" i="6" s="1"/>
  <c r="F101" i="6"/>
  <c r="C101" i="6"/>
  <c r="AC100" i="6"/>
  <c r="AD100" i="6" s="1"/>
  <c r="AA100" i="6"/>
  <c r="X100" i="6"/>
  <c r="W100" i="6"/>
  <c r="U100" i="6"/>
  <c r="R100" i="6"/>
  <c r="O100" i="6"/>
  <c r="N100" i="6"/>
  <c r="L100" i="6"/>
  <c r="I100" i="6"/>
  <c r="H100" i="6"/>
  <c r="F100" i="6"/>
  <c r="C100" i="6"/>
  <c r="AC99" i="6"/>
  <c r="AD99" i="6" s="1"/>
  <c r="AA99" i="6"/>
  <c r="W99" i="6"/>
  <c r="X99" i="6" s="1"/>
  <c r="U99" i="6"/>
  <c r="R99" i="6"/>
  <c r="O99" i="6"/>
  <c r="N99" i="6"/>
  <c r="L99" i="6"/>
  <c r="H99" i="6"/>
  <c r="I99" i="6" s="1"/>
  <c r="F99" i="6"/>
  <c r="C99" i="6"/>
  <c r="AC98" i="6"/>
  <c r="AD98" i="6" s="1"/>
  <c r="AA98" i="6"/>
  <c r="X98" i="6"/>
  <c r="W98" i="6"/>
  <c r="U98" i="6"/>
  <c r="R98" i="6"/>
  <c r="O98" i="6"/>
  <c r="N98" i="6"/>
  <c r="L98" i="6"/>
  <c r="H98" i="6"/>
  <c r="I98" i="6" s="1"/>
  <c r="F98" i="6"/>
  <c r="C98" i="6"/>
  <c r="AC97" i="6"/>
  <c r="AD97" i="6" s="1"/>
  <c r="AA97" i="6"/>
  <c r="X97" i="6"/>
  <c r="W97" i="6"/>
  <c r="U97" i="6"/>
  <c r="R97" i="6"/>
  <c r="N97" i="6"/>
  <c r="O97" i="6" s="1"/>
  <c r="L97" i="6"/>
  <c r="I97" i="6"/>
  <c r="H97" i="6"/>
  <c r="F97" i="6"/>
  <c r="C97" i="6"/>
  <c r="AC96" i="6"/>
  <c r="AD96" i="6" s="1"/>
  <c r="AA96" i="6"/>
  <c r="W96" i="6"/>
  <c r="X96" i="6" s="1"/>
  <c r="U96" i="6"/>
  <c r="R96" i="6"/>
  <c r="O96" i="6"/>
  <c r="N96" i="6"/>
  <c r="L96" i="6"/>
  <c r="H96" i="6"/>
  <c r="I96" i="6" s="1"/>
  <c r="F96" i="6"/>
  <c r="C96" i="6"/>
  <c r="AC95" i="6"/>
  <c r="AD95" i="6" s="1"/>
  <c r="AA95" i="6"/>
  <c r="W95" i="6"/>
  <c r="X95" i="6" s="1"/>
  <c r="U95" i="6"/>
  <c r="R95" i="6"/>
  <c r="O95" i="6"/>
  <c r="N95" i="6"/>
  <c r="L95" i="6"/>
  <c r="H95" i="6"/>
  <c r="I95" i="6" s="1"/>
  <c r="F95" i="6"/>
  <c r="C95" i="6"/>
  <c r="AD94" i="6"/>
  <c r="AC94" i="6"/>
  <c r="AA94" i="6"/>
  <c r="X94" i="6"/>
  <c r="W94" i="6"/>
  <c r="U94" i="6"/>
  <c r="R94" i="6"/>
  <c r="O94" i="6"/>
  <c r="N94" i="6"/>
  <c r="L94" i="6"/>
  <c r="H94" i="6"/>
  <c r="I94" i="6" s="1"/>
  <c r="F94" i="6"/>
  <c r="C94" i="6"/>
  <c r="AD92" i="6"/>
  <c r="AC92" i="6"/>
  <c r="AA92" i="6"/>
  <c r="X92" i="6"/>
  <c r="W92" i="6"/>
  <c r="U92" i="6"/>
  <c r="R92" i="6"/>
  <c r="N92" i="6"/>
  <c r="O92" i="6" s="1"/>
  <c r="L92" i="6"/>
  <c r="H92" i="6"/>
  <c r="I92" i="6" s="1"/>
  <c r="F92" i="6"/>
  <c r="C92" i="6"/>
  <c r="AC91" i="6"/>
  <c r="AD91" i="6" s="1"/>
  <c r="AA91" i="6"/>
  <c r="W91" i="6"/>
  <c r="X91" i="6" s="1"/>
  <c r="U91" i="6"/>
  <c r="R91" i="6"/>
  <c r="O91" i="6"/>
  <c r="N91" i="6"/>
  <c r="L91" i="6"/>
  <c r="I91" i="6"/>
  <c r="H91" i="6"/>
  <c r="F91" i="6"/>
  <c r="C91" i="6"/>
  <c r="AC90" i="6"/>
  <c r="AD90" i="6" s="1"/>
  <c r="AA90" i="6"/>
  <c r="W90" i="6"/>
  <c r="X90" i="6" s="1"/>
  <c r="U90" i="6"/>
  <c r="R90" i="6"/>
  <c r="O90" i="6"/>
  <c r="N90" i="6"/>
  <c r="L90" i="6"/>
  <c r="H90" i="6"/>
  <c r="I90" i="6" s="1"/>
  <c r="F90" i="6"/>
  <c r="C90" i="6"/>
  <c r="AC89" i="6"/>
  <c r="AD89" i="6" s="1"/>
  <c r="AA89" i="6"/>
  <c r="X89" i="6"/>
  <c r="W89" i="6"/>
  <c r="U89" i="6"/>
  <c r="R89" i="6"/>
  <c r="N89" i="6"/>
  <c r="O89" i="6" s="1"/>
  <c r="L89" i="6"/>
  <c r="H89" i="6"/>
  <c r="I89" i="6" s="1"/>
  <c r="F89" i="6"/>
  <c r="C89" i="6"/>
  <c r="Z88" i="6"/>
  <c r="AA88" i="6" s="1"/>
  <c r="T88" i="6"/>
  <c r="U88" i="6" s="1"/>
  <c r="R88" i="6"/>
  <c r="Q88" i="6"/>
  <c r="K88" i="6"/>
  <c r="L88" i="6" s="1"/>
  <c r="E88" i="6"/>
  <c r="F88" i="6" s="1"/>
  <c r="B88" i="6"/>
  <c r="AC87" i="6"/>
  <c r="AD87" i="6" s="1"/>
  <c r="AA87" i="6"/>
  <c r="W87" i="6"/>
  <c r="X87" i="6" s="1"/>
  <c r="U87" i="6"/>
  <c r="R87" i="6"/>
  <c r="O87" i="6"/>
  <c r="N87" i="6"/>
  <c r="L87" i="6"/>
  <c r="H87" i="6"/>
  <c r="I87" i="6" s="1"/>
  <c r="F87" i="6"/>
  <c r="C87" i="6"/>
  <c r="AD86" i="6"/>
  <c r="AC86" i="6"/>
  <c r="AA86" i="6"/>
  <c r="X86" i="6"/>
  <c r="W86" i="6"/>
  <c r="U86" i="6"/>
  <c r="R86" i="6"/>
  <c r="O86" i="6"/>
  <c r="N86" i="6"/>
  <c r="L86" i="6"/>
  <c r="H86" i="6"/>
  <c r="I86" i="6" s="1"/>
  <c r="F86" i="6"/>
  <c r="C86" i="6"/>
  <c r="AD85" i="6"/>
  <c r="AC85" i="6"/>
  <c r="AA85" i="6"/>
  <c r="X85" i="6"/>
  <c r="W85" i="6"/>
  <c r="U85" i="6"/>
  <c r="R85" i="6"/>
  <c r="N85" i="6"/>
  <c r="O85" i="6" s="1"/>
  <c r="L85" i="6"/>
  <c r="H85" i="6"/>
  <c r="I85" i="6" s="1"/>
  <c r="F85" i="6"/>
  <c r="C85" i="6"/>
  <c r="AC84" i="6"/>
  <c r="AD84" i="6" s="1"/>
  <c r="AA84" i="6"/>
  <c r="W84" i="6"/>
  <c r="X84" i="6" s="1"/>
  <c r="U84" i="6"/>
  <c r="R84" i="6"/>
  <c r="O84" i="6"/>
  <c r="N84" i="6"/>
  <c r="L84" i="6"/>
  <c r="I84" i="6"/>
  <c r="H84" i="6"/>
  <c r="F84" i="6"/>
  <c r="C84" i="6"/>
  <c r="AC83" i="6"/>
  <c r="AD83" i="6" s="1"/>
  <c r="AA83" i="6"/>
  <c r="W83" i="6"/>
  <c r="X83" i="6" s="1"/>
  <c r="U83" i="6"/>
  <c r="R83" i="6"/>
  <c r="O83" i="6"/>
  <c r="N83" i="6"/>
  <c r="L83" i="6"/>
  <c r="H83" i="6"/>
  <c r="I83" i="6" s="1"/>
  <c r="F83" i="6"/>
  <c r="C83" i="6"/>
  <c r="AC82" i="6"/>
  <c r="AD82" i="6" s="1"/>
  <c r="AA82" i="6"/>
  <c r="X82" i="6"/>
  <c r="W82" i="6"/>
  <c r="U82" i="6"/>
  <c r="R82" i="6"/>
  <c r="N82" i="6"/>
  <c r="O82" i="6" s="1"/>
  <c r="L82" i="6"/>
  <c r="H82" i="6"/>
  <c r="I82" i="6" s="1"/>
  <c r="F82" i="6"/>
  <c r="C82" i="6"/>
  <c r="AD81" i="6"/>
  <c r="AC81" i="6"/>
  <c r="AA81" i="6"/>
  <c r="X81" i="6"/>
  <c r="W81" i="6"/>
  <c r="U81" i="6"/>
  <c r="R81" i="6"/>
  <c r="N81" i="6"/>
  <c r="O81" i="6" s="1"/>
  <c r="L81" i="6"/>
  <c r="I81" i="6"/>
  <c r="H81" i="6"/>
  <c r="F81" i="6"/>
  <c r="C81" i="6"/>
  <c r="AC80" i="6"/>
  <c r="AD80" i="6" s="1"/>
  <c r="AA80" i="6"/>
  <c r="W80" i="6"/>
  <c r="X80" i="6" s="1"/>
  <c r="U80" i="6"/>
  <c r="R80" i="6"/>
  <c r="O80" i="6"/>
  <c r="N80" i="6"/>
  <c r="L80" i="6"/>
  <c r="I80" i="6"/>
  <c r="H80" i="6"/>
  <c r="F80" i="6"/>
  <c r="C80" i="6"/>
  <c r="AC79" i="6"/>
  <c r="AD79" i="6" s="1"/>
  <c r="AA79" i="6"/>
  <c r="W79" i="6"/>
  <c r="X79" i="6" s="1"/>
  <c r="U79" i="6"/>
  <c r="R79" i="6"/>
  <c r="O79" i="6"/>
  <c r="N79" i="6"/>
  <c r="L79" i="6"/>
  <c r="H79" i="6"/>
  <c r="I79" i="6" s="1"/>
  <c r="F79" i="6"/>
  <c r="C79" i="6"/>
  <c r="AC78" i="6"/>
  <c r="AD78" i="6" s="1"/>
  <c r="AA78" i="6"/>
  <c r="X78" i="6"/>
  <c r="W78" i="6"/>
  <c r="U78" i="6"/>
  <c r="R78" i="6"/>
  <c r="N78" i="6"/>
  <c r="O78" i="6" s="1"/>
  <c r="L78" i="6"/>
  <c r="H78" i="6"/>
  <c r="I78" i="6" s="1"/>
  <c r="F78" i="6"/>
  <c r="C78" i="6"/>
  <c r="AC77" i="6"/>
  <c r="AD77" i="6" s="1"/>
  <c r="AA77" i="6"/>
  <c r="X77" i="6"/>
  <c r="W77" i="6"/>
  <c r="U77" i="6"/>
  <c r="R77" i="6"/>
  <c r="N77" i="6"/>
  <c r="O77" i="6" s="1"/>
  <c r="L77" i="6"/>
  <c r="H77" i="6"/>
  <c r="I77" i="6" s="1"/>
  <c r="F77" i="6"/>
  <c r="C77" i="6"/>
  <c r="AC76" i="6"/>
  <c r="AD76" i="6" s="1"/>
  <c r="AA76" i="6"/>
  <c r="X76" i="6"/>
  <c r="W76" i="6"/>
  <c r="U76" i="6"/>
  <c r="R76" i="6"/>
  <c r="O76" i="6"/>
  <c r="N76" i="6"/>
  <c r="L76" i="6"/>
  <c r="I76" i="6"/>
  <c r="H76" i="6"/>
  <c r="F76" i="6"/>
  <c r="C76" i="6"/>
  <c r="AC75" i="6"/>
  <c r="AD75" i="6" s="1"/>
  <c r="AA75" i="6"/>
  <c r="W75" i="6"/>
  <c r="X75" i="6" s="1"/>
  <c r="U75" i="6"/>
  <c r="R75" i="6"/>
  <c r="O75" i="6"/>
  <c r="N75" i="6"/>
  <c r="L75" i="6"/>
  <c r="H75" i="6"/>
  <c r="I75" i="6" s="1"/>
  <c r="F75" i="6"/>
  <c r="C75" i="6"/>
  <c r="Z73" i="6"/>
  <c r="AA73" i="6" s="1"/>
  <c r="T73" i="6"/>
  <c r="U73" i="6" s="1"/>
  <c r="R73" i="6"/>
  <c r="Q73" i="6"/>
  <c r="K73" i="6"/>
  <c r="L73" i="6" s="1"/>
  <c r="H73" i="6"/>
  <c r="I73" i="6" s="1"/>
  <c r="F73" i="6"/>
  <c r="E73" i="6"/>
  <c r="B73" i="6"/>
  <c r="C73" i="6" s="1"/>
  <c r="AC72" i="6"/>
  <c r="AD72" i="6" s="1"/>
  <c r="AA72" i="6"/>
  <c r="X72" i="6"/>
  <c r="W72" i="6"/>
  <c r="U72" i="6"/>
  <c r="R72" i="6"/>
  <c r="O72" i="6"/>
  <c r="N72" i="6"/>
  <c r="L72" i="6"/>
  <c r="I72" i="6"/>
  <c r="H72" i="6"/>
  <c r="F72" i="6"/>
  <c r="C72" i="6"/>
  <c r="AC71" i="6"/>
  <c r="AD71" i="6" s="1"/>
  <c r="AA71" i="6"/>
  <c r="W71" i="6"/>
  <c r="X71" i="6" s="1"/>
  <c r="U71" i="6"/>
  <c r="R71" i="6"/>
  <c r="O71" i="6"/>
  <c r="N71" i="6"/>
  <c r="L71" i="6"/>
  <c r="H71" i="6"/>
  <c r="I71" i="6" s="1"/>
  <c r="F71" i="6"/>
  <c r="C71" i="6"/>
  <c r="AC70" i="6"/>
  <c r="AD70" i="6" s="1"/>
  <c r="AA70" i="6"/>
  <c r="X70" i="6"/>
  <c r="W70" i="6"/>
  <c r="U70" i="6"/>
  <c r="R70" i="6"/>
  <c r="O70" i="6"/>
  <c r="N70" i="6"/>
  <c r="L70" i="6"/>
  <c r="H70" i="6"/>
  <c r="I70" i="6" s="1"/>
  <c r="F70" i="6"/>
  <c r="C70" i="6"/>
  <c r="AD69" i="6"/>
  <c r="AC69" i="6"/>
  <c r="AA69" i="6"/>
  <c r="X69" i="6"/>
  <c r="W69" i="6"/>
  <c r="U69" i="6"/>
  <c r="R69" i="6"/>
  <c r="N69" i="6"/>
  <c r="O69" i="6" s="1"/>
  <c r="L69" i="6"/>
  <c r="H69" i="6"/>
  <c r="I69" i="6" s="1"/>
  <c r="F69" i="6"/>
  <c r="C69" i="6"/>
  <c r="AC68" i="6"/>
  <c r="AD68" i="6" s="1"/>
  <c r="AA68" i="6"/>
  <c r="X68" i="6"/>
  <c r="W68" i="6"/>
  <c r="U68" i="6"/>
  <c r="R68" i="6"/>
  <c r="O68" i="6"/>
  <c r="N68" i="6"/>
  <c r="L68" i="6"/>
  <c r="H68" i="6"/>
  <c r="I68" i="6" s="1"/>
  <c r="F68" i="6"/>
  <c r="C68" i="6"/>
  <c r="AC67" i="6"/>
  <c r="AD67" i="6" s="1"/>
  <c r="AA67" i="6"/>
  <c r="W67" i="6"/>
  <c r="X67" i="6" s="1"/>
  <c r="U67" i="6"/>
  <c r="R67" i="6"/>
  <c r="O67" i="6"/>
  <c r="N67" i="6"/>
  <c r="L67" i="6"/>
  <c r="H67" i="6"/>
  <c r="I67" i="6" s="1"/>
  <c r="F67" i="6"/>
  <c r="C67" i="6"/>
  <c r="AD66" i="6"/>
  <c r="AC66" i="6"/>
  <c r="AA66" i="6"/>
  <c r="X66" i="6"/>
  <c r="W66" i="6"/>
  <c r="U66" i="6"/>
  <c r="R66" i="6"/>
  <c r="O66" i="6"/>
  <c r="N66" i="6"/>
  <c r="L66" i="6"/>
  <c r="H66" i="6"/>
  <c r="I66" i="6" s="1"/>
  <c r="F66" i="6"/>
  <c r="C66" i="6"/>
  <c r="AC65" i="6"/>
  <c r="AD65" i="6" s="1"/>
  <c r="AA65" i="6"/>
  <c r="X65" i="6"/>
  <c r="W65" i="6"/>
  <c r="U65" i="6"/>
  <c r="R65" i="6"/>
  <c r="N65" i="6"/>
  <c r="O65" i="6" s="1"/>
  <c r="L65" i="6"/>
  <c r="H65" i="6"/>
  <c r="I65" i="6" s="1"/>
  <c r="F65" i="6"/>
  <c r="C65" i="6"/>
  <c r="AC64" i="6"/>
  <c r="AD64" i="6" s="1"/>
  <c r="AA64" i="6"/>
  <c r="W64" i="6"/>
  <c r="X64" i="6" s="1"/>
  <c r="U64" i="6"/>
  <c r="R64" i="6"/>
  <c r="O64" i="6"/>
  <c r="N64" i="6"/>
  <c r="L64" i="6"/>
  <c r="I64" i="6"/>
  <c r="H64" i="6"/>
  <c r="F64" i="6"/>
  <c r="C64" i="6"/>
  <c r="Z62" i="6"/>
  <c r="AA62" i="6" s="1"/>
  <c r="U62" i="6"/>
  <c r="T62" i="6"/>
  <c r="W62" i="6" s="1"/>
  <c r="X62" i="6" s="1"/>
  <c r="Q62" i="6"/>
  <c r="R62" i="6" s="1"/>
  <c r="L62" i="6"/>
  <c r="K62" i="6"/>
  <c r="H62" i="6"/>
  <c r="I62" i="6" s="1"/>
  <c r="E62" i="6"/>
  <c r="F62" i="6" s="1"/>
  <c r="B62" i="6"/>
  <c r="C62" i="6" s="1"/>
  <c r="Z61" i="6"/>
  <c r="AA61" i="6" s="1"/>
  <c r="T61" i="6"/>
  <c r="U61" i="6" s="1"/>
  <c r="R61" i="6"/>
  <c r="Q61" i="6"/>
  <c r="W61" i="6" s="1"/>
  <c r="X61" i="6" s="1"/>
  <c r="K61" i="6"/>
  <c r="L61" i="6" s="1"/>
  <c r="F61" i="6"/>
  <c r="E61" i="6"/>
  <c r="B61" i="6"/>
  <c r="AC60" i="6"/>
  <c r="AD60" i="6" s="1"/>
  <c r="AA60" i="6"/>
  <c r="W60" i="6"/>
  <c r="X60" i="6" s="1"/>
  <c r="U60" i="6"/>
  <c r="R60" i="6"/>
  <c r="O60" i="6"/>
  <c r="N60" i="6"/>
  <c r="L60" i="6"/>
  <c r="H60" i="6"/>
  <c r="I60" i="6" s="1"/>
  <c r="F60" i="6"/>
  <c r="C60" i="6"/>
  <c r="AC59" i="6"/>
  <c r="AD59" i="6" s="1"/>
  <c r="AA59" i="6"/>
  <c r="X59" i="6"/>
  <c r="W59" i="6"/>
  <c r="U59" i="6"/>
  <c r="R59" i="6"/>
  <c r="O59" i="6"/>
  <c r="N59" i="6"/>
  <c r="L59" i="6"/>
  <c r="H59" i="6"/>
  <c r="I59" i="6" s="1"/>
  <c r="F59" i="6"/>
  <c r="C59" i="6"/>
  <c r="AC58" i="6"/>
  <c r="AD58" i="6" s="1"/>
  <c r="AA58" i="6"/>
  <c r="X58" i="6"/>
  <c r="W58" i="6"/>
  <c r="U58" i="6"/>
  <c r="R58" i="6"/>
  <c r="N58" i="6"/>
  <c r="O58" i="6" s="1"/>
  <c r="L58" i="6"/>
  <c r="I58" i="6"/>
  <c r="H58" i="6"/>
  <c r="F58" i="6"/>
  <c r="C58" i="6"/>
  <c r="AC57" i="6"/>
  <c r="AD57" i="6" s="1"/>
  <c r="AA57" i="6"/>
  <c r="X57" i="6"/>
  <c r="W57" i="6"/>
  <c r="U57" i="6"/>
  <c r="R57" i="6"/>
  <c r="O57" i="6"/>
  <c r="N57" i="6"/>
  <c r="L57" i="6"/>
  <c r="I57" i="6"/>
  <c r="H57" i="6"/>
  <c r="F57" i="6"/>
  <c r="C57" i="6"/>
  <c r="AC56" i="6"/>
  <c r="AD56" i="6" s="1"/>
  <c r="AA56" i="6"/>
  <c r="W56" i="6"/>
  <c r="X56" i="6" s="1"/>
  <c r="U56" i="6"/>
  <c r="R56" i="6"/>
  <c r="O56" i="6"/>
  <c r="N56" i="6"/>
  <c r="L56" i="6"/>
  <c r="H56" i="6"/>
  <c r="I56" i="6" s="1"/>
  <c r="F56" i="6"/>
  <c r="C56" i="6"/>
  <c r="AC55" i="6"/>
  <c r="AD55" i="6" s="1"/>
  <c r="AA55" i="6"/>
  <c r="X55" i="6"/>
  <c r="W55" i="6"/>
  <c r="U55" i="6"/>
  <c r="R55" i="6"/>
  <c r="N55" i="6"/>
  <c r="O55" i="6" s="1"/>
  <c r="L55" i="6"/>
  <c r="H55" i="6"/>
  <c r="I55" i="6" s="1"/>
  <c r="F55" i="6"/>
  <c r="C55" i="6"/>
  <c r="AD54" i="6"/>
  <c r="AC54" i="6"/>
  <c r="AA54" i="6"/>
  <c r="X54" i="6"/>
  <c r="W54" i="6"/>
  <c r="U54" i="6"/>
  <c r="R54" i="6"/>
  <c r="N54" i="6"/>
  <c r="O54" i="6" s="1"/>
  <c r="L54" i="6"/>
  <c r="H54" i="6"/>
  <c r="I54" i="6" s="1"/>
  <c r="F54" i="6"/>
  <c r="C54" i="6"/>
  <c r="AC53" i="6"/>
  <c r="AD53" i="6" s="1"/>
  <c r="AA53" i="6"/>
  <c r="X53" i="6"/>
  <c r="W53" i="6"/>
  <c r="U53" i="6"/>
  <c r="R53" i="6"/>
  <c r="O53" i="6"/>
  <c r="N53" i="6"/>
  <c r="L53" i="6"/>
  <c r="H53" i="6"/>
  <c r="I53" i="6" s="1"/>
  <c r="F53" i="6"/>
  <c r="C53" i="6"/>
  <c r="AC52" i="6"/>
  <c r="AD52" i="6" s="1"/>
  <c r="AA52" i="6"/>
  <c r="W52" i="6"/>
  <c r="X52" i="6" s="1"/>
  <c r="U52" i="6"/>
  <c r="R52" i="6"/>
  <c r="O52" i="6"/>
  <c r="N52" i="6"/>
  <c r="L52" i="6"/>
  <c r="H52" i="6"/>
  <c r="I52" i="6" s="1"/>
  <c r="F52" i="6"/>
  <c r="C52" i="6"/>
  <c r="AD51" i="6"/>
  <c r="AC51" i="6"/>
  <c r="AA51" i="6"/>
  <c r="X51" i="6"/>
  <c r="W51" i="6"/>
  <c r="U51" i="6"/>
  <c r="R51" i="6"/>
  <c r="N51" i="6"/>
  <c r="O51" i="6" s="1"/>
  <c r="L51" i="6"/>
  <c r="H51" i="6"/>
  <c r="I51" i="6" s="1"/>
  <c r="F51" i="6"/>
  <c r="C51" i="6"/>
  <c r="AC50" i="6"/>
  <c r="AD50" i="6" s="1"/>
  <c r="AA50" i="6"/>
  <c r="X50" i="6"/>
  <c r="W50" i="6"/>
  <c r="U50" i="6"/>
  <c r="R50" i="6"/>
  <c r="N50" i="6"/>
  <c r="O50" i="6" s="1"/>
  <c r="L50" i="6"/>
  <c r="I50" i="6"/>
  <c r="H50" i="6"/>
  <c r="F50" i="6"/>
  <c r="C50" i="6"/>
  <c r="AC49" i="6"/>
  <c r="AD49" i="6" s="1"/>
  <c r="AA49" i="6"/>
  <c r="W49" i="6"/>
  <c r="X49" i="6" s="1"/>
  <c r="U49" i="6"/>
  <c r="R49" i="6"/>
  <c r="O49" i="6"/>
  <c r="N49" i="6"/>
  <c r="L49" i="6"/>
  <c r="I49" i="6"/>
  <c r="H49" i="6"/>
  <c r="F49" i="6"/>
  <c r="C49" i="6"/>
  <c r="AC48" i="6"/>
  <c r="AD48" i="6" s="1"/>
  <c r="AA48" i="6"/>
  <c r="W48" i="6"/>
  <c r="X48" i="6" s="1"/>
  <c r="U48" i="6"/>
  <c r="R48" i="6"/>
  <c r="O48" i="6"/>
  <c r="N48" i="6"/>
  <c r="L48" i="6"/>
  <c r="H48" i="6"/>
  <c r="I48" i="6" s="1"/>
  <c r="F48" i="6"/>
  <c r="C48" i="6"/>
  <c r="AD47" i="6"/>
  <c r="AC47" i="6"/>
  <c r="AA47" i="6"/>
  <c r="X47" i="6"/>
  <c r="W47" i="6"/>
  <c r="U47" i="6"/>
  <c r="R47" i="6"/>
  <c r="N47" i="6"/>
  <c r="O47" i="6" s="1"/>
  <c r="L47" i="6"/>
  <c r="H47" i="6"/>
  <c r="I47" i="6" s="1"/>
  <c r="F47" i="6"/>
  <c r="C47" i="6"/>
  <c r="AC46" i="6"/>
  <c r="AD46" i="6" s="1"/>
  <c r="AA46" i="6"/>
  <c r="X46" i="6"/>
  <c r="W46" i="6"/>
  <c r="U46" i="6"/>
  <c r="R46" i="6"/>
  <c r="N46" i="6"/>
  <c r="O46" i="6" s="1"/>
  <c r="L46" i="6"/>
  <c r="I46" i="6"/>
  <c r="H46" i="6"/>
  <c r="F46" i="6"/>
  <c r="C46" i="6"/>
  <c r="AC44" i="6"/>
  <c r="AD44" i="6" s="1"/>
  <c r="AA44" i="6"/>
  <c r="X44" i="6"/>
  <c r="W44" i="6"/>
  <c r="U44" i="6"/>
  <c r="R44" i="6"/>
  <c r="O44" i="6"/>
  <c r="N44" i="6"/>
  <c r="L44" i="6"/>
  <c r="I44" i="6"/>
  <c r="H44" i="6"/>
  <c r="F44" i="6"/>
  <c r="C44" i="6"/>
  <c r="AC43" i="6"/>
  <c r="AD43" i="6" s="1"/>
  <c r="AA43" i="6"/>
  <c r="W43" i="6"/>
  <c r="X43" i="6" s="1"/>
  <c r="U43" i="6"/>
  <c r="R43" i="6"/>
  <c r="O43" i="6"/>
  <c r="N43" i="6"/>
  <c r="L43" i="6"/>
  <c r="H43" i="6"/>
  <c r="I43" i="6" s="1"/>
  <c r="F43" i="6"/>
  <c r="C43" i="6"/>
  <c r="AC42" i="6"/>
  <c r="AD42" i="6" s="1"/>
  <c r="AA42" i="6"/>
  <c r="X42" i="6"/>
  <c r="W42" i="6"/>
  <c r="U42" i="6"/>
  <c r="R42" i="6"/>
  <c r="O42" i="6"/>
  <c r="N42" i="6"/>
  <c r="L42" i="6"/>
  <c r="H42" i="6"/>
  <c r="I42" i="6" s="1"/>
  <c r="F42" i="6"/>
  <c r="C42" i="6"/>
  <c r="AA40" i="6"/>
  <c r="Z40" i="6"/>
  <c r="T40" i="6"/>
  <c r="U40" i="6" s="1"/>
  <c r="R40" i="6"/>
  <c r="Q40" i="6"/>
  <c r="K40" i="6"/>
  <c r="L40" i="6" s="1"/>
  <c r="F40" i="6"/>
  <c r="E40" i="6"/>
  <c r="B40" i="6"/>
  <c r="AC39" i="6"/>
  <c r="AD39" i="6" s="1"/>
  <c r="AA39" i="6"/>
  <c r="W39" i="6"/>
  <c r="X39" i="6" s="1"/>
  <c r="U39" i="6"/>
  <c r="R39" i="6"/>
  <c r="O39" i="6"/>
  <c r="N39" i="6"/>
  <c r="L39" i="6"/>
  <c r="H39" i="6"/>
  <c r="I39" i="6" s="1"/>
  <c r="F39" i="6"/>
  <c r="C39" i="6"/>
  <c r="AD38" i="6"/>
  <c r="AC38" i="6"/>
  <c r="AA38" i="6"/>
  <c r="X38" i="6"/>
  <c r="W38" i="6"/>
  <c r="U38" i="6"/>
  <c r="R38" i="6"/>
  <c r="N38" i="6"/>
  <c r="O38" i="6" s="1"/>
  <c r="L38" i="6"/>
  <c r="H38" i="6"/>
  <c r="I38" i="6" s="1"/>
  <c r="F38" i="6"/>
  <c r="C38" i="6"/>
  <c r="AC37" i="6"/>
  <c r="AD37" i="6" s="1"/>
  <c r="AA37" i="6"/>
  <c r="X37" i="6"/>
  <c r="W37" i="6"/>
  <c r="U37" i="6"/>
  <c r="R37" i="6"/>
  <c r="N37" i="6"/>
  <c r="O37" i="6" s="1"/>
  <c r="L37" i="6"/>
  <c r="I37" i="6"/>
  <c r="H37" i="6"/>
  <c r="F37" i="6"/>
  <c r="C37" i="6"/>
  <c r="AC36" i="6"/>
  <c r="AD36" i="6" s="1"/>
  <c r="AA36" i="6"/>
  <c r="W36" i="6"/>
  <c r="X36" i="6" s="1"/>
  <c r="U36" i="6"/>
  <c r="R36" i="6"/>
  <c r="O36" i="6"/>
  <c r="N36" i="6"/>
  <c r="L36" i="6"/>
  <c r="I36" i="6"/>
  <c r="H36" i="6"/>
  <c r="F36" i="6"/>
  <c r="C36" i="6"/>
  <c r="AC35" i="6"/>
  <c r="AD35" i="6" s="1"/>
  <c r="AA35" i="6"/>
  <c r="W35" i="6"/>
  <c r="X35" i="6" s="1"/>
  <c r="U35" i="6"/>
  <c r="R35" i="6"/>
  <c r="O35" i="6"/>
  <c r="N35" i="6"/>
  <c r="L35" i="6"/>
  <c r="H35" i="6"/>
  <c r="I35" i="6" s="1"/>
  <c r="F35" i="6"/>
  <c r="C35" i="6"/>
  <c r="AC34" i="6"/>
  <c r="AD34" i="6" s="1"/>
  <c r="AA34" i="6"/>
  <c r="X34" i="6"/>
  <c r="W34" i="6"/>
  <c r="U34" i="6"/>
  <c r="R34" i="6"/>
  <c r="O34" i="6"/>
  <c r="N34" i="6"/>
  <c r="L34" i="6"/>
  <c r="H34" i="6"/>
  <c r="I34" i="6" s="1"/>
  <c r="F34" i="6"/>
  <c r="C34" i="6"/>
  <c r="AC33" i="6"/>
  <c r="AD33" i="6" s="1"/>
  <c r="AA33" i="6"/>
  <c r="X33" i="6"/>
  <c r="W33" i="6"/>
  <c r="U33" i="6"/>
  <c r="R33" i="6"/>
  <c r="N33" i="6"/>
  <c r="O33" i="6" s="1"/>
  <c r="L33" i="6"/>
  <c r="I33" i="6"/>
  <c r="H33" i="6"/>
  <c r="F33" i="6"/>
  <c r="C33" i="6"/>
  <c r="AC32" i="6"/>
  <c r="AD32" i="6" s="1"/>
  <c r="AA32" i="6"/>
  <c r="X32" i="6"/>
  <c r="W32" i="6"/>
  <c r="U32" i="6"/>
  <c r="R32" i="6"/>
  <c r="O32" i="6"/>
  <c r="N32" i="6"/>
  <c r="L32" i="6"/>
  <c r="I32" i="6"/>
  <c r="H32" i="6"/>
  <c r="F32" i="6"/>
  <c r="C32" i="6"/>
  <c r="AC31" i="6"/>
  <c r="AD31" i="6" s="1"/>
  <c r="AA31" i="6"/>
  <c r="W31" i="6"/>
  <c r="X31" i="6" s="1"/>
  <c r="U31" i="6"/>
  <c r="R31" i="6"/>
  <c r="O31" i="6"/>
  <c r="N31" i="6"/>
  <c r="L31" i="6"/>
  <c r="H31" i="6"/>
  <c r="I31" i="6" s="1"/>
  <c r="F31" i="6"/>
  <c r="C31" i="6"/>
  <c r="AC29" i="6"/>
  <c r="AD29" i="6" s="1"/>
  <c r="Z29" i="6"/>
  <c r="AA29" i="6" s="1"/>
  <c r="T29" i="6"/>
  <c r="U29" i="6" s="1"/>
  <c r="R29" i="6"/>
  <c r="Q29" i="6"/>
  <c r="K29" i="6"/>
  <c r="L29" i="6" s="1"/>
  <c r="I29" i="6"/>
  <c r="H29" i="6"/>
  <c r="F29" i="6"/>
  <c r="E29" i="6"/>
  <c r="B29" i="6"/>
  <c r="C29" i="6" s="1"/>
  <c r="AC28" i="6"/>
  <c r="AD28" i="6" s="1"/>
  <c r="AA28" i="6"/>
  <c r="W28" i="6"/>
  <c r="X28" i="6" s="1"/>
  <c r="U28" i="6"/>
  <c r="R28" i="6"/>
  <c r="O28" i="6"/>
  <c r="N28" i="6"/>
  <c r="L28" i="6"/>
  <c r="H28" i="6"/>
  <c r="I28" i="6" s="1"/>
  <c r="F28" i="6"/>
  <c r="C28" i="6"/>
  <c r="AC27" i="6"/>
  <c r="AD27" i="6" s="1"/>
  <c r="AA27" i="6"/>
  <c r="W27" i="6"/>
  <c r="X27" i="6" s="1"/>
  <c r="U27" i="6"/>
  <c r="R27" i="6"/>
  <c r="O27" i="6"/>
  <c r="N27" i="6"/>
  <c r="L27" i="6"/>
  <c r="H27" i="6"/>
  <c r="I27" i="6" s="1"/>
  <c r="F27" i="6"/>
  <c r="C27" i="6"/>
  <c r="AD26" i="6"/>
  <c r="AC26" i="6"/>
  <c r="AA26" i="6"/>
  <c r="X26" i="6"/>
  <c r="W26" i="6"/>
  <c r="U26" i="6"/>
  <c r="R26" i="6"/>
  <c r="O26" i="6"/>
  <c r="N26" i="6"/>
  <c r="L26" i="6"/>
  <c r="H26" i="6"/>
  <c r="I26" i="6" s="1"/>
  <c r="F26" i="6"/>
  <c r="C26" i="6"/>
  <c r="AD25" i="6"/>
  <c r="AC25" i="6"/>
  <c r="AA25" i="6"/>
  <c r="X25" i="6"/>
  <c r="W25" i="6"/>
  <c r="U25" i="6"/>
  <c r="R25" i="6"/>
  <c r="N25" i="6"/>
  <c r="O25" i="6" s="1"/>
  <c r="L25" i="6"/>
  <c r="H25" i="6"/>
  <c r="I25" i="6" s="1"/>
  <c r="F25" i="6"/>
  <c r="C25" i="6"/>
  <c r="AC24" i="6"/>
  <c r="AD24" i="6" s="1"/>
  <c r="AA24" i="6"/>
  <c r="W24" i="6"/>
  <c r="X24" i="6" s="1"/>
  <c r="U24" i="6"/>
  <c r="R24" i="6"/>
  <c r="O24" i="6"/>
  <c r="N24" i="6"/>
  <c r="L24" i="6"/>
  <c r="H24" i="6"/>
  <c r="I24" i="6" s="1"/>
  <c r="F24" i="6"/>
  <c r="C24" i="6"/>
  <c r="AC23" i="6"/>
  <c r="AD23" i="6" s="1"/>
  <c r="AA23" i="6"/>
  <c r="W23" i="6"/>
  <c r="X23" i="6" s="1"/>
  <c r="U23" i="6"/>
  <c r="R23" i="6"/>
  <c r="O23" i="6"/>
  <c r="N23" i="6"/>
  <c r="L23" i="6"/>
  <c r="H23" i="6"/>
  <c r="I23" i="6" s="1"/>
  <c r="F23" i="6"/>
  <c r="C23" i="6"/>
  <c r="AD22" i="6"/>
  <c r="AC22" i="6"/>
  <c r="AA22" i="6"/>
  <c r="X22" i="6"/>
  <c r="W22" i="6"/>
  <c r="U22" i="6"/>
  <c r="R22" i="6"/>
  <c r="N22" i="6"/>
  <c r="O22" i="6" s="1"/>
  <c r="L22" i="6"/>
  <c r="H22" i="6"/>
  <c r="I22" i="6" s="1"/>
  <c r="F22" i="6"/>
  <c r="C22" i="6"/>
  <c r="AD21" i="6"/>
  <c r="AC21" i="6"/>
  <c r="AA21" i="6"/>
  <c r="X21" i="6"/>
  <c r="W21" i="6"/>
  <c r="U21" i="6"/>
  <c r="R21" i="6"/>
  <c r="N21" i="6"/>
  <c r="O21" i="6" s="1"/>
  <c r="L21" i="6"/>
  <c r="I21" i="6"/>
  <c r="H21" i="6"/>
  <c r="F21" i="6"/>
  <c r="C21" i="6"/>
  <c r="AC19" i="6"/>
  <c r="AD19" i="6" s="1"/>
  <c r="AA19" i="6"/>
  <c r="W19" i="6"/>
  <c r="X19" i="6" s="1"/>
  <c r="U19" i="6"/>
  <c r="R19" i="6"/>
  <c r="O19" i="6"/>
  <c r="N19" i="6"/>
  <c r="L19" i="6"/>
  <c r="I19" i="6"/>
  <c r="H19" i="6"/>
  <c r="F19" i="6"/>
  <c r="C19" i="6"/>
  <c r="Z18" i="6"/>
  <c r="AA18" i="6" s="1"/>
  <c r="W18" i="6"/>
  <c r="X18" i="6" s="1"/>
  <c r="U18" i="6"/>
  <c r="T18" i="6"/>
  <c r="Q18" i="6"/>
  <c r="R18" i="6" s="1"/>
  <c r="L18" i="6"/>
  <c r="K18" i="6"/>
  <c r="H18" i="6"/>
  <c r="I18" i="6" s="1"/>
  <c r="E18" i="6"/>
  <c r="F18" i="6" s="1"/>
  <c r="B18" i="6"/>
  <c r="C18" i="6" s="1"/>
  <c r="AD17" i="6"/>
  <c r="AC17" i="6"/>
  <c r="AA17" i="6"/>
  <c r="X17" i="6"/>
  <c r="W17" i="6"/>
  <c r="U17" i="6"/>
  <c r="R17" i="6"/>
  <c r="N17" i="6"/>
  <c r="O17" i="6" s="1"/>
  <c r="L17" i="6"/>
  <c r="H17" i="6"/>
  <c r="I17" i="6" s="1"/>
  <c r="F17" i="6"/>
  <c r="C17" i="6"/>
  <c r="AC16" i="6"/>
  <c r="AD16" i="6" s="1"/>
  <c r="AA16" i="6"/>
  <c r="W16" i="6"/>
  <c r="X16" i="6" s="1"/>
  <c r="U16" i="6"/>
  <c r="R16" i="6"/>
  <c r="O16" i="6"/>
  <c r="N16" i="6"/>
  <c r="L16" i="6"/>
  <c r="I16" i="6"/>
  <c r="H16" i="6"/>
  <c r="F16" i="6"/>
  <c r="C16" i="6"/>
  <c r="AC15" i="6"/>
  <c r="AD15" i="6" s="1"/>
  <c r="AA15" i="6"/>
  <c r="W15" i="6"/>
  <c r="X15" i="6" s="1"/>
  <c r="U15" i="6"/>
  <c r="R15" i="6"/>
  <c r="O15" i="6"/>
  <c r="N15" i="6"/>
  <c r="L15" i="6"/>
  <c r="H15" i="6"/>
  <c r="I15" i="6" s="1"/>
  <c r="F15" i="6"/>
  <c r="C15" i="6"/>
  <c r="AC14" i="6"/>
  <c r="AD14" i="6" s="1"/>
  <c r="AA14" i="6"/>
  <c r="X14" i="6"/>
  <c r="W14" i="6"/>
  <c r="U14" i="6"/>
  <c r="R14" i="6"/>
  <c r="N14" i="6"/>
  <c r="O14" i="6" s="1"/>
  <c r="L14" i="6"/>
  <c r="H14" i="6"/>
  <c r="I14" i="6" s="1"/>
  <c r="F14" i="6"/>
  <c r="C14" i="6"/>
  <c r="AD13" i="6"/>
  <c r="AC13" i="6"/>
  <c r="AA13" i="6"/>
  <c r="X13" i="6"/>
  <c r="W13" i="6"/>
  <c r="U13" i="6"/>
  <c r="R13" i="6"/>
  <c r="N13" i="6"/>
  <c r="O13" i="6" s="1"/>
  <c r="L13" i="6"/>
  <c r="I13" i="6"/>
  <c r="H13" i="6"/>
  <c r="F13" i="6"/>
  <c r="C13" i="6"/>
  <c r="AC12" i="6"/>
  <c r="AD12" i="6" s="1"/>
  <c r="AA12" i="6"/>
  <c r="W12" i="6"/>
  <c r="X12" i="6" s="1"/>
  <c r="U12" i="6"/>
  <c r="R12" i="6"/>
  <c r="O12" i="6"/>
  <c r="N12" i="6"/>
  <c r="L12" i="6"/>
  <c r="I12" i="6"/>
  <c r="H12" i="6"/>
  <c r="F12" i="6"/>
  <c r="C12" i="6"/>
  <c r="AC11" i="6"/>
  <c r="AD11" i="6" s="1"/>
  <c r="AA11" i="6"/>
  <c r="W11" i="6"/>
  <c r="X11" i="6" s="1"/>
  <c r="U11" i="6"/>
  <c r="R11" i="6"/>
  <c r="O11" i="6"/>
  <c r="N11" i="6"/>
  <c r="L11" i="6"/>
  <c r="H11" i="6"/>
  <c r="I11" i="6" s="1"/>
  <c r="F11" i="6"/>
  <c r="C11" i="6"/>
  <c r="AC10" i="6"/>
  <c r="AD10" i="6" s="1"/>
  <c r="AA10" i="6"/>
  <c r="X10" i="6"/>
  <c r="W10" i="6"/>
  <c r="U10" i="6"/>
  <c r="R10" i="6"/>
  <c r="N10" i="6"/>
  <c r="O10" i="6" s="1"/>
  <c r="L10" i="6"/>
  <c r="H10" i="6"/>
  <c r="I10" i="6" s="1"/>
  <c r="F10" i="6"/>
  <c r="C10" i="6"/>
  <c r="AC8" i="6"/>
  <c r="AD8" i="6" s="1"/>
  <c r="AA8" i="6"/>
  <c r="X8" i="6"/>
  <c r="W8" i="6"/>
  <c r="U8" i="6"/>
  <c r="R8" i="6"/>
  <c r="N8" i="6"/>
  <c r="O8" i="6" s="1"/>
  <c r="L8" i="6"/>
  <c r="H8" i="6"/>
  <c r="I8" i="6" s="1"/>
  <c r="F8" i="6"/>
  <c r="C8" i="6"/>
  <c r="AC445" i="5"/>
  <c r="W445" i="5"/>
  <c r="N445" i="5"/>
  <c r="O380" i="5" s="1"/>
  <c r="H445" i="5"/>
  <c r="Z443" i="5"/>
  <c r="AA443" i="5" s="1"/>
  <c r="W443" i="5"/>
  <c r="X443" i="5" s="1"/>
  <c r="T443" i="5"/>
  <c r="U443" i="5" s="1"/>
  <c r="Q443" i="5"/>
  <c r="R443" i="5" s="1"/>
  <c r="O443" i="5"/>
  <c r="N443" i="5"/>
  <c r="K443" i="5"/>
  <c r="L443" i="5" s="1"/>
  <c r="E443" i="5"/>
  <c r="F443" i="5" s="1"/>
  <c r="C443" i="5"/>
  <c r="B443" i="5"/>
  <c r="H443" i="5" s="1"/>
  <c r="I443" i="5" s="1"/>
  <c r="AC442" i="5"/>
  <c r="AD442" i="5" s="1"/>
  <c r="Z442" i="5"/>
  <c r="AA442" i="5" s="1"/>
  <c r="U442" i="5"/>
  <c r="T442" i="5"/>
  <c r="Q442" i="5"/>
  <c r="K442" i="5"/>
  <c r="L442" i="5" s="1"/>
  <c r="E442" i="5"/>
  <c r="H442" i="5" s="1"/>
  <c r="I442" i="5" s="1"/>
  <c r="B442" i="5"/>
  <c r="C442" i="5" s="1"/>
  <c r="AC441" i="5"/>
  <c r="AD441" i="5" s="1"/>
  <c r="AA441" i="5"/>
  <c r="X441" i="5"/>
  <c r="W441" i="5"/>
  <c r="U441" i="5"/>
  <c r="R441" i="5"/>
  <c r="N441" i="5"/>
  <c r="L441" i="5"/>
  <c r="H441" i="5"/>
  <c r="I441" i="5" s="1"/>
  <c r="F441" i="5"/>
  <c r="C441" i="5"/>
  <c r="AC440" i="5"/>
  <c r="AD440" i="5" s="1"/>
  <c r="AA440" i="5"/>
  <c r="W440" i="5"/>
  <c r="X440" i="5" s="1"/>
  <c r="U440" i="5"/>
  <c r="R440" i="5"/>
  <c r="O440" i="5"/>
  <c r="N440" i="5"/>
  <c r="L440" i="5"/>
  <c r="H440" i="5"/>
  <c r="I440" i="5" s="1"/>
  <c r="F440" i="5"/>
  <c r="C440" i="5"/>
  <c r="AD439" i="5"/>
  <c r="AC439" i="5"/>
  <c r="AA439" i="5"/>
  <c r="X439" i="5"/>
  <c r="W439" i="5"/>
  <c r="U439" i="5"/>
  <c r="R439" i="5"/>
  <c r="N439" i="5"/>
  <c r="O439" i="5" s="1"/>
  <c r="L439" i="5"/>
  <c r="H439" i="5"/>
  <c r="I439" i="5" s="1"/>
  <c r="F439" i="5"/>
  <c r="C439" i="5"/>
  <c r="AD438" i="5"/>
  <c r="AC438" i="5"/>
  <c r="AA438" i="5"/>
  <c r="X438" i="5"/>
  <c r="W438" i="5"/>
  <c r="U438" i="5"/>
  <c r="R438" i="5"/>
  <c r="N438" i="5"/>
  <c r="L438" i="5"/>
  <c r="H438" i="5"/>
  <c r="I438" i="5" s="1"/>
  <c r="F438" i="5"/>
  <c r="C438" i="5"/>
  <c r="AC437" i="5"/>
  <c r="AD437" i="5" s="1"/>
  <c r="AA437" i="5"/>
  <c r="W437" i="5"/>
  <c r="X437" i="5" s="1"/>
  <c r="U437" i="5"/>
  <c r="R437" i="5"/>
  <c r="N437" i="5"/>
  <c r="L437" i="5"/>
  <c r="I437" i="5"/>
  <c r="H437" i="5"/>
  <c r="F437" i="5"/>
  <c r="C437" i="5"/>
  <c r="AC436" i="5"/>
  <c r="AD436" i="5" s="1"/>
  <c r="AA436" i="5"/>
  <c r="W436" i="5"/>
  <c r="X436" i="5" s="1"/>
  <c r="U436" i="5"/>
  <c r="R436" i="5"/>
  <c r="O436" i="5"/>
  <c r="N436" i="5"/>
  <c r="L436" i="5"/>
  <c r="H436" i="5"/>
  <c r="I436" i="5" s="1"/>
  <c r="F436" i="5"/>
  <c r="C436" i="5"/>
  <c r="AC435" i="5"/>
  <c r="AD435" i="5" s="1"/>
  <c r="AA435" i="5"/>
  <c r="X435" i="5"/>
  <c r="W435" i="5"/>
  <c r="U435" i="5"/>
  <c r="R435" i="5"/>
  <c r="O435" i="5"/>
  <c r="N435" i="5"/>
  <c r="L435" i="5"/>
  <c r="H435" i="5"/>
  <c r="I435" i="5" s="1"/>
  <c r="F435" i="5"/>
  <c r="C435" i="5"/>
  <c r="AC434" i="5"/>
  <c r="AD434" i="5" s="1"/>
  <c r="AA434" i="5"/>
  <c r="X434" i="5"/>
  <c r="W434" i="5"/>
  <c r="U434" i="5"/>
  <c r="R434" i="5"/>
  <c r="N434" i="5"/>
  <c r="O434" i="5" s="1"/>
  <c r="L434" i="5"/>
  <c r="I434" i="5"/>
  <c r="H434" i="5"/>
  <c r="F434" i="5"/>
  <c r="C434" i="5"/>
  <c r="AC433" i="5"/>
  <c r="AD433" i="5" s="1"/>
  <c r="AA433" i="5"/>
  <c r="W433" i="5"/>
  <c r="X433" i="5" s="1"/>
  <c r="U433" i="5"/>
  <c r="R433" i="5"/>
  <c r="N433" i="5"/>
  <c r="L433" i="5"/>
  <c r="I433" i="5"/>
  <c r="H433" i="5"/>
  <c r="F433" i="5"/>
  <c r="C433" i="5"/>
  <c r="Z430" i="5"/>
  <c r="AA430" i="5" s="1"/>
  <c r="U430" i="5"/>
  <c r="T430" i="5"/>
  <c r="W430" i="5" s="1"/>
  <c r="X430" i="5" s="1"/>
  <c r="Q430" i="5"/>
  <c r="R430" i="5" s="1"/>
  <c r="L430" i="5"/>
  <c r="K430" i="5"/>
  <c r="H430" i="5"/>
  <c r="I430" i="5" s="1"/>
  <c r="E430" i="5"/>
  <c r="F430" i="5" s="1"/>
  <c r="B430" i="5"/>
  <c r="C430" i="5" s="1"/>
  <c r="AA429" i="5"/>
  <c r="Z429" i="5"/>
  <c r="T429" i="5"/>
  <c r="U429" i="5" s="1"/>
  <c r="R429" i="5"/>
  <c r="Q429" i="5"/>
  <c r="W429" i="5" s="1"/>
  <c r="X429" i="5" s="1"/>
  <c r="K429" i="5"/>
  <c r="L429" i="5" s="1"/>
  <c r="E429" i="5"/>
  <c r="F429" i="5" s="1"/>
  <c r="B429" i="5"/>
  <c r="AC428" i="5"/>
  <c r="AD428" i="5" s="1"/>
  <c r="AA428" i="5"/>
  <c r="W428" i="5"/>
  <c r="X428" i="5" s="1"/>
  <c r="U428" i="5"/>
  <c r="R428" i="5"/>
  <c r="O428" i="5"/>
  <c r="N428" i="5"/>
  <c r="L428" i="5"/>
  <c r="H428" i="5"/>
  <c r="I428" i="5" s="1"/>
  <c r="F428" i="5"/>
  <c r="C428" i="5"/>
  <c r="AC427" i="5"/>
  <c r="AD427" i="5" s="1"/>
  <c r="AA427" i="5"/>
  <c r="X427" i="5"/>
  <c r="W427" i="5"/>
  <c r="U427" i="5"/>
  <c r="R427" i="5"/>
  <c r="O427" i="5"/>
  <c r="N427" i="5"/>
  <c r="L427" i="5"/>
  <c r="H427" i="5"/>
  <c r="I427" i="5" s="1"/>
  <c r="F427" i="5"/>
  <c r="C427" i="5"/>
  <c r="AC426" i="5"/>
  <c r="AD426" i="5" s="1"/>
  <c r="AA426" i="5"/>
  <c r="X426" i="5"/>
  <c r="W426" i="5"/>
  <c r="U426" i="5"/>
  <c r="R426" i="5"/>
  <c r="N426" i="5"/>
  <c r="O426" i="5" s="1"/>
  <c r="L426" i="5"/>
  <c r="I426" i="5"/>
  <c r="H426" i="5"/>
  <c r="F426" i="5"/>
  <c r="C426" i="5"/>
  <c r="AC425" i="5"/>
  <c r="AD425" i="5" s="1"/>
  <c r="AA425" i="5"/>
  <c r="X425" i="5"/>
  <c r="W425" i="5"/>
  <c r="U425" i="5"/>
  <c r="R425" i="5"/>
  <c r="N425" i="5"/>
  <c r="L425" i="5"/>
  <c r="I425" i="5"/>
  <c r="H425" i="5"/>
  <c r="F425" i="5"/>
  <c r="C425" i="5"/>
  <c r="AC424" i="5"/>
  <c r="AD424" i="5" s="1"/>
  <c r="AA424" i="5"/>
  <c r="W424" i="5"/>
  <c r="X424" i="5" s="1"/>
  <c r="U424" i="5"/>
  <c r="R424" i="5"/>
  <c r="O424" i="5"/>
  <c r="N424" i="5"/>
  <c r="L424" i="5"/>
  <c r="H424" i="5"/>
  <c r="I424" i="5" s="1"/>
  <c r="F424" i="5"/>
  <c r="C424" i="5"/>
  <c r="AC423" i="5"/>
  <c r="AD423" i="5" s="1"/>
  <c r="AA423" i="5"/>
  <c r="X423" i="5"/>
  <c r="W423" i="5"/>
  <c r="U423" i="5"/>
  <c r="R423" i="5"/>
  <c r="N423" i="5"/>
  <c r="O423" i="5" s="1"/>
  <c r="L423" i="5"/>
  <c r="H423" i="5"/>
  <c r="I423" i="5" s="1"/>
  <c r="F423" i="5"/>
  <c r="C423" i="5"/>
  <c r="AD422" i="5"/>
  <c r="AC422" i="5"/>
  <c r="AA422" i="5"/>
  <c r="X422" i="5"/>
  <c r="W422" i="5"/>
  <c r="U422" i="5"/>
  <c r="R422" i="5"/>
  <c r="N422" i="5"/>
  <c r="L422" i="5"/>
  <c r="I422" i="5"/>
  <c r="H422" i="5"/>
  <c r="F422" i="5"/>
  <c r="C422" i="5"/>
  <c r="AC421" i="5"/>
  <c r="AD421" i="5" s="1"/>
  <c r="AA421" i="5"/>
  <c r="W421" i="5"/>
  <c r="X421" i="5" s="1"/>
  <c r="U421" i="5"/>
  <c r="R421" i="5"/>
  <c r="N421" i="5"/>
  <c r="L421" i="5"/>
  <c r="H421" i="5"/>
  <c r="I421" i="5" s="1"/>
  <c r="F421" i="5"/>
  <c r="C421" i="5"/>
  <c r="AC420" i="5"/>
  <c r="AD420" i="5" s="1"/>
  <c r="AA420" i="5"/>
  <c r="W420" i="5"/>
  <c r="X420" i="5" s="1"/>
  <c r="U420" i="5"/>
  <c r="R420" i="5"/>
  <c r="O420" i="5"/>
  <c r="N420" i="5"/>
  <c r="L420" i="5"/>
  <c r="H420" i="5"/>
  <c r="I420" i="5" s="1"/>
  <c r="F420" i="5"/>
  <c r="C420" i="5"/>
  <c r="AC419" i="5"/>
  <c r="AD419" i="5" s="1"/>
  <c r="AA419" i="5"/>
  <c r="X419" i="5"/>
  <c r="W419" i="5"/>
  <c r="U419" i="5"/>
  <c r="R419" i="5"/>
  <c r="O419" i="5"/>
  <c r="N419" i="5"/>
  <c r="L419" i="5"/>
  <c r="H419" i="5"/>
  <c r="I419" i="5" s="1"/>
  <c r="F419" i="5"/>
  <c r="C419" i="5"/>
  <c r="AD418" i="5"/>
  <c r="AC418" i="5"/>
  <c r="AA418" i="5"/>
  <c r="X418" i="5"/>
  <c r="W418" i="5"/>
  <c r="U418" i="5"/>
  <c r="R418" i="5"/>
  <c r="N418" i="5"/>
  <c r="O418" i="5" s="1"/>
  <c r="L418" i="5"/>
  <c r="H418" i="5"/>
  <c r="I418" i="5" s="1"/>
  <c r="F418" i="5"/>
  <c r="C418" i="5"/>
  <c r="AC417" i="5"/>
  <c r="AD417" i="5" s="1"/>
  <c r="AA417" i="5"/>
  <c r="X417" i="5"/>
  <c r="W417" i="5"/>
  <c r="U417" i="5"/>
  <c r="R417" i="5"/>
  <c r="N417" i="5"/>
  <c r="L417" i="5"/>
  <c r="I417" i="5"/>
  <c r="H417" i="5"/>
  <c r="F417" i="5"/>
  <c r="C417" i="5"/>
  <c r="AC416" i="5"/>
  <c r="AD416" i="5" s="1"/>
  <c r="AA416" i="5"/>
  <c r="W416" i="5"/>
  <c r="X416" i="5" s="1"/>
  <c r="U416" i="5"/>
  <c r="R416" i="5"/>
  <c r="N416" i="5"/>
  <c r="L416" i="5"/>
  <c r="H416" i="5"/>
  <c r="I416" i="5" s="1"/>
  <c r="F416" i="5"/>
  <c r="C416" i="5"/>
  <c r="AD415" i="5"/>
  <c r="AC415" i="5"/>
  <c r="AA415" i="5"/>
  <c r="X415" i="5"/>
  <c r="W415" i="5"/>
  <c r="U415" i="5"/>
  <c r="R415" i="5"/>
  <c r="N415" i="5"/>
  <c r="O415" i="5" s="1"/>
  <c r="L415" i="5"/>
  <c r="H415" i="5"/>
  <c r="I415" i="5" s="1"/>
  <c r="F415" i="5"/>
  <c r="C415" i="5"/>
  <c r="AC414" i="5"/>
  <c r="AD414" i="5" s="1"/>
  <c r="AA414" i="5"/>
  <c r="X414" i="5"/>
  <c r="W414" i="5"/>
  <c r="U414" i="5"/>
  <c r="R414" i="5"/>
  <c r="N414" i="5"/>
  <c r="O414" i="5" s="1"/>
  <c r="L414" i="5"/>
  <c r="H414" i="5"/>
  <c r="I414" i="5" s="1"/>
  <c r="F414" i="5"/>
  <c r="C414" i="5"/>
  <c r="AC413" i="5"/>
  <c r="AD413" i="5" s="1"/>
  <c r="AA413" i="5"/>
  <c r="X413" i="5"/>
  <c r="W413" i="5"/>
  <c r="U413" i="5"/>
  <c r="R413" i="5"/>
  <c r="N413" i="5"/>
  <c r="L413" i="5"/>
  <c r="H413" i="5"/>
  <c r="I413" i="5" s="1"/>
  <c r="F413" i="5"/>
  <c r="C413" i="5"/>
  <c r="AC412" i="5"/>
  <c r="AD412" i="5" s="1"/>
  <c r="AA412" i="5"/>
  <c r="W412" i="5"/>
  <c r="X412" i="5" s="1"/>
  <c r="U412" i="5"/>
  <c r="R412" i="5"/>
  <c r="O412" i="5"/>
  <c r="N412" i="5"/>
  <c r="L412" i="5"/>
  <c r="H412" i="5"/>
  <c r="I412" i="5" s="1"/>
  <c r="F412" i="5"/>
  <c r="C412" i="5"/>
  <c r="AD411" i="5"/>
  <c r="AC411" i="5"/>
  <c r="AA411" i="5"/>
  <c r="X411" i="5"/>
  <c r="W411" i="5"/>
  <c r="U411" i="5"/>
  <c r="R411" i="5"/>
  <c r="O411" i="5"/>
  <c r="N411" i="5"/>
  <c r="L411" i="5"/>
  <c r="H411" i="5"/>
  <c r="I411" i="5" s="1"/>
  <c r="F411" i="5"/>
  <c r="C411" i="5"/>
  <c r="AC410" i="5"/>
  <c r="AD410" i="5" s="1"/>
  <c r="AA410" i="5"/>
  <c r="X410" i="5"/>
  <c r="W410" i="5"/>
  <c r="U410" i="5"/>
  <c r="R410" i="5"/>
  <c r="N410" i="5"/>
  <c r="L410" i="5"/>
  <c r="H410" i="5"/>
  <c r="I410" i="5" s="1"/>
  <c r="F410" i="5"/>
  <c r="C410" i="5"/>
  <c r="AC409" i="5"/>
  <c r="AD409" i="5" s="1"/>
  <c r="AA409" i="5"/>
  <c r="W409" i="5"/>
  <c r="X409" i="5" s="1"/>
  <c r="U409" i="5"/>
  <c r="R409" i="5"/>
  <c r="N409" i="5"/>
  <c r="L409" i="5"/>
  <c r="I409" i="5"/>
  <c r="H409" i="5"/>
  <c r="F409" i="5"/>
  <c r="C409" i="5"/>
  <c r="AC408" i="5"/>
  <c r="AD408" i="5" s="1"/>
  <c r="AA408" i="5"/>
  <c r="W408" i="5"/>
  <c r="X408" i="5" s="1"/>
  <c r="U408" i="5"/>
  <c r="R408" i="5"/>
  <c r="O408" i="5"/>
  <c r="N408" i="5"/>
  <c r="L408" i="5"/>
  <c r="H408" i="5"/>
  <c r="I408" i="5" s="1"/>
  <c r="F408" i="5"/>
  <c r="C408" i="5"/>
  <c r="AA404" i="5"/>
  <c r="Z404" i="5"/>
  <c r="X404" i="5"/>
  <c r="W404" i="5"/>
  <c r="T404" i="5"/>
  <c r="U404" i="5" s="1"/>
  <c r="Q404" i="5"/>
  <c r="R404" i="5" s="1"/>
  <c r="L404" i="5"/>
  <c r="K404" i="5"/>
  <c r="E404" i="5"/>
  <c r="F404" i="5" s="1"/>
  <c r="B404" i="5"/>
  <c r="AD403" i="5"/>
  <c r="AC403" i="5"/>
  <c r="AA403" i="5"/>
  <c r="X403" i="5"/>
  <c r="W403" i="5"/>
  <c r="U403" i="5"/>
  <c r="R403" i="5"/>
  <c r="N403" i="5"/>
  <c r="O403" i="5" s="1"/>
  <c r="L403" i="5"/>
  <c r="H403" i="5"/>
  <c r="I403" i="5" s="1"/>
  <c r="F403" i="5"/>
  <c r="C403" i="5"/>
  <c r="AD402" i="5"/>
  <c r="AC402" i="5"/>
  <c r="AA402" i="5"/>
  <c r="X402" i="5"/>
  <c r="W402" i="5"/>
  <c r="U402" i="5"/>
  <c r="R402" i="5"/>
  <c r="N402" i="5"/>
  <c r="L402" i="5"/>
  <c r="H402" i="5"/>
  <c r="I402" i="5" s="1"/>
  <c r="F402" i="5"/>
  <c r="C402" i="5"/>
  <c r="AC401" i="5"/>
  <c r="AD401" i="5" s="1"/>
  <c r="AA401" i="5"/>
  <c r="W401" i="5"/>
  <c r="X401" i="5" s="1"/>
  <c r="U401" i="5"/>
  <c r="R401" i="5"/>
  <c r="N401" i="5"/>
  <c r="L401" i="5"/>
  <c r="I401" i="5"/>
  <c r="H401" i="5"/>
  <c r="F401" i="5"/>
  <c r="C401" i="5"/>
  <c r="AC400" i="5"/>
  <c r="AD400" i="5" s="1"/>
  <c r="AA400" i="5"/>
  <c r="W400" i="5"/>
  <c r="X400" i="5" s="1"/>
  <c r="U400" i="5"/>
  <c r="R400" i="5"/>
  <c r="O400" i="5"/>
  <c r="N400" i="5"/>
  <c r="L400" i="5"/>
  <c r="H400" i="5"/>
  <c r="I400" i="5" s="1"/>
  <c r="F400" i="5"/>
  <c r="C400" i="5"/>
  <c r="AC399" i="5"/>
  <c r="AD399" i="5" s="1"/>
  <c r="AA399" i="5"/>
  <c r="X399" i="5"/>
  <c r="W399" i="5"/>
  <c r="U399" i="5"/>
  <c r="R399" i="5"/>
  <c r="O399" i="5"/>
  <c r="N399" i="5"/>
  <c r="L399" i="5"/>
  <c r="H399" i="5"/>
  <c r="I399" i="5" s="1"/>
  <c r="F399" i="5"/>
  <c r="C399" i="5"/>
  <c r="AC398" i="5"/>
  <c r="AD398" i="5" s="1"/>
  <c r="AA398" i="5"/>
  <c r="X398" i="5"/>
  <c r="W398" i="5"/>
  <c r="U398" i="5"/>
  <c r="R398" i="5"/>
  <c r="N398" i="5"/>
  <c r="O398" i="5" s="1"/>
  <c r="L398" i="5"/>
  <c r="I398" i="5"/>
  <c r="H398" i="5"/>
  <c r="F398" i="5"/>
  <c r="C398" i="5"/>
  <c r="AA397" i="5"/>
  <c r="Z397" i="5"/>
  <c r="W397" i="5"/>
  <c r="X397" i="5" s="1"/>
  <c r="T397" i="5"/>
  <c r="U397" i="5" s="1"/>
  <c r="Q397" i="5"/>
  <c r="R397" i="5" s="1"/>
  <c r="L397" i="5"/>
  <c r="K397" i="5"/>
  <c r="E397" i="5"/>
  <c r="F397" i="5" s="1"/>
  <c r="C397" i="5"/>
  <c r="B397" i="5"/>
  <c r="AD396" i="5"/>
  <c r="AC396" i="5"/>
  <c r="AA396" i="5"/>
  <c r="X396" i="5"/>
  <c r="W396" i="5"/>
  <c r="U396" i="5"/>
  <c r="R396" i="5"/>
  <c r="N396" i="5"/>
  <c r="O396" i="5" s="1"/>
  <c r="L396" i="5"/>
  <c r="H396" i="5"/>
  <c r="I396" i="5" s="1"/>
  <c r="F396" i="5"/>
  <c r="C396" i="5"/>
  <c r="AC395" i="5"/>
  <c r="AD395" i="5" s="1"/>
  <c r="AA395" i="5"/>
  <c r="X395" i="5"/>
  <c r="W395" i="5"/>
  <c r="U395" i="5"/>
  <c r="R395" i="5"/>
  <c r="N395" i="5"/>
  <c r="L395" i="5"/>
  <c r="I395" i="5"/>
  <c r="H395" i="5"/>
  <c r="F395" i="5"/>
  <c r="C395" i="5"/>
  <c r="AA394" i="5"/>
  <c r="Z394" i="5"/>
  <c r="W394" i="5"/>
  <c r="X394" i="5" s="1"/>
  <c r="T394" i="5"/>
  <c r="U394" i="5" s="1"/>
  <c r="Q394" i="5"/>
  <c r="R394" i="5" s="1"/>
  <c r="L394" i="5"/>
  <c r="K394" i="5"/>
  <c r="E394" i="5"/>
  <c r="F394" i="5" s="1"/>
  <c r="B394" i="5"/>
  <c r="AC393" i="5"/>
  <c r="AD393" i="5" s="1"/>
  <c r="AA393" i="5"/>
  <c r="X393" i="5"/>
  <c r="W393" i="5"/>
  <c r="U393" i="5"/>
  <c r="R393" i="5"/>
  <c r="N393" i="5"/>
  <c r="O393" i="5" s="1"/>
  <c r="L393" i="5"/>
  <c r="H393" i="5"/>
  <c r="I393" i="5" s="1"/>
  <c r="F393" i="5"/>
  <c r="C393" i="5"/>
  <c r="AC392" i="5"/>
  <c r="AD392" i="5" s="1"/>
  <c r="AA392" i="5"/>
  <c r="X392" i="5"/>
  <c r="W392" i="5"/>
  <c r="U392" i="5"/>
  <c r="R392" i="5"/>
  <c r="N392" i="5"/>
  <c r="O392" i="5" s="1"/>
  <c r="L392" i="5"/>
  <c r="H392" i="5"/>
  <c r="I392" i="5" s="1"/>
  <c r="F392" i="5"/>
  <c r="C392" i="5"/>
  <c r="AC391" i="5"/>
  <c r="AD391" i="5" s="1"/>
  <c r="AA391" i="5"/>
  <c r="X391" i="5"/>
  <c r="W391" i="5"/>
  <c r="U391" i="5"/>
  <c r="R391" i="5"/>
  <c r="N391" i="5"/>
  <c r="L391" i="5"/>
  <c r="H391" i="5"/>
  <c r="I391" i="5" s="1"/>
  <c r="F391" i="5"/>
  <c r="C391" i="5"/>
  <c r="AC390" i="5"/>
  <c r="AD390" i="5" s="1"/>
  <c r="AA390" i="5"/>
  <c r="W390" i="5"/>
  <c r="X390" i="5" s="1"/>
  <c r="U390" i="5"/>
  <c r="R390" i="5"/>
  <c r="O390" i="5"/>
  <c r="N390" i="5"/>
  <c r="L390" i="5"/>
  <c r="H390" i="5"/>
  <c r="I390" i="5" s="1"/>
  <c r="F390" i="5"/>
  <c r="C390" i="5"/>
  <c r="AD389" i="5"/>
  <c r="AC389" i="5"/>
  <c r="AA389" i="5"/>
  <c r="X389" i="5"/>
  <c r="W389" i="5"/>
  <c r="U389" i="5"/>
  <c r="R389" i="5"/>
  <c r="O389" i="5"/>
  <c r="N389" i="5"/>
  <c r="L389" i="5"/>
  <c r="H389" i="5"/>
  <c r="I389" i="5" s="1"/>
  <c r="F389" i="5"/>
  <c r="C389" i="5"/>
  <c r="AD387" i="5"/>
  <c r="AC387" i="5"/>
  <c r="AA387" i="5"/>
  <c r="X387" i="5"/>
  <c r="W387" i="5"/>
  <c r="U387" i="5"/>
  <c r="R387" i="5"/>
  <c r="N387" i="5"/>
  <c r="L387" i="5"/>
  <c r="H387" i="5"/>
  <c r="I387" i="5" s="1"/>
  <c r="F387" i="5"/>
  <c r="C387" i="5"/>
  <c r="AC386" i="5"/>
  <c r="AD386" i="5" s="1"/>
  <c r="AA386" i="5"/>
  <c r="W386" i="5"/>
  <c r="X386" i="5" s="1"/>
  <c r="U386" i="5"/>
  <c r="R386" i="5"/>
  <c r="N386" i="5"/>
  <c r="L386" i="5"/>
  <c r="I386" i="5"/>
  <c r="H386" i="5"/>
  <c r="F386" i="5"/>
  <c r="C386" i="5"/>
  <c r="AC384" i="5"/>
  <c r="AD384" i="5" s="1"/>
  <c r="AA384" i="5"/>
  <c r="W384" i="5"/>
  <c r="X384" i="5" s="1"/>
  <c r="U384" i="5"/>
  <c r="R384" i="5"/>
  <c r="O384" i="5"/>
  <c r="N384" i="5"/>
  <c r="L384" i="5"/>
  <c r="H384" i="5"/>
  <c r="I384" i="5" s="1"/>
  <c r="F384" i="5"/>
  <c r="C384" i="5"/>
  <c r="AC383" i="5"/>
  <c r="AD383" i="5" s="1"/>
  <c r="AA383" i="5"/>
  <c r="X383" i="5"/>
  <c r="W383" i="5"/>
  <c r="U383" i="5"/>
  <c r="R383" i="5"/>
  <c r="O383" i="5"/>
  <c r="N383" i="5"/>
  <c r="L383" i="5"/>
  <c r="H383" i="5"/>
  <c r="I383" i="5" s="1"/>
  <c r="F383" i="5"/>
  <c r="C383" i="5"/>
  <c r="AC382" i="5"/>
  <c r="AD382" i="5" s="1"/>
  <c r="AA382" i="5"/>
  <c r="X382" i="5"/>
  <c r="W382" i="5"/>
  <c r="U382" i="5"/>
  <c r="R382" i="5"/>
  <c r="N382" i="5"/>
  <c r="O382" i="5" s="1"/>
  <c r="L382" i="5"/>
  <c r="I382" i="5"/>
  <c r="H382" i="5"/>
  <c r="F382" i="5"/>
  <c r="C382" i="5"/>
  <c r="AC381" i="5"/>
  <c r="AD381" i="5" s="1"/>
  <c r="AA381" i="5"/>
  <c r="W381" i="5"/>
  <c r="X381" i="5" s="1"/>
  <c r="U381" i="5"/>
  <c r="R381" i="5"/>
  <c r="N381" i="5"/>
  <c r="L381" i="5"/>
  <c r="I381" i="5"/>
  <c r="H381" i="5"/>
  <c r="F381" i="5"/>
  <c r="C381" i="5"/>
  <c r="AC380" i="5"/>
  <c r="AD380" i="5" s="1"/>
  <c r="AA380" i="5"/>
  <c r="W380" i="5"/>
  <c r="X380" i="5" s="1"/>
  <c r="U380" i="5"/>
  <c r="R380" i="5"/>
  <c r="N380" i="5"/>
  <c r="L380" i="5"/>
  <c r="H380" i="5"/>
  <c r="I380" i="5" s="1"/>
  <c r="F380" i="5"/>
  <c r="C380" i="5"/>
  <c r="AD379" i="5"/>
  <c r="AC379" i="5"/>
  <c r="AA379" i="5"/>
  <c r="X379" i="5"/>
  <c r="W379" i="5"/>
  <c r="U379" i="5"/>
  <c r="R379" i="5"/>
  <c r="N379" i="5"/>
  <c r="O379" i="5" s="1"/>
  <c r="L379" i="5"/>
  <c r="H379" i="5"/>
  <c r="I379" i="5" s="1"/>
  <c r="F379" i="5"/>
  <c r="C379" i="5"/>
  <c r="AC378" i="5"/>
  <c r="AD378" i="5" s="1"/>
  <c r="AA378" i="5"/>
  <c r="X378" i="5"/>
  <c r="W378" i="5"/>
  <c r="U378" i="5"/>
  <c r="R378" i="5"/>
  <c r="N378" i="5"/>
  <c r="O378" i="5" s="1"/>
  <c r="L378" i="5"/>
  <c r="I378" i="5"/>
  <c r="H378" i="5"/>
  <c r="F378" i="5"/>
  <c r="C378" i="5"/>
  <c r="AC377" i="5"/>
  <c r="AD377" i="5" s="1"/>
  <c r="AA377" i="5"/>
  <c r="X377" i="5"/>
  <c r="W377" i="5"/>
  <c r="U377" i="5"/>
  <c r="R377" i="5"/>
  <c r="N377" i="5"/>
  <c r="L377" i="5"/>
  <c r="H377" i="5"/>
  <c r="I377" i="5" s="1"/>
  <c r="F377" i="5"/>
  <c r="C377" i="5"/>
  <c r="AC376" i="5"/>
  <c r="AD376" i="5" s="1"/>
  <c r="AA376" i="5"/>
  <c r="W376" i="5"/>
  <c r="X376" i="5" s="1"/>
  <c r="U376" i="5"/>
  <c r="R376" i="5"/>
  <c r="O376" i="5"/>
  <c r="N376" i="5"/>
  <c r="L376" i="5"/>
  <c r="H376" i="5"/>
  <c r="I376" i="5" s="1"/>
  <c r="F376" i="5"/>
  <c r="C376" i="5"/>
  <c r="AD375" i="5"/>
  <c r="AC375" i="5"/>
  <c r="AA375" i="5"/>
  <c r="X375" i="5"/>
  <c r="W375" i="5"/>
  <c r="U375" i="5"/>
  <c r="R375" i="5"/>
  <c r="O375" i="5"/>
  <c r="N375" i="5"/>
  <c r="L375" i="5"/>
  <c r="H375" i="5"/>
  <c r="I375" i="5" s="1"/>
  <c r="F375" i="5"/>
  <c r="C375" i="5"/>
  <c r="AD374" i="5"/>
  <c r="AC374" i="5"/>
  <c r="AA374" i="5"/>
  <c r="X374" i="5"/>
  <c r="W374" i="5"/>
  <c r="U374" i="5"/>
  <c r="R374" i="5"/>
  <c r="N374" i="5"/>
  <c r="O374" i="5" s="1"/>
  <c r="L374" i="5"/>
  <c r="H374" i="5"/>
  <c r="I374" i="5" s="1"/>
  <c r="F374" i="5"/>
  <c r="C374" i="5"/>
  <c r="AC373" i="5"/>
  <c r="AD373" i="5" s="1"/>
  <c r="AA373" i="5"/>
  <c r="W373" i="5"/>
  <c r="X373" i="5" s="1"/>
  <c r="U373" i="5"/>
  <c r="R373" i="5"/>
  <c r="N373" i="5"/>
  <c r="L373" i="5"/>
  <c r="H373" i="5"/>
  <c r="I373" i="5" s="1"/>
  <c r="F373" i="5"/>
  <c r="C373" i="5"/>
  <c r="AC372" i="5"/>
  <c r="AD372" i="5" s="1"/>
  <c r="AA372" i="5"/>
  <c r="W372" i="5"/>
  <c r="X372" i="5" s="1"/>
  <c r="U372" i="5"/>
  <c r="R372" i="5"/>
  <c r="O372" i="5"/>
  <c r="N372" i="5"/>
  <c r="L372" i="5"/>
  <c r="H372" i="5"/>
  <c r="I372" i="5" s="1"/>
  <c r="F372" i="5"/>
  <c r="C372" i="5"/>
  <c r="AC371" i="5"/>
  <c r="AD371" i="5" s="1"/>
  <c r="AA371" i="5"/>
  <c r="X371" i="5"/>
  <c r="W371" i="5"/>
  <c r="U371" i="5"/>
  <c r="R371" i="5"/>
  <c r="O371" i="5"/>
  <c r="N371" i="5"/>
  <c r="L371" i="5"/>
  <c r="H371" i="5"/>
  <c r="I371" i="5" s="1"/>
  <c r="F371" i="5"/>
  <c r="C371" i="5"/>
  <c r="AC370" i="5"/>
  <c r="AD370" i="5" s="1"/>
  <c r="AA370" i="5"/>
  <c r="X370" i="5"/>
  <c r="W370" i="5"/>
  <c r="U370" i="5"/>
  <c r="R370" i="5"/>
  <c r="N370" i="5"/>
  <c r="O370" i="5" s="1"/>
  <c r="L370" i="5"/>
  <c r="I370" i="5"/>
  <c r="H370" i="5"/>
  <c r="F370" i="5"/>
  <c r="C370" i="5"/>
  <c r="Z369" i="5"/>
  <c r="AA369" i="5" s="1"/>
  <c r="X369" i="5"/>
  <c r="W369" i="5"/>
  <c r="T369" i="5"/>
  <c r="U369" i="5" s="1"/>
  <c r="Q369" i="5"/>
  <c r="R369" i="5" s="1"/>
  <c r="N369" i="5"/>
  <c r="O369" i="5" s="1"/>
  <c r="L369" i="5"/>
  <c r="K369" i="5"/>
  <c r="E369" i="5"/>
  <c r="F369" i="5" s="1"/>
  <c r="B369" i="5"/>
  <c r="H369" i="5" s="1"/>
  <c r="I369" i="5" s="1"/>
  <c r="AD368" i="5"/>
  <c r="AC368" i="5"/>
  <c r="AA368" i="5"/>
  <c r="X368" i="5"/>
  <c r="W368" i="5"/>
  <c r="U368" i="5"/>
  <c r="R368" i="5"/>
  <c r="O368" i="5"/>
  <c r="N368" i="5"/>
  <c r="L368" i="5"/>
  <c r="H368" i="5"/>
  <c r="I368" i="5" s="1"/>
  <c r="F368" i="5"/>
  <c r="C368" i="5"/>
  <c r="AD367" i="5"/>
  <c r="AC367" i="5"/>
  <c r="AA367" i="5"/>
  <c r="X367" i="5"/>
  <c r="W367" i="5"/>
  <c r="U367" i="5"/>
  <c r="R367" i="5"/>
  <c r="N367" i="5"/>
  <c r="O367" i="5" s="1"/>
  <c r="L367" i="5"/>
  <c r="H367" i="5"/>
  <c r="I367" i="5" s="1"/>
  <c r="F367" i="5"/>
  <c r="C367" i="5"/>
  <c r="AC366" i="5"/>
  <c r="AD366" i="5" s="1"/>
  <c r="AA366" i="5"/>
  <c r="W366" i="5"/>
  <c r="X366" i="5" s="1"/>
  <c r="U366" i="5"/>
  <c r="R366" i="5"/>
  <c r="N366" i="5"/>
  <c r="L366" i="5"/>
  <c r="I366" i="5"/>
  <c r="H366" i="5"/>
  <c r="F366" i="5"/>
  <c r="C366" i="5"/>
  <c r="AC365" i="5"/>
  <c r="AD365" i="5" s="1"/>
  <c r="AA365" i="5"/>
  <c r="W365" i="5"/>
  <c r="X365" i="5" s="1"/>
  <c r="U365" i="5"/>
  <c r="R365" i="5"/>
  <c r="O365" i="5"/>
  <c r="N365" i="5"/>
  <c r="L365" i="5"/>
  <c r="H365" i="5"/>
  <c r="I365" i="5" s="1"/>
  <c r="F365" i="5"/>
  <c r="C365" i="5"/>
  <c r="AC364" i="5"/>
  <c r="AD364" i="5" s="1"/>
  <c r="AA364" i="5"/>
  <c r="X364" i="5"/>
  <c r="W364" i="5"/>
  <c r="U364" i="5"/>
  <c r="R364" i="5"/>
  <c r="O364" i="5"/>
  <c r="N364" i="5"/>
  <c r="L364" i="5"/>
  <c r="H364" i="5"/>
  <c r="I364" i="5" s="1"/>
  <c r="F364" i="5"/>
  <c r="C364" i="5"/>
  <c r="AC363" i="5"/>
  <c r="AD363" i="5" s="1"/>
  <c r="AA363" i="5"/>
  <c r="X363" i="5"/>
  <c r="W363" i="5"/>
  <c r="U363" i="5"/>
  <c r="R363" i="5"/>
  <c r="N363" i="5"/>
  <c r="O363" i="5" s="1"/>
  <c r="L363" i="5"/>
  <c r="I363" i="5"/>
  <c r="H363" i="5"/>
  <c r="F363" i="5"/>
  <c r="C363" i="5"/>
  <c r="AC362" i="5"/>
  <c r="AD362" i="5" s="1"/>
  <c r="AA362" i="5"/>
  <c r="X362" i="5"/>
  <c r="W362" i="5"/>
  <c r="U362" i="5"/>
  <c r="R362" i="5"/>
  <c r="N362" i="5"/>
  <c r="L362" i="5"/>
  <c r="H362" i="5"/>
  <c r="I362" i="5" s="1"/>
  <c r="F362" i="5"/>
  <c r="C362" i="5"/>
  <c r="AC361" i="5"/>
  <c r="AD361" i="5" s="1"/>
  <c r="AA361" i="5"/>
  <c r="W361" i="5"/>
  <c r="X361" i="5" s="1"/>
  <c r="U361" i="5"/>
  <c r="R361" i="5"/>
  <c r="O361" i="5"/>
  <c r="N361" i="5"/>
  <c r="L361" i="5"/>
  <c r="H361" i="5"/>
  <c r="I361" i="5" s="1"/>
  <c r="F361" i="5"/>
  <c r="C361" i="5"/>
  <c r="AC359" i="5"/>
  <c r="AD359" i="5" s="1"/>
  <c r="Z359" i="5"/>
  <c r="AA359" i="5" s="1"/>
  <c r="U359" i="5"/>
  <c r="T359" i="5"/>
  <c r="R359" i="5"/>
  <c r="Q359" i="5"/>
  <c r="W359" i="5" s="1"/>
  <c r="X359" i="5" s="1"/>
  <c r="K359" i="5"/>
  <c r="L359" i="5" s="1"/>
  <c r="H359" i="5"/>
  <c r="I359" i="5" s="1"/>
  <c r="F359" i="5"/>
  <c r="E359" i="5"/>
  <c r="B359" i="5"/>
  <c r="C359" i="5" s="1"/>
  <c r="AC358" i="5"/>
  <c r="AD358" i="5" s="1"/>
  <c r="AA358" i="5"/>
  <c r="W358" i="5"/>
  <c r="X358" i="5" s="1"/>
  <c r="U358" i="5"/>
  <c r="R358" i="5"/>
  <c r="N358" i="5"/>
  <c r="L358" i="5"/>
  <c r="I358" i="5"/>
  <c r="H358" i="5"/>
  <c r="F358" i="5"/>
  <c r="C358" i="5"/>
  <c r="AC357" i="5"/>
  <c r="AD357" i="5" s="1"/>
  <c r="AA357" i="5"/>
  <c r="W357" i="5"/>
  <c r="X357" i="5" s="1"/>
  <c r="U357" i="5"/>
  <c r="R357" i="5"/>
  <c r="O357" i="5"/>
  <c r="N357" i="5"/>
  <c r="L357" i="5"/>
  <c r="H357" i="5"/>
  <c r="I357" i="5" s="1"/>
  <c r="F357" i="5"/>
  <c r="C357" i="5"/>
  <c r="AC356" i="5"/>
  <c r="AD356" i="5" s="1"/>
  <c r="AA356" i="5"/>
  <c r="X356" i="5"/>
  <c r="W356" i="5"/>
  <c r="U356" i="5"/>
  <c r="R356" i="5"/>
  <c r="O356" i="5"/>
  <c r="N356" i="5"/>
  <c r="L356" i="5"/>
  <c r="H356" i="5"/>
  <c r="I356" i="5" s="1"/>
  <c r="F356" i="5"/>
  <c r="C356" i="5"/>
  <c r="AC355" i="5"/>
  <c r="AD355" i="5" s="1"/>
  <c r="AA355" i="5"/>
  <c r="X355" i="5"/>
  <c r="W355" i="5"/>
  <c r="U355" i="5"/>
  <c r="R355" i="5"/>
  <c r="N355" i="5"/>
  <c r="O355" i="5" s="1"/>
  <c r="L355" i="5"/>
  <c r="H355" i="5"/>
  <c r="I355" i="5" s="1"/>
  <c r="F355" i="5"/>
  <c r="C355" i="5"/>
  <c r="AC354" i="5"/>
  <c r="AD354" i="5" s="1"/>
  <c r="AA354" i="5"/>
  <c r="W354" i="5"/>
  <c r="X354" i="5" s="1"/>
  <c r="U354" i="5"/>
  <c r="R354" i="5"/>
  <c r="N354" i="5"/>
  <c r="L354" i="5"/>
  <c r="I354" i="5"/>
  <c r="H354" i="5"/>
  <c r="F354" i="5"/>
  <c r="C354" i="5"/>
  <c r="AC353" i="5"/>
  <c r="AD353" i="5" s="1"/>
  <c r="AA353" i="5"/>
  <c r="W353" i="5"/>
  <c r="X353" i="5" s="1"/>
  <c r="U353" i="5"/>
  <c r="R353" i="5"/>
  <c r="N353" i="5"/>
  <c r="L353" i="5"/>
  <c r="H353" i="5"/>
  <c r="I353" i="5" s="1"/>
  <c r="F353" i="5"/>
  <c r="C353" i="5"/>
  <c r="AD352" i="5"/>
  <c r="AC352" i="5"/>
  <c r="AA352" i="5"/>
  <c r="X352" i="5"/>
  <c r="W352" i="5"/>
  <c r="U352" i="5"/>
  <c r="R352" i="5"/>
  <c r="N352" i="5"/>
  <c r="O352" i="5" s="1"/>
  <c r="L352" i="5"/>
  <c r="H352" i="5"/>
  <c r="I352" i="5" s="1"/>
  <c r="F352" i="5"/>
  <c r="C352" i="5"/>
  <c r="AC351" i="5"/>
  <c r="AD351" i="5" s="1"/>
  <c r="AA351" i="5"/>
  <c r="X351" i="5"/>
  <c r="W351" i="5"/>
  <c r="U351" i="5"/>
  <c r="R351" i="5"/>
  <c r="N351" i="5"/>
  <c r="O351" i="5" s="1"/>
  <c r="L351" i="5"/>
  <c r="I351" i="5"/>
  <c r="H351" i="5"/>
  <c r="F351" i="5"/>
  <c r="C351" i="5"/>
  <c r="AC350" i="5"/>
  <c r="AD350" i="5" s="1"/>
  <c r="AA350" i="5"/>
  <c r="X350" i="5"/>
  <c r="W350" i="5"/>
  <c r="U350" i="5"/>
  <c r="R350" i="5"/>
  <c r="N350" i="5"/>
  <c r="L350" i="5"/>
  <c r="H350" i="5"/>
  <c r="I350" i="5" s="1"/>
  <c r="F350" i="5"/>
  <c r="C350" i="5"/>
  <c r="AC348" i="5"/>
  <c r="AD348" i="5" s="1"/>
  <c r="AA348" i="5"/>
  <c r="W348" i="5"/>
  <c r="X348" i="5" s="1"/>
  <c r="U348" i="5"/>
  <c r="R348" i="5"/>
  <c r="O348" i="5"/>
  <c r="N348" i="5"/>
  <c r="L348" i="5"/>
  <c r="H348" i="5"/>
  <c r="I348" i="5" s="1"/>
  <c r="F348" i="5"/>
  <c r="C348" i="5"/>
  <c r="T346" i="5"/>
  <c r="T405" i="5" s="1"/>
  <c r="AA345" i="5"/>
  <c r="Z345" i="5"/>
  <c r="W345" i="5"/>
  <c r="X345" i="5" s="1"/>
  <c r="T345" i="5"/>
  <c r="U345" i="5" s="1"/>
  <c r="Q345" i="5"/>
  <c r="R345" i="5" s="1"/>
  <c r="K345" i="5"/>
  <c r="L345" i="5" s="1"/>
  <c r="E345" i="5"/>
  <c r="F345" i="5" s="1"/>
  <c r="C345" i="5"/>
  <c r="B345" i="5"/>
  <c r="H345" i="5" s="1"/>
  <c r="I345" i="5" s="1"/>
  <c r="Z344" i="5"/>
  <c r="AA344" i="5" s="1"/>
  <c r="U344" i="5"/>
  <c r="T344" i="5"/>
  <c r="Q344" i="5"/>
  <c r="K344" i="5"/>
  <c r="L344" i="5" s="1"/>
  <c r="E344" i="5"/>
  <c r="B344" i="5"/>
  <c r="C344" i="5" s="1"/>
  <c r="AA343" i="5"/>
  <c r="Z343" i="5"/>
  <c r="W343" i="5"/>
  <c r="X343" i="5" s="1"/>
  <c r="T343" i="5"/>
  <c r="U343" i="5" s="1"/>
  <c r="Q343" i="5"/>
  <c r="R343" i="5" s="1"/>
  <c r="K343" i="5"/>
  <c r="E343" i="5"/>
  <c r="F343" i="5" s="1"/>
  <c r="C343" i="5"/>
  <c r="B343" i="5"/>
  <c r="H343" i="5" s="1"/>
  <c r="I343" i="5" s="1"/>
  <c r="AC342" i="5"/>
  <c r="AD342" i="5" s="1"/>
  <c r="AA342" i="5"/>
  <c r="X342" i="5"/>
  <c r="W342" i="5"/>
  <c r="U342" i="5"/>
  <c r="R342" i="5"/>
  <c r="O342" i="5"/>
  <c r="N342" i="5"/>
  <c r="L342" i="5"/>
  <c r="H342" i="5"/>
  <c r="I342" i="5" s="1"/>
  <c r="F342" i="5"/>
  <c r="C342" i="5"/>
  <c r="AC341" i="5"/>
  <c r="AD341" i="5" s="1"/>
  <c r="AA341" i="5"/>
  <c r="X341" i="5"/>
  <c r="W341" i="5"/>
  <c r="U341" i="5"/>
  <c r="R341" i="5"/>
  <c r="N341" i="5"/>
  <c r="O341" i="5" s="1"/>
  <c r="L341" i="5"/>
  <c r="I341" i="5"/>
  <c r="H341" i="5"/>
  <c r="F341" i="5"/>
  <c r="C341" i="5"/>
  <c r="AC340" i="5"/>
  <c r="AD340" i="5" s="1"/>
  <c r="AA340" i="5"/>
  <c r="X340" i="5"/>
  <c r="W340" i="5"/>
  <c r="U340" i="5"/>
  <c r="R340" i="5"/>
  <c r="N340" i="5"/>
  <c r="L340" i="5"/>
  <c r="H340" i="5"/>
  <c r="I340" i="5" s="1"/>
  <c r="F340" i="5"/>
  <c r="C340" i="5"/>
  <c r="AC339" i="5"/>
  <c r="AD339" i="5" s="1"/>
  <c r="AA339" i="5"/>
  <c r="W339" i="5"/>
  <c r="X339" i="5" s="1"/>
  <c r="U339" i="5"/>
  <c r="R339" i="5"/>
  <c r="O339" i="5"/>
  <c r="N339" i="5"/>
  <c r="L339" i="5"/>
  <c r="H339" i="5"/>
  <c r="I339" i="5" s="1"/>
  <c r="F339" i="5"/>
  <c r="C339" i="5"/>
  <c r="AC338" i="5"/>
  <c r="AD338" i="5" s="1"/>
  <c r="AA338" i="5"/>
  <c r="X338" i="5"/>
  <c r="W338" i="5"/>
  <c r="U338" i="5"/>
  <c r="R338" i="5"/>
  <c r="N338" i="5"/>
  <c r="O338" i="5" s="1"/>
  <c r="L338" i="5"/>
  <c r="H338" i="5"/>
  <c r="I338" i="5" s="1"/>
  <c r="F338" i="5"/>
  <c r="C338" i="5"/>
  <c r="AD336" i="5"/>
  <c r="AC336" i="5"/>
  <c r="AA336" i="5"/>
  <c r="X336" i="5"/>
  <c r="W336" i="5"/>
  <c r="U336" i="5"/>
  <c r="R336" i="5"/>
  <c r="N336" i="5"/>
  <c r="O336" i="5" s="1"/>
  <c r="L336" i="5"/>
  <c r="I336" i="5"/>
  <c r="H336" i="5"/>
  <c r="F336" i="5"/>
  <c r="C336" i="5"/>
  <c r="AC335" i="5"/>
  <c r="AD335" i="5" s="1"/>
  <c r="AA335" i="5"/>
  <c r="W335" i="5"/>
  <c r="X335" i="5" s="1"/>
  <c r="U335" i="5"/>
  <c r="R335" i="5"/>
  <c r="N335" i="5"/>
  <c r="L335" i="5"/>
  <c r="H335" i="5"/>
  <c r="I335" i="5" s="1"/>
  <c r="F335" i="5"/>
  <c r="C335" i="5"/>
  <c r="AC334" i="5"/>
  <c r="AD334" i="5" s="1"/>
  <c r="AA334" i="5"/>
  <c r="W334" i="5"/>
  <c r="X334" i="5" s="1"/>
  <c r="U334" i="5"/>
  <c r="R334" i="5"/>
  <c r="O334" i="5"/>
  <c r="N334" i="5"/>
  <c r="L334" i="5"/>
  <c r="H334" i="5"/>
  <c r="I334" i="5" s="1"/>
  <c r="F334" i="5"/>
  <c r="C334" i="5"/>
  <c r="AD333" i="5"/>
  <c r="AC333" i="5"/>
  <c r="AA333" i="5"/>
  <c r="X333" i="5"/>
  <c r="W333" i="5"/>
  <c r="U333" i="5"/>
  <c r="R333" i="5"/>
  <c r="N333" i="5"/>
  <c r="O333" i="5" s="1"/>
  <c r="L333" i="5"/>
  <c r="H333" i="5"/>
  <c r="I333" i="5" s="1"/>
  <c r="F333" i="5"/>
  <c r="C333" i="5"/>
  <c r="AD332" i="5"/>
  <c r="AC332" i="5"/>
  <c r="AA332" i="5"/>
  <c r="X332" i="5"/>
  <c r="W332" i="5"/>
  <c r="U332" i="5"/>
  <c r="R332" i="5"/>
  <c r="N332" i="5"/>
  <c r="O332" i="5" s="1"/>
  <c r="L332" i="5"/>
  <c r="H332" i="5"/>
  <c r="I332" i="5" s="1"/>
  <c r="F332" i="5"/>
  <c r="C332" i="5"/>
  <c r="AC331" i="5"/>
  <c r="AD331" i="5" s="1"/>
  <c r="AA331" i="5"/>
  <c r="X331" i="5"/>
  <c r="W331" i="5"/>
  <c r="U331" i="5"/>
  <c r="R331" i="5"/>
  <c r="N331" i="5"/>
  <c r="L331" i="5"/>
  <c r="I331" i="5"/>
  <c r="H331" i="5"/>
  <c r="F331" i="5"/>
  <c r="C331" i="5"/>
  <c r="AC330" i="5"/>
  <c r="AD330" i="5" s="1"/>
  <c r="AA330" i="5"/>
  <c r="W330" i="5"/>
  <c r="X330" i="5" s="1"/>
  <c r="U330" i="5"/>
  <c r="R330" i="5"/>
  <c r="O330" i="5"/>
  <c r="N330" i="5"/>
  <c r="L330" i="5"/>
  <c r="H330" i="5"/>
  <c r="I330" i="5" s="1"/>
  <c r="F330" i="5"/>
  <c r="C330" i="5"/>
  <c r="AD329" i="5"/>
  <c r="AC329" i="5"/>
  <c r="AA329" i="5"/>
  <c r="X329" i="5"/>
  <c r="W329" i="5"/>
  <c r="U329" i="5"/>
  <c r="R329" i="5"/>
  <c r="N329" i="5"/>
  <c r="O329" i="5" s="1"/>
  <c r="L329" i="5"/>
  <c r="H329" i="5"/>
  <c r="I329" i="5" s="1"/>
  <c r="F329" i="5"/>
  <c r="C329" i="5"/>
  <c r="AC326" i="5"/>
  <c r="AD326" i="5" s="1"/>
  <c r="AA326" i="5"/>
  <c r="Z326" i="5"/>
  <c r="T326" i="5"/>
  <c r="U326" i="5" s="1"/>
  <c r="Q326" i="5"/>
  <c r="W326" i="5" s="1"/>
  <c r="X326" i="5" s="1"/>
  <c r="K326" i="5"/>
  <c r="L326" i="5" s="1"/>
  <c r="F326" i="5"/>
  <c r="E326" i="5"/>
  <c r="C326" i="5"/>
  <c r="B326" i="5"/>
  <c r="N326" i="5" s="1"/>
  <c r="O326" i="5" s="1"/>
  <c r="Z325" i="5"/>
  <c r="AA325" i="5" s="1"/>
  <c r="U325" i="5"/>
  <c r="T325" i="5"/>
  <c r="W325" i="5" s="1"/>
  <c r="X325" i="5" s="1"/>
  <c r="Q325" i="5"/>
  <c r="R325" i="5" s="1"/>
  <c r="L325" i="5"/>
  <c r="K325" i="5"/>
  <c r="I325" i="5"/>
  <c r="H325" i="5"/>
  <c r="E325" i="5"/>
  <c r="F325" i="5" s="1"/>
  <c r="B325" i="5"/>
  <c r="C325" i="5" s="1"/>
  <c r="AC324" i="5"/>
  <c r="AD324" i="5" s="1"/>
  <c r="AA324" i="5"/>
  <c r="X324" i="5"/>
  <c r="W324" i="5"/>
  <c r="U324" i="5"/>
  <c r="R324" i="5"/>
  <c r="N324" i="5"/>
  <c r="O324" i="5" s="1"/>
  <c r="L324" i="5"/>
  <c r="H324" i="5"/>
  <c r="I324" i="5" s="1"/>
  <c r="F324" i="5"/>
  <c r="C324" i="5"/>
  <c r="AC323" i="5"/>
  <c r="AD323" i="5" s="1"/>
  <c r="AA323" i="5"/>
  <c r="X323" i="5"/>
  <c r="W323" i="5"/>
  <c r="U323" i="5"/>
  <c r="R323" i="5"/>
  <c r="N323" i="5"/>
  <c r="L323" i="5"/>
  <c r="I323" i="5"/>
  <c r="H323" i="5"/>
  <c r="F323" i="5"/>
  <c r="C323" i="5"/>
  <c r="AC322" i="5"/>
  <c r="AD322" i="5" s="1"/>
  <c r="AA322" i="5"/>
  <c r="W322" i="5"/>
  <c r="X322" i="5" s="1"/>
  <c r="U322" i="5"/>
  <c r="R322" i="5"/>
  <c r="O322" i="5"/>
  <c r="N322" i="5"/>
  <c r="L322" i="5"/>
  <c r="H322" i="5"/>
  <c r="I322" i="5" s="1"/>
  <c r="F322" i="5"/>
  <c r="C322" i="5"/>
  <c r="AD321" i="5"/>
  <c r="AC321" i="5"/>
  <c r="AA321" i="5"/>
  <c r="X321" i="5"/>
  <c r="W321" i="5"/>
  <c r="U321" i="5"/>
  <c r="R321" i="5"/>
  <c r="N321" i="5"/>
  <c r="O321" i="5" s="1"/>
  <c r="L321" i="5"/>
  <c r="H321" i="5"/>
  <c r="I321" i="5" s="1"/>
  <c r="F321" i="5"/>
  <c r="C321" i="5"/>
  <c r="AC320" i="5"/>
  <c r="AD320" i="5" s="1"/>
  <c r="AA320" i="5"/>
  <c r="X320" i="5"/>
  <c r="W320" i="5"/>
  <c r="U320" i="5"/>
  <c r="R320" i="5"/>
  <c r="N320" i="5"/>
  <c r="O320" i="5" s="1"/>
  <c r="L320" i="5"/>
  <c r="I320" i="5"/>
  <c r="H320" i="5"/>
  <c r="F320" i="5"/>
  <c r="C320" i="5"/>
  <c r="AC319" i="5"/>
  <c r="AD319" i="5" s="1"/>
  <c r="AA319" i="5"/>
  <c r="X319" i="5"/>
  <c r="W319" i="5"/>
  <c r="U319" i="5"/>
  <c r="R319" i="5"/>
  <c r="N319" i="5"/>
  <c r="L319" i="5"/>
  <c r="H319" i="5"/>
  <c r="I319" i="5" s="1"/>
  <c r="F319" i="5"/>
  <c r="C319" i="5"/>
  <c r="AC318" i="5"/>
  <c r="AD318" i="5" s="1"/>
  <c r="AA318" i="5"/>
  <c r="W318" i="5"/>
  <c r="X318" i="5" s="1"/>
  <c r="U318" i="5"/>
  <c r="R318" i="5"/>
  <c r="O318" i="5"/>
  <c r="N318" i="5"/>
  <c r="L318" i="5"/>
  <c r="H318" i="5"/>
  <c r="I318" i="5" s="1"/>
  <c r="F318" i="5"/>
  <c r="C318" i="5"/>
  <c r="AD317" i="5"/>
  <c r="AC317" i="5"/>
  <c r="AA317" i="5"/>
  <c r="X317" i="5"/>
  <c r="W317" i="5"/>
  <c r="U317" i="5"/>
  <c r="R317" i="5"/>
  <c r="O317" i="5"/>
  <c r="N317" i="5"/>
  <c r="L317" i="5"/>
  <c r="H317" i="5"/>
  <c r="I317" i="5" s="1"/>
  <c r="F317" i="5"/>
  <c r="C317" i="5"/>
  <c r="AD316" i="5"/>
  <c r="AC316" i="5"/>
  <c r="AA316" i="5"/>
  <c r="X316" i="5"/>
  <c r="W316" i="5"/>
  <c r="U316" i="5"/>
  <c r="R316" i="5"/>
  <c r="N316" i="5"/>
  <c r="O316" i="5" s="1"/>
  <c r="L316" i="5"/>
  <c r="H316" i="5"/>
  <c r="I316" i="5" s="1"/>
  <c r="F316" i="5"/>
  <c r="C316" i="5"/>
  <c r="AC315" i="5"/>
  <c r="AD315" i="5" s="1"/>
  <c r="AA315" i="5"/>
  <c r="W315" i="5"/>
  <c r="X315" i="5" s="1"/>
  <c r="U315" i="5"/>
  <c r="R315" i="5"/>
  <c r="N315" i="5"/>
  <c r="L315" i="5"/>
  <c r="H315" i="5"/>
  <c r="I315" i="5" s="1"/>
  <c r="F315" i="5"/>
  <c r="C315" i="5"/>
  <c r="AC314" i="5"/>
  <c r="AD314" i="5" s="1"/>
  <c r="AA314" i="5"/>
  <c r="W314" i="5"/>
  <c r="X314" i="5" s="1"/>
  <c r="U314" i="5"/>
  <c r="R314" i="5"/>
  <c r="O314" i="5"/>
  <c r="N314" i="5"/>
  <c r="L314" i="5"/>
  <c r="H314" i="5"/>
  <c r="I314" i="5" s="1"/>
  <c r="F314" i="5"/>
  <c r="C314" i="5"/>
  <c r="AC313" i="5"/>
  <c r="AD313" i="5" s="1"/>
  <c r="AA313" i="5"/>
  <c r="X313" i="5"/>
  <c r="W313" i="5"/>
  <c r="U313" i="5"/>
  <c r="R313" i="5"/>
  <c r="O313" i="5"/>
  <c r="N313" i="5"/>
  <c r="L313" i="5"/>
  <c r="H313" i="5"/>
  <c r="I313" i="5" s="1"/>
  <c r="F313" i="5"/>
  <c r="C313" i="5"/>
  <c r="AC312" i="5"/>
  <c r="AD312" i="5" s="1"/>
  <c r="AA312" i="5"/>
  <c r="X312" i="5"/>
  <c r="W312" i="5"/>
  <c r="U312" i="5"/>
  <c r="R312" i="5"/>
  <c r="N312" i="5"/>
  <c r="O312" i="5" s="1"/>
  <c r="L312" i="5"/>
  <c r="I312" i="5"/>
  <c r="H312" i="5"/>
  <c r="F312" i="5"/>
  <c r="C312" i="5"/>
  <c r="AC311" i="5"/>
  <c r="AD311" i="5" s="1"/>
  <c r="AA311" i="5"/>
  <c r="X311" i="5"/>
  <c r="W311" i="5"/>
  <c r="U311" i="5"/>
  <c r="R311" i="5"/>
  <c r="N311" i="5"/>
  <c r="L311" i="5"/>
  <c r="H311" i="5"/>
  <c r="I311" i="5" s="1"/>
  <c r="F311" i="5"/>
  <c r="C311" i="5"/>
  <c r="AC310" i="5"/>
  <c r="AD310" i="5" s="1"/>
  <c r="AA310" i="5"/>
  <c r="W310" i="5"/>
  <c r="X310" i="5" s="1"/>
  <c r="U310" i="5"/>
  <c r="R310" i="5"/>
  <c r="O310" i="5"/>
  <c r="N310" i="5"/>
  <c r="L310" i="5"/>
  <c r="H310" i="5"/>
  <c r="I310" i="5" s="1"/>
  <c r="F310" i="5"/>
  <c r="C310" i="5"/>
  <c r="AD309" i="5"/>
  <c r="AC309" i="5"/>
  <c r="AA309" i="5"/>
  <c r="X309" i="5"/>
  <c r="W309" i="5"/>
  <c r="U309" i="5"/>
  <c r="R309" i="5"/>
  <c r="N309" i="5"/>
  <c r="O309" i="5" s="1"/>
  <c r="L309" i="5"/>
  <c r="H309" i="5"/>
  <c r="I309" i="5" s="1"/>
  <c r="F309" i="5"/>
  <c r="C309" i="5"/>
  <c r="AD308" i="5"/>
  <c r="AC308" i="5"/>
  <c r="AA308" i="5"/>
  <c r="X308" i="5"/>
  <c r="W308" i="5"/>
  <c r="U308" i="5"/>
  <c r="R308" i="5"/>
  <c r="N308" i="5"/>
  <c r="O308" i="5" s="1"/>
  <c r="L308" i="5"/>
  <c r="I308" i="5"/>
  <c r="H308" i="5"/>
  <c r="F308" i="5"/>
  <c r="C308" i="5"/>
  <c r="AC307" i="5"/>
  <c r="AD307" i="5" s="1"/>
  <c r="AA307" i="5"/>
  <c r="W307" i="5"/>
  <c r="X307" i="5" s="1"/>
  <c r="U307" i="5"/>
  <c r="R307" i="5"/>
  <c r="N307" i="5"/>
  <c r="L307" i="5"/>
  <c r="I307" i="5"/>
  <c r="H307" i="5"/>
  <c r="F307" i="5"/>
  <c r="C307" i="5"/>
  <c r="AC306" i="5"/>
  <c r="AD306" i="5" s="1"/>
  <c r="AA306" i="5"/>
  <c r="W306" i="5"/>
  <c r="X306" i="5" s="1"/>
  <c r="U306" i="5"/>
  <c r="R306" i="5"/>
  <c r="O306" i="5"/>
  <c r="N306" i="5"/>
  <c r="L306" i="5"/>
  <c r="H306" i="5"/>
  <c r="I306" i="5" s="1"/>
  <c r="F306" i="5"/>
  <c r="C306" i="5"/>
  <c r="AD305" i="5"/>
  <c r="AC305" i="5"/>
  <c r="AA305" i="5"/>
  <c r="X305" i="5"/>
  <c r="W305" i="5"/>
  <c r="U305" i="5"/>
  <c r="R305" i="5"/>
  <c r="N305" i="5"/>
  <c r="O305" i="5" s="1"/>
  <c r="L305" i="5"/>
  <c r="H305" i="5"/>
  <c r="I305" i="5" s="1"/>
  <c r="F305" i="5"/>
  <c r="C305" i="5"/>
  <c r="AD304" i="5"/>
  <c r="AC304" i="5"/>
  <c r="AA304" i="5"/>
  <c r="X304" i="5"/>
  <c r="W304" i="5"/>
  <c r="U304" i="5"/>
  <c r="R304" i="5"/>
  <c r="N304" i="5"/>
  <c r="O304" i="5" s="1"/>
  <c r="L304" i="5"/>
  <c r="H304" i="5"/>
  <c r="I304" i="5" s="1"/>
  <c r="F304" i="5"/>
  <c r="C304" i="5"/>
  <c r="AC303" i="5"/>
  <c r="AD303" i="5" s="1"/>
  <c r="AA303" i="5"/>
  <c r="X303" i="5"/>
  <c r="W303" i="5"/>
  <c r="U303" i="5"/>
  <c r="R303" i="5"/>
  <c r="N303" i="5"/>
  <c r="L303" i="5"/>
  <c r="I303" i="5"/>
  <c r="H303" i="5"/>
  <c r="F303" i="5"/>
  <c r="C303" i="5"/>
  <c r="AC302" i="5"/>
  <c r="AD302" i="5" s="1"/>
  <c r="AA302" i="5"/>
  <c r="W302" i="5"/>
  <c r="X302" i="5" s="1"/>
  <c r="U302" i="5"/>
  <c r="R302" i="5"/>
  <c r="O302" i="5"/>
  <c r="N302" i="5"/>
  <c r="L302" i="5"/>
  <c r="H302" i="5"/>
  <c r="I302" i="5" s="1"/>
  <c r="F302" i="5"/>
  <c r="C302" i="5"/>
  <c r="AD301" i="5"/>
  <c r="AC301" i="5"/>
  <c r="AA301" i="5"/>
  <c r="X301" i="5"/>
  <c r="W301" i="5"/>
  <c r="U301" i="5"/>
  <c r="R301" i="5"/>
  <c r="N301" i="5"/>
  <c r="O301" i="5" s="1"/>
  <c r="L301" i="5"/>
  <c r="H301" i="5"/>
  <c r="I301" i="5" s="1"/>
  <c r="F301" i="5"/>
  <c r="C301" i="5"/>
  <c r="AC300" i="5"/>
  <c r="AD300" i="5" s="1"/>
  <c r="AA300" i="5"/>
  <c r="X300" i="5"/>
  <c r="W300" i="5"/>
  <c r="U300" i="5"/>
  <c r="R300" i="5"/>
  <c r="N300" i="5"/>
  <c r="O300" i="5" s="1"/>
  <c r="L300" i="5"/>
  <c r="I300" i="5"/>
  <c r="H300" i="5"/>
  <c r="F300" i="5"/>
  <c r="C300" i="5"/>
  <c r="AC299" i="5"/>
  <c r="AD299" i="5" s="1"/>
  <c r="AA299" i="5"/>
  <c r="X299" i="5"/>
  <c r="W299" i="5"/>
  <c r="U299" i="5"/>
  <c r="R299" i="5"/>
  <c r="N299" i="5"/>
  <c r="L299" i="5"/>
  <c r="H299" i="5"/>
  <c r="I299" i="5" s="1"/>
  <c r="F299" i="5"/>
  <c r="C299" i="5"/>
  <c r="AC298" i="5"/>
  <c r="AD298" i="5" s="1"/>
  <c r="AA298" i="5"/>
  <c r="W298" i="5"/>
  <c r="X298" i="5" s="1"/>
  <c r="U298" i="5"/>
  <c r="R298" i="5"/>
  <c r="O298" i="5"/>
  <c r="N298" i="5"/>
  <c r="L298" i="5"/>
  <c r="H298" i="5"/>
  <c r="I298" i="5" s="1"/>
  <c r="F298" i="5"/>
  <c r="C298" i="5"/>
  <c r="Z296" i="5"/>
  <c r="AA296" i="5" s="1"/>
  <c r="U296" i="5"/>
  <c r="T296" i="5"/>
  <c r="R296" i="5"/>
  <c r="Q296" i="5"/>
  <c r="K296" i="5"/>
  <c r="L296" i="5" s="1"/>
  <c r="I296" i="5"/>
  <c r="F296" i="5"/>
  <c r="E296" i="5"/>
  <c r="H296" i="5" s="1"/>
  <c r="B296" i="5"/>
  <c r="C296" i="5" s="1"/>
  <c r="AC295" i="5"/>
  <c r="AD295" i="5" s="1"/>
  <c r="AA295" i="5"/>
  <c r="W295" i="5"/>
  <c r="X295" i="5" s="1"/>
  <c r="U295" i="5"/>
  <c r="R295" i="5"/>
  <c r="N295" i="5"/>
  <c r="L295" i="5"/>
  <c r="H295" i="5"/>
  <c r="I295" i="5" s="1"/>
  <c r="F295" i="5"/>
  <c r="C295" i="5"/>
  <c r="AC294" i="5"/>
  <c r="AD294" i="5" s="1"/>
  <c r="AA294" i="5"/>
  <c r="W294" i="5"/>
  <c r="X294" i="5" s="1"/>
  <c r="U294" i="5"/>
  <c r="R294" i="5"/>
  <c r="O294" i="5"/>
  <c r="N294" i="5"/>
  <c r="L294" i="5"/>
  <c r="H294" i="5"/>
  <c r="I294" i="5" s="1"/>
  <c r="F294" i="5"/>
  <c r="C294" i="5"/>
  <c r="AC293" i="5"/>
  <c r="AD293" i="5" s="1"/>
  <c r="AA293" i="5"/>
  <c r="X293" i="5"/>
  <c r="W293" i="5"/>
  <c r="U293" i="5"/>
  <c r="R293" i="5"/>
  <c r="O293" i="5"/>
  <c r="N293" i="5"/>
  <c r="L293" i="5"/>
  <c r="H293" i="5"/>
  <c r="I293" i="5" s="1"/>
  <c r="F293" i="5"/>
  <c r="C293" i="5"/>
  <c r="AC292" i="5"/>
  <c r="AD292" i="5" s="1"/>
  <c r="AA292" i="5"/>
  <c r="X292" i="5"/>
  <c r="W292" i="5"/>
  <c r="U292" i="5"/>
  <c r="R292" i="5"/>
  <c r="N292" i="5"/>
  <c r="O292" i="5" s="1"/>
  <c r="L292" i="5"/>
  <c r="I292" i="5"/>
  <c r="H292" i="5"/>
  <c r="F292" i="5"/>
  <c r="C292" i="5"/>
  <c r="AC291" i="5"/>
  <c r="AD291" i="5" s="1"/>
  <c r="AA291" i="5"/>
  <c r="X291" i="5"/>
  <c r="W291" i="5"/>
  <c r="U291" i="5"/>
  <c r="R291" i="5"/>
  <c r="N291" i="5"/>
  <c r="L291" i="5"/>
  <c r="I291" i="5"/>
  <c r="H291" i="5"/>
  <c r="F291" i="5"/>
  <c r="C291" i="5"/>
  <c r="AC290" i="5"/>
  <c r="AD290" i="5" s="1"/>
  <c r="AA290" i="5"/>
  <c r="W290" i="5"/>
  <c r="X290" i="5" s="1"/>
  <c r="U290" i="5"/>
  <c r="R290" i="5"/>
  <c r="O290" i="5"/>
  <c r="N290" i="5"/>
  <c r="L290" i="5"/>
  <c r="H290" i="5"/>
  <c r="I290" i="5" s="1"/>
  <c r="F290" i="5"/>
  <c r="C290" i="5"/>
  <c r="AC289" i="5"/>
  <c r="AD289" i="5" s="1"/>
  <c r="AA289" i="5"/>
  <c r="X289" i="5"/>
  <c r="W289" i="5"/>
  <c r="U289" i="5"/>
  <c r="R289" i="5"/>
  <c r="N289" i="5"/>
  <c r="O289" i="5" s="1"/>
  <c r="L289" i="5"/>
  <c r="H289" i="5"/>
  <c r="I289" i="5" s="1"/>
  <c r="F289" i="5"/>
  <c r="C289" i="5"/>
  <c r="AD288" i="5"/>
  <c r="AC288" i="5"/>
  <c r="AA288" i="5"/>
  <c r="X288" i="5"/>
  <c r="W288" i="5"/>
  <c r="U288" i="5"/>
  <c r="R288" i="5"/>
  <c r="N288" i="5"/>
  <c r="O288" i="5" s="1"/>
  <c r="L288" i="5"/>
  <c r="I288" i="5"/>
  <c r="H288" i="5"/>
  <c r="F288" i="5"/>
  <c r="C288" i="5"/>
  <c r="AC287" i="5"/>
  <c r="AD287" i="5" s="1"/>
  <c r="AA287" i="5"/>
  <c r="W287" i="5"/>
  <c r="X287" i="5" s="1"/>
  <c r="U287" i="5"/>
  <c r="R287" i="5"/>
  <c r="N287" i="5"/>
  <c r="L287" i="5"/>
  <c r="H287" i="5"/>
  <c r="I287" i="5" s="1"/>
  <c r="F287" i="5"/>
  <c r="C287" i="5"/>
  <c r="Z285" i="5"/>
  <c r="AA285" i="5" s="1"/>
  <c r="W285" i="5"/>
  <c r="X285" i="5" s="1"/>
  <c r="U285" i="5"/>
  <c r="T285" i="5"/>
  <c r="Q285" i="5"/>
  <c r="R285" i="5" s="1"/>
  <c r="K285" i="5"/>
  <c r="L285" i="5" s="1"/>
  <c r="I285" i="5"/>
  <c r="H285" i="5"/>
  <c r="E285" i="5"/>
  <c r="F285" i="5" s="1"/>
  <c r="B285" i="5"/>
  <c r="C285" i="5" s="1"/>
  <c r="AD284" i="5"/>
  <c r="AC284" i="5"/>
  <c r="AA284" i="5"/>
  <c r="X284" i="5"/>
  <c r="W284" i="5"/>
  <c r="U284" i="5"/>
  <c r="R284" i="5"/>
  <c r="N284" i="5"/>
  <c r="O284" i="5" s="1"/>
  <c r="L284" i="5"/>
  <c r="I284" i="5"/>
  <c r="H284" i="5"/>
  <c r="F284" i="5"/>
  <c r="C284" i="5"/>
  <c r="AC283" i="5"/>
  <c r="AD283" i="5" s="1"/>
  <c r="AA283" i="5"/>
  <c r="X283" i="5"/>
  <c r="W283" i="5"/>
  <c r="U283" i="5"/>
  <c r="R283" i="5"/>
  <c r="N283" i="5"/>
  <c r="L283" i="5"/>
  <c r="H283" i="5"/>
  <c r="I283" i="5" s="1"/>
  <c r="F283" i="5"/>
  <c r="C283" i="5"/>
  <c r="AC282" i="5"/>
  <c r="AD282" i="5" s="1"/>
  <c r="AA282" i="5"/>
  <c r="W282" i="5"/>
  <c r="X282" i="5" s="1"/>
  <c r="U282" i="5"/>
  <c r="R282" i="5"/>
  <c r="O282" i="5"/>
  <c r="N282" i="5"/>
  <c r="L282" i="5"/>
  <c r="H282" i="5"/>
  <c r="I282" i="5" s="1"/>
  <c r="F282" i="5"/>
  <c r="C282" i="5"/>
  <c r="AD281" i="5"/>
  <c r="AC281" i="5"/>
  <c r="AA281" i="5"/>
  <c r="X281" i="5"/>
  <c r="W281" i="5"/>
  <c r="U281" i="5"/>
  <c r="R281" i="5"/>
  <c r="O281" i="5"/>
  <c r="N281" i="5"/>
  <c r="L281" i="5"/>
  <c r="H281" i="5"/>
  <c r="I281" i="5" s="1"/>
  <c r="F281" i="5"/>
  <c r="C281" i="5"/>
  <c r="AD280" i="5"/>
  <c r="AC280" i="5"/>
  <c r="AA280" i="5"/>
  <c r="X280" i="5"/>
  <c r="W280" i="5"/>
  <c r="U280" i="5"/>
  <c r="R280" i="5"/>
  <c r="N280" i="5"/>
  <c r="O280" i="5" s="1"/>
  <c r="L280" i="5"/>
  <c r="H280" i="5"/>
  <c r="I280" i="5" s="1"/>
  <c r="F280" i="5"/>
  <c r="C280" i="5"/>
  <c r="AC279" i="5"/>
  <c r="AD279" i="5" s="1"/>
  <c r="AA279" i="5"/>
  <c r="W279" i="5"/>
  <c r="X279" i="5" s="1"/>
  <c r="U279" i="5"/>
  <c r="R279" i="5"/>
  <c r="N279" i="5"/>
  <c r="L279" i="5"/>
  <c r="H279" i="5"/>
  <c r="I279" i="5" s="1"/>
  <c r="F279" i="5"/>
  <c r="C279" i="5"/>
  <c r="AC278" i="5"/>
  <c r="AD278" i="5" s="1"/>
  <c r="AA278" i="5"/>
  <c r="W278" i="5"/>
  <c r="X278" i="5" s="1"/>
  <c r="U278" i="5"/>
  <c r="R278" i="5"/>
  <c r="O278" i="5"/>
  <c r="N278" i="5"/>
  <c r="L278" i="5"/>
  <c r="H278" i="5"/>
  <c r="I278" i="5" s="1"/>
  <c r="F278" i="5"/>
  <c r="C278" i="5"/>
  <c r="AC277" i="5"/>
  <c r="AD277" i="5" s="1"/>
  <c r="AA277" i="5"/>
  <c r="X277" i="5"/>
  <c r="W277" i="5"/>
  <c r="U277" i="5"/>
  <c r="R277" i="5"/>
  <c r="O277" i="5"/>
  <c r="N277" i="5"/>
  <c r="L277" i="5"/>
  <c r="H277" i="5"/>
  <c r="I277" i="5" s="1"/>
  <c r="F277" i="5"/>
  <c r="C277" i="5"/>
  <c r="AC276" i="5"/>
  <c r="AD276" i="5" s="1"/>
  <c r="AA276" i="5"/>
  <c r="X276" i="5"/>
  <c r="W276" i="5"/>
  <c r="U276" i="5"/>
  <c r="R276" i="5"/>
  <c r="N276" i="5"/>
  <c r="O276" i="5" s="1"/>
  <c r="L276" i="5"/>
  <c r="I276" i="5"/>
  <c r="H276" i="5"/>
  <c r="F276" i="5"/>
  <c r="C276" i="5"/>
  <c r="AA274" i="5"/>
  <c r="Z274" i="5"/>
  <c r="X274" i="5"/>
  <c r="W274" i="5"/>
  <c r="T274" i="5"/>
  <c r="U274" i="5" s="1"/>
  <c r="Q274" i="5"/>
  <c r="R274" i="5" s="1"/>
  <c r="K274" i="5"/>
  <c r="N274" i="5" s="1"/>
  <c r="O274" i="5" s="1"/>
  <c r="E274" i="5"/>
  <c r="F274" i="5" s="1"/>
  <c r="B274" i="5"/>
  <c r="H274" i="5" s="1"/>
  <c r="I274" i="5" s="1"/>
  <c r="AD273" i="5"/>
  <c r="AC273" i="5"/>
  <c r="AA273" i="5"/>
  <c r="X273" i="5"/>
  <c r="W273" i="5"/>
  <c r="U273" i="5"/>
  <c r="R273" i="5"/>
  <c r="O273" i="5"/>
  <c r="N273" i="5"/>
  <c r="L273" i="5"/>
  <c r="H273" i="5"/>
  <c r="I273" i="5" s="1"/>
  <c r="F273" i="5"/>
  <c r="C273" i="5"/>
  <c r="AD272" i="5"/>
  <c r="AC272" i="5"/>
  <c r="AA272" i="5"/>
  <c r="X272" i="5"/>
  <c r="W272" i="5"/>
  <c r="U272" i="5"/>
  <c r="R272" i="5"/>
  <c r="N272" i="5"/>
  <c r="O272" i="5" s="1"/>
  <c r="L272" i="5"/>
  <c r="H272" i="5"/>
  <c r="I272" i="5" s="1"/>
  <c r="F272" i="5"/>
  <c r="C272" i="5"/>
  <c r="AC271" i="5"/>
  <c r="AD271" i="5" s="1"/>
  <c r="AA271" i="5"/>
  <c r="W271" i="5"/>
  <c r="X271" i="5" s="1"/>
  <c r="U271" i="5"/>
  <c r="R271" i="5"/>
  <c r="N271" i="5"/>
  <c r="L271" i="5"/>
  <c r="I271" i="5"/>
  <c r="H271" i="5"/>
  <c r="F271" i="5"/>
  <c r="C271" i="5"/>
  <c r="AC270" i="5"/>
  <c r="AD270" i="5" s="1"/>
  <c r="AA270" i="5"/>
  <c r="W270" i="5"/>
  <c r="X270" i="5" s="1"/>
  <c r="U270" i="5"/>
  <c r="R270" i="5"/>
  <c r="O270" i="5"/>
  <c r="N270" i="5"/>
  <c r="L270" i="5"/>
  <c r="H270" i="5"/>
  <c r="I270" i="5" s="1"/>
  <c r="F270" i="5"/>
  <c r="C270" i="5"/>
  <c r="AC268" i="5"/>
  <c r="AD268" i="5" s="1"/>
  <c r="Z268" i="5"/>
  <c r="AA268" i="5" s="1"/>
  <c r="U268" i="5"/>
  <c r="T268" i="5"/>
  <c r="Q268" i="5"/>
  <c r="K268" i="5"/>
  <c r="L268" i="5" s="1"/>
  <c r="F268" i="5"/>
  <c r="E268" i="5"/>
  <c r="H268" i="5" s="1"/>
  <c r="I268" i="5" s="1"/>
  <c r="B268" i="5"/>
  <c r="C268" i="5" s="1"/>
  <c r="AC267" i="5"/>
  <c r="AD267" i="5" s="1"/>
  <c r="AA267" i="5"/>
  <c r="X267" i="5"/>
  <c r="W267" i="5"/>
  <c r="U267" i="5"/>
  <c r="R267" i="5"/>
  <c r="N267" i="5"/>
  <c r="L267" i="5"/>
  <c r="H267" i="5"/>
  <c r="I267" i="5" s="1"/>
  <c r="F267" i="5"/>
  <c r="C267" i="5"/>
  <c r="AC266" i="5"/>
  <c r="AD266" i="5" s="1"/>
  <c r="AA266" i="5"/>
  <c r="W266" i="5"/>
  <c r="X266" i="5" s="1"/>
  <c r="U266" i="5"/>
  <c r="R266" i="5"/>
  <c r="O266" i="5"/>
  <c r="N266" i="5"/>
  <c r="L266" i="5"/>
  <c r="H266" i="5"/>
  <c r="I266" i="5" s="1"/>
  <c r="F266" i="5"/>
  <c r="C266" i="5"/>
  <c r="Z264" i="5"/>
  <c r="AA264" i="5" s="1"/>
  <c r="U264" i="5"/>
  <c r="T264" i="5"/>
  <c r="Q264" i="5"/>
  <c r="K264" i="5"/>
  <c r="L264" i="5" s="1"/>
  <c r="I264" i="5"/>
  <c r="F264" i="5"/>
  <c r="E264" i="5"/>
  <c r="H264" i="5" s="1"/>
  <c r="B264" i="5"/>
  <c r="C264" i="5" s="1"/>
  <c r="Z263" i="5"/>
  <c r="AA263" i="5" s="1"/>
  <c r="X263" i="5"/>
  <c r="W263" i="5"/>
  <c r="T263" i="5"/>
  <c r="U263" i="5" s="1"/>
  <c r="Q263" i="5"/>
  <c r="R263" i="5" s="1"/>
  <c r="L263" i="5"/>
  <c r="K263" i="5"/>
  <c r="E263" i="5"/>
  <c r="F263" i="5" s="1"/>
  <c r="C263" i="5"/>
  <c r="B263" i="5"/>
  <c r="H263" i="5" s="1"/>
  <c r="I263" i="5" s="1"/>
  <c r="AD262" i="5"/>
  <c r="AC262" i="5"/>
  <c r="AA262" i="5"/>
  <c r="X262" i="5"/>
  <c r="W262" i="5"/>
  <c r="U262" i="5"/>
  <c r="R262" i="5"/>
  <c r="N262" i="5"/>
  <c r="O262" i="5" s="1"/>
  <c r="L262" i="5"/>
  <c r="H262" i="5"/>
  <c r="I262" i="5" s="1"/>
  <c r="F262" i="5"/>
  <c r="C262" i="5"/>
  <c r="AD261" i="5"/>
  <c r="AC261" i="5"/>
  <c r="AA261" i="5"/>
  <c r="X261" i="5"/>
  <c r="W261" i="5"/>
  <c r="U261" i="5"/>
  <c r="R261" i="5"/>
  <c r="N261" i="5"/>
  <c r="O261" i="5" s="1"/>
  <c r="L261" i="5"/>
  <c r="I261" i="5"/>
  <c r="H261" i="5"/>
  <c r="F261" i="5"/>
  <c r="C261" i="5"/>
  <c r="AC260" i="5"/>
  <c r="AD260" i="5" s="1"/>
  <c r="AA260" i="5"/>
  <c r="X260" i="5"/>
  <c r="W260" i="5"/>
  <c r="U260" i="5"/>
  <c r="R260" i="5"/>
  <c r="N260" i="5"/>
  <c r="L260" i="5"/>
  <c r="H260" i="5"/>
  <c r="I260" i="5" s="1"/>
  <c r="F260" i="5"/>
  <c r="C260" i="5"/>
  <c r="AC259" i="5"/>
  <c r="AD259" i="5" s="1"/>
  <c r="AA259" i="5"/>
  <c r="W259" i="5"/>
  <c r="X259" i="5" s="1"/>
  <c r="U259" i="5"/>
  <c r="R259" i="5"/>
  <c r="O259" i="5"/>
  <c r="N259" i="5"/>
  <c r="L259" i="5"/>
  <c r="H259" i="5"/>
  <c r="I259" i="5" s="1"/>
  <c r="F259" i="5"/>
  <c r="C259" i="5"/>
  <c r="AD258" i="5"/>
  <c r="AC258" i="5"/>
  <c r="AA258" i="5"/>
  <c r="X258" i="5"/>
  <c r="W258" i="5"/>
  <c r="U258" i="5"/>
  <c r="R258" i="5"/>
  <c r="O258" i="5"/>
  <c r="N258" i="5"/>
  <c r="L258" i="5"/>
  <c r="H258" i="5"/>
  <c r="I258" i="5" s="1"/>
  <c r="F258" i="5"/>
  <c r="C258" i="5"/>
  <c r="AD257" i="5"/>
  <c r="AC257" i="5"/>
  <c r="AA257" i="5"/>
  <c r="X257" i="5"/>
  <c r="W257" i="5"/>
  <c r="U257" i="5"/>
  <c r="R257" i="5"/>
  <c r="N257" i="5"/>
  <c r="O257" i="5" s="1"/>
  <c r="L257" i="5"/>
  <c r="H257" i="5"/>
  <c r="I257" i="5" s="1"/>
  <c r="F257" i="5"/>
  <c r="C257" i="5"/>
  <c r="AC256" i="5"/>
  <c r="AD256" i="5" s="1"/>
  <c r="AA256" i="5"/>
  <c r="X256" i="5"/>
  <c r="W256" i="5"/>
  <c r="U256" i="5"/>
  <c r="R256" i="5"/>
  <c r="N256" i="5"/>
  <c r="L256" i="5"/>
  <c r="H256" i="5"/>
  <c r="I256" i="5" s="1"/>
  <c r="F256" i="5"/>
  <c r="C256" i="5"/>
  <c r="AC255" i="5"/>
  <c r="AD255" i="5" s="1"/>
  <c r="AA255" i="5"/>
  <c r="W255" i="5"/>
  <c r="X255" i="5" s="1"/>
  <c r="U255" i="5"/>
  <c r="R255" i="5"/>
  <c r="O255" i="5"/>
  <c r="N255" i="5"/>
  <c r="L255" i="5"/>
  <c r="H255" i="5"/>
  <c r="I255" i="5" s="1"/>
  <c r="F255" i="5"/>
  <c r="C255" i="5"/>
  <c r="AC254" i="5"/>
  <c r="AD254" i="5" s="1"/>
  <c r="AA254" i="5"/>
  <c r="X254" i="5"/>
  <c r="W254" i="5"/>
  <c r="U254" i="5"/>
  <c r="R254" i="5"/>
  <c r="O254" i="5"/>
  <c r="N254" i="5"/>
  <c r="L254" i="5"/>
  <c r="H254" i="5"/>
  <c r="I254" i="5" s="1"/>
  <c r="F254" i="5"/>
  <c r="C254" i="5"/>
  <c r="AC253" i="5"/>
  <c r="AD253" i="5" s="1"/>
  <c r="AA253" i="5"/>
  <c r="X253" i="5"/>
  <c r="W253" i="5"/>
  <c r="U253" i="5"/>
  <c r="R253" i="5"/>
  <c r="N253" i="5"/>
  <c r="O253" i="5" s="1"/>
  <c r="L253" i="5"/>
  <c r="I253" i="5"/>
  <c r="H253" i="5"/>
  <c r="F253" i="5"/>
  <c r="C253" i="5"/>
  <c r="AC252" i="5"/>
  <c r="AD252" i="5" s="1"/>
  <c r="AA252" i="5"/>
  <c r="X252" i="5"/>
  <c r="W252" i="5"/>
  <c r="U252" i="5"/>
  <c r="R252" i="5"/>
  <c r="N252" i="5"/>
  <c r="L252" i="5"/>
  <c r="I252" i="5"/>
  <c r="H252" i="5"/>
  <c r="F252" i="5"/>
  <c r="C252" i="5"/>
  <c r="AC251" i="5"/>
  <c r="AD251" i="5" s="1"/>
  <c r="AA251" i="5"/>
  <c r="W251" i="5"/>
  <c r="X251" i="5" s="1"/>
  <c r="U251" i="5"/>
  <c r="R251" i="5"/>
  <c r="O251" i="5"/>
  <c r="N251" i="5"/>
  <c r="L251" i="5"/>
  <c r="H251" i="5"/>
  <c r="I251" i="5" s="1"/>
  <c r="F251" i="5"/>
  <c r="C251" i="5"/>
  <c r="AC250" i="5"/>
  <c r="AD250" i="5" s="1"/>
  <c r="AA250" i="5"/>
  <c r="X250" i="5"/>
  <c r="W250" i="5"/>
  <c r="U250" i="5"/>
  <c r="R250" i="5"/>
  <c r="N250" i="5"/>
  <c r="O250" i="5" s="1"/>
  <c r="L250" i="5"/>
  <c r="H250" i="5"/>
  <c r="I250" i="5" s="1"/>
  <c r="F250" i="5"/>
  <c r="C250" i="5"/>
  <c r="AD249" i="5"/>
  <c r="AC249" i="5"/>
  <c r="AA249" i="5"/>
  <c r="X249" i="5"/>
  <c r="W249" i="5"/>
  <c r="U249" i="5"/>
  <c r="R249" i="5"/>
  <c r="N249" i="5"/>
  <c r="O249" i="5" s="1"/>
  <c r="L249" i="5"/>
  <c r="I249" i="5"/>
  <c r="H249" i="5"/>
  <c r="F249" i="5"/>
  <c r="C249" i="5"/>
  <c r="AC248" i="5"/>
  <c r="AD248" i="5" s="1"/>
  <c r="AA248" i="5"/>
  <c r="W248" i="5"/>
  <c r="X248" i="5" s="1"/>
  <c r="U248" i="5"/>
  <c r="R248" i="5"/>
  <c r="N248" i="5"/>
  <c r="L248" i="5"/>
  <c r="H248" i="5"/>
  <c r="I248" i="5" s="1"/>
  <c r="F248" i="5"/>
  <c r="C248" i="5"/>
  <c r="AC247" i="5"/>
  <c r="AD247" i="5" s="1"/>
  <c r="AA247" i="5"/>
  <c r="W247" i="5"/>
  <c r="X247" i="5" s="1"/>
  <c r="U247" i="5"/>
  <c r="R247" i="5"/>
  <c r="O247" i="5"/>
  <c r="N247" i="5"/>
  <c r="L247" i="5"/>
  <c r="H247" i="5"/>
  <c r="I247" i="5" s="1"/>
  <c r="F247" i="5"/>
  <c r="C247" i="5"/>
  <c r="AC246" i="5"/>
  <c r="AD246" i="5" s="1"/>
  <c r="AA246" i="5"/>
  <c r="X246" i="5"/>
  <c r="W246" i="5"/>
  <c r="U246" i="5"/>
  <c r="R246" i="5"/>
  <c r="O246" i="5"/>
  <c r="N246" i="5"/>
  <c r="L246" i="5"/>
  <c r="H246" i="5"/>
  <c r="I246" i="5" s="1"/>
  <c r="F246" i="5"/>
  <c r="C246" i="5"/>
  <c r="AD245" i="5"/>
  <c r="AC245" i="5"/>
  <c r="AA245" i="5"/>
  <c r="X245" i="5"/>
  <c r="W245" i="5"/>
  <c r="U245" i="5"/>
  <c r="R245" i="5"/>
  <c r="N245" i="5"/>
  <c r="O245" i="5" s="1"/>
  <c r="L245" i="5"/>
  <c r="H245" i="5"/>
  <c r="I245" i="5" s="1"/>
  <c r="F245" i="5"/>
  <c r="C245" i="5"/>
  <c r="AC244" i="5"/>
  <c r="AD244" i="5" s="1"/>
  <c r="AA244" i="5"/>
  <c r="X244" i="5"/>
  <c r="W244" i="5"/>
  <c r="U244" i="5"/>
  <c r="R244" i="5"/>
  <c r="N244" i="5"/>
  <c r="L244" i="5"/>
  <c r="I244" i="5"/>
  <c r="H244" i="5"/>
  <c r="F244" i="5"/>
  <c r="C244" i="5"/>
  <c r="AC243" i="5"/>
  <c r="AD243" i="5" s="1"/>
  <c r="AA243" i="5"/>
  <c r="W243" i="5"/>
  <c r="X243" i="5" s="1"/>
  <c r="U243" i="5"/>
  <c r="R243" i="5"/>
  <c r="O243" i="5"/>
  <c r="N243" i="5"/>
  <c r="L243" i="5"/>
  <c r="H243" i="5"/>
  <c r="I243" i="5" s="1"/>
  <c r="F243" i="5"/>
  <c r="C243" i="5"/>
  <c r="AC242" i="5"/>
  <c r="AD242" i="5" s="1"/>
  <c r="AA242" i="5"/>
  <c r="X242" i="5"/>
  <c r="W242" i="5"/>
  <c r="U242" i="5"/>
  <c r="R242" i="5"/>
  <c r="O242" i="5"/>
  <c r="N242" i="5"/>
  <c r="L242" i="5"/>
  <c r="H242" i="5"/>
  <c r="I242" i="5" s="1"/>
  <c r="F242" i="5"/>
  <c r="C242" i="5"/>
  <c r="AC241" i="5"/>
  <c r="AD241" i="5" s="1"/>
  <c r="AA241" i="5"/>
  <c r="X241" i="5"/>
  <c r="W241" i="5"/>
  <c r="U241" i="5"/>
  <c r="R241" i="5"/>
  <c r="N241" i="5"/>
  <c r="O241" i="5" s="1"/>
  <c r="L241" i="5"/>
  <c r="H241" i="5"/>
  <c r="I241" i="5" s="1"/>
  <c r="F241" i="5"/>
  <c r="C241" i="5"/>
  <c r="AC240" i="5"/>
  <c r="AD240" i="5" s="1"/>
  <c r="AA240" i="5"/>
  <c r="X240" i="5"/>
  <c r="W240" i="5"/>
  <c r="U240" i="5"/>
  <c r="R240" i="5"/>
  <c r="O240" i="5"/>
  <c r="N240" i="5"/>
  <c r="L240" i="5"/>
  <c r="I240" i="5"/>
  <c r="H240" i="5"/>
  <c r="F240" i="5"/>
  <c r="C240" i="5"/>
  <c r="AC238" i="5"/>
  <c r="AD238" i="5" s="1"/>
  <c r="AA238" i="5"/>
  <c r="W238" i="5"/>
  <c r="X238" i="5" s="1"/>
  <c r="U238" i="5"/>
  <c r="R238" i="5"/>
  <c r="O238" i="5"/>
  <c r="N238" i="5"/>
  <c r="L238" i="5"/>
  <c r="H238" i="5"/>
  <c r="I238" i="5" s="1"/>
  <c r="F238" i="5"/>
  <c r="C238" i="5"/>
  <c r="Z236" i="5"/>
  <c r="AA236" i="5" s="1"/>
  <c r="T236" i="5"/>
  <c r="U236" i="5" s="1"/>
  <c r="Q236" i="5"/>
  <c r="N236" i="5"/>
  <c r="O236" i="5" s="1"/>
  <c r="K236" i="5"/>
  <c r="L236" i="5" s="1"/>
  <c r="E236" i="5"/>
  <c r="F236" i="5" s="1"/>
  <c r="B236" i="5"/>
  <c r="AC235" i="5"/>
  <c r="AD235" i="5" s="1"/>
  <c r="AA235" i="5"/>
  <c r="W235" i="5"/>
  <c r="X235" i="5" s="1"/>
  <c r="U235" i="5"/>
  <c r="R235" i="5"/>
  <c r="O235" i="5"/>
  <c r="N235" i="5"/>
  <c r="L235" i="5"/>
  <c r="I235" i="5"/>
  <c r="H235" i="5"/>
  <c r="F235" i="5"/>
  <c r="C235" i="5"/>
  <c r="AC234" i="5"/>
  <c r="AD234" i="5" s="1"/>
  <c r="AA234" i="5"/>
  <c r="W234" i="5"/>
  <c r="X234" i="5" s="1"/>
  <c r="U234" i="5"/>
  <c r="R234" i="5"/>
  <c r="O234" i="5"/>
  <c r="N234" i="5"/>
  <c r="L234" i="5"/>
  <c r="H234" i="5"/>
  <c r="I234" i="5" s="1"/>
  <c r="F234" i="5"/>
  <c r="C234" i="5"/>
  <c r="AC233" i="5"/>
  <c r="AD233" i="5" s="1"/>
  <c r="AA233" i="5"/>
  <c r="X233" i="5"/>
  <c r="W233" i="5"/>
  <c r="U233" i="5"/>
  <c r="R233" i="5"/>
  <c r="O233" i="5"/>
  <c r="N233" i="5"/>
  <c r="L233" i="5"/>
  <c r="H233" i="5"/>
  <c r="I233" i="5" s="1"/>
  <c r="F233" i="5"/>
  <c r="C233" i="5"/>
  <c r="AC232" i="5"/>
  <c r="AD232" i="5" s="1"/>
  <c r="AA232" i="5"/>
  <c r="X232" i="5"/>
  <c r="W232" i="5"/>
  <c r="U232" i="5"/>
  <c r="R232" i="5"/>
  <c r="O232" i="5"/>
  <c r="N232" i="5"/>
  <c r="L232" i="5"/>
  <c r="H232" i="5"/>
  <c r="I232" i="5" s="1"/>
  <c r="F232" i="5"/>
  <c r="C232" i="5"/>
  <c r="AC231" i="5"/>
  <c r="AD231" i="5" s="1"/>
  <c r="AA231" i="5"/>
  <c r="W231" i="5"/>
  <c r="X231" i="5" s="1"/>
  <c r="U231" i="5"/>
  <c r="R231" i="5"/>
  <c r="O231" i="5"/>
  <c r="N231" i="5"/>
  <c r="L231" i="5"/>
  <c r="I231" i="5"/>
  <c r="H231" i="5"/>
  <c r="F231" i="5"/>
  <c r="C231" i="5"/>
  <c r="AC230" i="5"/>
  <c r="AD230" i="5" s="1"/>
  <c r="AA230" i="5"/>
  <c r="W230" i="5"/>
  <c r="X230" i="5" s="1"/>
  <c r="U230" i="5"/>
  <c r="R230" i="5"/>
  <c r="O230" i="5"/>
  <c r="N230" i="5"/>
  <c r="L230" i="5"/>
  <c r="H230" i="5"/>
  <c r="I230" i="5" s="1"/>
  <c r="F230" i="5"/>
  <c r="C230" i="5"/>
  <c r="AD229" i="5"/>
  <c r="AC229" i="5"/>
  <c r="AA229" i="5"/>
  <c r="X229" i="5"/>
  <c r="W229" i="5"/>
  <c r="U229" i="5"/>
  <c r="R229" i="5"/>
  <c r="O229" i="5"/>
  <c r="N229" i="5"/>
  <c r="L229" i="5"/>
  <c r="H229" i="5"/>
  <c r="I229" i="5" s="1"/>
  <c r="F229" i="5"/>
  <c r="C229" i="5"/>
  <c r="AA227" i="5"/>
  <c r="Z227" i="5"/>
  <c r="T227" i="5"/>
  <c r="U227" i="5" s="1"/>
  <c r="R227" i="5"/>
  <c r="Q227" i="5"/>
  <c r="K227" i="5"/>
  <c r="L227" i="5" s="1"/>
  <c r="E227" i="5"/>
  <c r="F227" i="5" s="1"/>
  <c r="C227" i="5"/>
  <c r="B227" i="5"/>
  <c r="AC226" i="5"/>
  <c r="AD226" i="5" s="1"/>
  <c r="AA226" i="5"/>
  <c r="X226" i="5"/>
  <c r="W226" i="5"/>
  <c r="U226" i="5"/>
  <c r="R226" i="5"/>
  <c r="O226" i="5"/>
  <c r="N226" i="5"/>
  <c r="L226" i="5"/>
  <c r="H226" i="5"/>
  <c r="I226" i="5" s="1"/>
  <c r="F226" i="5"/>
  <c r="C226" i="5"/>
  <c r="AC225" i="5"/>
  <c r="AD225" i="5" s="1"/>
  <c r="AA225" i="5"/>
  <c r="X225" i="5"/>
  <c r="W225" i="5"/>
  <c r="U225" i="5"/>
  <c r="R225" i="5"/>
  <c r="O225" i="5"/>
  <c r="N225" i="5"/>
  <c r="L225" i="5"/>
  <c r="H225" i="5"/>
  <c r="I225" i="5" s="1"/>
  <c r="F225" i="5"/>
  <c r="C225" i="5"/>
  <c r="AC224" i="5"/>
  <c r="AD224" i="5" s="1"/>
  <c r="AA224" i="5"/>
  <c r="X224" i="5"/>
  <c r="W224" i="5"/>
  <c r="U224" i="5"/>
  <c r="R224" i="5"/>
  <c r="O224" i="5"/>
  <c r="N224" i="5"/>
  <c r="L224" i="5"/>
  <c r="I224" i="5"/>
  <c r="H224" i="5"/>
  <c r="F224" i="5"/>
  <c r="C224" i="5"/>
  <c r="AC223" i="5"/>
  <c r="AD223" i="5" s="1"/>
  <c r="AA223" i="5"/>
  <c r="W223" i="5"/>
  <c r="X223" i="5" s="1"/>
  <c r="U223" i="5"/>
  <c r="R223" i="5"/>
  <c r="O223" i="5"/>
  <c r="N223" i="5"/>
  <c r="L223" i="5"/>
  <c r="I223" i="5"/>
  <c r="H223" i="5"/>
  <c r="F223" i="5"/>
  <c r="C223" i="5"/>
  <c r="AC222" i="5"/>
  <c r="AD222" i="5" s="1"/>
  <c r="AA222" i="5"/>
  <c r="X222" i="5"/>
  <c r="W222" i="5"/>
  <c r="U222" i="5"/>
  <c r="R222" i="5"/>
  <c r="O222" i="5"/>
  <c r="N222" i="5"/>
  <c r="L222" i="5"/>
  <c r="H222" i="5"/>
  <c r="I222" i="5" s="1"/>
  <c r="F222" i="5"/>
  <c r="C222" i="5"/>
  <c r="AD221" i="5"/>
  <c r="AC221" i="5"/>
  <c r="AA221" i="5"/>
  <c r="X221" i="5"/>
  <c r="W221" i="5"/>
  <c r="U221" i="5"/>
  <c r="R221" i="5"/>
  <c r="O221" i="5"/>
  <c r="N221" i="5"/>
  <c r="L221" i="5"/>
  <c r="H221" i="5"/>
  <c r="I221" i="5" s="1"/>
  <c r="F221" i="5"/>
  <c r="C221" i="5"/>
  <c r="AC220" i="5"/>
  <c r="AD220" i="5" s="1"/>
  <c r="AA220" i="5"/>
  <c r="X220" i="5"/>
  <c r="W220" i="5"/>
  <c r="U220" i="5"/>
  <c r="R220" i="5"/>
  <c r="N220" i="5"/>
  <c r="O220" i="5" s="1"/>
  <c r="L220" i="5"/>
  <c r="H220" i="5"/>
  <c r="I220" i="5" s="1"/>
  <c r="F220" i="5"/>
  <c r="C220" i="5"/>
  <c r="AC219" i="5"/>
  <c r="AD219" i="5" s="1"/>
  <c r="AA219" i="5"/>
  <c r="X219" i="5"/>
  <c r="W219" i="5"/>
  <c r="U219" i="5"/>
  <c r="R219" i="5"/>
  <c r="O219" i="5"/>
  <c r="N219" i="5"/>
  <c r="L219" i="5"/>
  <c r="H219" i="5"/>
  <c r="I219" i="5" s="1"/>
  <c r="F219" i="5"/>
  <c r="C219" i="5"/>
  <c r="AC218" i="5"/>
  <c r="AD218" i="5" s="1"/>
  <c r="Z218" i="5"/>
  <c r="AA218" i="5" s="1"/>
  <c r="T218" i="5"/>
  <c r="U218" i="5" s="1"/>
  <c r="Q218" i="5"/>
  <c r="L218" i="5"/>
  <c r="K218" i="5"/>
  <c r="E218" i="5"/>
  <c r="F218" i="5" s="1"/>
  <c r="B218" i="5"/>
  <c r="AC217" i="5"/>
  <c r="AD217" i="5" s="1"/>
  <c r="AA217" i="5"/>
  <c r="X217" i="5"/>
  <c r="W217" i="5"/>
  <c r="U217" i="5"/>
  <c r="R217" i="5"/>
  <c r="O217" i="5"/>
  <c r="N217" i="5"/>
  <c r="L217" i="5"/>
  <c r="I217" i="5"/>
  <c r="H217" i="5"/>
  <c r="F217" i="5"/>
  <c r="C217" i="5"/>
  <c r="AC216" i="5"/>
  <c r="AD216" i="5" s="1"/>
  <c r="AA216" i="5"/>
  <c r="W216" i="5"/>
  <c r="X216" i="5" s="1"/>
  <c r="U216" i="5"/>
  <c r="R216" i="5"/>
  <c r="O216" i="5"/>
  <c r="N216" i="5"/>
  <c r="L216" i="5"/>
  <c r="I216" i="5"/>
  <c r="H216" i="5"/>
  <c r="F216" i="5"/>
  <c r="C216" i="5"/>
  <c r="AC215" i="5"/>
  <c r="AD215" i="5" s="1"/>
  <c r="AA215" i="5"/>
  <c r="X215" i="5"/>
  <c r="W215" i="5"/>
  <c r="U215" i="5"/>
  <c r="R215" i="5"/>
  <c r="O215" i="5"/>
  <c r="N215" i="5"/>
  <c r="L215" i="5"/>
  <c r="H215" i="5"/>
  <c r="I215" i="5" s="1"/>
  <c r="F215" i="5"/>
  <c r="C215" i="5"/>
  <c r="AD214" i="5"/>
  <c r="AC214" i="5"/>
  <c r="AA214" i="5"/>
  <c r="X214" i="5"/>
  <c r="W214" i="5"/>
  <c r="U214" i="5"/>
  <c r="R214" i="5"/>
  <c r="N214" i="5"/>
  <c r="O214" i="5" s="1"/>
  <c r="L214" i="5"/>
  <c r="H214" i="5"/>
  <c r="I214" i="5" s="1"/>
  <c r="F214" i="5"/>
  <c r="C214" i="5"/>
  <c r="AD213" i="5"/>
  <c r="AC213" i="5"/>
  <c r="AA213" i="5"/>
  <c r="X213" i="5"/>
  <c r="W213" i="5"/>
  <c r="U213" i="5"/>
  <c r="R213" i="5"/>
  <c r="N213" i="5"/>
  <c r="O213" i="5" s="1"/>
  <c r="L213" i="5"/>
  <c r="H213" i="5"/>
  <c r="I213" i="5" s="1"/>
  <c r="F213" i="5"/>
  <c r="C213" i="5"/>
  <c r="AC211" i="5"/>
  <c r="AD211" i="5" s="1"/>
  <c r="AA211" i="5"/>
  <c r="X211" i="5"/>
  <c r="W211" i="5"/>
  <c r="U211" i="5"/>
  <c r="R211" i="5"/>
  <c r="O211" i="5"/>
  <c r="N211" i="5"/>
  <c r="L211" i="5"/>
  <c r="H211" i="5"/>
  <c r="I211" i="5" s="1"/>
  <c r="F211" i="5"/>
  <c r="C211" i="5"/>
  <c r="Z209" i="5"/>
  <c r="AA209" i="5" s="1"/>
  <c r="X209" i="5"/>
  <c r="W209" i="5"/>
  <c r="T209" i="5"/>
  <c r="U209" i="5" s="1"/>
  <c r="Q209" i="5"/>
  <c r="R209" i="5" s="1"/>
  <c r="K209" i="5"/>
  <c r="L209" i="5" s="1"/>
  <c r="H209" i="5"/>
  <c r="I209" i="5" s="1"/>
  <c r="E209" i="5"/>
  <c r="F209" i="5" s="1"/>
  <c r="B209" i="5"/>
  <c r="C209" i="5" s="1"/>
  <c r="AD208" i="5"/>
  <c r="AC208" i="5"/>
  <c r="AA208" i="5"/>
  <c r="X208" i="5"/>
  <c r="W208" i="5"/>
  <c r="U208" i="5"/>
  <c r="R208" i="5"/>
  <c r="O208" i="5"/>
  <c r="N208" i="5"/>
  <c r="L208" i="5"/>
  <c r="I208" i="5"/>
  <c r="H208" i="5"/>
  <c r="F208" i="5"/>
  <c r="C208" i="5"/>
  <c r="AC207" i="5"/>
  <c r="AD207" i="5" s="1"/>
  <c r="AA207" i="5"/>
  <c r="X207" i="5"/>
  <c r="W207" i="5"/>
  <c r="U207" i="5"/>
  <c r="R207" i="5"/>
  <c r="O207" i="5"/>
  <c r="N207" i="5"/>
  <c r="L207" i="5"/>
  <c r="I207" i="5"/>
  <c r="H207" i="5"/>
  <c r="F207" i="5"/>
  <c r="C207" i="5"/>
  <c r="AC206" i="5"/>
  <c r="AD206" i="5" s="1"/>
  <c r="AA206" i="5"/>
  <c r="X206" i="5"/>
  <c r="W206" i="5"/>
  <c r="U206" i="5"/>
  <c r="R206" i="5"/>
  <c r="O206" i="5"/>
  <c r="N206" i="5"/>
  <c r="L206" i="5"/>
  <c r="H206" i="5"/>
  <c r="I206" i="5" s="1"/>
  <c r="F206" i="5"/>
  <c r="C206" i="5"/>
  <c r="AD205" i="5"/>
  <c r="AC205" i="5"/>
  <c r="AA205" i="5"/>
  <c r="X205" i="5"/>
  <c r="W205" i="5"/>
  <c r="U205" i="5"/>
  <c r="R205" i="5"/>
  <c r="N205" i="5"/>
  <c r="O205" i="5" s="1"/>
  <c r="L205" i="5"/>
  <c r="H205" i="5"/>
  <c r="I205" i="5" s="1"/>
  <c r="F205" i="5"/>
  <c r="C205" i="5"/>
  <c r="AD204" i="5"/>
  <c r="AC204" i="5"/>
  <c r="AA204" i="5"/>
  <c r="X204" i="5"/>
  <c r="W204" i="5"/>
  <c r="U204" i="5"/>
  <c r="R204" i="5"/>
  <c r="O204" i="5"/>
  <c r="N204" i="5"/>
  <c r="L204" i="5"/>
  <c r="H204" i="5"/>
  <c r="I204" i="5" s="1"/>
  <c r="F204" i="5"/>
  <c r="C204" i="5"/>
  <c r="AC203" i="5"/>
  <c r="AD203" i="5" s="1"/>
  <c r="AA203" i="5"/>
  <c r="X203" i="5"/>
  <c r="W203" i="5"/>
  <c r="U203" i="5"/>
  <c r="R203" i="5"/>
  <c r="O203" i="5"/>
  <c r="N203" i="5"/>
  <c r="L203" i="5"/>
  <c r="I203" i="5"/>
  <c r="H203" i="5"/>
  <c r="F203" i="5"/>
  <c r="C203" i="5"/>
  <c r="AC202" i="5"/>
  <c r="AD202" i="5" s="1"/>
  <c r="AA202" i="5"/>
  <c r="W202" i="5"/>
  <c r="X202" i="5" s="1"/>
  <c r="U202" i="5"/>
  <c r="R202" i="5"/>
  <c r="O202" i="5"/>
  <c r="N202" i="5"/>
  <c r="L202" i="5"/>
  <c r="H202" i="5"/>
  <c r="I202" i="5" s="1"/>
  <c r="F202" i="5"/>
  <c r="C202" i="5"/>
  <c r="AD201" i="5"/>
  <c r="AC201" i="5"/>
  <c r="AA201" i="5"/>
  <c r="X201" i="5"/>
  <c r="W201" i="5"/>
  <c r="U201" i="5"/>
  <c r="R201" i="5"/>
  <c r="N201" i="5"/>
  <c r="O201" i="5" s="1"/>
  <c r="L201" i="5"/>
  <c r="H201" i="5"/>
  <c r="I201" i="5" s="1"/>
  <c r="F201" i="5"/>
  <c r="C201" i="5"/>
  <c r="K198" i="5"/>
  <c r="AC197" i="5"/>
  <c r="AD197" i="5" s="1"/>
  <c r="Z197" i="5"/>
  <c r="AA197" i="5" s="1"/>
  <c r="W197" i="5"/>
  <c r="X197" i="5" s="1"/>
  <c r="T197" i="5"/>
  <c r="U197" i="5" s="1"/>
  <c r="Q197" i="5"/>
  <c r="R197" i="5" s="1"/>
  <c r="L197" i="5"/>
  <c r="K197" i="5"/>
  <c r="E197" i="5"/>
  <c r="F197" i="5" s="1"/>
  <c r="B197" i="5"/>
  <c r="AA196" i="5"/>
  <c r="Z196" i="5"/>
  <c r="T196" i="5"/>
  <c r="U196" i="5" s="1"/>
  <c r="R196" i="5"/>
  <c r="Q196" i="5"/>
  <c r="AC196" i="5" s="1"/>
  <c r="AD196" i="5" s="1"/>
  <c r="K196" i="5"/>
  <c r="L196" i="5" s="1"/>
  <c r="F196" i="5"/>
  <c r="E196" i="5"/>
  <c r="C196" i="5"/>
  <c r="B196" i="5"/>
  <c r="AC195" i="5"/>
  <c r="AD195" i="5" s="1"/>
  <c r="AA195" i="5"/>
  <c r="X195" i="5"/>
  <c r="W195" i="5"/>
  <c r="U195" i="5"/>
  <c r="R195" i="5"/>
  <c r="O195" i="5"/>
  <c r="N195" i="5"/>
  <c r="L195" i="5"/>
  <c r="H195" i="5"/>
  <c r="I195" i="5" s="1"/>
  <c r="F195" i="5"/>
  <c r="C195" i="5"/>
  <c r="AD194" i="5"/>
  <c r="AC194" i="5"/>
  <c r="AA194" i="5"/>
  <c r="X194" i="5"/>
  <c r="W194" i="5"/>
  <c r="U194" i="5"/>
  <c r="R194" i="5"/>
  <c r="N194" i="5"/>
  <c r="O194" i="5" s="1"/>
  <c r="L194" i="5"/>
  <c r="H194" i="5"/>
  <c r="I194" i="5" s="1"/>
  <c r="F194" i="5"/>
  <c r="C194" i="5"/>
  <c r="Z193" i="5"/>
  <c r="W193" i="5"/>
  <c r="X193" i="5" s="1"/>
  <c r="T193" i="5"/>
  <c r="U193" i="5" s="1"/>
  <c r="R193" i="5"/>
  <c r="Q193" i="5"/>
  <c r="O193" i="5"/>
  <c r="N193" i="5"/>
  <c r="K193" i="5"/>
  <c r="L193" i="5" s="1"/>
  <c r="H193" i="5"/>
  <c r="I193" i="5" s="1"/>
  <c r="F193" i="5"/>
  <c r="E193" i="5"/>
  <c r="C193" i="5"/>
  <c r="B193" i="5"/>
  <c r="AC192" i="5"/>
  <c r="AD192" i="5" s="1"/>
  <c r="AA192" i="5"/>
  <c r="W192" i="5"/>
  <c r="X192" i="5" s="1"/>
  <c r="U192" i="5"/>
  <c r="R192" i="5"/>
  <c r="O192" i="5"/>
  <c r="N192" i="5"/>
  <c r="L192" i="5"/>
  <c r="H192" i="5"/>
  <c r="I192" i="5" s="1"/>
  <c r="F192" i="5"/>
  <c r="C192" i="5"/>
  <c r="AD191" i="5"/>
  <c r="AC191" i="5"/>
  <c r="AA191" i="5"/>
  <c r="X191" i="5"/>
  <c r="W191" i="5"/>
  <c r="U191" i="5"/>
  <c r="R191" i="5"/>
  <c r="N191" i="5"/>
  <c r="O191" i="5" s="1"/>
  <c r="L191" i="5"/>
  <c r="H191" i="5"/>
  <c r="I191" i="5" s="1"/>
  <c r="F191" i="5"/>
  <c r="C191" i="5"/>
  <c r="AD190" i="5"/>
  <c r="AC190" i="5"/>
  <c r="AA190" i="5"/>
  <c r="X190" i="5"/>
  <c r="W190" i="5"/>
  <c r="U190" i="5"/>
  <c r="R190" i="5"/>
  <c r="O190" i="5"/>
  <c r="N190" i="5"/>
  <c r="L190" i="5"/>
  <c r="H190" i="5"/>
  <c r="I190" i="5" s="1"/>
  <c r="F190" i="5"/>
  <c r="C190" i="5"/>
  <c r="AC189" i="5"/>
  <c r="AD189" i="5" s="1"/>
  <c r="AA189" i="5"/>
  <c r="X189" i="5"/>
  <c r="W189" i="5"/>
  <c r="U189" i="5"/>
  <c r="R189" i="5"/>
  <c r="O189" i="5"/>
  <c r="N189" i="5"/>
  <c r="L189" i="5"/>
  <c r="I189" i="5"/>
  <c r="H189" i="5"/>
  <c r="F189" i="5"/>
  <c r="C189" i="5"/>
  <c r="AC188" i="5"/>
  <c r="AD188" i="5" s="1"/>
  <c r="AA188" i="5"/>
  <c r="X188" i="5"/>
  <c r="W188" i="5"/>
  <c r="U188" i="5"/>
  <c r="R188" i="5"/>
  <c r="O188" i="5"/>
  <c r="N188" i="5"/>
  <c r="L188" i="5"/>
  <c r="H188" i="5"/>
  <c r="I188" i="5" s="1"/>
  <c r="F188" i="5"/>
  <c r="C188" i="5"/>
  <c r="AD187" i="5"/>
  <c r="AC187" i="5"/>
  <c r="AA187" i="5"/>
  <c r="X187" i="5"/>
  <c r="W187" i="5"/>
  <c r="U187" i="5"/>
  <c r="R187" i="5"/>
  <c r="N187" i="5"/>
  <c r="O187" i="5" s="1"/>
  <c r="L187" i="5"/>
  <c r="H187" i="5"/>
  <c r="I187" i="5" s="1"/>
  <c r="F187" i="5"/>
  <c r="C187" i="5"/>
  <c r="AD186" i="5"/>
  <c r="AC186" i="5"/>
  <c r="AA186" i="5"/>
  <c r="X186" i="5"/>
  <c r="W186" i="5"/>
  <c r="U186" i="5"/>
  <c r="R186" i="5"/>
  <c r="N186" i="5"/>
  <c r="O186" i="5" s="1"/>
  <c r="L186" i="5"/>
  <c r="H186" i="5"/>
  <c r="I186" i="5" s="1"/>
  <c r="F186" i="5"/>
  <c r="C186" i="5"/>
  <c r="AC184" i="5"/>
  <c r="AD184" i="5" s="1"/>
  <c r="AA184" i="5"/>
  <c r="W184" i="5"/>
  <c r="X184" i="5" s="1"/>
  <c r="U184" i="5"/>
  <c r="R184" i="5"/>
  <c r="O184" i="5"/>
  <c r="N184" i="5"/>
  <c r="L184" i="5"/>
  <c r="I184" i="5"/>
  <c r="H184" i="5"/>
  <c r="F184" i="5"/>
  <c r="C184" i="5"/>
  <c r="AC183" i="5"/>
  <c r="AD183" i="5" s="1"/>
  <c r="AA183" i="5"/>
  <c r="W183" i="5"/>
  <c r="X183" i="5" s="1"/>
  <c r="U183" i="5"/>
  <c r="R183" i="5"/>
  <c r="O183" i="5"/>
  <c r="N183" i="5"/>
  <c r="L183" i="5"/>
  <c r="H183" i="5"/>
  <c r="I183" i="5" s="1"/>
  <c r="F183" i="5"/>
  <c r="C183" i="5"/>
  <c r="AD182" i="5"/>
  <c r="AC182" i="5"/>
  <c r="Z182" i="5"/>
  <c r="AA182" i="5" s="1"/>
  <c r="U182" i="5"/>
  <c r="T182" i="5"/>
  <c r="Q182" i="5"/>
  <c r="K182" i="5"/>
  <c r="L182" i="5" s="1"/>
  <c r="I182" i="5"/>
  <c r="F182" i="5"/>
  <c r="E182" i="5"/>
  <c r="H182" i="5" s="1"/>
  <c r="B182" i="5"/>
  <c r="C182" i="5" s="1"/>
  <c r="AC181" i="5"/>
  <c r="AD181" i="5" s="1"/>
  <c r="AA181" i="5"/>
  <c r="W181" i="5"/>
  <c r="X181" i="5" s="1"/>
  <c r="U181" i="5"/>
  <c r="R181" i="5"/>
  <c r="O181" i="5"/>
  <c r="N181" i="5"/>
  <c r="L181" i="5"/>
  <c r="H181" i="5"/>
  <c r="I181" i="5" s="1"/>
  <c r="F181" i="5"/>
  <c r="C181" i="5"/>
  <c r="AC180" i="5"/>
  <c r="AD180" i="5" s="1"/>
  <c r="AA180" i="5"/>
  <c r="W180" i="5"/>
  <c r="X180" i="5" s="1"/>
  <c r="U180" i="5"/>
  <c r="R180" i="5"/>
  <c r="O180" i="5"/>
  <c r="N180" i="5"/>
  <c r="L180" i="5"/>
  <c r="H180" i="5"/>
  <c r="I180" i="5" s="1"/>
  <c r="F180" i="5"/>
  <c r="C180" i="5"/>
  <c r="AD179" i="5"/>
  <c r="AC179" i="5"/>
  <c r="AA179" i="5"/>
  <c r="X179" i="5"/>
  <c r="W179" i="5"/>
  <c r="U179" i="5"/>
  <c r="R179" i="5"/>
  <c r="O179" i="5"/>
  <c r="N179" i="5"/>
  <c r="L179" i="5"/>
  <c r="H179" i="5"/>
  <c r="I179" i="5" s="1"/>
  <c r="F179" i="5"/>
  <c r="C179" i="5"/>
  <c r="AD178" i="5"/>
  <c r="AC178" i="5"/>
  <c r="AA178" i="5"/>
  <c r="X178" i="5"/>
  <c r="W178" i="5"/>
  <c r="U178" i="5"/>
  <c r="R178" i="5"/>
  <c r="O178" i="5"/>
  <c r="N178" i="5"/>
  <c r="L178" i="5"/>
  <c r="I178" i="5"/>
  <c r="H178" i="5"/>
  <c r="F178" i="5"/>
  <c r="C178" i="5"/>
  <c r="AC177" i="5"/>
  <c r="AD177" i="5" s="1"/>
  <c r="AA177" i="5"/>
  <c r="X177" i="5"/>
  <c r="W177" i="5"/>
  <c r="U177" i="5"/>
  <c r="R177" i="5"/>
  <c r="O177" i="5"/>
  <c r="N177" i="5"/>
  <c r="L177" i="5"/>
  <c r="I177" i="5"/>
  <c r="H177" i="5"/>
  <c r="F177" i="5"/>
  <c r="C177" i="5"/>
  <c r="AC175" i="5"/>
  <c r="AD175" i="5" s="1"/>
  <c r="AA175" i="5"/>
  <c r="X175" i="5"/>
  <c r="W175" i="5"/>
  <c r="U175" i="5"/>
  <c r="R175" i="5"/>
  <c r="O175" i="5"/>
  <c r="N175" i="5"/>
  <c r="L175" i="5"/>
  <c r="H175" i="5"/>
  <c r="I175" i="5" s="1"/>
  <c r="F175" i="5"/>
  <c r="C175" i="5"/>
  <c r="B172" i="5"/>
  <c r="AA171" i="5"/>
  <c r="Z171" i="5"/>
  <c r="T171" i="5"/>
  <c r="U171" i="5" s="1"/>
  <c r="Q171" i="5"/>
  <c r="L171" i="5"/>
  <c r="K171" i="5"/>
  <c r="E171" i="5"/>
  <c r="F171" i="5" s="1"/>
  <c r="C171" i="5"/>
  <c r="B171" i="5"/>
  <c r="Z170" i="5"/>
  <c r="AA170" i="5" s="1"/>
  <c r="T170" i="5"/>
  <c r="U170" i="5" s="1"/>
  <c r="Q170" i="5"/>
  <c r="N170" i="5"/>
  <c r="O170" i="5" s="1"/>
  <c r="K170" i="5"/>
  <c r="L170" i="5" s="1"/>
  <c r="E170" i="5"/>
  <c r="F170" i="5" s="1"/>
  <c r="B170" i="5"/>
  <c r="AC169" i="5"/>
  <c r="AD169" i="5" s="1"/>
  <c r="AA169" i="5"/>
  <c r="W169" i="5"/>
  <c r="X169" i="5" s="1"/>
  <c r="U169" i="5"/>
  <c r="R169" i="5"/>
  <c r="O169" i="5"/>
  <c r="N169" i="5"/>
  <c r="L169" i="5"/>
  <c r="I169" i="5"/>
  <c r="H169" i="5"/>
  <c r="F169" i="5"/>
  <c r="C169" i="5"/>
  <c r="AC168" i="5"/>
  <c r="AD168" i="5" s="1"/>
  <c r="AA168" i="5"/>
  <c r="W168" i="5"/>
  <c r="X168" i="5" s="1"/>
  <c r="U168" i="5"/>
  <c r="R168" i="5"/>
  <c r="O168" i="5"/>
  <c r="N168" i="5"/>
  <c r="L168" i="5"/>
  <c r="H168" i="5"/>
  <c r="I168" i="5" s="1"/>
  <c r="F168" i="5"/>
  <c r="C168" i="5"/>
  <c r="AD167" i="5"/>
  <c r="AC167" i="5"/>
  <c r="AA167" i="5"/>
  <c r="X167" i="5"/>
  <c r="W167" i="5"/>
  <c r="U167" i="5"/>
  <c r="R167" i="5"/>
  <c r="O167" i="5"/>
  <c r="N167" i="5"/>
  <c r="L167" i="5"/>
  <c r="H167" i="5"/>
  <c r="I167" i="5" s="1"/>
  <c r="F167" i="5"/>
  <c r="C167" i="5"/>
  <c r="AA166" i="5"/>
  <c r="Z166" i="5"/>
  <c r="AC166" i="5" s="1"/>
  <c r="AD166" i="5" s="1"/>
  <c r="T166" i="5"/>
  <c r="U166" i="5" s="1"/>
  <c r="R166" i="5"/>
  <c r="Q166" i="5"/>
  <c r="N166" i="5"/>
  <c r="O166" i="5" s="1"/>
  <c r="K166" i="5"/>
  <c r="L166" i="5" s="1"/>
  <c r="H166" i="5"/>
  <c r="I166" i="5" s="1"/>
  <c r="E166" i="5"/>
  <c r="F166" i="5" s="1"/>
  <c r="C166" i="5"/>
  <c r="B166" i="5"/>
  <c r="AC165" i="5"/>
  <c r="AD165" i="5" s="1"/>
  <c r="AA165" i="5"/>
  <c r="X165" i="5"/>
  <c r="W165" i="5"/>
  <c r="U165" i="5"/>
  <c r="R165" i="5"/>
  <c r="O165" i="5"/>
  <c r="N165" i="5"/>
  <c r="L165" i="5"/>
  <c r="H165" i="5"/>
  <c r="I165" i="5" s="1"/>
  <c r="F165" i="5"/>
  <c r="C165" i="5"/>
  <c r="AC164" i="5"/>
  <c r="AD164" i="5" s="1"/>
  <c r="AA164" i="5"/>
  <c r="X164" i="5"/>
  <c r="W164" i="5"/>
  <c r="U164" i="5"/>
  <c r="R164" i="5"/>
  <c r="O164" i="5"/>
  <c r="N164" i="5"/>
  <c r="L164" i="5"/>
  <c r="H164" i="5"/>
  <c r="I164" i="5" s="1"/>
  <c r="F164" i="5"/>
  <c r="C164" i="5"/>
  <c r="AD163" i="5"/>
  <c r="AC163" i="5"/>
  <c r="AA163" i="5"/>
  <c r="X163" i="5"/>
  <c r="W163" i="5"/>
  <c r="U163" i="5"/>
  <c r="R163" i="5"/>
  <c r="N163" i="5"/>
  <c r="O163" i="5" s="1"/>
  <c r="L163" i="5"/>
  <c r="I163" i="5"/>
  <c r="H163" i="5"/>
  <c r="F163" i="5"/>
  <c r="C163" i="5"/>
  <c r="AC162" i="5"/>
  <c r="AD162" i="5" s="1"/>
  <c r="AA162" i="5"/>
  <c r="X162" i="5"/>
  <c r="W162" i="5"/>
  <c r="U162" i="5"/>
  <c r="R162" i="5"/>
  <c r="O162" i="5"/>
  <c r="N162" i="5"/>
  <c r="L162" i="5"/>
  <c r="H162" i="5"/>
  <c r="I162" i="5" s="1"/>
  <c r="F162" i="5"/>
  <c r="C162" i="5"/>
  <c r="AC161" i="5"/>
  <c r="AD161" i="5" s="1"/>
  <c r="AA161" i="5"/>
  <c r="X161" i="5"/>
  <c r="W161" i="5"/>
  <c r="U161" i="5"/>
  <c r="R161" i="5"/>
  <c r="O161" i="5"/>
  <c r="N161" i="5"/>
  <c r="L161" i="5"/>
  <c r="H161" i="5"/>
  <c r="I161" i="5" s="1"/>
  <c r="F161" i="5"/>
  <c r="C161" i="5"/>
  <c r="AC160" i="5"/>
  <c r="AD160" i="5" s="1"/>
  <c r="AA160" i="5"/>
  <c r="X160" i="5"/>
  <c r="W160" i="5"/>
  <c r="U160" i="5"/>
  <c r="R160" i="5"/>
  <c r="N160" i="5"/>
  <c r="O160" i="5" s="1"/>
  <c r="L160" i="5"/>
  <c r="H160" i="5"/>
  <c r="I160" i="5" s="1"/>
  <c r="F160" i="5"/>
  <c r="C160" i="5"/>
  <c r="Z158" i="5"/>
  <c r="AA158" i="5" s="1"/>
  <c r="T158" i="5"/>
  <c r="Q158" i="5"/>
  <c r="R158" i="5" s="1"/>
  <c r="L158" i="5"/>
  <c r="K158" i="5"/>
  <c r="I158" i="5"/>
  <c r="H158" i="5"/>
  <c r="E158" i="5"/>
  <c r="F158" i="5" s="1"/>
  <c r="C158" i="5"/>
  <c r="B158" i="5"/>
  <c r="AC157" i="5"/>
  <c r="AD157" i="5" s="1"/>
  <c r="AA157" i="5"/>
  <c r="X157" i="5"/>
  <c r="W157" i="5"/>
  <c r="U157" i="5"/>
  <c r="R157" i="5"/>
  <c r="N157" i="5"/>
  <c r="O157" i="5" s="1"/>
  <c r="L157" i="5"/>
  <c r="H157" i="5"/>
  <c r="I157" i="5" s="1"/>
  <c r="F157" i="5"/>
  <c r="C157" i="5"/>
  <c r="AD156" i="5"/>
  <c r="AC156" i="5"/>
  <c r="AA156" i="5"/>
  <c r="W156" i="5"/>
  <c r="X156" i="5" s="1"/>
  <c r="U156" i="5"/>
  <c r="R156" i="5"/>
  <c r="O156" i="5"/>
  <c r="N156" i="5"/>
  <c r="L156" i="5"/>
  <c r="H156" i="5"/>
  <c r="I156" i="5" s="1"/>
  <c r="F156" i="5"/>
  <c r="C156" i="5"/>
  <c r="AC155" i="5"/>
  <c r="AD155" i="5" s="1"/>
  <c r="AA155" i="5"/>
  <c r="W155" i="5"/>
  <c r="X155" i="5" s="1"/>
  <c r="U155" i="5"/>
  <c r="R155" i="5"/>
  <c r="O155" i="5"/>
  <c r="N155" i="5"/>
  <c r="L155" i="5"/>
  <c r="I155" i="5"/>
  <c r="H155" i="5"/>
  <c r="F155" i="5"/>
  <c r="C155" i="5"/>
  <c r="AC154" i="5"/>
  <c r="AD154" i="5" s="1"/>
  <c r="AA154" i="5"/>
  <c r="X154" i="5"/>
  <c r="W154" i="5"/>
  <c r="U154" i="5"/>
  <c r="R154" i="5"/>
  <c r="N154" i="5"/>
  <c r="O154" i="5" s="1"/>
  <c r="L154" i="5"/>
  <c r="H154" i="5"/>
  <c r="I154" i="5" s="1"/>
  <c r="F154" i="5"/>
  <c r="C154" i="5"/>
  <c r="AC153" i="5"/>
  <c r="AD153" i="5" s="1"/>
  <c r="AA153" i="5"/>
  <c r="X153" i="5"/>
  <c r="W153" i="5"/>
  <c r="U153" i="5"/>
  <c r="R153" i="5"/>
  <c r="N153" i="5"/>
  <c r="O153" i="5" s="1"/>
  <c r="L153" i="5"/>
  <c r="I153" i="5"/>
  <c r="H153" i="5"/>
  <c r="F153" i="5"/>
  <c r="C153" i="5"/>
  <c r="AD151" i="5"/>
  <c r="AC151" i="5"/>
  <c r="AA151" i="5"/>
  <c r="W151" i="5"/>
  <c r="X151" i="5" s="1"/>
  <c r="U151" i="5"/>
  <c r="R151" i="5"/>
  <c r="O151" i="5"/>
  <c r="N151" i="5"/>
  <c r="L151" i="5"/>
  <c r="I151" i="5"/>
  <c r="H151" i="5"/>
  <c r="F151" i="5"/>
  <c r="C151" i="5"/>
  <c r="AA149" i="5"/>
  <c r="Z149" i="5"/>
  <c r="X149" i="5"/>
  <c r="W149" i="5"/>
  <c r="U149" i="5"/>
  <c r="T149" i="5"/>
  <c r="Q149" i="5"/>
  <c r="R149" i="5" s="1"/>
  <c r="K149" i="5"/>
  <c r="L149" i="5" s="1"/>
  <c r="H149" i="5"/>
  <c r="I149" i="5" s="1"/>
  <c r="E149" i="5"/>
  <c r="F149" i="5" s="1"/>
  <c r="C149" i="5"/>
  <c r="B149" i="5"/>
  <c r="AA148" i="5"/>
  <c r="Z148" i="5"/>
  <c r="AC148" i="5" s="1"/>
  <c r="AD148" i="5" s="1"/>
  <c r="U148" i="5"/>
  <c r="T148" i="5"/>
  <c r="R148" i="5"/>
  <c r="Q148" i="5"/>
  <c r="W148" i="5" s="1"/>
  <c r="X148" i="5" s="1"/>
  <c r="K148" i="5"/>
  <c r="L148" i="5" s="1"/>
  <c r="F148" i="5"/>
  <c r="E148" i="5"/>
  <c r="C148" i="5"/>
  <c r="B148" i="5"/>
  <c r="AC147" i="5"/>
  <c r="AD147" i="5" s="1"/>
  <c r="AA147" i="5"/>
  <c r="W147" i="5"/>
  <c r="X147" i="5" s="1"/>
  <c r="U147" i="5"/>
  <c r="R147" i="5"/>
  <c r="O147" i="5"/>
  <c r="N147" i="5"/>
  <c r="L147" i="5"/>
  <c r="I147" i="5"/>
  <c r="H147" i="5"/>
  <c r="F147" i="5"/>
  <c r="C147" i="5"/>
  <c r="AD146" i="5"/>
  <c r="AC146" i="5"/>
  <c r="AA146" i="5"/>
  <c r="X146" i="5"/>
  <c r="W146" i="5"/>
  <c r="U146" i="5"/>
  <c r="R146" i="5"/>
  <c r="N146" i="5"/>
  <c r="O146" i="5" s="1"/>
  <c r="L146" i="5"/>
  <c r="H146" i="5"/>
  <c r="I146" i="5" s="1"/>
  <c r="F146" i="5"/>
  <c r="C146" i="5"/>
  <c r="AD145" i="5"/>
  <c r="AC145" i="5"/>
  <c r="AA145" i="5"/>
  <c r="X145" i="5"/>
  <c r="W145" i="5"/>
  <c r="U145" i="5"/>
  <c r="R145" i="5"/>
  <c r="N145" i="5"/>
  <c r="O145" i="5" s="1"/>
  <c r="L145" i="5"/>
  <c r="H145" i="5"/>
  <c r="I145" i="5" s="1"/>
  <c r="F145" i="5"/>
  <c r="C145" i="5"/>
  <c r="AD144" i="5"/>
  <c r="AC144" i="5"/>
  <c r="AA144" i="5"/>
  <c r="X144" i="5"/>
  <c r="W144" i="5"/>
  <c r="U144" i="5"/>
  <c r="R144" i="5"/>
  <c r="O144" i="5"/>
  <c r="N144" i="5"/>
  <c r="L144" i="5"/>
  <c r="H144" i="5"/>
  <c r="I144" i="5" s="1"/>
  <c r="F144" i="5"/>
  <c r="C144" i="5"/>
  <c r="AC143" i="5"/>
  <c r="AD143" i="5" s="1"/>
  <c r="AA143" i="5"/>
  <c r="W143" i="5"/>
  <c r="X143" i="5" s="1"/>
  <c r="U143" i="5"/>
  <c r="R143" i="5"/>
  <c r="O143" i="5"/>
  <c r="N143" i="5"/>
  <c r="L143" i="5"/>
  <c r="I143" i="5"/>
  <c r="H143" i="5"/>
  <c r="F143" i="5"/>
  <c r="C143" i="5"/>
  <c r="Z141" i="5"/>
  <c r="AA141" i="5" s="1"/>
  <c r="U141" i="5"/>
  <c r="T141" i="5"/>
  <c r="R141" i="5"/>
  <c r="Q141" i="5"/>
  <c r="L141" i="5"/>
  <c r="K141" i="5"/>
  <c r="F141" i="5"/>
  <c r="E141" i="5"/>
  <c r="H141" i="5" s="1"/>
  <c r="I141" i="5" s="1"/>
  <c r="B141" i="5"/>
  <c r="C141" i="5" s="1"/>
  <c r="AD140" i="5"/>
  <c r="AC140" i="5"/>
  <c r="AA140" i="5"/>
  <c r="X140" i="5"/>
  <c r="W140" i="5"/>
  <c r="U140" i="5"/>
  <c r="R140" i="5"/>
  <c r="O140" i="5"/>
  <c r="N140" i="5"/>
  <c r="L140" i="5"/>
  <c r="H140" i="5"/>
  <c r="I140" i="5" s="1"/>
  <c r="F140" i="5"/>
  <c r="C140" i="5"/>
  <c r="AC139" i="5"/>
  <c r="AD139" i="5" s="1"/>
  <c r="AA139" i="5"/>
  <c r="W139" i="5"/>
  <c r="X139" i="5" s="1"/>
  <c r="U139" i="5"/>
  <c r="R139" i="5"/>
  <c r="O139" i="5"/>
  <c r="N139" i="5"/>
  <c r="L139" i="5"/>
  <c r="I139" i="5"/>
  <c r="H139" i="5"/>
  <c r="F139" i="5"/>
  <c r="C139" i="5"/>
  <c r="AC138" i="5"/>
  <c r="AD138" i="5" s="1"/>
  <c r="AA138" i="5"/>
  <c r="X138" i="5"/>
  <c r="W138" i="5"/>
  <c r="U138" i="5"/>
  <c r="R138" i="5"/>
  <c r="O138" i="5"/>
  <c r="N138" i="5"/>
  <c r="L138" i="5"/>
  <c r="H138" i="5"/>
  <c r="I138" i="5" s="1"/>
  <c r="F138" i="5"/>
  <c r="C138" i="5"/>
  <c r="AC137" i="5"/>
  <c r="AD137" i="5" s="1"/>
  <c r="AA137" i="5"/>
  <c r="X137" i="5"/>
  <c r="W137" i="5"/>
  <c r="U137" i="5"/>
  <c r="R137" i="5"/>
  <c r="N137" i="5"/>
  <c r="O137" i="5" s="1"/>
  <c r="L137" i="5"/>
  <c r="I137" i="5"/>
  <c r="H137" i="5"/>
  <c r="F137" i="5"/>
  <c r="C137" i="5"/>
  <c r="AD136" i="5"/>
  <c r="AC136" i="5"/>
  <c r="AA136" i="5"/>
  <c r="W136" i="5"/>
  <c r="X136" i="5" s="1"/>
  <c r="U136" i="5"/>
  <c r="R136" i="5"/>
  <c r="O136" i="5"/>
  <c r="N136" i="5"/>
  <c r="L136" i="5"/>
  <c r="I136" i="5"/>
  <c r="H136" i="5"/>
  <c r="F136" i="5"/>
  <c r="C136" i="5"/>
  <c r="AC135" i="5"/>
  <c r="AD135" i="5" s="1"/>
  <c r="AA135" i="5"/>
  <c r="W135" i="5"/>
  <c r="X135" i="5" s="1"/>
  <c r="U135" i="5"/>
  <c r="R135" i="5"/>
  <c r="O135" i="5"/>
  <c r="N135" i="5"/>
  <c r="L135" i="5"/>
  <c r="I135" i="5"/>
  <c r="H135" i="5"/>
  <c r="F135" i="5"/>
  <c r="C135" i="5"/>
  <c r="AD134" i="5"/>
  <c r="AC134" i="5"/>
  <c r="AA134" i="5"/>
  <c r="X134" i="5"/>
  <c r="W134" i="5"/>
  <c r="U134" i="5"/>
  <c r="R134" i="5"/>
  <c r="N134" i="5"/>
  <c r="O134" i="5" s="1"/>
  <c r="L134" i="5"/>
  <c r="H134" i="5"/>
  <c r="I134" i="5" s="1"/>
  <c r="F134" i="5"/>
  <c r="C134" i="5"/>
  <c r="AD133" i="5"/>
  <c r="AC133" i="5"/>
  <c r="AA133" i="5"/>
  <c r="X133" i="5"/>
  <c r="W133" i="5"/>
  <c r="U133" i="5"/>
  <c r="R133" i="5"/>
  <c r="N133" i="5"/>
  <c r="O133" i="5" s="1"/>
  <c r="L133" i="5"/>
  <c r="H133" i="5"/>
  <c r="I133" i="5" s="1"/>
  <c r="F133" i="5"/>
  <c r="C133" i="5"/>
  <c r="AD132" i="5"/>
  <c r="AC132" i="5"/>
  <c r="AA132" i="5"/>
  <c r="X132" i="5"/>
  <c r="W132" i="5"/>
  <c r="U132" i="5"/>
  <c r="R132" i="5"/>
  <c r="O132" i="5"/>
  <c r="N132" i="5"/>
  <c r="L132" i="5"/>
  <c r="H132" i="5"/>
  <c r="I132" i="5" s="1"/>
  <c r="F132" i="5"/>
  <c r="C132" i="5"/>
  <c r="AC131" i="5"/>
  <c r="AD131" i="5" s="1"/>
  <c r="AA131" i="5"/>
  <c r="W131" i="5"/>
  <c r="X131" i="5" s="1"/>
  <c r="U131" i="5"/>
  <c r="R131" i="5"/>
  <c r="O131" i="5"/>
  <c r="N131" i="5"/>
  <c r="L131" i="5"/>
  <c r="I131" i="5"/>
  <c r="H131" i="5"/>
  <c r="F131" i="5"/>
  <c r="C131" i="5"/>
  <c r="AC130" i="5"/>
  <c r="AD130" i="5" s="1"/>
  <c r="AA130" i="5"/>
  <c r="X130" i="5"/>
  <c r="W130" i="5"/>
  <c r="U130" i="5"/>
  <c r="R130" i="5"/>
  <c r="O130" i="5"/>
  <c r="N130" i="5"/>
  <c r="L130" i="5"/>
  <c r="H130" i="5"/>
  <c r="I130" i="5" s="1"/>
  <c r="F130" i="5"/>
  <c r="C130" i="5"/>
  <c r="AD129" i="5"/>
  <c r="AC129" i="5"/>
  <c r="AA129" i="5"/>
  <c r="X129" i="5"/>
  <c r="W129" i="5"/>
  <c r="U129" i="5"/>
  <c r="R129" i="5"/>
  <c r="N129" i="5"/>
  <c r="O129" i="5" s="1"/>
  <c r="L129" i="5"/>
  <c r="H129" i="5"/>
  <c r="I129" i="5" s="1"/>
  <c r="F129" i="5"/>
  <c r="C129" i="5"/>
  <c r="AD127" i="5"/>
  <c r="AC127" i="5"/>
  <c r="AA127" i="5"/>
  <c r="X127" i="5"/>
  <c r="W127" i="5"/>
  <c r="U127" i="5"/>
  <c r="R127" i="5"/>
  <c r="O127" i="5"/>
  <c r="N127" i="5"/>
  <c r="L127" i="5"/>
  <c r="I127" i="5"/>
  <c r="H127" i="5"/>
  <c r="F127" i="5"/>
  <c r="C127" i="5"/>
  <c r="AA124" i="5"/>
  <c r="Z124" i="5"/>
  <c r="Z172" i="5" s="1"/>
  <c r="AA172" i="5" s="1"/>
  <c r="W124" i="5"/>
  <c r="X124" i="5" s="1"/>
  <c r="T124" i="5"/>
  <c r="T172" i="5" s="1"/>
  <c r="T198" i="5" s="1"/>
  <c r="U198" i="5" s="1"/>
  <c r="Q124" i="5"/>
  <c r="Q172" i="5" s="1"/>
  <c r="L124" i="5"/>
  <c r="K124" i="5"/>
  <c r="K172" i="5" s="1"/>
  <c r="L172" i="5" s="1"/>
  <c r="I124" i="5"/>
  <c r="H124" i="5"/>
  <c r="E124" i="5"/>
  <c r="F124" i="5" s="1"/>
  <c r="C124" i="5"/>
  <c r="B124" i="5"/>
  <c r="N124" i="5" s="1"/>
  <c r="O124" i="5" s="1"/>
  <c r="AD123" i="5"/>
  <c r="AC123" i="5"/>
  <c r="AA123" i="5"/>
  <c r="X123" i="5"/>
  <c r="W123" i="5"/>
  <c r="U123" i="5"/>
  <c r="R123" i="5"/>
  <c r="N123" i="5"/>
  <c r="O123" i="5" s="1"/>
  <c r="L123" i="5"/>
  <c r="I123" i="5"/>
  <c r="H123" i="5"/>
  <c r="F123" i="5"/>
  <c r="C123" i="5"/>
  <c r="AA122" i="5"/>
  <c r="Z122" i="5"/>
  <c r="X122" i="5"/>
  <c r="W122" i="5"/>
  <c r="T122" i="5"/>
  <c r="U122" i="5" s="1"/>
  <c r="R122" i="5"/>
  <c r="Q122" i="5"/>
  <c r="N122" i="5"/>
  <c r="O122" i="5" s="1"/>
  <c r="L122" i="5"/>
  <c r="K122" i="5"/>
  <c r="F122" i="5"/>
  <c r="E122" i="5"/>
  <c r="B122" i="5"/>
  <c r="H122" i="5" s="1"/>
  <c r="I122" i="5" s="1"/>
  <c r="AC121" i="5"/>
  <c r="AD121" i="5" s="1"/>
  <c r="AA121" i="5"/>
  <c r="X121" i="5"/>
  <c r="W121" i="5"/>
  <c r="U121" i="5"/>
  <c r="R121" i="5"/>
  <c r="O121" i="5"/>
  <c r="N121" i="5"/>
  <c r="L121" i="5"/>
  <c r="H121" i="5"/>
  <c r="I121" i="5" s="1"/>
  <c r="F121" i="5"/>
  <c r="C121" i="5"/>
  <c r="AD120" i="5"/>
  <c r="AC120" i="5"/>
  <c r="AA120" i="5"/>
  <c r="X120" i="5"/>
  <c r="W120" i="5"/>
  <c r="U120" i="5"/>
  <c r="R120" i="5"/>
  <c r="N120" i="5"/>
  <c r="O120" i="5" s="1"/>
  <c r="L120" i="5"/>
  <c r="H120" i="5"/>
  <c r="I120" i="5" s="1"/>
  <c r="F120" i="5"/>
  <c r="C120" i="5"/>
  <c r="AD119" i="5"/>
  <c r="AC119" i="5"/>
  <c r="AA119" i="5"/>
  <c r="X119" i="5"/>
  <c r="W119" i="5"/>
  <c r="U119" i="5"/>
  <c r="R119" i="5"/>
  <c r="O119" i="5"/>
  <c r="N119" i="5"/>
  <c r="L119" i="5"/>
  <c r="H119" i="5"/>
  <c r="I119" i="5" s="1"/>
  <c r="F119" i="5"/>
  <c r="C119" i="5"/>
  <c r="AA118" i="5"/>
  <c r="Z118" i="5"/>
  <c r="T118" i="5"/>
  <c r="Q118" i="5"/>
  <c r="R118" i="5" s="1"/>
  <c r="L118" i="5"/>
  <c r="K118" i="5"/>
  <c r="H118" i="5"/>
  <c r="I118" i="5" s="1"/>
  <c r="E118" i="5"/>
  <c r="F118" i="5" s="1"/>
  <c r="C118" i="5"/>
  <c r="B118" i="5"/>
  <c r="N118" i="5" s="1"/>
  <c r="O118" i="5" s="1"/>
  <c r="AC117" i="5"/>
  <c r="AD117" i="5" s="1"/>
  <c r="AA117" i="5"/>
  <c r="X117" i="5"/>
  <c r="W117" i="5"/>
  <c r="U117" i="5"/>
  <c r="R117" i="5"/>
  <c r="N117" i="5"/>
  <c r="O117" i="5" s="1"/>
  <c r="L117" i="5"/>
  <c r="I117" i="5"/>
  <c r="H117" i="5"/>
  <c r="F117" i="5"/>
  <c r="C117" i="5"/>
  <c r="AD116" i="5"/>
  <c r="AC116" i="5"/>
  <c r="AA116" i="5"/>
  <c r="W116" i="5"/>
  <c r="X116" i="5" s="1"/>
  <c r="U116" i="5"/>
  <c r="R116" i="5"/>
  <c r="O116" i="5"/>
  <c r="N116" i="5"/>
  <c r="L116" i="5"/>
  <c r="I116" i="5"/>
  <c r="H116" i="5"/>
  <c r="F116" i="5"/>
  <c r="C116" i="5"/>
  <c r="AC115" i="5"/>
  <c r="AD115" i="5" s="1"/>
  <c r="AA115" i="5"/>
  <c r="W115" i="5"/>
  <c r="X115" i="5" s="1"/>
  <c r="U115" i="5"/>
  <c r="R115" i="5"/>
  <c r="O115" i="5"/>
  <c r="N115" i="5"/>
  <c r="L115" i="5"/>
  <c r="I115" i="5"/>
  <c r="H115" i="5"/>
  <c r="F115" i="5"/>
  <c r="C115" i="5"/>
  <c r="AD114" i="5"/>
  <c r="AC114" i="5"/>
  <c r="AA114" i="5"/>
  <c r="X114" i="5"/>
  <c r="W114" i="5"/>
  <c r="U114" i="5"/>
  <c r="R114" i="5"/>
  <c r="N114" i="5"/>
  <c r="O114" i="5" s="1"/>
  <c r="L114" i="5"/>
  <c r="H114" i="5"/>
  <c r="I114" i="5" s="1"/>
  <c r="F114" i="5"/>
  <c r="C114" i="5"/>
  <c r="AD113" i="5"/>
  <c r="AC113" i="5"/>
  <c r="AA113" i="5"/>
  <c r="X113" i="5"/>
  <c r="W113" i="5"/>
  <c r="U113" i="5"/>
  <c r="R113" i="5"/>
  <c r="N113" i="5"/>
  <c r="O113" i="5" s="1"/>
  <c r="L113" i="5"/>
  <c r="H113" i="5"/>
  <c r="I113" i="5" s="1"/>
  <c r="F113" i="5"/>
  <c r="C113" i="5"/>
  <c r="AD112" i="5"/>
  <c r="AC112" i="5"/>
  <c r="AA112" i="5"/>
  <c r="X112" i="5"/>
  <c r="W112" i="5"/>
  <c r="U112" i="5"/>
  <c r="R112" i="5"/>
  <c r="O112" i="5"/>
  <c r="N112" i="5"/>
  <c r="L112" i="5"/>
  <c r="I112" i="5"/>
  <c r="H112" i="5"/>
  <c r="F112" i="5"/>
  <c r="C112" i="5"/>
  <c r="AC111" i="5"/>
  <c r="AD111" i="5" s="1"/>
  <c r="AA111" i="5"/>
  <c r="W111" i="5"/>
  <c r="X111" i="5" s="1"/>
  <c r="U111" i="5"/>
  <c r="R111" i="5"/>
  <c r="O111" i="5"/>
  <c r="N111" i="5"/>
  <c r="L111" i="5"/>
  <c r="I111" i="5"/>
  <c r="H111" i="5"/>
  <c r="F111" i="5"/>
  <c r="C111" i="5"/>
  <c r="AD110" i="5"/>
  <c r="AC110" i="5"/>
  <c r="AA110" i="5"/>
  <c r="X110" i="5"/>
  <c r="W110" i="5"/>
  <c r="U110" i="5"/>
  <c r="R110" i="5"/>
  <c r="N110" i="5"/>
  <c r="O110" i="5" s="1"/>
  <c r="L110" i="5"/>
  <c r="H110" i="5"/>
  <c r="I110" i="5" s="1"/>
  <c r="F110" i="5"/>
  <c r="C110" i="5"/>
  <c r="AC109" i="5"/>
  <c r="AD109" i="5" s="1"/>
  <c r="AA109" i="5"/>
  <c r="X109" i="5"/>
  <c r="W109" i="5"/>
  <c r="U109" i="5"/>
  <c r="R109" i="5"/>
  <c r="N109" i="5"/>
  <c r="O109" i="5" s="1"/>
  <c r="L109" i="5"/>
  <c r="I109" i="5"/>
  <c r="H109" i="5"/>
  <c r="F109" i="5"/>
  <c r="C109" i="5"/>
  <c r="AD108" i="5"/>
  <c r="AC108" i="5"/>
  <c r="AA108" i="5"/>
  <c r="W108" i="5"/>
  <c r="X108" i="5" s="1"/>
  <c r="U108" i="5"/>
  <c r="R108" i="5"/>
  <c r="O108" i="5"/>
  <c r="N108" i="5"/>
  <c r="L108" i="5"/>
  <c r="I108" i="5"/>
  <c r="H108" i="5"/>
  <c r="F108" i="5"/>
  <c r="C108" i="5"/>
  <c r="AC107" i="5"/>
  <c r="AD107" i="5" s="1"/>
  <c r="AA107" i="5"/>
  <c r="W107" i="5"/>
  <c r="X107" i="5" s="1"/>
  <c r="U107" i="5"/>
  <c r="R107" i="5"/>
  <c r="O107" i="5"/>
  <c r="N107" i="5"/>
  <c r="L107" i="5"/>
  <c r="I107" i="5"/>
  <c r="H107" i="5"/>
  <c r="F107" i="5"/>
  <c r="C107" i="5"/>
  <c r="AD106" i="5"/>
  <c r="AC106" i="5"/>
  <c r="AA106" i="5"/>
  <c r="X106" i="5"/>
  <c r="W106" i="5"/>
  <c r="U106" i="5"/>
  <c r="R106" i="5"/>
  <c r="O106" i="5"/>
  <c r="N106" i="5"/>
  <c r="L106" i="5"/>
  <c r="H106" i="5"/>
  <c r="I106" i="5" s="1"/>
  <c r="F106" i="5"/>
  <c r="C106" i="5"/>
  <c r="AD105" i="5"/>
  <c r="AC105" i="5"/>
  <c r="AA105" i="5"/>
  <c r="X105" i="5"/>
  <c r="W105" i="5"/>
  <c r="U105" i="5"/>
  <c r="R105" i="5"/>
  <c r="N105" i="5"/>
  <c r="O105" i="5" s="1"/>
  <c r="L105" i="5"/>
  <c r="H105" i="5"/>
  <c r="I105" i="5" s="1"/>
  <c r="F105" i="5"/>
  <c r="C105" i="5"/>
  <c r="AD104" i="5"/>
  <c r="AC104" i="5"/>
  <c r="AA104" i="5"/>
  <c r="X104" i="5"/>
  <c r="W104" i="5"/>
  <c r="U104" i="5"/>
  <c r="R104" i="5"/>
  <c r="O104" i="5"/>
  <c r="N104" i="5"/>
  <c r="L104" i="5"/>
  <c r="H104" i="5"/>
  <c r="I104" i="5" s="1"/>
  <c r="F104" i="5"/>
  <c r="C104" i="5"/>
  <c r="AC103" i="5"/>
  <c r="AD103" i="5" s="1"/>
  <c r="AA103" i="5"/>
  <c r="W103" i="5"/>
  <c r="X103" i="5" s="1"/>
  <c r="U103" i="5"/>
  <c r="R103" i="5"/>
  <c r="O103" i="5"/>
  <c r="N103" i="5"/>
  <c r="L103" i="5"/>
  <c r="I103" i="5"/>
  <c r="H103" i="5"/>
  <c r="F103" i="5"/>
  <c r="C103" i="5"/>
  <c r="AC102" i="5"/>
  <c r="AD102" i="5" s="1"/>
  <c r="AA102" i="5"/>
  <c r="X102" i="5"/>
  <c r="W102" i="5"/>
  <c r="U102" i="5"/>
  <c r="R102" i="5"/>
  <c r="N102" i="5"/>
  <c r="O102" i="5" s="1"/>
  <c r="L102" i="5"/>
  <c r="H102" i="5"/>
  <c r="I102" i="5" s="1"/>
  <c r="F102" i="5"/>
  <c r="C102" i="5"/>
  <c r="AC101" i="5"/>
  <c r="AD101" i="5" s="1"/>
  <c r="AA101" i="5"/>
  <c r="X101" i="5"/>
  <c r="W101" i="5"/>
  <c r="U101" i="5"/>
  <c r="R101" i="5"/>
  <c r="N101" i="5"/>
  <c r="O101" i="5" s="1"/>
  <c r="L101" i="5"/>
  <c r="I101" i="5"/>
  <c r="H101" i="5"/>
  <c r="F101" i="5"/>
  <c r="C101" i="5"/>
  <c r="AD100" i="5"/>
  <c r="AC100" i="5"/>
  <c r="AA100" i="5"/>
  <c r="W100" i="5"/>
  <c r="X100" i="5" s="1"/>
  <c r="U100" i="5"/>
  <c r="R100" i="5"/>
  <c r="O100" i="5"/>
  <c r="N100" i="5"/>
  <c r="L100" i="5"/>
  <c r="I100" i="5"/>
  <c r="H100" i="5"/>
  <c r="F100" i="5"/>
  <c r="C100" i="5"/>
  <c r="AC99" i="5"/>
  <c r="AD99" i="5" s="1"/>
  <c r="AA99" i="5"/>
  <c r="W99" i="5"/>
  <c r="X99" i="5" s="1"/>
  <c r="U99" i="5"/>
  <c r="R99" i="5"/>
  <c r="O99" i="5"/>
  <c r="N99" i="5"/>
  <c r="L99" i="5"/>
  <c r="I99" i="5"/>
  <c r="H99" i="5"/>
  <c r="F99" i="5"/>
  <c r="C99" i="5"/>
  <c r="AD98" i="5"/>
  <c r="AC98" i="5"/>
  <c r="AA98" i="5"/>
  <c r="X98" i="5"/>
  <c r="W98" i="5"/>
  <c r="U98" i="5"/>
  <c r="R98" i="5"/>
  <c r="N98" i="5"/>
  <c r="O98" i="5" s="1"/>
  <c r="L98" i="5"/>
  <c r="H98" i="5"/>
  <c r="I98" i="5" s="1"/>
  <c r="F98" i="5"/>
  <c r="C98" i="5"/>
  <c r="AD97" i="5"/>
  <c r="AC97" i="5"/>
  <c r="AA97" i="5"/>
  <c r="X97" i="5"/>
  <c r="W97" i="5"/>
  <c r="U97" i="5"/>
  <c r="R97" i="5"/>
  <c r="N97" i="5"/>
  <c r="O97" i="5" s="1"/>
  <c r="L97" i="5"/>
  <c r="I97" i="5"/>
  <c r="H97" i="5"/>
  <c r="F97" i="5"/>
  <c r="C97" i="5"/>
  <c r="AD96" i="5"/>
  <c r="AC96" i="5"/>
  <c r="AA96" i="5"/>
  <c r="X96" i="5"/>
  <c r="W96" i="5"/>
  <c r="U96" i="5"/>
  <c r="R96" i="5"/>
  <c r="O96" i="5"/>
  <c r="N96" i="5"/>
  <c r="L96" i="5"/>
  <c r="H96" i="5"/>
  <c r="I96" i="5" s="1"/>
  <c r="F96" i="5"/>
  <c r="C96" i="5"/>
  <c r="AC95" i="5"/>
  <c r="AD95" i="5" s="1"/>
  <c r="AA95" i="5"/>
  <c r="W95" i="5"/>
  <c r="X95" i="5" s="1"/>
  <c r="U95" i="5"/>
  <c r="R95" i="5"/>
  <c r="O95" i="5"/>
  <c r="N95" i="5"/>
  <c r="L95" i="5"/>
  <c r="I95" i="5"/>
  <c r="H95" i="5"/>
  <c r="F95" i="5"/>
  <c r="C95" i="5"/>
  <c r="AC94" i="5"/>
  <c r="AD94" i="5" s="1"/>
  <c r="AA94" i="5"/>
  <c r="X94" i="5"/>
  <c r="W94" i="5"/>
  <c r="U94" i="5"/>
  <c r="R94" i="5"/>
  <c r="N94" i="5"/>
  <c r="O94" i="5" s="1"/>
  <c r="L94" i="5"/>
  <c r="H94" i="5"/>
  <c r="I94" i="5" s="1"/>
  <c r="F94" i="5"/>
  <c r="C94" i="5"/>
  <c r="AC92" i="5"/>
  <c r="AD92" i="5" s="1"/>
  <c r="AA92" i="5"/>
  <c r="X92" i="5"/>
  <c r="W92" i="5"/>
  <c r="U92" i="5"/>
  <c r="R92" i="5"/>
  <c r="N92" i="5"/>
  <c r="O92" i="5" s="1"/>
  <c r="L92" i="5"/>
  <c r="I92" i="5"/>
  <c r="H92" i="5"/>
  <c r="F92" i="5"/>
  <c r="C92" i="5"/>
  <c r="AD91" i="5"/>
  <c r="AC91" i="5"/>
  <c r="AA91" i="5"/>
  <c r="W91" i="5"/>
  <c r="X91" i="5" s="1"/>
  <c r="U91" i="5"/>
  <c r="R91" i="5"/>
  <c r="O91" i="5"/>
  <c r="N91" i="5"/>
  <c r="L91" i="5"/>
  <c r="I91" i="5"/>
  <c r="H91" i="5"/>
  <c r="F91" i="5"/>
  <c r="C91" i="5"/>
  <c r="AC90" i="5"/>
  <c r="AD90" i="5" s="1"/>
  <c r="AA90" i="5"/>
  <c r="W90" i="5"/>
  <c r="X90" i="5" s="1"/>
  <c r="U90" i="5"/>
  <c r="R90" i="5"/>
  <c r="O90" i="5"/>
  <c r="N90" i="5"/>
  <c r="L90" i="5"/>
  <c r="I90" i="5"/>
  <c r="H90" i="5"/>
  <c r="F90" i="5"/>
  <c r="C90" i="5"/>
  <c r="AD89" i="5"/>
  <c r="AC89" i="5"/>
  <c r="AA89" i="5"/>
  <c r="X89" i="5"/>
  <c r="W89" i="5"/>
  <c r="U89" i="5"/>
  <c r="R89" i="5"/>
  <c r="N89" i="5"/>
  <c r="O89" i="5" s="1"/>
  <c r="L89" i="5"/>
  <c r="H89" i="5"/>
  <c r="I89" i="5" s="1"/>
  <c r="F89" i="5"/>
  <c r="C89" i="5"/>
  <c r="Z88" i="5"/>
  <c r="AA88" i="5" s="1"/>
  <c r="U88" i="5"/>
  <c r="T88" i="5"/>
  <c r="Q88" i="5"/>
  <c r="N88" i="5"/>
  <c r="O88" i="5" s="1"/>
  <c r="K88" i="5"/>
  <c r="L88" i="5" s="1"/>
  <c r="F88" i="5"/>
  <c r="E88" i="5"/>
  <c r="C88" i="5"/>
  <c r="B88" i="5"/>
  <c r="H88" i="5" s="1"/>
  <c r="I88" i="5" s="1"/>
  <c r="AC87" i="5"/>
  <c r="AD87" i="5" s="1"/>
  <c r="AA87" i="5"/>
  <c r="W87" i="5"/>
  <c r="X87" i="5" s="1"/>
  <c r="U87" i="5"/>
  <c r="R87" i="5"/>
  <c r="O87" i="5"/>
  <c r="N87" i="5"/>
  <c r="L87" i="5"/>
  <c r="I87" i="5"/>
  <c r="H87" i="5"/>
  <c r="F87" i="5"/>
  <c r="C87" i="5"/>
  <c r="AD86" i="5"/>
  <c r="AC86" i="5"/>
  <c r="AA86" i="5"/>
  <c r="X86" i="5"/>
  <c r="W86" i="5"/>
  <c r="U86" i="5"/>
  <c r="R86" i="5"/>
  <c r="O86" i="5"/>
  <c r="N86" i="5"/>
  <c r="L86" i="5"/>
  <c r="H86" i="5"/>
  <c r="I86" i="5" s="1"/>
  <c r="F86" i="5"/>
  <c r="C86" i="5"/>
  <c r="AC85" i="5"/>
  <c r="AD85" i="5" s="1"/>
  <c r="AA85" i="5"/>
  <c r="X85" i="5"/>
  <c r="W85" i="5"/>
  <c r="U85" i="5"/>
  <c r="R85" i="5"/>
  <c r="N85" i="5"/>
  <c r="O85" i="5" s="1"/>
  <c r="L85" i="5"/>
  <c r="I85" i="5"/>
  <c r="H85" i="5"/>
  <c r="F85" i="5"/>
  <c r="C85" i="5"/>
  <c r="AD84" i="5"/>
  <c r="AC84" i="5"/>
  <c r="AA84" i="5"/>
  <c r="W84" i="5"/>
  <c r="X84" i="5" s="1"/>
  <c r="U84" i="5"/>
  <c r="R84" i="5"/>
  <c r="O84" i="5"/>
  <c r="N84" i="5"/>
  <c r="L84" i="5"/>
  <c r="I84" i="5"/>
  <c r="H84" i="5"/>
  <c r="F84" i="5"/>
  <c r="C84" i="5"/>
  <c r="AC83" i="5"/>
  <c r="AD83" i="5" s="1"/>
  <c r="AA83" i="5"/>
  <c r="W83" i="5"/>
  <c r="X83" i="5" s="1"/>
  <c r="U83" i="5"/>
  <c r="R83" i="5"/>
  <c r="O83" i="5"/>
  <c r="N83" i="5"/>
  <c r="L83" i="5"/>
  <c r="I83" i="5"/>
  <c r="H83" i="5"/>
  <c r="F83" i="5"/>
  <c r="C83" i="5"/>
  <c r="AD82" i="5"/>
  <c r="AC82" i="5"/>
  <c r="AA82" i="5"/>
  <c r="X82" i="5"/>
  <c r="W82" i="5"/>
  <c r="U82" i="5"/>
  <c r="R82" i="5"/>
  <c r="N82" i="5"/>
  <c r="O82" i="5" s="1"/>
  <c r="L82" i="5"/>
  <c r="H82" i="5"/>
  <c r="I82" i="5" s="1"/>
  <c r="F82" i="5"/>
  <c r="C82" i="5"/>
  <c r="AC81" i="5"/>
  <c r="AD81" i="5" s="1"/>
  <c r="AA81" i="5"/>
  <c r="X81" i="5"/>
  <c r="W81" i="5"/>
  <c r="U81" i="5"/>
  <c r="R81" i="5"/>
  <c r="N81" i="5"/>
  <c r="O81" i="5" s="1"/>
  <c r="L81" i="5"/>
  <c r="I81" i="5"/>
  <c r="H81" i="5"/>
  <c r="F81" i="5"/>
  <c r="C81" i="5"/>
  <c r="AD80" i="5"/>
  <c r="AC80" i="5"/>
  <c r="AA80" i="5"/>
  <c r="W80" i="5"/>
  <c r="X80" i="5" s="1"/>
  <c r="U80" i="5"/>
  <c r="R80" i="5"/>
  <c r="O80" i="5"/>
  <c r="N80" i="5"/>
  <c r="L80" i="5"/>
  <c r="I80" i="5"/>
  <c r="H80" i="5"/>
  <c r="F80" i="5"/>
  <c r="C80" i="5"/>
  <c r="AC79" i="5"/>
  <c r="AD79" i="5" s="1"/>
  <c r="AA79" i="5"/>
  <c r="W79" i="5"/>
  <c r="X79" i="5" s="1"/>
  <c r="U79" i="5"/>
  <c r="R79" i="5"/>
  <c r="O79" i="5"/>
  <c r="N79" i="5"/>
  <c r="L79" i="5"/>
  <c r="I79" i="5"/>
  <c r="H79" i="5"/>
  <c r="F79" i="5"/>
  <c r="C79" i="5"/>
  <c r="AD78" i="5"/>
  <c r="AC78" i="5"/>
  <c r="AA78" i="5"/>
  <c r="X78" i="5"/>
  <c r="W78" i="5"/>
  <c r="U78" i="5"/>
  <c r="R78" i="5"/>
  <c r="O78" i="5"/>
  <c r="N78" i="5"/>
  <c r="L78" i="5"/>
  <c r="H78" i="5"/>
  <c r="I78" i="5" s="1"/>
  <c r="F78" i="5"/>
  <c r="C78" i="5"/>
  <c r="AD77" i="5"/>
  <c r="AC77" i="5"/>
  <c r="AA77" i="5"/>
  <c r="X77" i="5"/>
  <c r="W77" i="5"/>
  <c r="U77" i="5"/>
  <c r="R77" i="5"/>
  <c r="N77" i="5"/>
  <c r="O77" i="5" s="1"/>
  <c r="L77" i="5"/>
  <c r="I77" i="5"/>
  <c r="H77" i="5"/>
  <c r="F77" i="5"/>
  <c r="C77" i="5"/>
  <c r="AD76" i="5"/>
  <c r="AC76" i="5"/>
  <c r="AA76" i="5"/>
  <c r="X76" i="5"/>
  <c r="W76" i="5"/>
  <c r="U76" i="5"/>
  <c r="R76" i="5"/>
  <c r="O76" i="5"/>
  <c r="N76" i="5"/>
  <c r="L76" i="5"/>
  <c r="I76" i="5"/>
  <c r="H76" i="5"/>
  <c r="F76" i="5"/>
  <c r="C76" i="5"/>
  <c r="AC75" i="5"/>
  <c r="AD75" i="5" s="1"/>
  <c r="AA75" i="5"/>
  <c r="W75" i="5"/>
  <c r="X75" i="5" s="1"/>
  <c r="U75" i="5"/>
  <c r="R75" i="5"/>
  <c r="O75" i="5"/>
  <c r="N75" i="5"/>
  <c r="L75" i="5"/>
  <c r="I75" i="5"/>
  <c r="H75" i="5"/>
  <c r="F75" i="5"/>
  <c r="C75" i="5"/>
  <c r="AD73" i="5"/>
  <c r="AC73" i="5"/>
  <c r="Z73" i="5"/>
  <c r="AA73" i="5" s="1"/>
  <c r="U73" i="5"/>
  <c r="T73" i="5"/>
  <c r="Q73" i="5"/>
  <c r="L73" i="5"/>
  <c r="K73" i="5"/>
  <c r="I73" i="5"/>
  <c r="H73" i="5"/>
  <c r="F73" i="5"/>
  <c r="E73" i="5"/>
  <c r="B73" i="5"/>
  <c r="C73" i="5" s="1"/>
  <c r="AD72" i="5"/>
  <c r="AC72" i="5"/>
  <c r="AA72" i="5"/>
  <c r="X72" i="5"/>
  <c r="W72" i="5"/>
  <c r="U72" i="5"/>
  <c r="R72" i="5"/>
  <c r="O72" i="5"/>
  <c r="N72" i="5"/>
  <c r="L72" i="5"/>
  <c r="H72" i="5"/>
  <c r="I72" i="5" s="1"/>
  <c r="F72" i="5"/>
  <c r="C72" i="5"/>
  <c r="AC71" i="5"/>
  <c r="AD71" i="5" s="1"/>
  <c r="AA71" i="5"/>
  <c r="W71" i="5"/>
  <c r="X71" i="5" s="1"/>
  <c r="U71" i="5"/>
  <c r="R71" i="5"/>
  <c r="O71" i="5"/>
  <c r="N71" i="5"/>
  <c r="L71" i="5"/>
  <c r="I71" i="5"/>
  <c r="H71" i="5"/>
  <c r="F71" i="5"/>
  <c r="C71" i="5"/>
  <c r="AC70" i="5"/>
  <c r="AD70" i="5" s="1"/>
  <c r="AA70" i="5"/>
  <c r="X70" i="5"/>
  <c r="W70" i="5"/>
  <c r="U70" i="5"/>
  <c r="R70" i="5"/>
  <c r="N70" i="5"/>
  <c r="O70" i="5" s="1"/>
  <c r="L70" i="5"/>
  <c r="H70" i="5"/>
  <c r="I70" i="5" s="1"/>
  <c r="F70" i="5"/>
  <c r="C70" i="5"/>
  <c r="AC69" i="5"/>
  <c r="AD69" i="5" s="1"/>
  <c r="AA69" i="5"/>
  <c r="X69" i="5"/>
  <c r="W69" i="5"/>
  <c r="U69" i="5"/>
  <c r="R69" i="5"/>
  <c r="N69" i="5"/>
  <c r="O69" i="5" s="1"/>
  <c r="L69" i="5"/>
  <c r="I69" i="5"/>
  <c r="H69" i="5"/>
  <c r="F69" i="5"/>
  <c r="C69" i="5"/>
  <c r="AD68" i="5"/>
  <c r="AC68" i="5"/>
  <c r="AA68" i="5"/>
  <c r="W68" i="5"/>
  <c r="X68" i="5" s="1"/>
  <c r="U68" i="5"/>
  <c r="R68" i="5"/>
  <c r="O68" i="5"/>
  <c r="N68" i="5"/>
  <c r="L68" i="5"/>
  <c r="I68" i="5"/>
  <c r="H68" i="5"/>
  <c r="F68" i="5"/>
  <c r="C68" i="5"/>
  <c r="AC67" i="5"/>
  <c r="AD67" i="5" s="1"/>
  <c r="AA67" i="5"/>
  <c r="W67" i="5"/>
  <c r="X67" i="5" s="1"/>
  <c r="U67" i="5"/>
  <c r="R67" i="5"/>
  <c r="O67" i="5"/>
  <c r="N67" i="5"/>
  <c r="L67" i="5"/>
  <c r="I67" i="5"/>
  <c r="H67" i="5"/>
  <c r="F67" i="5"/>
  <c r="C67" i="5"/>
  <c r="AD66" i="5"/>
  <c r="AC66" i="5"/>
  <c r="AA66" i="5"/>
  <c r="X66" i="5"/>
  <c r="W66" i="5"/>
  <c r="U66" i="5"/>
  <c r="R66" i="5"/>
  <c r="N66" i="5"/>
  <c r="O66" i="5" s="1"/>
  <c r="L66" i="5"/>
  <c r="H66" i="5"/>
  <c r="I66" i="5" s="1"/>
  <c r="F66" i="5"/>
  <c r="C66" i="5"/>
  <c r="AD65" i="5"/>
  <c r="AC65" i="5"/>
  <c r="AA65" i="5"/>
  <c r="X65" i="5"/>
  <c r="W65" i="5"/>
  <c r="U65" i="5"/>
  <c r="R65" i="5"/>
  <c r="N65" i="5"/>
  <c r="O65" i="5" s="1"/>
  <c r="L65" i="5"/>
  <c r="I65" i="5"/>
  <c r="H65" i="5"/>
  <c r="F65" i="5"/>
  <c r="C65" i="5"/>
  <c r="AD64" i="5"/>
  <c r="AC64" i="5"/>
  <c r="AA64" i="5"/>
  <c r="X64" i="5"/>
  <c r="W64" i="5"/>
  <c r="U64" i="5"/>
  <c r="R64" i="5"/>
  <c r="O64" i="5"/>
  <c r="N64" i="5"/>
  <c r="L64" i="5"/>
  <c r="I64" i="5"/>
  <c r="H64" i="5"/>
  <c r="F64" i="5"/>
  <c r="C64" i="5"/>
  <c r="AA62" i="5"/>
  <c r="Z62" i="5"/>
  <c r="U62" i="5"/>
  <c r="T62" i="5"/>
  <c r="W62" i="5" s="1"/>
  <c r="X62" i="5" s="1"/>
  <c r="Q62" i="5"/>
  <c r="R62" i="5" s="1"/>
  <c r="L62" i="5"/>
  <c r="K62" i="5"/>
  <c r="H62" i="5"/>
  <c r="I62" i="5" s="1"/>
  <c r="E62" i="5"/>
  <c r="F62" i="5" s="1"/>
  <c r="C62" i="5"/>
  <c r="B62" i="5"/>
  <c r="N62" i="5" s="1"/>
  <c r="O62" i="5" s="1"/>
  <c r="AA61" i="5"/>
  <c r="Z61" i="5"/>
  <c r="U61" i="5"/>
  <c r="T61" i="5"/>
  <c r="R61" i="5"/>
  <c r="Q61" i="5"/>
  <c r="O61" i="5"/>
  <c r="N61" i="5"/>
  <c r="K61" i="5"/>
  <c r="L61" i="5" s="1"/>
  <c r="E61" i="5"/>
  <c r="F61" i="5" s="1"/>
  <c r="B61" i="5"/>
  <c r="AC60" i="5"/>
  <c r="AD60" i="5" s="1"/>
  <c r="AA60" i="5"/>
  <c r="W60" i="5"/>
  <c r="X60" i="5" s="1"/>
  <c r="U60" i="5"/>
  <c r="R60" i="5"/>
  <c r="O60" i="5"/>
  <c r="N60" i="5"/>
  <c r="L60" i="5"/>
  <c r="I60" i="5"/>
  <c r="H60" i="5"/>
  <c r="F60" i="5"/>
  <c r="C60" i="5"/>
  <c r="AC59" i="5"/>
  <c r="AD59" i="5" s="1"/>
  <c r="AA59" i="5"/>
  <c r="X59" i="5"/>
  <c r="W59" i="5"/>
  <c r="U59" i="5"/>
  <c r="R59" i="5"/>
  <c r="O59" i="5"/>
  <c r="N59" i="5"/>
  <c r="L59" i="5"/>
  <c r="H59" i="5"/>
  <c r="I59" i="5" s="1"/>
  <c r="F59" i="5"/>
  <c r="C59" i="5"/>
  <c r="AC58" i="5"/>
  <c r="AD58" i="5" s="1"/>
  <c r="AA58" i="5"/>
  <c r="X58" i="5"/>
  <c r="W58" i="5"/>
  <c r="U58" i="5"/>
  <c r="R58" i="5"/>
  <c r="N58" i="5"/>
  <c r="O58" i="5" s="1"/>
  <c r="L58" i="5"/>
  <c r="I58" i="5"/>
  <c r="H58" i="5"/>
  <c r="F58" i="5"/>
  <c r="C58" i="5"/>
  <c r="AD57" i="5"/>
  <c r="AC57" i="5"/>
  <c r="AA57" i="5"/>
  <c r="W57" i="5"/>
  <c r="X57" i="5" s="1"/>
  <c r="U57" i="5"/>
  <c r="R57" i="5"/>
  <c r="O57" i="5"/>
  <c r="N57" i="5"/>
  <c r="L57" i="5"/>
  <c r="H57" i="5"/>
  <c r="I57" i="5" s="1"/>
  <c r="F57" i="5"/>
  <c r="C57" i="5"/>
  <c r="AC56" i="5"/>
  <c r="AD56" i="5" s="1"/>
  <c r="AA56" i="5"/>
  <c r="W56" i="5"/>
  <c r="X56" i="5" s="1"/>
  <c r="U56" i="5"/>
  <c r="R56" i="5"/>
  <c r="O56" i="5"/>
  <c r="N56" i="5"/>
  <c r="L56" i="5"/>
  <c r="I56" i="5"/>
  <c r="H56" i="5"/>
  <c r="F56" i="5"/>
  <c r="C56" i="5"/>
  <c r="AC55" i="5"/>
  <c r="AD55" i="5" s="1"/>
  <c r="AA55" i="5"/>
  <c r="X55" i="5"/>
  <c r="W55" i="5"/>
  <c r="U55" i="5"/>
  <c r="R55" i="5"/>
  <c r="O55" i="5"/>
  <c r="N55" i="5"/>
  <c r="L55" i="5"/>
  <c r="H55" i="5"/>
  <c r="I55" i="5" s="1"/>
  <c r="F55" i="5"/>
  <c r="C55" i="5"/>
  <c r="AD54" i="5"/>
  <c r="AC54" i="5"/>
  <c r="AA54" i="5"/>
  <c r="X54" i="5"/>
  <c r="W54" i="5"/>
  <c r="U54" i="5"/>
  <c r="R54" i="5"/>
  <c r="N54" i="5"/>
  <c r="O54" i="5" s="1"/>
  <c r="L54" i="5"/>
  <c r="H54" i="5"/>
  <c r="I54" i="5" s="1"/>
  <c r="F54" i="5"/>
  <c r="C54" i="5"/>
  <c r="AD53" i="5"/>
  <c r="AC53" i="5"/>
  <c r="AA53" i="5"/>
  <c r="X53" i="5"/>
  <c r="W53" i="5"/>
  <c r="U53" i="5"/>
  <c r="R53" i="5"/>
  <c r="O53" i="5"/>
  <c r="N53" i="5"/>
  <c r="L53" i="5"/>
  <c r="H53" i="5"/>
  <c r="I53" i="5" s="1"/>
  <c r="F53" i="5"/>
  <c r="C53" i="5"/>
  <c r="AC52" i="5"/>
  <c r="AD52" i="5" s="1"/>
  <c r="AA52" i="5"/>
  <c r="W52" i="5"/>
  <c r="X52" i="5" s="1"/>
  <c r="U52" i="5"/>
  <c r="R52" i="5"/>
  <c r="O52" i="5"/>
  <c r="N52" i="5"/>
  <c r="L52" i="5"/>
  <c r="I52" i="5"/>
  <c r="H52" i="5"/>
  <c r="F52" i="5"/>
  <c r="C52" i="5"/>
  <c r="AC51" i="5"/>
  <c r="AD51" i="5" s="1"/>
  <c r="AA51" i="5"/>
  <c r="X51" i="5"/>
  <c r="W51" i="5"/>
  <c r="U51" i="5"/>
  <c r="R51" i="5"/>
  <c r="O51" i="5"/>
  <c r="N51" i="5"/>
  <c r="L51" i="5"/>
  <c r="H51" i="5"/>
  <c r="I51" i="5" s="1"/>
  <c r="F51" i="5"/>
  <c r="C51" i="5"/>
  <c r="AD50" i="5"/>
  <c r="AC50" i="5"/>
  <c r="AA50" i="5"/>
  <c r="X50" i="5"/>
  <c r="W50" i="5"/>
  <c r="U50" i="5"/>
  <c r="R50" i="5"/>
  <c r="N50" i="5"/>
  <c r="O50" i="5" s="1"/>
  <c r="L50" i="5"/>
  <c r="I50" i="5"/>
  <c r="H50" i="5"/>
  <c r="F50" i="5"/>
  <c r="C50" i="5"/>
  <c r="AD49" i="5"/>
  <c r="AC49" i="5"/>
  <c r="AA49" i="5"/>
  <c r="X49" i="5"/>
  <c r="W49" i="5"/>
  <c r="U49" i="5"/>
  <c r="R49" i="5"/>
  <c r="O49" i="5"/>
  <c r="N49" i="5"/>
  <c r="L49" i="5"/>
  <c r="H49" i="5"/>
  <c r="I49" i="5" s="1"/>
  <c r="F49" i="5"/>
  <c r="C49" i="5"/>
  <c r="AC48" i="5"/>
  <c r="AD48" i="5" s="1"/>
  <c r="AA48" i="5"/>
  <c r="W48" i="5"/>
  <c r="X48" i="5" s="1"/>
  <c r="U48" i="5"/>
  <c r="R48" i="5"/>
  <c r="O48" i="5"/>
  <c r="N48" i="5"/>
  <c r="L48" i="5"/>
  <c r="I48" i="5"/>
  <c r="H48" i="5"/>
  <c r="F48" i="5"/>
  <c r="C48" i="5"/>
  <c r="AC47" i="5"/>
  <c r="AD47" i="5" s="1"/>
  <c r="AA47" i="5"/>
  <c r="X47" i="5"/>
  <c r="W47" i="5"/>
  <c r="U47" i="5"/>
  <c r="R47" i="5"/>
  <c r="O47" i="5"/>
  <c r="N47" i="5"/>
  <c r="L47" i="5"/>
  <c r="H47" i="5"/>
  <c r="I47" i="5" s="1"/>
  <c r="F47" i="5"/>
  <c r="C47" i="5"/>
  <c r="AD46" i="5"/>
  <c r="AC46" i="5"/>
  <c r="AA46" i="5"/>
  <c r="X46" i="5"/>
  <c r="W46" i="5"/>
  <c r="U46" i="5"/>
  <c r="R46" i="5"/>
  <c r="N46" i="5"/>
  <c r="O46" i="5" s="1"/>
  <c r="L46" i="5"/>
  <c r="H46" i="5"/>
  <c r="I46" i="5" s="1"/>
  <c r="F46" i="5"/>
  <c r="C46" i="5"/>
  <c r="AD44" i="5"/>
  <c r="AC44" i="5"/>
  <c r="AA44" i="5"/>
  <c r="X44" i="5"/>
  <c r="W44" i="5"/>
  <c r="U44" i="5"/>
  <c r="R44" i="5"/>
  <c r="O44" i="5"/>
  <c r="N44" i="5"/>
  <c r="L44" i="5"/>
  <c r="H44" i="5"/>
  <c r="I44" i="5" s="1"/>
  <c r="F44" i="5"/>
  <c r="C44" i="5"/>
  <c r="AC43" i="5"/>
  <c r="AD43" i="5" s="1"/>
  <c r="AA43" i="5"/>
  <c r="W43" i="5"/>
  <c r="X43" i="5" s="1"/>
  <c r="U43" i="5"/>
  <c r="R43" i="5"/>
  <c r="O43" i="5"/>
  <c r="N43" i="5"/>
  <c r="L43" i="5"/>
  <c r="I43" i="5"/>
  <c r="H43" i="5"/>
  <c r="F43" i="5"/>
  <c r="C43" i="5"/>
  <c r="AC42" i="5"/>
  <c r="AD42" i="5" s="1"/>
  <c r="AA42" i="5"/>
  <c r="X42" i="5"/>
  <c r="W42" i="5"/>
  <c r="U42" i="5"/>
  <c r="R42" i="5"/>
  <c r="O42" i="5"/>
  <c r="N42" i="5"/>
  <c r="L42" i="5"/>
  <c r="H42" i="5"/>
  <c r="I42" i="5" s="1"/>
  <c r="F42" i="5"/>
  <c r="C42" i="5"/>
  <c r="AA40" i="5"/>
  <c r="Z40" i="5"/>
  <c r="U40" i="5"/>
  <c r="T40" i="5"/>
  <c r="R40" i="5"/>
  <c r="Q40" i="5"/>
  <c r="W40" i="5" s="1"/>
  <c r="X40" i="5" s="1"/>
  <c r="O40" i="5"/>
  <c r="N40" i="5"/>
  <c r="K40" i="5"/>
  <c r="L40" i="5" s="1"/>
  <c r="E40" i="5"/>
  <c r="F40" i="5" s="1"/>
  <c r="B40" i="5"/>
  <c r="AC39" i="5"/>
  <c r="AD39" i="5" s="1"/>
  <c r="AA39" i="5"/>
  <c r="W39" i="5"/>
  <c r="X39" i="5" s="1"/>
  <c r="U39" i="5"/>
  <c r="R39" i="5"/>
  <c r="O39" i="5"/>
  <c r="N39" i="5"/>
  <c r="L39" i="5"/>
  <c r="I39" i="5"/>
  <c r="H39" i="5"/>
  <c r="F39" i="5"/>
  <c r="C39" i="5"/>
  <c r="AC38" i="5"/>
  <c r="AD38" i="5" s="1"/>
  <c r="AA38" i="5"/>
  <c r="X38" i="5"/>
  <c r="W38" i="5"/>
  <c r="U38" i="5"/>
  <c r="R38" i="5"/>
  <c r="O38" i="5"/>
  <c r="N38" i="5"/>
  <c r="L38" i="5"/>
  <c r="H38" i="5"/>
  <c r="I38" i="5" s="1"/>
  <c r="F38" i="5"/>
  <c r="C38" i="5"/>
  <c r="AC37" i="5"/>
  <c r="AD37" i="5" s="1"/>
  <c r="AA37" i="5"/>
  <c r="X37" i="5"/>
  <c r="W37" i="5"/>
  <c r="U37" i="5"/>
  <c r="R37" i="5"/>
  <c r="N37" i="5"/>
  <c r="O37" i="5" s="1"/>
  <c r="L37" i="5"/>
  <c r="I37" i="5"/>
  <c r="H37" i="5"/>
  <c r="F37" i="5"/>
  <c r="C37" i="5"/>
  <c r="AD36" i="5"/>
  <c r="AC36" i="5"/>
  <c r="AA36" i="5"/>
  <c r="W36" i="5"/>
  <c r="X36" i="5" s="1"/>
  <c r="U36" i="5"/>
  <c r="R36" i="5"/>
  <c r="O36" i="5"/>
  <c r="N36" i="5"/>
  <c r="L36" i="5"/>
  <c r="I36" i="5"/>
  <c r="H36" i="5"/>
  <c r="F36" i="5"/>
  <c r="C36" i="5"/>
  <c r="AC35" i="5"/>
  <c r="AD35" i="5" s="1"/>
  <c r="AA35" i="5"/>
  <c r="W35" i="5"/>
  <c r="X35" i="5" s="1"/>
  <c r="U35" i="5"/>
  <c r="R35" i="5"/>
  <c r="O35" i="5"/>
  <c r="N35" i="5"/>
  <c r="L35" i="5"/>
  <c r="I35" i="5"/>
  <c r="H35" i="5"/>
  <c r="F35" i="5"/>
  <c r="C35" i="5"/>
  <c r="AD34" i="5"/>
  <c r="AC34" i="5"/>
  <c r="AA34" i="5"/>
  <c r="X34" i="5"/>
  <c r="W34" i="5"/>
  <c r="U34" i="5"/>
  <c r="R34" i="5"/>
  <c r="O34" i="5"/>
  <c r="N34" i="5"/>
  <c r="L34" i="5"/>
  <c r="H34" i="5"/>
  <c r="I34" i="5" s="1"/>
  <c r="F34" i="5"/>
  <c r="C34" i="5"/>
  <c r="AD33" i="5"/>
  <c r="AC33" i="5"/>
  <c r="AA33" i="5"/>
  <c r="X33" i="5"/>
  <c r="W33" i="5"/>
  <c r="U33" i="5"/>
  <c r="R33" i="5"/>
  <c r="N33" i="5"/>
  <c r="O33" i="5" s="1"/>
  <c r="L33" i="5"/>
  <c r="H33" i="5"/>
  <c r="I33" i="5" s="1"/>
  <c r="F33" i="5"/>
  <c r="C33" i="5"/>
  <c r="AD32" i="5"/>
  <c r="AC32" i="5"/>
  <c r="AA32" i="5"/>
  <c r="X32" i="5"/>
  <c r="W32" i="5"/>
  <c r="U32" i="5"/>
  <c r="R32" i="5"/>
  <c r="O32" i="5"/>
  <c r="N32" i="5"/>
  <c r="L32" i="5"/>
  <c r="H32" i="5"/>
  <c r="I32" i="5" s="1"/>
  <c r="F32" i="5"/>
  <c r="C32" i="5"/>
  <c r="AC31" i="5"/>
  <c r="AD31" i="5" s="1"/>
  <c r="AA31" i="5"/>
  <c r="W31" i="5"/>
  <c r="X31" i="5" s="1"/>
  <c r="U31" i="5"/>
  <c r="R31" i="5"/>
  <c r="O31" i="5"/>
  <c r="N31" i="5"/>
  <c r="L31" i="5"/>
  <c r="I31" i="5"/>
  <c r="H31" i="5"/>
  <c r="F31" i="5"/>
  <c r="C31" i="5"/>
  <c r="Z29" i="5"/>
  <c r="AA29" i="5" s="1"/>
  <c r="U29" i="5"/>
  <c r="T29" i="5"/>
  <c r="R29" i="5"/>
  <c r="Q29" i="5"/>
  <c r="L29" i="5"/>
  <c r="K29" i="5"/>
  <c r="E29" i="5"/>
  <c r="B29" i="5"/>
  <c r="C29" i="5" s="1"/>
  <c r="AD28" i="5"/>
  <c r="AC28" i="5"/>
  <c r="AA28" i="5"/>
  <c r="X28" i="5"/>
  <c r="W28" i="5"/>
  <c r="U28" i="5"/>
  <c r="R28" i="5"/>
  <c r="O28" i="5"/>
  <c r="N28" i="5"/>
  <c r="L28" i="5"/>
  <c r="H28" i="5"/>
  <c r="I28" i="5" s="1"/>
  <c r="F28" i="5"/>
  <c r="C28" i="5"/>
  <c r="AC27" i="5"/>
  <c r="AD27" i="5" s="1"/>
  <c r="AA27" i="5"/>
  <c r="W27" i="5"/>
  <c r="X27" i="5" s="1"/>
  <c r="U27" i="5"/>
  <c r="R27" i="5"/>
  <c r="O27" i="5"/>
  <c r="N27" i="5"/>
  <c r="L27" i="5"/>
  <c r="I27" i="5"/>
  <c r="H27" i="5"/>
  <c r="F27" i="5"/>
  <c r="C27" i="5"/>
  <c r="AC26" i="5"/>
  <c r="AD26" i="5" s="1"/>
  <c r="AA26" i="5"/>
  <c r="X26" i="5"/>
  <c r="W26" i="5"/>
  <c r="U26" i="5"/>
  <c r="R26" i="5"/>
  <c r="O26" i="5"/>
  <c r="N26" i="5"/>
  <c r="L26" i="5"/>
  <c r="H26" i="5"/>
  <c r="I26" i="5" s="1"/>
  <c r="F26" i="5"/>
  <c r="C26" i="5"/>
  <c r="AC25" i="5"/>
  <c r="AD25" i="5" s="1"/>
  <c r="AA25" i="5"/>
  <c r="X25" i="5"/>
  <c r="W25" i="5"/>
  <c r="U25" i="5"/>
  <c r="R25" i="5"/>
  <c r="N25" i="5"/>
  <c r="O25" i="5" s="1"/>
  <c r="L25" i="5"/>
  <c r="H25" i="5"/>
  <c r="I25" i="5" s="1"/>
  <c r="F25" i="5"/>
  <c r="C25" i="5"/>
  <c r="AD24" i="5"/>
  <c r="AC24" i="5"/>
  <c r="AA24" i="5"/>
  <c r="W24" i="5"/>
  <c r="X24" i="5" s="1"/>
  <c r="U24" i="5"/>
  <c r="R24" i="5"/>
  <c r="O24" i="5"/>
  <c r="N24" i="5"/>
  <c r="L24" i="5"/>
  <c r="I24" i="5"/>
  <c r="H24" i="5"/>
  <c r="F24" i="5"/>
  <c r="C24" i="5"/>
  <c r="AC23" i="5"/>
  <c r="AD23" i="5" s="1"/>
  <c r="AA23" i="5"/>
  <c r="W23" i="5"/>
  <c r="X23" i="5" s="1"/>
  <c r="U23" i="5"/>
  <c r="R23" i="5"/>
  <c r="O23" i="5"/>
  <c r="N23" i="5"/>
  <c r="L23" i="5"/>
  <c r="I23" i="5"/>
  <c r="H23" i="5"/>
  <c r="F23" i="5"/>
  <c r="C23" i="5"/>
  <c r="AD22" i="5"/>
  <c r="AC22" i="5"/>
  <c r="AA22" i="5"/>
  <c r="X22" i="5"/>
  <c r="W22" i="5"/>
  <c r="U22" i="5"/>
  <c r="R22" i="5"/>
  <c r="O22" i="5"/>
  <c r="N22" i="5"/>
  <c r="L22" i="5"/>
  <c r="H22" i="5"/>
  <c r="I22" i="5" s="1"/>
  <c r="F22" i="5"/>
  <c r="C22" i="5"/>
  <c r="AD21" i="5"/>
  <c r="AC21" i="5"/>
  <c r="AA21" i="5"/>
  <c r="X21" i="5"/>
  <c r="W21" i="5"/>
  <c r="U21" i="5"/>
  <c r="R21" i="5"/>
  <c r="N21" i="5"/>
  <c r="O21" i="5" s="1"/>
  <c r="L21" i="5"/>
  <c r="H21" i="5"/>
  <c r="I21" i="5" s="1"/>
  <c r="F21" i="5"/>
  <c r="C21" i="5"/>
  <c r="AD19" i="5"/>
  <c r="AC19" i="5"/>
  <c r="AA19" i="5"/>
  <c r="X19" i="5"/>
  <c r="W19" i="5"/>
  <c r="U19" i="5"/>
  <c r="R19" i="5"/>
  <c r="O19" i="5"/>
  <c r="N19" i="5"/>
  <c r="L19" i="5"/>
  <c r="H19" i="5"/>
  <c r="I19" i="5" s="1"/>
  <c r="F19" i="5"/>
  <c r="C19" i="5"/>
  <c r="AA18" i="5"/>
  <c r="Z18" i="5"/>
  <c r="U18" i="5"/>
  <c r="T18" i="5"/>
  <c r="Q18" i="5"/>
  <c r="L18" i="5"/>
  <c r="K18" i="5"/>
  <c r="I18" i="5"/>
  <c r="H18" i="5"/>
  <c r="E18" i="5"/>
  <c r="F18" i="5" s="1"/>
  <c r="C18" i="5"/>
  <c r="B18" i="5"/>
  <c r="AC17" i="5"/>
  <c r="AD17" i="5" s="1"/>
  <c r="AA17" i="5"/>
  <c r="X17" i="5"/>
  <c r="W17" i="5"/>
  <c r="U17" i="5"/>
  <c r="R17" i="5"/>
  <c r="N17" i="5"/>
  <c r="O17" i="5" s="1"/>
  <c r="L17" i="5"/>
  <c r="I17" i="5"/>
  <c r="H17" i="5"/>
  <c r="F17" i="5"/>
  <c r="C17" i="5"/>
  <c r="AD16" i="5"/>
  <c r="AC16" i="5"/>
  <c r="AA16" i="5"/>
  <c r="W16" i="5"/>
  <c r="X16" i="5" s="1"/>
  <c r="U16" i="5"/>
  <c r="R16" i="5"/>
  <c r="O16" i="5"/>
  <c r="N16" i="5"/>
  <c r="L16" i="5"/>
  <c r="H16" i="5"/>
  <c r="I16" i="5" s="1"/>
  <c r="F16" i="5"/>
  <c r="C16" i="5"/>
  <c r="AC15" i="5"/>
  <c r="AD15" i="5" s="1"/>
  <c r="AA15" i="5"/>
  <c r="W15" i="5"/>
  <c r="X15" i="5" s="1"/>
  <c r="U15" i="5"/>
  <c r="R15" i="5"/>
  <c r="O15" i="5"/>
  <c r="N15" i="5"/>
  <c r="L15" i="5"/>
  <c r="I15" i="5"/>
  <c r="H15" i="5"/>
  <c r="F15" i="5"/>
  <c r="C15" i="5"/>
  <c r="AD14" i="5"/>
  <c r="AC14" i="5"/>
  <c r="AA14" i="5"/>
  <c r="X14" i="5"/>
  <c r="W14" i="5"/>
  <c r="U14" i="5"/>
  <c r="R14" i="5"/>
  <c r="N14" i="5"/>
  <c r="O14" i="5" s="1"/>
  <c r="L14" i="5"/>
  <c r="H14" i="5"/>
  <c r="I14" i="5" s="1"/>
  <c r="F14" i="5"/>
  <c r="C14" i="5"/>
  <c r="AD13" i="5"/>
  <c r="AC13" i="5"/>
  <c r="AA13" i="5"/>
  <c r="X13" i="5"/>
  <c r="W13" i="5"/>
  <c r="U13" i="5"/>
  <c r="R13" i="5"/>
  <c r="N13" i="5"/>
  <c r="O13" i="5" s="1"/>
  <c r="L13" i="5"/>
  <c r="H13" i="5"/>
  <c r="I13" i="5" s="1"/>
  <c r="F13" i="5"/>
  <c r="C13" i="5"/>
  <c r="AD12" i="5"/>
  <c r="AC12" i="5"/>
  <c r="AA12" i="5"/>
  <c r="X12" i="5"/>
  <c r="W12" i="5"/>
  <c r="U12" i="5"/>
  <c r="R12" i="5"/>
  <c r="O12" i="5"/>
  <c r="N12" i="5"/>
  <c r="L12" i="5"/>
  <c r="H12" i="5"/>
  <c r="I12" i="5" s="1"/>
  <c r="F12" i="5"/>
  <c r="C12" i="5"/>
  <c r="AC11" i="5"/>
  <c r="AD11" i="5" s="1"/>
  <c r="AA11" i="5"/>
  <c r="W11" i="5"/>
  <c r="X11" i="5" s="1"/>
  <c r="U11" i="5"/>
  <c r="R11" i="5"/>
  <c r="O11" i="5"/>
  <c r="N11" i="5"/>
  <c r="L11" i="5"/>
  <c r="I11" i="5"/>
  <c r="H11" i="5"/>
  <c r="F11" i="5"/>
  <c r="C11" i="5"/>
  <c r="AC10" i="5"/>
  <c r="AD10" i="5" s="1"/>
  <c r="AA10" i="5"/>
  <c r="X10" i="5"/>
  <c r="W10" i="5"/>
  <c r="U10" i="5"/>
  <c r="R10" i="5"/>
  <c r="O10" i="5"/>
  <c r="N10" i="5"/>
  <c r="L10" i="5"/>
  <c r="H10" i="5"/>
  <c r="I10" i="5" s="1"/>
  <c r="F10" i="5"/>
  <c r="C10" i="5"/>
  <c r="AC8" i="5"/>
  <c r="AD8" i="5" s="1"/>
  <c r="AA8" i="5"/>
  <c r="X8" i="5"/>
  <c r="W8" i="5"/>
  <c r="U8" i="5"/>
  <c r="R8" i="5"/>
  <c r="N8" i="5"/>
  <c r="O8" i="5" s="1"/>
  <c r="L8" i="5"/>
  <c r="H8" i="5"/>
  <c r="I8" i="5" s="1"/>
  <c r="F8" i="5"/>
  <c r="C8" i="5"/>
  <c r="AC445" i="4"/>
  <c r="W445" i="4"/>
  <c r="N445" i="4"/>
  <c r="O440" i="4" s="1"/>
  <c r="H445" i="4"/>
  <c r="Z443" i="4"/>
  <c r="AA443" i="4" s="1"/>
  <c r="X443" i="4"/>
  <c r="W443" i="4"/>
  <c r="T443" i="4"/>
  <c r="U443" i="4" s="1"/>
  <c r="R443" i="4"/>
  <c r="Q443" i="4"/>
  <c r="K443" i="4"/>
  <c r="N443" i="4" s="1"/>
  <c r="O443" i="4" s="1"/>
  <c r="H443" i="4"/>
  <c r="I443" i="4" s="1"/>
  <c r="F443" i="4"/>
  <c r="E443" i="4"/>
  <c r="C443" i="4"/>
  <c r="B443" i="4"/>
  <c r="Z442" i="4"/>
  <c r="AA442" i="4" s="1"/>
  <c r="T442" i="4"/>
  <c r="U442" i="4" s="1"/>
  <c r="R442" i="4"/>
  <c r="Q442" i="4"/>
  <c r="AC442" i="4" s="1"/>
  <c r="AD442" i="4" s="1"/>
  <c r="L442" i="4"/>
  <c r="K442" i="4"/>
  <c r="E442" i="4"/>
  <c r="F442" i="4" s="1"/>
  <c r="B442" i="4"/>
  <c r="AD441" i="4"/>
  <c r="AC441" i="4"/>
  <c r="AA441" i="4"/>
  <c r="W441" i="4"/>
  <c r="X441" i="4" s="1"/>
  <c r="U441" i="4"/>
  <c r="R441" i="4"/>
  <c r="O441" i="4"/>
  <c r="N441" i="4"/>
  <c r="L441" i="4"/>
  <c r="I441" i="4"/>
  <c r="H441" i="4"/>
  <c r="F441" i="4"/>
  <c r="C441" i="4"/>
  <c r="AC440" i="4"/>
  <c r="AD440" i="4" s="1"/>
  <c r="AA440" i="4"/>
  <c r="W440" i="4"/>
  <c r="X440" i="4" s="1"/>
  <c r="U440" i="4"/>
  <c r="R440" i="4"/>
  <c r="N440" i="4"/>
  <c r="L440" i="4"/>
  <c r="H440" i="4"/>
  <c r="F440" i="4"/>
  <c r="C440" i="4"/>
  <c r="AC439" i="4"/>
  <c r="AD439" i="4" s="1"/>
  <c r="AA439" i="4"/>
  <c r="X439" i="4"/>
  <c r="W439" i="4"/>
  <c r="U439" i="4"/>
  <c r="R439" i="4"/>
  <c r="N439" i="4"/>
  <c r="O439" i="4" s="1"/>
  <c r="L439" i="4"/>
  <c r="I439" i="4"/>
  <c r="H439" i="4"/>
  <c r="F439" i="4"/>
  <c r="C439" i="4"/>
  <c r="AD438" i="4"/>
  <c r="AC438" i="4"/>
  <c r="AA438" i="4"/>
  <c r="X438" i="4"/>
  <c r="W438" i="4"/>
  <c r="U438" i="4"/>
  <c r="R438" i="4"/>
  <c r="N438" i="4"/>
  <c r="O438" i="4" s="1"/>
  <c r="L438" i="4"/>
  <c r="H438" i="4"/>
  <c r="I438" i="4" s="1"/>
  <c r="F438" i="4"/>
  <c r="C438" i="4"/>
  <c r="AD437" i="4"/>
  <c r="AC437" i="4"/>
  <c r="AA437" i="4"/>
  <c r="X437" i="4"/>
  <c r="W437" i="4"/>
  <c r="U437" i="4"/>
  <c r="R437" i="4"/>
  <c r="O437" i="4"/>
  <c r="N437" i="4"/>
  <c r="L437" i="4"/>
  <c r="H437" i="4"/>
  <c r="I437" i="4" s="1"/>
  <c r="F437" i="4"/>
  <c r="C437" i="4"/>
  <c r="AD436" i="4"/>
  <c r="AC436" i="4"/>
  <c r="AA436" i="4"/>
  <c r="W436" i="4"/>
  <c r="X436" i="4" s="1"/>
  <c r="U436" i="4"/>
  <c r="R436" i="4"/>
  <c r="N436" i="4"/>
  <c r="O436" i="4" s="1"/>
  <c r="L436" i="4"/>
  <c r="I436" i="4"/>
  <c r="H436" i="4"/>
  <c r="F436" i="4"/>
  <c r="C436" i="4"/>
  <c r="AD435" i="4"/>
  <c r="AC435" i="4"/>
  <c r="AA435" i="4"/>
  <c r="X435" i="4"/>
  <c r="W435" i="4"/>
  <c r="U435" i="4"/>
  <c r="R435" i="4"/>
  <c r="O435" i="4"/>
  <c r="N435" i="4"/>
  <c r="L435" i="4"/>
  <c r="H435" i="4"/>
  <c r="I435" i="4" s="1"/>
  <c r="F435" i="4"/>
  <c r="C435" i="4"/>
  <c r="AD434" i="4"/>
  <c r="AC434" i="4"/>
  <c r="AA434" i="4"/>
  <c r="W434" i="4"/>
  <c r="X434" i="4" s="1"/>
  <c r="U434" i="4"/>
  <c r="R434" i="4"/>
  <c r="N434" i="4"/>
  <c r="O434" i="4" s="1"/>
  <c r="L434" i="4"/>
  <c r="I434" i="4"/>
  <c r="H434" i="4"/>
  <c r="F434" i="4"/>
  <c r="C434" i="4"/>
  <c r="AD433" i="4"/>
  <c r="AC433" i="4"/>
  <c r="AA433" i="4"/>
  <c r="X433" i="4"/>
  <c r="W433" i="4"/>
  <c r="U433" i="4"/>
  <c r="R433" i="4"/>
  <c r="N433" i="4"/>
  <c r="L433" i="4"/>
  <c r="H433" i="4"/>
  <c r="I433" i="4" s="1"/>
  <c r="F433" i="4"/>
  <c r="C433" i="4"/>
  <c r="AA430" i="4"/>
  <c r="Z430" i="4"/>
  <c r="W430" i="4"/>
  <c r="X430" i="4" s="1"/>
  <c r="U430" i="4"/>
  <c r="T430" i="4"/>
  <c r="Q430" i="4"/>
  <c r="R430" i="4" s="1"/>
  <c r="L430" i="4"/>
  <c r="K430" i="4"/>
  <c r="H430" i="4"/>
  <c r="I430" i="4" s="1"/>
  <c r="F430" i="4"/>
  <c r="E430" i="4"/>
  <c r="C430" i="4"/>
  <c r="B430" i="4"/>
  <c r="N430" i="4" s="1"/>
  <c r="O430" i="4" s="1"/>
  <c r="Z429" i="4"/>
  <c r="AA429" i="4" s="1"/>
  <c r="X429" i="4"/>
  <c r="U429" i="4"/>
  <c r="T429" i="4"/>
  <c r="R429" i="4"/>
  <c r="Q429" i="4"/>
  <c r="W429" i="4" s="1"/>
  <c r="L429" i="4"/>
  <c r="K429" i="4"/>
  <c r="F429" i="4"/>
  <c r="E429" i="4"/>
  <c r="B429" i="4"/>
  <c r="N429" i="4" s="1"/>
  <c r="O429" i="4" s="1"/>
  <c r="AD428" i="4"/>
  <c r="AC428" i="4"/>
  <c r="AA428" i="4"/>
  <c r="W428" i="4"/>
  <c r="X428" i="4" s="1"/>
  <c r="U428" i="4"/>
  <c r="R428" i="4"/>
  <c r="N428" i="4"/>
  <c r="O428" i="4" s="1"/>
  <c r="L428" i="4"/>
  <c r="I428" i="4"/>
  <c r="H428" i="4"/>
  <c r="F428" i="4"/>
  <c r="C428" i="4"/>
  <c r="AD427" i="4"/>
  <c r="AC427" i="4"/>
  <c r="AA427" i="4"/>
  <c r="X427" i="4"/>
  <c r="W427" i="4"/>
  <c r="U427" i="4"/>
  <c r="R427" i="4"/>
  <c r="O427" i="4"/>
  <c r="N427" i="4"/>
  <c r="L427" i="4"/>
  <c r="I427" i="4"/>
  <c r="H427" i="4"/>
  <c r="F427" i="4"/>
  <c r="C427" i="4"/>
  <c r="AC426" i="4"/>
  <c r="AD426" i="4" s="1"/>
  <c r="AA426" i="4"/>
  <c r="X426" i="4"/>
  <c r="W426" i="4"/>
  <c r="U426" i="4"/>
  <c r="R426" i="4"/>
  <c r="N426" i="4"/>
  <c r="L426" i="4"/>
  <c r="I426" i="4"/>
  <c r="H426" i="4"/>
  <c r="F426" i="4"/>
  <c r="C426" i="4"/>
  <c r="AD425" i="4"/>
  <c r="AC425" i="4"/>
  <c r="AA425" i="4"/>
  <c r="W425" i="4"/>
  <c r="X425" i="4" s="1"/>
  <c r="U425" i="4"/>
  <c r="R425" i="4"/>
  <c r="O425" i="4"/>
  <c r="N425" i="4"/>
  <c r="L425" i="4"/>
  <c r="H425" i="4"/>
  <c r="I425" i="4" s="1"/>
  <c r="F425" i="4"/>
  <c r="C425" i="4"/>
  <c r="AD424" i="4"/>
  <c r="AC424" i="4"/>
  <c r="AA424" i="4"/>
  <c r="W424" i="4"/>
  <c r="X424" i="4" s="1"/>
  <c r="U424" i="4"/>
  <c r="R424" i="4"/>
  <c r="N424" i="4"/>
  <c r="O424" i="4" s="1"/>
  <c r="L424" i="4"/>
  <c r="I424" i="4"/>
  <c r="H424" i="4"/>
  <c r="F424" i="4"/>
  <c r="C424" i="4"/>
  <c r="AC423" i="4"/>
  <c r="AD423" i="4" s="1"/>
  <c r="AA423" i="4"/>
  <c r="W423" i="4"/>
  <c r="X423" i="4" s="1"/>
  <c r="U423" i="4"/>
  <c r="R423" i="4"/>
  <c r="N423" i="4"/>
  <c r="O423" i="4" s="1"/>
  <c r="L423" i="4"/>
  <c r="I423" i="4"/>
  <c r="H423" i="4"/>
  <c r="F423" i="4"/>
  <c r="C423" i="4"/>
  <c r="AD422" i="4"/>
  <c r="AC422" i="4"/>
  <c r="AA422" i="4"/>
  <c r="X422" i="4"/>
  <c r="W422" i="4"/>
  <c r="U422" i="4"/>
  <c r="R422" i="4"/>
  <c r="N422" i="4"/>
  <c r="O422" i="4" s="1"/>
  <c r="L422" i="4"/>
  <c r="H422" i="4"/>
  <c r="I422" i="4" s="1"/>
  <c r="F422" i="4"/>
  <c r="C422" i="4"/>
  <c r="AD421" i="4"/>
  <c r="AC421" i="4"/>
  <c r="AA421" i="4"/>
  <c r="X421" i="4"/>
  <c r="W421" i="4"/>
  <c r="U421" i="4"/>
  <c r="R421" i="4"/>
  <c r="O421" i="4"/>
  <c r="N421" i="4"/>
  <c r="L421" i="4"/>
  <c r="H421" i="4"/>
  <c r="I421" i="4" s="1"/>
  <c r="F421" i="4"/>
  <c r="C421" i="4"/>
  <c r="AD420" i="4"/>
  <c r="AC420" i="4"/>
  <c r="AA420" i="4"/>
  <c r="W420" i="4"/>
  <c r="X420" i="4" s="1"/>
  <c r="U420" i="4"/>
  <c r="R420" i="4"/>
  <c r="N420" i="4"/>
  <c r="O420" i="4" s="1"/>
  <c r="L420" i="4"/>
  <c r="I420" i="4"/>
  <c r="H420" i="4"/>
  <c r="F420" i="4"/>
  <c r="C420" i="4"/>
  <c r="AD419" i="4"/>
  <c r="AC419" i="4"/>
  <c r="AA419" i="4"/>
  <c r="X419" i="4"/>
  <c r="W419" i="4"/>
  <c r="U419" i="4"/>
  <c r="R419" i="4"/>
  <c r="N419" i="4"/>
  <c r="O419" i="4" s="1"/>
  <c r="L419" i="4"/>
  <c r="H419" i="4"/>
  <c r="I419" i="4" s="1"/>
  <c r="F419" i="4"/>
  <c r="C419" i="4"/>
  <c r="AD418" i="4"/>
  <c r="AC418" i="4"/>
  <c r="AA418" i="4"/>
  <c r="W418" i="4"/>
  <c r="X418" i="4" s="1"/>
  <c r="U418" i="4"/>
  <c r="R418" i="4"/>
  <c r="N418" i="4"/>
  <c r="O418" i="4" s="1"/>
  <c r="L418" i="4"/>
  <c r="I418" i="4"/>
  <c r="H418" i="4"/>
  <c r="F418" i="4"/>
  <c r="C418" i="4"/>
  <c r="AD417" i="4"/>
  <c r="AC417" i="4"/>
  <c r="AA417" i="4"/>
  <c r="X417" i="4"/>
  <c r="W417" i="4"/>
  <c r="U417" i="4"/>
  <c r="R417" i="4"/>
  <c r="N417" i="4"/>
  <c r="O417" i="4" s="1"/>
  <c r="L417" i="4"/>
  <c r="I417" i="4"/>
  <c r="H417" i="4"/>
  <c r="F417" i="4"/>
  <c r="C417" i="4"/>
  <c r="AC416" i="4"/>
  <c r="AD416" i="4" s="1"/>
  <c r="AA416" i="4"/>
  <c r="W416" i="4"/>
  <c r="X416" i="4" s="1"/>
  <c r="U416" i="4"/>
  <c r="R416" i="4"/>
  <c r="O416" i="4"/>
  <c r="N416" i="4"/>
  <c r="L416" i="4"/>
  <c r="H416" i="4"/>
  <c r="F416" i="4"/>
  <c r="C416" i="4"/>
  <c r="AC415" i="4"/>
  <c r="AD415" i="4" s="1"/>
  <c r="AA415" i="4"/>
  <c r="W415" i="4"/>
  <c r="X415" i="4" s="1"/>
  <c r="U415" i="4"/>
  <c r="R415" i="4"/>
  <c r="N415" i="4"/>
  <c r="O415" i="4" s="1"/>
  <c r="L415" i="4"/>
  <c r="I415" i="4"/>
  <c r="H415" i="4"/>
  <c r="F415" i="4"/>
  <c r="C415" i="4"/>
  <c r="AD414" i="4"/>
  <c r="AC414" i="4"/>
  <c r="AA414" i="4"/>
  <c r="W414" i="4"/>
  <c r="X414" i="4" s="1"/>
  <c r="U414" i="4"/>
  <c r="R414" i="4"/>
  <c r="N414" i="4"/>
  <c r="O414" i="4" s="1"/>
  <c r="L414" i="4"/>
  <c r="H414" i="4"/>
  <c r="I414" i="4" s="1"/>
  <c r="F414" i="4"/>
  <c r="C414" i="4"/>
  <c r="AD413" i="4"/>
  <c r="AC413" i="4"/>
  <c r="AA413" i="4"/>
  <c r="X413" i="4"/>
  <c r="W413" i="4"/>
  <c r="U413" i="4"/>
  <c r="R413" i="4"/>
  <c r="O413" i="4"/>
  <c r="N413" i="4"/>
  <c r="L413" i="4"/>
  <c r="I413" i="4"/>
  <c r="H413" i="4"/>
  <c r="F413" i="4"/>
  <c r="C413" i="4"/>
  <c r="AD412" i="4"/>
  <c r="AC412" i="4"/>
  <c r="AA412" i="4"/>
  <c r="W412" i="4"/>
  <c r="X412" i="4" s="1"/>
  <c r="U412" i="4"/>
  <c r="R412" i="4"/>
  <c r="N412" i="4"/>
  <c r="O412" i="4" s="1"/>
  <c r="L412" i="4"/>
  <c r="I412" i="4"/>
  <c r="H412" i="4"/>
  <c r="F412" i="4"/>
  <c r="C412" i="4"/>
  <c r="AD411" i="4"/>
  <c r="AC411" i="4"/>
  <c r="AA411" i="4"/>
  <c r="X411" i="4"/>
  <c r="W411" i="4"/>
  <c r="U411" i="4"/>
  <c r="R411" i="4"/>
  <c r="O411" i="4"/>
  <c r="N411" i="4"/>
  <c r="L411" i="4"/>
  <c r="H411" i="4"/>
  <c r="I411" i="4" s="1"/>
  <c r="F411" i="4"/>
  <c r="C411" i="4"/>
  <c r="AC410" i="4"/>
  <c r="AD410" i="4" s="1"/>
  <c r="AA410" i="4"/>
  <c r="X410" i="4"/>
  <c r="W410" i="4"/>
  <c r="U410" i="4"/>
  <c r="R410" i="4"/>
  <c r="N410" i="4"/>
  <c r="L410" i="4"/>
  <c r="H410" i="4"/>
  <c r="I410" i="4" s="1"/>
  <c r="F410" i="4"/>
  <c r="C410" i="4"/>
  <c r="AD409" i="4"/>
  <c r="AC409" i="4"/>
  <c r="AA409" i="4"/>
  <c r="W409" i="4"/>
  <c r="X409" i="4" s="1"/>
  <c r="U409" i="4"/>
  <c r="R409" i="4"/>
  <c r="O409" i="4"/>
  <c r="N409" i="4"/>
  <c r="L409" i="4"/>
  <c r="H409" i="4"/>
  <c r="I409" i="4" s="1"/>
  <c r="F409" i="4"/>
  <c r="C409" i="4"/>
  <c r="AC408" i="4"/>
  <c r="AD408" i="4" s="1"/>
  <c r="AA408" i="4"/>
  <c r="W408" i="4"/>
  <c r="X408" i="4" s="1"/>
  <c r="U408" i="4"/>
  <c r="R408" i="4"/>
  <c r="O408" i="4"/>
  <c r="N408" i="4"/>
  <c r="L408" i="4"/>
  <c r="I408" i="4"/>
  <c r="H408" i="4"/>
  <c r="F408" i="4"/>
  <c r="C408" i="4"/>
  <c r="Z404" i="4"/>
  <c r="AA404" i="4" s="1"/>
  <c r="X404" i="4"/>
  <c r="W404" i="4"/>
  <c r="T404" i="4"/>
  <c r="U404" i="4" s="1"/>
  <c r="R404" i="4"/>
  <c r="Q404" i="4"/>
  <c r="L404" i="4"/>
  <c r="K404" i="4"/>
  <c r="F404" i="4"/>
  <c r="E404" i="4"/>
  <c r="B404" i="4"/>
  <c r="H404" i="4" s="1"/>
  <c r="I404" i="4" s="1"/>
  <c r="AD403" i="4"/>
  <c r="AC403" i="4"/>
  <c r="AA403" i="4"/>
  <c r="W403" i="4"/>
  <c r="X403" i="4" s="1"/>
  <c r="U403" i="4"/>
  <c r="R403" i="4"/>
  <c r="N403" i="4"/>
  <c r="O403" i="4" s="1"/>
  <c r="L403" i="4"/>
  <c r="H403" i="4"/>
  <c r="I403" i="4" s="1"/>
  <c r="F403" i="4"/>
  <c r="C403" i="4"/>
  <c r="AD402" i="4"/>
  <c r="AC402" i="4"/>
  <c r="AA402" i="4"/>
  <c r="X402" i="4"/>
  <c r="W402" i="4"/>
  <c r="U402" i="4"/>
  <c r="R402" i="4"/>
  <c r="N402" i="4"/>
  <c r="O402" i="4" s="1"/>
  <c r="L402" i="4"/>
  <c r="I402" i="4"/>
  <c r="H402" i="4"/>
  <c r="F402" i="4"/>
  <c r="C402" i="4"/>
  <c r="AD401" i="4"/>
  <c r="AC401" i="4"/>
  <c r="AA401" i="4"/>
  <c r="X401" i="4"/>
  <c r="W401" i="4"/>
  <c r="U401" i="4"/>
  <c r="R401" i="4"/>
  <c r="N401" i="4"/>
  <c r="O401" i="4" s="1"/>
  <c r="L401" i="4"/>
  <c r="I401" i="4"/>
  <c r="H401" i="4"/>
  <c r="F401" i="4"/>
  <c r="C401" i="4"/>
  <c r="AD400" i="4"/>
  <c r="AC400" i="4"/>
  <c r="AA400" i="4"/>
  <c r="W400" i="4"/>
  <c r="X400" i="4" s="1"/>
  <c r="U400" i="4"/>
  <c r="R400" i="4"/>
  <c r="O400" i="4"/>
  <c r="N400" i="4"/>
  <c r="L400" i="4"/>
  <c r="H400" i="4"/>
  <c r="F400" i="4"/>
  <c r="C400" i="4"/>
  <c r="AD399" i="4"/>
  <c r="AC399" i="4"/>
  <c r="AA399" i="4"/>
  <c r="X399" i="4"/>
  <c r="W399" i="4"/>
  <c r="U399" i="4"/>
  <c r="R399" i="4"/>
  <c r="N399" i="4"/>
  <c r="O399" i="4" s="1"/>
  <c r="L399" i="4"/>
  <c r="H399" i="4"/>
  <c r="I399" i="4" s="1"/>
  <c r="F399" i="4"/>
  <c r="C399" i="4"/>
  <c r="AD398" i="4"/>
  <c r="AC398" i="4"/>
  <c r="AA398" i="4"/>
  <c r="X398" i="4"/>
  <c r="W398" i="4"/>
  <c r="U398" i="4"/>
  <c r="R398" i="4"/>
  <c r="N398" i="4"/>
  <c r="L398" i="4"/>
  <c r="H398" i="4"/>
  <c r="I398" i="4" s="1"/>
  <c r="F398" i="4"/>
  <c r="C398" i="4"/>
  <c r="Z397" i="4"/>
  <c r="AA397" i="4" s="1"/>
  <c r="T397" i="4"/>
  <c r="R397" i="4"/>
  <c r="Q397" i="4"/>
  <c r="AC397" i="4" s="1"/>
  <c r="AD397" i="4" s="1"/>
  <c r="L397" i="4"/>
  <c r="K397" i="4"/>
  <c r="I397" i="4"/>
  <c r="H397" i="4"/>
  <c r="F397" i="4"/>
  <c r="E397" i="4"/>
  <c r="B397" i="4"/>
  <c r="C397" i="4" s="1"/>
  <c r="AD396" i="4"/>
  <c r="AC396" i="4"/>
  <c r="AA396" i="4"/>
  <c r="X396" i="4"/>
  <c r="W396" i="4"/>
  <c r="U396" i="4"/>
  <c r="R396" i="4"/>
  <c r="N396" i="4"/>
  <c r="O396" i="4" s="1"/>
  <c r="L396" i="4"/>
  <c r="I396" i="4"/>
  <c r="H396" i="4"/>
  <c r="F396" i="4"/>
  <c r="C396" i="4"/>
  <c r="AC395" i="4"/>
  <c r="AD395" i="4" s="1"/>
  <c r="AA395" i="4"/>
  <c r="X395" i="4"/>
  <c r="W395" i="4"/>
  <c r="U395" i="4"/>
  <c r="R395" i="4"/>
  <c r="N395" i="4"/>
  <c r="O395" i="4" s="1"/>
  <c r="L395" i="4"/>
  <c r="H395" i="4"/>
  <c r="I395" i="4" s="1"/>
  <c r="F395" i="4"/>
  <c r="C395" i="4"/>
  <c r="AA394" i="4"/>
  <c r="Z394" i="4"/>
  <c r="U394" i="4"/>
  <c r="T394" i="4"/>
  <c r="W394" i="4" s="1"/>
  <c r="X394" i="4" s="1"/>
  <c r="R394" i="4"/>
  <c r="Q394" i="4"/>
  <c r="AC394" i="4" s="1"/>
  <c r="AD394" i="4" s="1"/>
  <c r="K394" i="4"/>
  <c r="L394" i="4" s="1"/>
  <c r="F394" i="4"/>
  <c r="E394" i="4"/>
  <c r="B394" i="4"/>
  <c r="AC393" i="4"/>
  <c r="AD393" i="4" s="1"/>
  <c r="AA393" i="4"/>
  <c r="W393" i="4"/>
  <c r="X393" i="4" s="1"/>
  <c r="U393" i="4"/>
  <c r="R393" i="4"/>
  <c r="O393" i="4"/>
  <c r="N393" i="4"/>
  <c r="L393" i="4"/>
  <c r="I393" i="4"/>
  <c r="H393" i="4"/>
  <c r="F393" i="4"/>
  <c r="C393" i="4"/>
  <c r="AC392" i="4"/>
  <c r="AD392" i="4" s="1"/>
  <c r="AA392" i="4"/>
  <c r="W392" i="4"/>
  <c r="X392" i="4" s="1"/>
  <c r="U392" i="4"/>
  <c r="R392" i="4"/>
  <c r="N392" i="4"/>
  <c r="O392" i="4" s="1"/>
  <c r="L392" i="4"/>
  <c r="I392" i="4"/>
  <c r="H392" i="4"/>
  <c r="F392" i="4"/>
  <c r="C392" i="4"/>
  <c r="AD391" i="4"/>
  <c r="AC391" i="4"/>
  <c r="AA391" i="4"/>
  <c r="X391" i="4"/>
  <c r="W391" i="4"/>
  <c r="U391" i="4"/>
  <c r="R391" i="4"/>
  <c r="N391" i="4"/>
  <c r="O391" i="4" s="1"/>
  <c r="L391" i="4"/>
  <c r="I391" i="4"/>
  <c r="H391" i="4"/>
  <c r="F391" i="4"/>
  <c r="C391" i="4"/>
  <c r="AC390" i="4"/>
  <c r="AD390" i="4" s="1"/>
  <c r="AA390" i="4"/>
  <c r="W390" i="4"/>
  <c r="X390" i="4" s="1"/>
  <c r="U390" i="4"/>
  <c r="R390" i="4"/>
  <c r="O390" i="4"/>
  <c r="N390" i="4"/>
  <c r="L390" i="4"/>
  <c r="I390" i="4"/>
  <c r="H390" i="4"/>
  <c r="F390" i="4"/>
  <c r="C390" i="4"/>
  <c r="AD389" i="4"/>
  <c r="AC389" i="4"/>
  <c r="AA389" i="4"/>
  <c r="W389" i="4"/>
  <c r="X389" i="4" s="1"/>
  <c r="U389" i="4"/>
  <c r="R389" i="4"/>
  <c r="O389" i="4"/>
  <c r="N389" i="4"/>
  <c r="L389" i="4"/>
  <c r="H389" i="4"/>
  <c r="I389" i="4" s="1"/>
  <c r="F389" i="4"/>
  <c r="C389" i="4"/>
  <c r="AD387" i="4"/>
  <c r="AC387" i="4"/>
  <c r="AA387" i="4"/>
  <c r="X387" i="4"/>
  <c r="W387" i="4"/>
  <c r="U387" i="4"/>
  <c r="R387" i="4"/>
  <c r="N387" i="4"/>
  <c r="O387" i="4" s="1"/>
  <c r="L387" i="4"/>
  <c r="H387" i="4"/>
  <c r="I387" i="4" s="1"/>
  <c r="F387" i="4"/>
  <c r="C387" i="4"/>
  <c r="AD386" i="4"/>
  <c r="AC386" i="4"/>
  <c r="AA386" i="4"/>
  <c r="X386" i="4"/>
  <c r="W386" i="4"/>
  <c r="U386" i="4"/>
  <c r="R386" i="4"/>
  <c r="N386" i="4"/>
  <c r="O386" i="4" s="1"/>
  <c r="L386" i="4"/>
  <c r="H386" i="4"/>
  <c r="I386" i="4" s="1"/>
  <c r="F386" i="4"/>
  <c r="C386" i="4"/>
  <c r="AD384" i="4"/>
  <c r="AC384" i="4"/>
  <c r="AA384" i="4"/>
  <c r="W384" i="4"/>
  <c r="X384" i="4" s="1"/>
  <c r="U384" i="4"/>
  <c r="R384" i="4"/>
  <c r="O384" i="4"/>
  <c r="N384" i="4"/>
  <c r="L384" i="4"/>
  <c r="H384" i="4"/>
  <c r="F384" i="4"/>
  <c r="C384" i="4"/>
  <c r="AC383" i="4"/>
  <c r="AD383" i="4" s="1"/>
  <c r="AA383" i="4"/>
  <c r="X383" i="4"/>
  <c r="W383" i="4"/>
  <c r="U383" i="4"/>
  <c r="R383" i="4"/>
  <c r="O383" i="4"/>
  <c r="N383" i="4"/>
  <c r="L383" i="4"/>
  <c r="H383" i="4"/>
  <c r="I383" i="4" s="1"/>
  <c r="F383" i="4"/>
  <c r="C383" i="4"/>
  <c r="AD382" i="4"/>
  <c r="AC382" i="4"/>
  <c r="AA382" i="4"/>
  <c r="X382" i="4"/>
  <c r="W382" i="4"/>
  <c r="U382" i="4"/>
  <c r="R382" i="4"/>
  <c r="N382" i="4"/>
  <c r="L382" i="4"/>
  <c r="I382" i="4"/>
  <c r="H382" i="4"/>
  <c r="F382" i="4"/>
  <c r="C382" i="4"/>
  <c r="AD381" i="4"/>
  <c r="AC381" i="4"/>
  <c r="AA381" i="4"/>
  <c r="X381" i="4"/>
  <c r="W381" i="4"/>
  <c r="U381" i="4"/>
  <c r="R381" i="4"/>
  <c r="N381" i="4"/>
  <c r="O381" i="4" s="1"/>
  <c r="L381" i="4"/>
  <c r="H381" i="4"/>
  <c r="I381" i="4" s="1"/>
  <c r="F381" i="4"/>
  <c r="C381" i="4"/>
  <c r="AC380" i="4"/>
  <c r="AD380" i="4" s="1"/>
  <c r="AA380" i="4"/>
  <c r="W380" i="4"/>
  <c r="X380" i="4" s="1"/>
  <c r="U380" i="4"/>
  <c r="R380" i="4"/>
  <c r="O380" i="4"/>
  <c r="N380" i="4"/>
  <c r="L380" i="4"/>
  <c r="I380" i="4"/>
  <c r="H380" i="4"/>
  <c r="F380" i="4"/>
  <c r="C380" i="4"/>
  <c r="AC379" i="4"/>
  <c r="AD379" i="4" s="1"/>
  <c r="AA379" i="4"/>
  <c r="W379" i="4"/>
  <c r="X379" i="4" s="1"/>
  <c r="U379" i="4"/>
  <c r="R379" i="4"/>
  <c r="N379" i="4"/>
  <c r="O379" i="4" s="1"/>
  <c r="L379" i="4"/>
  <c r="I379" i="4"/>
  <c r="H379" i="4"/>
  <c r="F379" i="4"/>
  <c r="C379" i="4"/>
  <c r="AC378" i="4"/>
  <c r="AD378" i="4" s="1"/>
  <c r="AA378" i="4"/>
  <c r="X378" i="4"/>
  <c r="W378" i="4"/>
  <c r="U378" i="4"/>
  <c r="R378" i="4"/>
  <c r="N378" i="4"/>
  <c r="L378" i="4"/>
  <c r="H378" i="4"/>
  <c r="I378" i="4" s="1"/>
  <c r="F378" i="4"/>
  <c r="C378" i="4"/>
  <c r="AD377" i="4"/>
  <c r="AC377" i="4"/>
  <c r="AA377" i="4"/>
  <c r="W377" i="4"/>
  <c r="X377" i="4" s="1"/>
  <c r="U377" i="4"/>
  <c r="R377" i="4"/>
  <c r="N377" i="4"/>
  <c r="O377" i="4" s="1"/>
  <c r="L377" i="4"/>
  <c r="I377" i="4"/>
  <c r="H377" i="4"/>
  <c r="F377" i="4"/>
  <c r="C377" i="4"/>
  <c r="AC376" i="4"/>
  <c r="AD376" i="4" s="1"/>
  <c r="AA376" i="4"/>
  <c r="W376" i="4"/>
  <c r="X376" i="4" s="1"/>
  <c r="U376" i="4"/>
  <c r="R376" i="4"/>
  <c r="N376" i="4"/>
  <c r="L376" i="4"/>
  <c r="I376" i="4"/>
  <c r="H376" i="4"/>
  <c r="F376" i="4"/>
  <c r="C376" i="4"/>
  <c r="AC375" i="4"/>
  <c r="AD375" i="4" s="1"/>
  <c r="AA375" i="4"/>
  <c r="W375" i="4"/>
  <c r="X375" i="4" s="1"/>
  <c r="U375" i="4"/>
  <c r="R375" i="4"/>
  <c r="O375" i="4"/>
  <c r="N375" i="4"/>
  <c r="L375" i="4"/>
  <c r="I375" i="4"/>
  <c r="H375" i="4"/>
  <c r="F375" i="4"/>
  <c r="C375" i="4"/>
  <c r="AC374" i="4"/>
  <c r="AD374" i="4" s="1"/>
  <c r="AA374" i="4"/>
  <c r="W374" i="4"/>
  <c r="X374" i="4" s="1"/>
  <c r="U374" i="4"/>
  <c r="R374" i="4"/>
  <c r="N374" i="4"/>
  <c r="O374" i="4" s="1"/>
  <c r="L374" i="4"/>
  <c r="I374" i="4"/>
  <c r="H374" i="4"/>
  <c r="F374" i="4"/>
  <c r="C374" i="4"/>
  <c r="AD373" i="4"/>
  <c r="AC373" i="4"/>
  <c r="AA373" i="4"/>
  <c r="W373" i="4"/>
  <c r="X373" i="4" s="1"/>
  <c r="U373" i="4"/>
  <c r="R373" i="4"/>
  <c r="O373" i="4"/>
  <c r="N373" i="4"/>
  <c r="L373" i="4"/>
  <c r="H373" i="4"/>
  <c r="I373" i="4" s="1"/>
  <c r="F373" i="4"/>
  <c r="C373" i="4"/>
  <c r="AC372" i="4"/>
  <c r="AD372" i="4" s="1"/>
  <c r="AA372" i="4"/>
  <c r="W372" i="4"/>
  <c r="X372" i="4" s="1"/>
  <c r="U372" i="4"/>
  <c r="R372" i="4"/>
  <c r="O372" i="4"/>
  <c r="N372" i="4"/>
  <c r="L372" i="4"/>
  <c r="I372" i="4"/>
  <c r="H372" i="4"/>
  <c r="F372" i="4"/>
  <c r="C372" i="4"/>
  <c r="AC371" i="4"/>
  <c r="AD371" i="4" s="1"/>
  <c r="AA371" i="4"/>
  <c r="W371" i="4"/>
  <c r="X371" i="4" s="1"/>
  <c r="U371" i="4"/>
  <c r="R371" i="4"/>
  <c r="O371" i="4"/>
  <c r="N371" i="4"/>
  <c r="L371" i="4"/>
  <c r="H371" i="4"/>
  <c r="I371" i="4" s="1"/>
  <c r="F371" i="4"/>
  <c r="C371" i="4"/>
  <c r="AC370" i="4"/>
  <c r="AD370" i="4" s="1"/>
  <c r="AA370" i="4"/>
  <c r="X370" i="4"/>
  <c r="W370" i="4"/>
  <c r="U370" i="4"/>
  <c r="R370" i="4"/>
  <c r="N370" i="4"/>
  <c r="O370" i="4" s="1"/>
  <c r="L370" i="4"/>
  <c r="I370" i="4"/>
  <c r="H370" i="4"/>
  <c r="F370" i="4"/>
  <c r="C370" i="4"/>
  <c r="Z369" i="4"/>
  <c r="AA369" i="4" s="1"/>
  <c r="X369" i="4"/>
  <c r="W369" i="4"/>
  <c r="U369" i="4"/>
  <c r="T369" i="4"/>
  <c r="R369" i="4"/>
  <c r="Q369" i="4"/>
  <c r="N369" i="4"/>
  <c r="O369" i="4" s="1"/>
  <c r="L369" i="4"/>
  <c r="K369" i="4"/>
  <c r="F369" i="4"/>
  <c r="E369" i="4"/>
  <c r="C369" i="4"/>
  <c r="B369" i="4"/>
  <c r="H369" i="4" s="1"/>
  <c r="I369" i="4" s="1"/>
  <c r="AD368" i="4"/>
  <c r="AC368" i="4"/>
  <c r="AA368" i="4"/>
  <c r="X368" i="4"/>
  <c r="W368" i="4"/>
  <c r="U368" i="4"/>
  <c r="R368" i="4"/>
  <c r="O368" i="4"/>
  <c r="N368" i="4"/>
  <c r="L368" i="4"/>
  <c r="I368" i="4"/>
  <c r="H368" i="4"/>
  <c r="F368" i="4"/>
  <c r="C368" i="4"/>
  <c r="AD367" i="4"/>
  <c r="AC367" i="4"/>
  <c r="AA367" i="4"/>
  <c r="W367" i="4"/>
  <c r="X367" i="4" s="1"/>
  <c r="U367" i="4"/>
  <c r="R367" i="4"/>
  <c r="N367" i="4"/>
  <c r="L367" i="4"/>
  <c r="I367" i="4"/>
  <c r="H367" i="4"/>
  <c r="F367" i="4"/>
  <c r="C367" i="4"/>
  <c r="AD366" i="4"/>
  <c r="AC366" i="4"/>
  <c r="AA366" i="4"/>
  <c r="W366" i="4"/>
  <c r="X366" i="4" s="1"/>
  <c r="U366" i="4"/>
  <c r="R366" i="4"/>
  <c r="O366" i="4"/>
  <c r="N366" i="4"/>
  <c r="L366" i="4"/>
  <c r="H366" i="4"/>
  <c r="I366" i="4" s="1"/>
  <c r="F366" i="4"/>
  <c r="C366" i="4"/>
  <c r="AD365" i="4"/>
  <c r="AC365" i="4"/>
  <c r="AA365" i="4"/>
  <c r="W365" i="4"/>
  <c r="X365" i="4" s="1"/>
  <c r="U365" i="4"/>
  <c r="R365" i="4"/>
  <c r="N365" i="4"/>
  <c r="O365" i="4" s="1"/>
  <c r="L365" i="4"/>
  <c r="I365" i="4"/>
  <c r="H365" i="4"/>
  <c r="F365" i="4"/>
  <c r="C365" i="4"/>
  <c r="AD364" i="4"/>
  <c r="AC364" i="4"/>
  <c r="AA364" i="4"/>
  <c r="X364" i="4"/>
  <c r="W364" i="4"/>
  <c r="U364" i="4"/>
  <c r="R364" i="4"/>
  <c r="N364" i="4"/>
  <c r="L364" i="4"/>
  <c r="H364" i="4"/>
  <c r="I364" i="4" s="1"/>
  <c r="F364" i="4"/>
  <c r="C364" i="4"/>
  <c r="AC363" i="4"/>
  <c r="AD363" i="4" s="1"/>
  <c r="AA363" i="4"/>
  <c r="W363" i="4"/>
  <c r="X363" i="4" s="1"/>
  <c r="U363" i="4"/>
  <c r="R363" i="4"/>
  <c r="N363" i="4"/>
  <c r="O363" i="4" s="1"/>
  <c r="L363" i="4"/>
  <c r="H363" i="4"/>
  <c r="I363" i="4" s="1"/>
  <c r="F363" i="4"/>
  <c r="C363" i="4"/>
  <c r="AD362" i="4"/>
  <c r="AC362" i="4"/>
  <c r="AA362" i="4"/>
  <c r="W362" i="4"/>
  <c r="X362" i="4" s="1"/>
  <c r="U362" i="4"/>
  <c r="R362" i="4"/>
  <c r="O362" i="4"/>
  <c r="N362" i="4"/>
  <c r="L362" i="4"/>
  <c r="I362" i="4"/>
  <c r="H362" i="4"/>
  <c r="F362" i="4"/>
  <c r="C362" i="4"/>
  <c r="AD361" i="4"/>
  <c r="AC361" i="4"/>
  <c r="AA361" i="4"/>
  <c r="W361" i="4"/>
  <c r="X361" i="4" s="1"/>
  <c r="U361" i="4"/>
  <c r="R361" i="4"/>
  <c r="N361" i="4"/>
  <c r="O361" i="4" s="1"/>
  <c r="L361" i="4"/>
  <c r="I361" i="4"/>
  <c r="H361" i="4"/>
  <c r="F361" i="4"/>
  <c r="C361" i="4"/>
  <c r="AA359" i="4"/>
  <c r="Z359" i="4"/>
  <c r="AC359" i="4" s="1"/>
  <c r="AD359" i="4" s="1"/>
  <c r="T359" i="4"/>
  <c r="U359" i="4" s="1"/>
  <c r="R359" i="4"/>
  <c r="Q359" i="4"/>
  <c r="N359" i="4"/>
  <c r="O359" i="4" s="1"/>
  <c r="L359" i="4"/>
  <c r="K359" i="4"/>
  <c r="I359" i="4"/>
  <c r="H359" i="4"/>
  <c r="F359" i="4"/>
  <c r="E359" i="4"/>
  <c r="B359" i="4"/>
  <c r="C359" i="4" s="1"/>
  <c r="AD358" i="4"/>
  <c r="AC358" i="4"/>
  <c r="AA358" i="4"/>
  <c r="X358" i="4"/>
  <c r="W358" i="4"/>
  <c r="U358" i="4"/>
  <c r="R358" i="4"/>
  <c r="N358" i="4"/>
  <c r="O358" i="4" s="1"/>
  <c r="L358" i="4"/>
  <c r="H358" i="4"/>
  <c r="I358" i="4" s="1"/>
  <c r="F358" i="4"/>
  <c r="C358" i="4"/>
  <c r="AC357" i="4"/>
  <c r="AD357" i="4" s="1"/>
  <c r="AA357" i="4"/>
  <c r="W357" i="4"/>
  <c r="X357" i="4" s="1"/>
  <c r="U357" i="4"/>
  <c r="R357" i="4"/>
  <c r="O357" i="4"/>
  <c r="N357" i="4"/>
  <c r="L357" i="4"/>
  <c r="I357" i="4"/>
  <c r="H357" i="4"/>
  <c r="F357" i="4"/>
  <c r="C357" i="4"/>
  <c r="AC356" i="4"/>
  <c r="AD356" i="4" s="1"/>
  <c r="AA356" i="4"/>
  <c r="W356" i="4"/>
  <c r="X356" i="4" s="1"/>
  <c r="U356" i="4"/>
  <c r="R356" i="4"/>
  <c r="N356" i="4"/>
  <c r="O356" i="4" s="1"/>
  <c r="L356" i="4"/>
  <c r="H356" i="4"/>
  <c r="I356" i="4" s="1"/>
  <c r="F356" i="4"/>
  <c r="C356" i="4"/>
  <c r="AD355" i="4"/>
  <c r="AC355" i="4"/>
  <c r="AA355" i="4"/>
  <c r="X355" i="4"/>
  <c r="W355" i="4"/>
  <c r="U355" i="4"/>
  <c r="R355" i="4"/>
  <c r="N355" i="4"/>
  <c r="O355" i="4" s="1"/>
  <c r="L355" i="4"/>
  <c r="H355" i="4"/>
  <c r="I355" i="4" s="1"/>
  <c r="F355" i="4"/>
  <c r="C355" i="4"/>
  <c r="AD354" i="4"/>
  <c r="AC354" i="4"/>
  <c r="AA354" i="4"/>
  <c r="X354" i="4"/>
  <c r="W354" i="4"/>
  <c r="U354" i="4"/>
  <c r="R354" i="4"/>
  <c r="N354" i="4"/>
  <c r="O354" i="4" s="1"/>
  <c r="L354" i="4"/>
  <c r="H354" i="4"/>
  <c r="I354" i="4" s="1"/>
  <c r="F354" i="4"/>
  <c r="C354" i="4"/>
  <c r="AD353" i="4"/>
  <c r="AC353" i="4"/>
  <c r="AA353" i="4"/>
  <c r="W353" i="4"/>
  <c r="X353" i="4" s="1"/>
  <c r="U353" i="4"/>
  <c r="R353" i="4"/>
  <c r="O353" i="4"/>
  <c r="N353" i="4"/>
  <c r="L353" i="4"/>
  <c r="H353" i="4"/>
  <c r="F353" i="4"/>
  <c r="C353" i="4"/>
  <c r="AC352" i="4"/>
  <c r="AD352" i="4" s="1"/>
  <c r="AA352" i="4"/>
  <c r="X352" i="4"/>
  <c r="W352" i="4"/>
  <c r="U352" i="4"/>
  <c r="R352" i="4"/>
  <c r="O352" i="4"/>
  <c r="N352" i="4"/>
  <c r="L352" i="4"/>
  <c r="I352" i="4"/>
  <c r="H352" i="4"/>
  <c r="F352" i="4"/>
  <c r="C352" i="4"/>
  <c r="AC351" i="4"/>
  <c r="AD351" i="4" s="1"/>
  <c r="AA351" i="4"/>
  <c r="X351" i="4"/>
  <c r="W351" i="4"/>
  <c r="U351" i="4"/>
  <c r="R351" i="4"/>
  <c r="N351" i="4"/>
  <c r="L351" i="4"/>
  <c r="I351" i="4"/>
  <c r="H351" i="4"/>
  <c r="F351" i="4"/>
  <c r="C351" i="4"/>
  <c r="AD350" i="4"/>
  <c r="AC350" i="4"/>
  <c r="AA350" i="4"/>
  <c r="W350" i="4"/>
  <c r="X350" i="4" s="1"/>
  <c r="U350" i="4"/>
  <c r="R350" i="4"/>
  <c r="O350" i="4"/>
  <c r="N350" i="4"/>
  <c r="L350" i="4"/>
  <c r="H350" i="4"/>
  <c r="I350" i="4" s="1"/>
  <c r="F350" i="4"/>
  <c r="C350" i="4"/>
  <c r="AC348" i="4"/>
  <c r="AD348" i="4" s="1"/>
  <c r="AA348" i="4"/>
  <c r="W348" i="4"/>
  <c r="X348" i="4" s="1"/>
  <c r="U348" i="4"/>
  <c r="R348" i="4"/>
  <c r="O348" i="4"/>
  <c r="N348" i="4"/>
  <c r="L348" i="4"/>
  <c r="I348" i="4"/>
  <c r="H348" i="4"/>
  <c r="F348" i="4"/>
  <c r="C348" i="4"/>
  <c r="Z345" i="4"/>
  <c r="AA345" i="4" s="1"/>
  <c r="T345" i="4"/>
  <c r="R345" i="4"/>
  <c r="Q345" i="4"/>
  <c r="L345" i="4"/>
  <c r="K345" i="4"/>
  <c r="H345" i="4"/>
  <c r="I345" i="4" s="1"/>
  <c r="F345" i="4"/>
  <c r="E345" i="4"/>
  <c r="C345" i="4"/>
  <c r="B345" i="4"/>
  <c r="N345" i="4" s="1"/>
  <c r="O345" i="4" s="1"/>
  <c r="Z344" i="4"/>
  <c r="AA344" i="4" s="1"/>
  <c r="U344" i="4"/>
  <c r="T344" i="4"/>
  <c r="Q344" i="4"/>
  <c r="L344" i="4"/>
  <c r="K344" i="4"/>
  <c r="F344" i="4"/>
  <c r="E344" i="4"/>
  <c r="H344" i="4" s="1"/>
  <c r="I344" i="4" s="1"/>
  <c r="B344" i="4"/>
  <c r="C344" i="4" s="1"/>
  <c r="AA343" i="4"/>
  <c r="Z343" i="4"/>
  <c r="W343" i="4"/>
  <c r="X343" i="4" s="1"/>
  <c r="U343" i="4"/>
  <c r="T343" i="4"/>
  <c r="R343" i="4"/>
  <c r="Q343" i="4"/>
  <c r="AC343" i="4" s="1"/>
  <c r="AD343" i="4" s="1"/>
  <c r="L343" i="4"/>
  <c r="K343" i="4"/>
  <c r="I343" i="4"/>
  <c r="F343" i="4"/>
  <c r="E343" i="4"/>
  <c r="C343" i="4"/>
  <c r="B343" i="4"/>
  <c r="H343" i="4" s="1"/>
  <c r="AC342" i="4"/>
  <c r="AD342" i="4" s="1"/>
  <c r="AA342" i="4"/>
  <c r="W342" i="4"/>
  <c r="X342" i="4" s="1"/>
  <c r="U342" i="4"/>
  <c r="R342" i="4"/>
  <c r="O342" i="4"/>
  <c r="N342" i="4"/>
  <c r="L342" i="4"/>
  <c r="I342" i="4"/>
  <c r="H342" i="4"/>
  <c r="F342" i="4"/>
  <c r="C342" i="4"/>
  <c r="AC341" i="4"/>
  <c r="AD341" i="4" s="1"/>
  <c r="AA341" i="4"/>
  <c r="W341" i="4"/>
  <c r="X341" i="4" s="1"/>
  <c r="U341" i="4"/>
  <c r="R341" i="4"/>
  <c r="N341" i="4"/>
  <c r="O341" i="4" s="1"/>
  <c r="L341" i="4"/>
  <c r="I341" i="4"/>
  <c r="H341" i="4"/>
  <c r="F341" i="4"/>
  <c r="C341" i="4"/>
  <c r="AD340" i="4"/>
  <c r="AC340" i="4"/>
  <c r="AA340" i="4"/>
  <c r="W340" i="4"/>
  <c r="X340" i="4" s="1"/>
  <c r="U340" i="4"/>
  <c r="R340" i="4"/>
  <c r="O340" i="4"/>
  <c r="N340" i="4"/>
  <c r="L340" i="4"/>
  <c r="I340" i="4"/>
  <c r="H340" i="4"/>
  <c r="F340" i="4"/>
  <c r="C340" i="4"/>
  <c r="AC339" i="4"/>
  <c r="AD339" i="4" s="1"/>
  <c r="AA339" i="4"/>
  <c r="W339" i="4"/>
  <c r="X339" i="4" s="1"/>
  <c r="U339" i="4"/>
  <c r="R339" i="4"/>
  <c r="O339" i="4"/>
  <c r="N339" i="4"/>
  <c r="L339" i="4"/>
  <c r="I339" i="4"/>
  <c r="H339" i="4"/>
  <c r="F339" i="4"/>
  <c r="C339" i="4"/>
  <c r="AC338" i="4"/>
  <c r="AD338" i="4" s="1"/>
  <c r="AA338" i="4"/>
  <c r="W338" i="4"/>
  <c r="X338" i="4" s="1"/>
  <c r="U338" i="4"/>
  <c r="R338" i="4"/>
  <c r="O338" i="4"/>
  <c r="N338" i="4"/>
  <c r="L338" i="4"/>
  <c r="I338" i="4"/>
  <c r="H338" i="4"/>
  <c r="F338" i="4"/>
  <c r="C338" i="4"/>
  <c r="AC336" i="4"/>
  <c r="AD336" i="4" s="1"/>
  <c r="AA336" i="4"/>
  <c r="W336" i="4"/>
  <c r="X336" i="4" s="1"/>
  <c r="U336" i="4"/>
  <c r="R336" i="4"/>
  <c r="N336" i="4"/>
  <c r="L336" i="4"/>
  <c r="H336" i="4"/>
  <c r="I336" i="4" s="1"/>
  <c r="F336" i="4"/>
  <c r="C336" i="4"/>
  <c r="AD335" i="4"/>
  <c r="AC335" i="4"/>
  <c r="AA335" i="4"/>
  <c r="W335" i="4"/>
  <c r="X335" i="4" s="1"/>
  <c r="U335" i="4"/>
  <c r="R335" i="4"/>
  <c r="N335" i="4"/>
  <c r="O335" i="4" s="1"/>
  <c r="L335" i="4"/>
  <c r="H335" i="4"/>
  <c r="I335" i="4" s="1"/>
  <c r="F335" i="4"/>
  <c r="C335" i="4"/>
  <c r="AD334" i="4"/>
  <c r="AC334" i="4"/>
  <c r="AA334" i="4"/>
  <c r="W334" i="4"/>
  <c r="X334" i="4" s="1"/>
  <c r="U334" i="4"/>
  <c r="R334" i="4"/>
  <c r="O334" i="4"/>
  <c r="N334" i="4"/>
  <c r="L334" i="4"/>
  <c r="I334" i="4"/>
  <c r="H334" i="4"/>
  <c r="F334" i="4"/>
  <c r="C334" i="4"/>
  <c r="AC333" i="4"/>
  <c r="AD333" i="4" s="1"/>
  <c r="AA333" i="4"/>
  <c r="X333" i="4"/>
  <c r="W333" i="4"/>
  <c r="U333" i="4"/>
  <c r="R333" i="4"/>
  <c r="N333" i="4"/>
  <c r="O333" i="4" s="1"/>
  <c r="L333" i="4"/>
  <c r="H333" i="4"/>
  <c r="I333" i="4" s="1"/>
  <c r="F333" i="4"/>
  <c r="C333" i="4"/>
  <c r="AD332" i="4"/>
  <c r="AC332" i="4"/>
  <c r="AA332" i="4"/>
  <c r="X332" i="4"/>
  <c r="W332" i="4"/>
  <c r="U332" i="4"/>
  <c r="R332" i="4"/>
  <c r="N332" i="4"/>
  <c r="O332" i="4" s="1"/>
  <c r="L332" i="4"/>
  <c r="H332" i="4"/>
  <c r="I332" i="4" s="1"/>
  <c r="F332" i="4"/>
  <c r="C332" i="4"/>
  <c r="AD331" i="4"/>
  <c r="AC331" i="4"/>
  <c r="AA331" i="4"/>
  <c r="X331" i="4"/>
  <c r="W331" i="4"/>
  <c r="U331" i="4"/>
  <c r="R331" i="4"/>
  <c r="O331" i="4"/>
  <c r="N331" i="4"/>
  <c r="L331" i="4"/>
  <c r="I331" i="4"/>
  <c r="H331" i="4"/>
  <c r="F331" i="4"/>
  <c r="C331" i="4"/>
  <c r="AD330" i="4"/>
  <c r="AC330" i="4"/>
  <c r="AA330" i="4"/>
  <c r="W330" i="4"/>
  <c r="X330" i="4" s="1"/>
  <c r="U330" i="4"/>
  <c r="R330" i="4"/>
  <c r="N330" i="4"/>
  <c r="O330" i="4" s="1"/>
  <c r="L330" i="4"/>
  <c r="I330" i="4"/>
  <c r="H330" i="4"/>
  <c r="F330" i="4"/>
  <c r="C330" i="4"/>
  <c r="AD329" i="4"/>
  <c r="AC329" i="4"/>
  <c r="AA329" i="4"/>
  <c r="W329" i="4"/>
  <c r="X329" i="4" s="1"/>
  <c r="U329" i="4"/>
  <c r="R329" i="4"/>
  <c r="N329" i="4"/>
  <c r="O329" i="4" s="1"/>
  <c r="L329" i="4"/>
  <c r="H329" i="4"/>
  <c r="I329" i="4" s="1"/>
  <c r="F329" i="4"/>
  <c r="C329" i="4"/>
  <c r="AA326" i="4"/>
  <c r="Z326" i="4"/>
  <c r="W326" i="4"/>
  <c r="X326" i="4" s="1"/>
  <c r="U326" i="4"/>
  <c r="T326" i="4"/>
  <c r="R326" i="4"/>
  <c r="Q326" i="4"/>
  <c r="AC326" i="4" s="1"/>
  <c r="AD326" i="4" s="1"/>
  <c r="K326" i="4"/>
  <c r="L326" i="4" s="1"/>
  <c r="E326" i="4"/>
  <c r="F326" i="4" s="1"/>
  <c r="B326" i="4"/>
  <c r="AA325" i="4"/>
  <c r="Z325" i="4"/>
  <c r="T325" i="4"/>
  <c r="W325" i="4" s="1"/>
  <c r="X325" i="4" s="1"/>
  <c r="Q325" i="4"/>
  <c r="R325" i="4" s="1"/>
  <c r="L325" i="4"/>
  <c r="K325" i="4"/>
  <c r="I325" i="4"/>
  <c r="H325" i="4"/>
  <c r="F325" i="4"/>
  <c r="E325" i="4"/>
  <c r="C325" i="4"/>
  <c r="B325" i="4"/>
  <c r="N325" i="4" s="1"/>
  <c r="O325" i="4" s="1"/>
  <c r="AD324" i="4"/>
  <c r="AC324" i="4"/>
  <c r="AA324" i="4"/>
  <c r="X324" i="4"/>
  <c r="W324" i="4"/>
  <c r="U324" i="4"/>
  <c r="R324" i="4"/>
  <c r="N324" i="4"/>
  <c r="O324" i="4" s="1"/>
  <c r="L324" i="4"/>
  <c r="H324" i="4"/>
  <c r="I324" i="4" s="1"/>
  <c r="F324" i="4"/>
  <c r="C324" i="4"/>
  <c r="AD323" i="4"/>
  <c r="AC323" i="4"/>
  <c r="AA323" i="4"/>
  <c r="X323" i="4"/>
  <c r="W323" i="4"/>
  <c r="U323" i="4"/>
  <c r="R323" i="4"/>
  <c r="O323" i="4"/>
  <c r="N323" i="4"/>
  <c r="L323" i="4"/>
  <c r="I323" i="4"/>
  <c r="H323" i="4"/>
  <c r="F323" i="4"/>
  <c r="C323" i="4"/>
  <c r="AD322" i="4"/>
  <c r="AC322" i="4"/>
  <c r="AA322" i="4"/>
  <c r="W322" i="4"/>
  <c r="X322" i="4" s="1"/>
  <c r="U322" i="4"/>
  <c r="R322" i="4"/>
  <c r="N322" i="4"/>
  <c r="O322" i="4" s="1"/>
  <c r="L322" i="4"/>
  <c r="I322" i="4"/>
  <c r="H322" i="4"/>
  <c r="F322" i="4"/>
  <c r="C322" i="4"/>
  <c r="AD321" i="4"/>
  <c r="AC321" i="4"/>
  <c r="AA321" i="4"/>
  <c r="X321" i="4"/>
  <c r="W321" i="4"/>
  <c r="U321" i="4"/>
  <c r="R321" i="4"/>
  <c r="O321" i="4"/>
  <c r="N321" i="4"/>
  <c r="L321" i="4"/>
  <c r="I321" i="4"/>
  <c r="H321" i="4"/>
  <c r="F321" i="4"/>
  <c r="C321" i="4"/>
  <c r="AC320" i="4"/>
  <c r="AD320" i="4" s="1"/>
  <c r="AA320" i="4"/>
  <c r="X320" i="4"/>
  <c r="W320" i="4"/>
  <c r="U320" i="4"/>
  <c r="R320" i="4"/>
  <c r="N320" i="4"/>
  <c r="L320" i="4"/>
  <c r="H320" i="4"/>
  <c r="I320" i="4" s="1"/>
  <c r="F320" i="4"/>
  <c r="C320" i="4"/>
  <c r="AD319" i="4"/>
  <c r="AC319" i="4"/>
  <c r="AA319" i="4"/>
  <c r="W319" i="4"/>
  <c r="X319" i="4" s="1"/>
  <c r="U319" i="4"/>
  <c r="R319" i="4"/>
  <c r="O319" i="4"/>
  <c r="N319" i="4"/>
  <c r="L319" i="4"/>
  <c r="H319" i="4"/>
  <c r="I319" i="4" s="1"/>
  <c r="F319" i="4"/>
  <c r="C319" i="4"/>
  <c r="AC318" i="4"/>
  <c r="AD318" i="4" s="1"/>
  <c r="AA318" i="4"/>
  <c r="W318" i="4"/>
  <c r="X318" i="4" s="1"/>
  <c r="U318" i="4"/>
  <c r="R318" i="4"/>
  <c r="O318" i="4"/>
  <c r="N318" i="4"/>
  <c r="L318" i="4"/>
  <c r="I318" i="4"/>
  <c r="H318" i="4"/>
  <c r="F318" i="4"/>
  <c r="C318" i="4"/>
  <c r="AC317" i="4"/>
  <c r="AD317" i="4" s="1"/>
  <c r="AA317" i="4"/>
  <c r="X317" i="4"/>
  <c r="W317" i="4"/>
  <c r="U317" i="4"/>
  <c r="R317" i="4"/>
  <c r="N317" i="4"/>
  <c r="O317" i="4" s="1"/>
  <c r="L317" i="4"/>
  <c r="I317" i="4"/>
  <c r="H317" i="4"/>
  <c r="F317" i="4"/>
  <c r="C317" i="4"/>
  <c r="AD316" i="4"/>
  <c r="AC316" i="4"/>
  <c r="AA316" i="4"/>
  <c r="X316" i="4"/>
  <c r="W316" i="4"/>
  <c r="U316" i="4"/>
  <c r="R316" i="4"/>
  <c r="N316" i="4"/>
  <c r="O316" i="4" s="1"/>
  <c r="L316" i="4"/>
  <c r="H316" i="4"/>
  <c r="I316" i="4" s="1"/>
  <c r="F316" i="4"/>
  <c r="C316" i="4"/>
  <c r="AD315" i="4"/>
  <c r="AC315" i="4"/>
  <c r="AA315" i="4"/>
  <c r="X315" i="4"/>
  <c r="W315" i="4"/>
  <c r="U315" i="4"/>
  <c r="R315" i="4"/>
  <c r="O315" i="4"/>
  <c r="N315" i="4"/>
  <c r="L315" i="4"/>
  <c r="I315" i="4"/>
  <c r="H315" i="4"/>
  <c r="F315" i="4"/>
  <c r="C315" i="4"/>
  <c r="AC314" i="4"/>
  <c r="AD314" i="4" s="1"/>
  <c r="AA314" i="4"/>
  <c r="W314" i="4"/>
  <c r="X314" i="4" s="1"/>
  <c r="U314" i="4"/>
  <c r="R314" i="4"/>
  <c r="N314" i="4"/>
  <c r="O314" i="4" s="1"/>
  <c r="L314" i="4"/>
  <c r="I314" i="4"/>
  <c r="H314" i="4"/>
  <c r="F314" i="4"/>
  <c r="C314" i="4"/>
  <c r="AD313" i="4"/>
  <c r="AC313" i="4"/>
  <c r="AA313" i="4"/>
  <c r="X313" i="4"/>
  <c r="W313" i="4"/>
  <c r="U313" i="4"/>
  <c r="R313" i="4"/>
  <c r="O313" i="4"/>
  <c r="N313" i="4"/>
  <c r="L313" i="4"/>
  <c r="H313" i="4"/>
  <c r="I313" i="4" s="1"/>
  <c r="F313" i="4"/>
  <c r="C313" i="4"/>
  <c r="AC312" i="4"/>
  <c r="AD312" i="4" s="1"/>
  <c r="AA312" i="4"/>
  <c r="W312" i="4"/>
  <c r="X312" i="4" s="1"/>
  <c r="U312" i="4"/>
  <c r="R312" i="4"/>
  <c r="N312" i="4"/>
  <c r="O312" i="4" s="1"/>
  <c r="L312" i="4"/>
  <c r="H312" i="4"/>
  <c r="I312" i="4" s="1"/>
  <c r="F312" i="4"/>
  <c r="C312" i="4"/>
  <c r="AD311" i="4"/>
  <c r="AC311" i="4"/>
  <c r="AA311" i="4"/>
  <c r="W311" i="4"/>
  <c r="X311" i="4" s="1"/>
  <c r="U311" i="4"/>
  <c r="R311" i="4"/>
  <c r="N311" i="4"/>
  <c r="O311" i="4" s="1"/>
  <c r="L311" i="4"/>
  <c r="I311" i="4"/>
  <c r="H311" i="4"/>
  <c r="F311" i="4"/>
  <c r="C311" i="4"/>
  <c r="AC310" i="4"/>
  <c r="AD310" i="4" s="1"/>
  <c r="AA310" i="4"/>
  <c r="W310" i="4"/>
  <c r="X310" i="4" s="1"/>
  <c r="U310" i="4"/>
  <c r="R310" i="4"/>
  <c r="O310" i="4"/>
  <c r="N310" i="4"/>
  <c r="L310" i="4"/>
  <c r="H310" i="4"/>
  <c r="F310" i="4"/>
  <c r="C310" i="4"/>
  <c r="AC309" i="4"/>
  <c r="AD309" i="4" s="1"/>
  <c r="AA309" i="4"/>
  <c r="W309" i="4"/>
  <c r="X309" i="4" s="1"/>
  <c r="U309" i="4"/>
  <c r="R309" i="4"/>
  <c r="N309" i="4"/>
  <c r="O309" i="4" s="1"/>
  <c r="L309" i="4"/>
  <c r="I309" i="4"/>
  <c r="H309" i="4"/>
  <c r="F309" i="4"/>
  <c r="C309" i="4"/>
  <c r="AC308" i="4"/>
  <c r="AD308" i="4" s="1"/>
  <c r="AA308" i="4"/>
  <c r="W308" i="4"/>
  <c r="X308" i="4" s="1"/>
  <c r="U308" i="4"/>
  <c r="R308" i="4"/>
  <c r="N308" i="4"/>
  <c r="O308" i="4" s="1"/>
  <c r="L308" i="4"/>
  <c r="H308" i="4"/>
  <c r="I308" i="4" s="1"/>
  <c r="F308" i="4"/>
  <c r="C308" i="4"/>
  <c r="AD307" i="4"/>
  <c r="AC307" i="4"/>
  <c r="AA307" i="4"/>
  <c r="X307" i="4"/>
  <c r="W307" i="4"/>
  <c r="U307" i="4"/>
  <c r="R307" i="4"/>
  <c r="O307" i="4"/>
  <c r="N307" i="4"/>
  <c r="L307" i="4"/>
  <c r="I307" i="4"/>
  <c r="H307" i="4"/>
  <c r="F307" i="4"/>
  <c r="C307" i="4"/>
  <c r="AC306" i="4"/>
  <c r="AD306" i="4" s="1"/>
  <c r="AA306" i="4"/>
  <c r="W306" i="4"/>
  <c r="X306" i="4" s="1"/>
  <c r="U306" i="4"/>
  <c r="R306" i="4"/>
  <c r="O306" i="4"/>
  <c r="N306" i="4"/>
  <c r="L306" i="4"/>
  <c r="I306" i="4"/>
  <c r="H306" i="4"/>
  <c r="F306" i="4"/>
  <c r="C306" i="4"/>
  <c r="AD305" i="4"/>
  <c r="AC305" i="4"/>
  <c r="AA305" i="4"/>
  <c r="W305" i="4"/>
  <c r="X305" i="4" s="1"/>
  <c r="U305" i="4"/>
  <c r="R305" i="4"/>
  <c r="O305" i="4"/>
  <c r="N305" i="4"/>
  <c r="L305" i="4"/>
  <c r="I305" i="4"/>
  <c r="H305" i="4"/>
  <c r="F305" i="4"/>
  <c r="C305" i="4"/>
  <c r="AC304" i="4"/>
  <c r="AD304" i="4" s="1"/>
  <c r="AA304" i="4"/>
  <c r="X304" i="4"/>
  <c r="W304" i="4"/>
  <c r="U304" i="4"/>
  <c r="R304" i="4"/>
  <c r="N304" i="4"/>
  <c r="L304" i="4"/>
  <c r="H304" i="4"/>
  <c r="I304" i="4" s="1"/>
  <c r="F304" i="4"/>
  <c r="C304" i="4"/>
  <c r="AD303" i="4"/>
  <c r="AC303" i="4"/>
  <c r="AA303" i="4"/>
  <c r="W303" i="4"/>
  <c r="X303" i="4" s="1"/>
  <c r="U303" i="4"/>
  <c r="R303" i="4"/>
  <c r="O303" i="4"/>
  <c r="N303" i="4"/>
  <c r="L303" i="4"/>
  <c r="H303" i="4"/>
  <c r="I303" i="4" s="1"/>
  <c r="F303" i="4"/>
  <c r="C303" i="4"/>
  <c r="AC302" i="4"/>
  <c r="AD302" i="4" s="1"/>
  <c r="AA302" i="4"/>
  <c r="W302" i="4"/>
  <c r="X302" i="4" s="1"/>
  <c r="U302" i="4"/>
  <c r="R302" i="4"/>
  <c r="O302" i="4"/>
  <c r="N302" i="4"/>
  <c r="L302" i="4"/>
  <c r="I302" i="4"/>
  <c r="H302" i="4"/>
  <c r="F302" i="4"/>
  <c r="C302" i="4"/>
  <c r="AC301" i="4"/>
  <c r="AD301" i="4" s="1"/>
  <c r="AA301" i="4"/>
  <c r="X301" i="4"/>
  <c r="W301" i="4"/>
  <c r="U301" i="4"/>
  <c r="R301" i="4"/>
  <c r="N301" i="4"/>
  <c r="O301" i="4" s="1"/>
  <c r="L301" i="4"/>
  <c r="H301" i="4"/>
  <c r="I301" i="4" s="1"/>
  <c r="F301" i="4"/>
  <c r="C301" i="4"/>
  <c r="AD300" i="4"/>
  <c r="AC300" i="4"/>
  <c r="AA300" i="4"/>
  <c r="X300" i="4"/>
  <c r="W300" i="4"/>
  <c r="U300" i="4"/>
  <c r="R300" i="4"/>
  <c r="N300" i="4"/>
  <c r="O300" i="4" s="1"/>
  <c r="L300" i="4"/>
  <c r="H300" i="4"/>
  <c r="I300" i="4" s="1"/>
  <c r="F300" i="4"/>
  <c r="C300" i="4"/>
  <c r="AD299" i="4"/>
  <c r="AC299" i="4"/>
  <c r="AA299" i="4"/>
  <c r="X299" i="4"/>
  <c r="W299" i="4"/>
  <c r="U299" i="4"/>
  <c r="R299" i="4"/>
  <c r="O299" i="4"/>
  <c r="N299" i="4"/>
  <c r="L299" i="4"/>
  <c r="I299" i="4"/>
  <c r="H299" i="4"/>
  <c r="F299" i="4"/>
  <c r="C299" i="4"/>
  <c r="AC298" i="4"/>
  <c r="AD298" i="4" s="1"/>
  <c r="AA298" i="4"/>
  <c r="W298" i="4"/>
  <c r="X298" i="4" s="1"/>
  <c r="U298" i="4"/>
  <c r="R298" i="4"/>
  <c r="N298" i="4"/>
  <c r="O298" i="4" s="1"/>
  <c r="L298" i="4"/>
  <c r="I298" i="4"/>
  <c r="H298" i="4"/>
  <c r="F298" i="4"/>
  <c r="C298" i="4"/>
  <c r="Z296" i="4"/>
  <c r="AA296" i="4" s="1"/>
  <c r="T296" i="4"/>
  <c r="U296" i="4" s="1"/>
  <c r="R296" i="4"/>
  <c r="Q296" i="4"/>
  <c r="L296" i="4"/>
  <c r="K296" i="4"/>
  <c r="E296" i="4"/>
  <c r="B296" i="4"/>
  <c r="C296" i="4" s="1"/>
  <c r="AD295" i="4"/>
  <c r="AC295" i="4"/>
  <c r="AA295" i="4"/>
  <c r="W295" i="4"/>
  <c r="X295" i="4" s="1"/>
  <c r="U295" i="4"/>
  <c r="R295" i="4"/>
  <c r="N295" i="4"/>
  <c r="O295" i="4" s="1"/>
  <c r="L295" i="4"/>
  <c r="I295" i="4"/>
  <c r="H295" i="4"/>
  <c r="F295" i="4"/>
  <c r="C295" i="4"/>
  <c r="AC294" i="4"/>
  <c r="AD294" i="4" s="1"/>
  <c r="AA294" i="4"/>
  <c r="W294" i="4"/>
  <c r="X294" i="4" s="1"/>
  <c r="U294" i="4"/>
  <c r="R294" i="4"/>
  <c r="O294" i="4"/>
  <c r="N294" i="4"/>
  <c r="L294" i="4"/>
  <c r="H294" i="4"/>
  <c r="F294" i="4"/>
  <c r="C294" i="4"/>
  <c r="AC293" i="4"/>
  <c r="AD293" i="4" s="1"/>
  <c r="AA293" i="4"/>
  <c r="W293" i="4"/>
  <c r="X293" i="4" s="1"/>
  <c r="U293" i="4"/>
  <c r="R293" i="4"/>
  <c r="O293" i="4"/>
  <c r="N293" i="4"/>
  <c r="L293" i="4"/>
  <c r="I293" i="4"/>
  <c r="H293" i="4"/>
  <c r="F293" i="4"/>
  <c r="C293" i="4"/>
  <c r="AD292" i="4"/>
  <c r="AC292" i="4"/>
  <c r="AA292" i="4"/>
  <c r="W292" i="4"/>
  <c r="X292" i="4" s="1"/>
  <c r="U292" i="4"/>
  <c r="R292" i="4"/>
  <c r="N292" i="4"/>
  <c r="O292" i="4" s="1"/>
  <c r="L292" i="4"/>
  <c r="I292" i="4"/>
  <c r="H292" i="4"/>
  <c r="F292" i="4"/>
  <c r="C292" i="4"/>
  <c r="AD291" i="4"/>
  <c r="AC291" i="4"/>
  <c r="AA291" i="4"/>
  <c r="X291" i="4"/>
  <c r="W291" i="4"/>
  <c r="U291" i="4"/>
  <c r="R291" i="4"/>
  <c r="O291" i="4"/>
  <c r="N291" i="4"/>
  <c r="L291" i="4"/>
  <c r="I291" i="4"/>
  <c r="H291" i="4"/>
  <c r="F291" i="4"/>
  <c r="C291" i="4"/>
  <c r="AC290" i="4"/>
  <c r="AD290" i="4" s="1"/>
  <c r="AA290" i="4"/>
  <c r="W290" i="4"/>
  <c r="X290" i="4" s="1"/>
  <c r="U290" i="4"/>
  <c r="R290" i="4"/>
  <c r="O290" i="4"/>
  <c r="N290" i="4"/>
  <c r="L290" i="4"/>
  <c r="I290" i="4"/>
  <c r="H290" i="4"/>
  <c r="F290" i="4"/>
  <c r="C290" i="4"/>
  <c r="AD289" i="4"/>
  <c r="AC289" i="4"/>
  <c r="AA289" i="4"/>
  <c r="W289" i="4"/>
  <c r="X289" i="4" s="1"/>
  <c r="U289" i="4"/>
  <c r="R289" i="4"/>
  <c r="N289" i="4"/>
  <c r="O289" i="4" s="1"/>
  <c r="L289" i="4"/>
  <c r="I289" i="4"/>
  <c r="H289" i="4"/>
  <c r="F289" i="4"/>
  <c r="C289" i="4"/>
  <c r="AC288" i="4"/>
  <c r="AD288" i="4" s="1"/>
  <c r="AA288" i="4"/>
  <c r="W288" i="4"/>
  <c r="X288" i="4" s="1"/>
  <c r="U288" i="4"/>
  <c r="R288" i="4"/>
  <c r="N288" i="4"/>
  <c r="L288" i="4"/>
  <c r="H288" i="4"/>
  <c r="I288" i="4" s="1"/>
  <c r="F288" i="4"/>
  <c r="C288" i="4"/>
  <c r="AD287" i="4"/>
  <c r="AC287" i="4"/>
  <c r="AA287" i="4"/>
  <c r="W287" i="4"/>
  <c r="X287" i="4" s="1"/>
  <c r="U287" i="4"/>
  <c r="R287" i="4"/>
  <c r="N287" i="4"/>
  <c r="O287" i="4" s="1"/>
  <c r="L287" i="4"/>
  <c r="H287" i="4"/>
  <c r="I287" i="4" s="1"/>
  <c r="F287" i="4"/>
  <c r="C287" i="4"/>
  <c r="AC285" i="4"/>
  <c r="AD285" i="4" s="1"/>
  <c r="AA285" i="4"/>
  <c r="Z285" i="4"/>
  <c r="U285" i="4"/>
  <c r="T285" i="4"/>
  <c r="R285" i="4"/>
  <c r="Q285" i="4"/>
  <c r="L285" i="4"/>
  <c r="K285" i="4"/>
  <c r="H285" i="4"/>
  <c r="I285" i="4" s="1"/>
  <c r="F285" i="4"/>
  <c r="E285" i="4"/>
  <c r="C285" i="4"/>
  <c r="B285" i="4"/>
  <c r="N285" i="4" s="1"/>
  <c r="O285" i="4" s="1"/>
  <c r="AD284" i="4"/>
  <c r="AC284" i="4"/>
  <c r="AA284" i="4"/>
  <c r="W284" i="4"/>
  <c r="X284" i="4" s="1"/>
  <c r="U284" i="4"/>
  <c r="R284" i="4"/>
  <c r="N284" i="4"/>
  <c r="O284" i="4" s="1"/>
  <c r="L284" i="4"/>
  <c r="H284" i="4"/>
  <c r="I284" i="4" s="1"/>
  <c r="F284" i="4"/>
  <c r="C284" i="4"/>
  <c r="AD283" i="4"/>
  <c r="AC283" i="4"/>
  <c r="AA283" i="4"/>
  <c r="X283" i="4"/>
  <c r="W283" i="4"/>
  <c r="U283" i="4"/>
  <c r="R283" i="4"/>
  <c r="N283" i="4"/>
  <c r="O283" i="4" s="1"/>
  <c r="L283" i="4"/>
  <c r="I283" i="4"/>
  <c r="H283" i="4"/>
  <c r="F283" i="4"/>
  <c r="C283" i="4"/>
  <c r="AC282" i="4"/>
  <c r="AD282" i="4" s="1"/>
  <c r="AA282" i="4"/>
  <c r="W282" i="4"/>
  <c r="X282" i="4" s="1"/>
  <c r="U282" i="4"/>
  <c r="R282" i="4"/>
  <c r="N282" i="4"/>
  <c r="O282" i="4" s="1"/>
  <c r="L282" i="4"/>
  <c r="I282" i="4"/>
  <c r="H282" i="4"/>
  <c r="F282" i="4"/>
  <c r="C282" i="4"/>
  <c r="AD281" i="4"/>
  <c r="AC281" i="4"/>
  <c r="AA281" i="4"/>
  <c r="X281" i="4"/>
  <c r="W281" i="4"/>
  <c r="U281" i="4"/>
  <c r="R281" i="4"/>
  <c r="N281" i="4"/>
  <c r="O281" i="4" s="1"/>
  <c r="L281" i="4"/>
  <c r="H281" i="4"/>
  <c r="I281" i="4" s="1"/>
  <c r="F281" i="4"/>
  <c r="C281" i="4"/>
  <c r="AC280" i="4"/>
  <c r="AD280" i="4" s="1"/>
  <c r="AA280" i="4"/>
  <c r="W280" i="4"/>
  <c r="X280" i="4" s="1"/>
  <c r="U280" i="4"/>
  <c r="R280" i="4"/>
  <c r="N280" i="4"/>
  <c r="O280" i="4" s="1"/>
  <c r="L280" i="4"/>
  <c r="H280" i="4"/>
  <c r="I280" i="4" s="1"/>
  <c r="F280" i="4"/>
  <c r="C280" i="4"/>
  <c r="AD279" i="4"/>
  <c r="AC279" i="4"/>
  <c r="AA279" i="4"/>
  <c r="X279" i="4"/>
  <c r="W279" i="4"/>
  <c r="U279" i="4"/>
  <c r="R279" i="4"/>
  <c r="N279" i="4"/>
  <c r="O279" i="4" s="1"/>
  <c r="L279" i="4"/>
  <c r="H279" i="4"/>
  <c r="I279" i="4" s="1"/>
  <c r="F279" i="4"/>
  <c r="C279" i="4"/>
  <c r="AC278" i="4"/>
  <c r="AD278" i="4" s="1"/>
  <c r="AA278" i="4"/>
  <c r="W278" i="4"/>
  <c r="X278" i="4" s="1"/>
  <c r="U278" i="4"/>
  <c r="R278" i="4"/>
  <c r="O278" i="4"/>
  <c r="N278" i="4"/>
  <c r="L278" i="4"/>
  <c r="H278" i="4"/>
  <c r="F278" i="4"/>
  <c r="C278" i="4"/>
  <c r="AD277" i="4"/>
  <c r="AC277" i="4"/>
  <c r="AA277" i="4"/>
  <c r="W277" i="4"/>
  <c r="X277" i="4" s="1"/>
  <c r="U277" i="4"/>
  <c r="R277" i="4"/>
  <c r="N277" i="4"/>
  <c r="O277" i="4" s="1"/>
  <c r="L277" i="4"/>
  <c r="I277" i="4"/>
  <c r="H277" i="4"/>
  <c r="F277" i="4"/>
  <c r="C277" i="4"/>
  <c r="AD276" i="4"/>
  <c r="AC276" i="4"/>
  <c r="AA276" i="4"/>
  <c r="X276" i="4"/>
  <c r="W276" i="4"/>
  <c r="U276" i="4"/>
  <c r="R276" i="4"/>
  <c r="N276" i="4"/>
  <c r="O276" i="4" s="1"/>
  <c r="L276" i="4"/>
  <c r="H276" i="4"/>
  <c r="I276" i="4" s="1"/>
  <c r="F276" i="4"/>
  <c r="C276" i="4"/>
  <c r="Z274" i="4"/>
  <c r="AA274" i="4" s="1"/>
  <c r="X274" i="4"/>
  <c r="W274" i="4"/>
  <c r="U274" i="4"/>
  <c r="T274" i="4"/>
  <c r="R274" i="4"/>
  <c r="Q274" i="4"/>
  <c r="L274" i="4"/>
  <c r="K274" i="4"/>
  <c r="I274" i="4"/>
  <c r="H274" i="4"/>
  <c r="F274" i="4"/>
  <c r="E274" i="4"/>
  <c r="B274" i="4"/>
  <c r="C274" i="4" s="1"/>
  <c r="AC273" i="4"/>
  <c r="AD273" i="4" s="1"/>
  <c r="AA273" i="4"/>
  <c r="W273" i="4"/>
  <c r="X273" i="4" s="1"/>
  <c r="U273" i="4"/>
  <c r="R273" i="4"/>
  <c r="O273" i="4"/>
  <c r="N273" i="4"/>
  <c r="L273" i="4"/>
  <c r="I273" i="4"/>
  <c r="H273" i="4"/>
  <c r="F273" i="4"/>
  <c r="C273" i="4"/>
  <c r="AC272" i="4"/>
  <c r="AD272" i="4" s="1"/>
  <c r="AA272" i="4"/>
  <c r="W272" i="4"/>
  <c r="X272" i="4" s="1"/>
  <c r="U272" i="4"/>
  <c r="R272" i="4"/>
  <c r="N272" i="4"/>
  <c r="L272" i="4"/>
  <c r="I272" i="4"/>
  <c r="H272" i="4"/>
  <c r="F272" i="4"/>
  <c r="C272" i="4"/>
  <c r="AD271" i="4"/>
  <c r="AC271" i="4"/>
  <c r="AA271" i="4"/>
  <c r="W271" i="4"/>
  <c r="X271" i="4" s="1"/>
  <c r="U271" i="4"/>
  <c r="R271" i="4"/>
  <c r="N271" i="4"/>
  <c r="O271" i="4" s="1"/>
  <c r="L271" i="4"/>
  <c r="H271" i="4"/>
  <c r="I271" i="4" s="1"/>
  <c r="F271" i="4"/>
  <c r="C271" i="4"/>
  <c r="AD270" i="4"/>
  <c r="AC270" i="4"/>
  <c r="AA270" i="4"/>
  <c r="W270" i="4"/>
  <c r="X270" i="4" s="1"/>
  <c r="U270" i="4"/>
  <c r="R270" i="4"/>
  <c r="O270" i="4"/>
  <c r="N270" i="4"/>
  <c r="L270" i="4"/>
  <c r="I270" i="4"/>
  <c r="H270" i="4"/>
  <c r="F270" i="4"/>
  <c r="C270" i="4"/>
  <c r="AC268" i="4"/>
  <c r="AD268" i="4" s="1"/>
  <c r="AA268" i="4"/>
  <c r="Z268" i="4"/>
  <c r="U268" i="4"/>
  <c r="T268" i="4"/>
  <c r="Q268" i="4"/>
  <c r="L268" i="4"/>
  <c r="K268" i="4"/>
  <c r="E268" i="4"/>
  <c r="F268" i="4" s="1"/>
  <c r="C268" i="4"/>
  <c r="B268" i="4"/>
  <c r="H268" i="4" s="1"/>
  <c r="I268" i="4" s="1"/>
  <c r="AD267" i="4"/>
  <c r="AC267" i="4"/>
  <c r="AA267" i="4"/>
  <c r="X267" i="4"/>
  <c r="W267" i="4"/>
  <c r="U267" i="4"/>
  <c r="R267" i="4"/>
  <c r="O267" i="4"/>
  <c r="N267" i="4"/>
  <c r="L267" i="4"/>
  <c r="H267" i="4"/>
  <c r="I267" i="4" s="1"/>
  <c r="F267" i="4"/>
  <c r="C267" i="4"/>
  <c r="AC266" i="4"/>
  <c r="AD266" i="4" s="1"/>
  <c r="AA266" i="4"/>
  <c r="W266" i="4"/>
  <c r="X266" i="4" s="1"/>
  <c r="U266" i="4"/>
  <c r="R266" i="4"/>
  <c r="N266" i="4"/>
  <c r="O266" i="4" s="1"/>
  <c r="L266" i="4"/>
  <c r="I266" i="4"/>
  <c r="H266" i="4"/>
  <c r="F266" i="4"/>
  <c r="C266" i="4"/>
  <c r="Z264" i="4"/>
  <c r="AA264" i="4" s="1"/>
  <c r="T264" i="4"/>
  <c r="U264" i="4" s="1"/>
  <c r="Q264" i="4"/>
  <c r="L264" i="4"/>
  <c r="K264" i="4"/>
  <c r="E264" i="4"/>
  <c r="B264" i="4"/>
  <c r="C264" i="4" s="1"/>
  <c r="AA263" i="4"/>
  <c r="Z263" i="4"/>
  <c r="X263" i="4"/>
  <c r="W263" i="4"/>
  <c r="U263" i="4"/>
  <c r="T263" i="4"/>
  <c r="R263" i="4"/>
  <c r="Q263" i="4"/>
  <c r="AC263" i="4" s="1"/>
  <c r="AD263" i="4" s="1"/>
  <c r="L263" i="4"/>
  <c r="K263" i="4"/>
  <c r="F263" i="4"/>
  <c r="E263" i="4"/>
  <c r="C263" i="4"/>
  <c r="B263" i="4"/>
  <c r="AC262" i="4"/>
  <c r="AD262" i="4" s="1"/>
  <c r="AA262" i="4"/>
  <c r="W262" i="4"/>
  <c r="X262" i="4" s="1"/>
  <c r="U262" i="4"/>
  <c r="R262" i="4"/>
  <c r="O262" i="4"/>
  <c r="N262" i="4"/>
  <c r="L262" i="4"/>
  <c r="I262" i="4"/>
  <c r="H262" i="4"/>
  <c r="F262" i="4"/>
  <c r="C262" i="4"/>
  <c r="AC261" i="4"/>
  <c r="AD261" i="4" s="1"/>
  <c r="AA261" i="4"/>
  <c r="W261" i="4"/>
  <c r="X261" i="4" s="1"/>
  <c r="U261" i="4"/>
  <c r="R261" i="4"/>
  <c r="N261" i="4"/>
  <c r="O261" i="4" s="1"/>
  <c r="L261" i="4"/>
  <c r="H261" i="4"/>
  <c r="I261" i="4" s="1"/>
  <c r="F261" i="4"/>
  <c r="C261" i="4"/>
  <c r="AD260" i="4"/>
  <c r="AC260" i="4"/>
  <c r="AA260" i="4"/>
  <c r="W260" i="4"/>
  <c r="X260" i="4" s="1"/>
  <c r="U260" i="4"/>
  <c r="R260" i="4"/>
  <c r="O260" i="4"/>
  <c r="N260" i="4"/>
  <c r="L260" i="4"/>
  <c r="H260" i="4"/>
  <c r="I260" i="4" s="1"/>
  <c r="F260" i="4"/>
  <c r="C260" i="4"/>
  <c r="AC259" i="4"/>
  <c r="AD259" i="4" s="1"/>
  <c r="AA259" i="4"/>
  <c r="W259" i="4"/>
  <c r="X259" i="4" s="1"/>
  <c r="U259" i="4"/>
  <c r="R259" i="4"/>
  <c r="N259" i="4"/>
  <c r="O259" i="4" s="1"/>
  <c r="L259" i="4"/>
  <c r="I259" i="4"/>
  <c r="H259" i="4"/>
  <c r="F259" i="4"/>
  <c r="C259" i="4"/>
  <c r="AC258" i="4"/>
  <c r="AD258" i="4" s="1"/>
  <c r="AA258" i="4"/>
  <c r="W258" i="4"/>
  <c r="X258" i="4" s="1"/>
  <c r="U258" i="4"/>
  <c r="R258" i="4"/>
  <c r="O258" i="4"/>
  <c r="N258" i="4"/>
  <c r="L258" i="4"/>
  <c r="I258" i="4"/>
  <c r="H258" i="4"/>
  <c r="F258" i="4"/>
  <c r="C258" i="4"/>
  <c r="AC257" i="4"/>
  <c r="AD257" i="4" s="1"/>
  <c r="AA257" i="4"/>
  <c r="W257" i="4"/>
  <c r="X257" i="4" s="1"/>
  <c r="U257" i="4"/>
  <c r="R257" i="4"/>
  <c r="N257" i="4"/>
  <c r="L257" i="4"/>
  <c r="H257" i="4"/>
  <c r="I257" i="4" s="1"/>
  <c r="F257" i="4"/>
  <c r="C257" i="4"/>
  <c r="AD256" i="4"/>
  <c r="AC256" i="4"/>
  <c r="AA256" i="4"/>
  <c r="W256" i="4"/>
  <c r="X256" i="4" s="1"/>
  <c r="U256" i="4"/>
  <c r="R256" i="4"/>
  <c r="O256" i="4"/>
  <c r="N256" i="4"/>
  <c r="L256" i="4"/>
  <c r="H256" i="4"/>
  <c r="I256" i="4" s="1"/>
  <c r="F256" i="4"/>
  <c r="C256" i="4"/>
  <c r="AC255" i="4"/>
  <c r="AD255" i="4" s="1"/>
  <c r="AA255" i="4"/>
  <c r="W255" i="4"/>
  <c r="X255" i="4" s="1"/>
  <c r="U255" i="4"/>
  <c r="R255" i="4"/>
  <c r="O255" i="4"/>
  <c r="N255" i="4"/>
  <c r="L255" i="4"/>
  <c r="I255" i="4"/>
  <c r="H255" i="4"/>
  <c r="F255" i="4"/>
  <c r="C255" i="4"/>
  <c r="AC254" i="4"/>
  <c r="AD254" i="4" s="1"/>
  <c r="AA254" i="4"/>
  <c r="X254" i="4"/>
  <c r="W254" i="4"/>
  <c r="U254" i="4"/>
  <c r="R254" i="4"/>
  <c r="N254" i="4"/>
  <c r="O254" i="4" s="1"/>
  <c r="L254" i="4"/>
  <c r="H254" i="4"/>
  <c r="I254" i="4" s="1"/>
  <c r="F254" i="4"/>
  <c r="C254" i="4"/>
  <c r="AD253" i="4"/>
  <c r="AC253" i="4"/>
  <c r="AA253" i="4"/>
  <c r="X253" i="4"/>
  <c r="W253" i="4"/>
  <c r="U253" i="4"/>
  <c r="R253" i="4"/>
  <c r="N253" i="4"/>
  <c r="O253" i="4" s="1"/>
  <c r="L253" i="4"/>
  <c r="H253" i="4"/>
  <c r="I253" i="4" s="1"/>
  <c r="F253" i="4"/>
  <c r="C253" i="4"/>
  <c r="AD252" i="4"/>
  <c r="AC252" i="4"/>
  <c r="AA252" i="4"/>
  <c r="X252" i="4"/>
  <c r="W252" i="4"/>
  <c r="U252" i="4"/>
  <c r="R252" i="4"/>
  <c r="O252" i="4"/>
  <c r="N252" i="4"/>
  <c r="L252" i="4"/>
  <c r="I252" i="4"/>
  <c r="H252" i="4"/>
  <c r="F252" i="4"/>
  <c r="C252" i="4"/>
  <c r="AD251" i="4"/>
  <c r="AC251" i="4"/>
  <c r="AA251" i="4"/>
  <c r="W251" i="4"/>
  <c r="X251" i="4" s="1"/>
  <c r="U251" i="4"/>
  <c r="R251" i="4"/>
  <c r="N251" i="4"/>
  <c r="O251" i="4" s="1"/>
  <c r="L251" i="4"/>
  <c r="I251" i="4"/>
  <c r="H251" i="4"/>
  <c r="F251" i="4"/>
  <c r="C251" i="4"/>
  <c r="AD250" i="4"/>
  <c r="AC250" i="4"/>
  <c r="AA250" i="4"/>
  <c r="X250" i="4"/>
  <c r="W250" i="4"/>
  <c r="U250" i="4"/>
  <c r="R250" i="4"/>
  <c r="O250" i="4"/>
  <c r="N250" i="4"/>
  <c r="L250" i="4"/>
  <c r="H250" i="4"/>
  <c r="I250" i="4" s="1"/>
  <c r="F250" i="4"/>
  <c r="C250" i="4"/>
  <c r="AD249" i="4"/>
  <c r="AC249" i="4"/>
  <c r="AA249" i="4"/>
  <c r="W249" i="4"/>
  <c r="X249" i="4" s="1"/>
  <c r="U249" i="4"/>
  <c r="R249" i="4"/>
  <c r="N249" i="4"/>
  <c r="O249" i="4" s="1"/>
  <c r="L249" i="4"/>
  <c r="I249" i="4"/>
  <c r="H249" i="4"/>
  <c r="F249" i="4"/>
  <c r="C249" i="4"/>
  <c r="AD248" i="4"/>
  <c r="AC248" i="4"/>
  <c r="AA248" i="4"/>
  <c r="X248" i="4"/>
  <c r="W248" i="4"/>
  <c r="U248" i="4"/>
  <c r="R248" i="4"/>
  <c r="N248" i="4"/>
  <c r="O248" i="4" s="1"/>
  <c r="L248" i="4"/>
  <c r="I248" i="4"/>
  <c r="H248" i="4"/>
  <c r="F248" i="4"/>
  <c r="C248" i="4"/>
  <c r="AC247" i="4"/>
  <c r="AD247" i="4" s="1"/>
  <c r="AA247" i="4"/>
  <c r="W247" i="4"/>
  <c r="X247" i="4" s="1"/>
  <c r="U247" i="4"/>
  <c r="R247" i="4"/>
  <c r="O247" i="4"/>
  <c r="N247" i="4"/>
  <c r="L247" i="4"/>
  <c r="H247" i="4"/>
  <c r="F247" i="4"/>
  <c r="C247" i="4"/>
  <c r="AC246" i="4"/>
  <c r="AD246" i="4" s="1"/>
  <c r="AA246" i="4"/>
  <c r="W246" i="4"/>
  <c r="X246" i="4" s="1"/>
  <c r="U246" i="4"/>
  <c r="R246" i="4"/>
  <c r="O246" i="4"/>
  <c r="N246" i="4"/>
  <c r="L246" i="4"/>
  <c r="I246" i="4"/>
  <c r="H246" i="4"/>
  <c r="F246" i="4"/>
  <c r="C246" i="4"/>
  <c r="AC245" i="4"/>
  <c r="AD245" i="4" s="1"/>
  <c r="AA245" i="4"/>
  <c r="W245" i="4"/>
  <c r="X245" i="4" s="1"/>
  <c r="U245" i="4"/>
  <c r="R245" i="4"/>
  <c r="N245" i="4"/>
  <c r="O245" i="4" s="1"/>
  <c r="L245" i="4"/>
  <c r="I245" i="4"/>
  <c r="H245" i="4"/>
  <c r="F245" i="4"/>
  <c r="C245" i="4"/>
  <c r="AD244" i="4"/>
  <c r="AC244" i="4"/>
  <c r="AA244" i="4"/>
  <c r="W244" i="4"/>
  <c r="X244" i="4" s="1"/>
  <c r="U244" i="4"/>
  <c r="R244" i="4"/>
  <c r="O244" i="4"/>
  <c r="N244" i="4"/>
  <c r="L244" i="4"/>
  <c r="I244" i="4"/>
  <c r="H244" i="4"/>
  <c r="F244" i="4"/>
  <c r="C244" i="4"/>
  <c r="AC243" i="4"/>
  <c r="AD243" i="4" s="1"/>
  <c r="AA243" i="4"/>
  <c r="W243" i="4"/>
  <c r="X243" i="4" s="1"/>
  <c r="U243" i="4"/>
  <c r="R243" i="4"/>
  <c r="O243" i="4"/>
  <c r="N243" i="4"/>
  <c r="L243" i="4"/>
  <c r="I243" i="4"/>
  <c r="H243" i="4"/>
  <c r="F243" i="4"/>
  <c r="C243" i="4"/>
  <c r="AC242" i="4"/>
  <c r="AD242" i="4" s="1"/>
  <c r="AA242" i="4"/>
  <c r="W242" i="4"/>
  <c r="X242" i="4" s="1"/>
  <c r="U242" i="4"/>
  <c r="R242" i="4"/>
  <c r="O242" i="4"/>
  <c r="N242" i="4"/>
  <c r="L242" i="4"/>
  <c r="I242" i="4"/>
  <c r="H242" i="4"/>
  <c r="F242" i="4"/>
  <c r="C242" i="4"/>
  <c r="AC241" i="4"/>
  <c r="AD241" i="4" s="1"/>
  <c r="AA241" i="4"/>
  <c r="W241" i="4"/>
  <c r="X241" i="4" s="1"/>
  <c r="U241" i="4"/>
  <c r="R241" i="4"/>
  <c r="N241" i="4"/>
  <c r="L241" i="4"/>
  <c r="I241" i="4"/>
  <c r="H241" i="4"/>
  <c r="F241" i="4"/>
  <c r="C241" i="4"/>
  <c r="AD240" i="4"/>
  <c r="AC240" i="4"/>
  <c r="AA240" i="4"/>
  <c r="W240" i="4"/>
  <c r="X240" i="4" s="1"/>
  <c r="U240" i="4"/>
  <c r="R240" i="4"/>
  <c r="N240" i="4"/>
  <c r="O240" i="4" s="1"/>
  <c r="L240" i="4"/>
  <c r="H240" i="4"/>
  <c r="I240" i="4" s="1"/>
  <c r="F240" i="4"/>
  <c r="C240" i="4"/>
  <c r="AD238" i="4"/>
  <c r="AC238" i="4"/>
  <c r="AA238" i="4"/>
  <c r="W238" i="4"/>
  <c r="X238" i="4" s="1"/>
  <c r="U238" i="4"/>
  <c r="R238" i="4"/>
  <c r="N238" i="4"/>
  <c r="O238" i="4" s="1"/>
  <c r="L238" i="4"/>
  <c r="I238" i="4"/>
  <c r="H238" i="4"/>
  <c r="F238" i="4"/>
  <c r="C238" i="4"/>
  <c r="Z236" i="4"/>
  <c r="AC236" i="4" s="1"/>
  <c r="AD236" i="4" s="1"/>
  <c r="U236" i="4"/>
  <c r="T236" i="4"/>
  <c r="Q236" i="4"/>
  <c r="L236" i="4"/>
  <c r="K236" i="4"/>
  <c r="H236" i="4"/>
  <c r="I236" i="4" s="1"/>
  <c r="E236" i="4"/>
  <c r="F236" i="4" s="1"/>
  <c r="C236" i="4"/>
  <c r="B236" i="4"/>
  <c r="N236" i="4" s="1"/>
  <c r="O236" i="4" s="1"/>
  <c r="AD235" i="4"/>
  <c r="AC235" i="4"/>
  <c r="AA235" i="4"/>
  <c r="X235" i="4"/>
  <c r="W235" i="4"/>
  <c r="U235" i="4"/>
  <c r="R235" i="4"/>
  <c r="O235" i="4"/>
  <c r="N235" i="4"/>
  <c r="L235" i="4"/>
  <c r="H235" i="4"/>
  <c r="I235" i="4" s="1"/>
  <c r="F235" i="4"/>
  <c r="C235" i="4"/>
  <c r="AD234" i="4"/>
  <c r="AC234" i="4"/>
  <c r="AA234" i="4"/>
  <c r="W234" i="4"/>
  <c r="X234" i="4" s="1"/>
  <c r="U234" i="4"/>
  <c r="R234" i="4"/>
  <c r="N234" i="4"/>
  <c r="O234" i="4" s="1"/>
  <c r="L234" i="4"/>
  <c r="I234" i="4"/>
  <c r="H234" i="4"/>
  <c r="F234" i="4"/>
  <c r="C234" i="4"/>
  <c r="AD233" i="4"/>
  <c r="AC233" i="4"/>
  <c r="AA233" i="4"/>
  <c r="W233" i="4"/>
  <c r="X233" i="4" s="1"/>
  <c r="U233" i="4"/>
  <c r="R233" i="4"/>
  <c r="O233" i="4"/>
  <c r="N233" i="4"/>
  <c r="L233" i="4"/>
  <c r="H233" i="4"/>
  <c r="I233" i="4" s="1"/>
  <c r="F233" i="4"/>
  <c r="C233" i="4"/>
  <c r="AD232" i="4"/>
  <c r="AC232" i="4"/>
  <c r="AA232" i="4"/>
  <c r="W232" i="4"/>
  <c r="X232" i="4" s="1"/>
  <c r="U232" i="4"/>
  <c r="R232" i="4"/>
  <c r="N232" i="4"/>
  <c r="O232" i="4" s="1"/>
  <c r="L232" i="4"/>
  <c r="I232" i="4"/>
  <c r="H232" i="4"/>
  <c r="F232" i="4"/>
  <c r="C232" i="4"/>
  <c r="AD231" i="4"/>
  <c r="AC231" i="4"/>
  <c r="AA231" i="4"/>
  <c r="X231" i="4"/>
  <c r="W231" i="4"/>
  <c r="U231" i="4"/>
  <c r="R231" i="4"/>
  <c r="N231" i="4"/>
  <c r="O231" i="4" s="1"/>
  <c r="L231" i="4"/>
  <c r="I231" i="4"/>
  <c r="H231" i="4"/>
  <c r="F231" i="4"/>
  <c r="C231" i="4"/>
  <c r="AC230" i="4"/>
  <c r="AD230" i="4" s="1"/>
  <c r="AA230" i="4"/>
  <c r="W230" i="4"/>
  <c r="X230" i="4" s="1"/>
  <c r="U230" i="4"/>
  <c r="R230" i="4"/>
  <c r="N230" i="4"/>
  <c r="O230" i="4" s="1"/>
  <c r="L230" i="4"/>
  <c r="H230" i="4"/>
  <c r="F230" i="4"/>
  <c r="C230" i="4"/>
  <c r="AC229" i="4"/>
  <c r="AD229" i="4" s="1"/>
  <c r="AA229" i="4"/>
  <c r="W229" i="4"/>
  <c r="X229" i="4" s="1"/>
  <c r="U229" i="4"/>
  <c r="R229" i="4"/>
  <c r="O229" i="4"/>
  <c r="N229" i="4"/>
  <c r="L229" i="4"/>
  <c r="I229" i="4"/>
  <c r="H229" i="4"/>
  <c r="F229" i="4"/>
  <c r="C229" i="4"/>
  <c r="AC227" i="4"/>
  <c r="AD227" i="4" s="1"/>
  <c r="AA227" i="4"/>
  <c r="Z227" i="4"/>
  <c r="X227" i="4"/>
  <c r="U227" i="4"/>
  <c r="T227" i="4"/>
  <c r="R227" i="4"/>
  <c r="Q227" i="4"/>
  <c r="W227" i="4" s="1"/>
  <c r="O227" i="4"/>
  <c r="N227" i="4"/>
  <c r="L227" i="4"/>
  <c r="K227" i="4"/>
  <c r="E227" i="4"/>
  <c r="F227" i="4" s="1"/>
  <c r="C227" i="4"/>
  <c r="B227" i="4"/>
  <c r="AD226" i="4"/>
  <c r="AC226" i="4"/>
  <c r="AA226" i="4"/>
  <c r="W226" i="4"/>
  <c r="X226" i="4" s="1"/>
  <c r="U226" i="4"/>
  <c r="R226" i="4"/>
  <c r="O226" i="4"/>
  <c r="N226" i="4"/>
  <c r="L226" i="4"/>
  <c r="I226" i="4"/>
  <c r="H226" i="4"/>
  <c r="F226" i="4"/>
  <c r="C226" i="4"/>
  <c r="AD225" i="4"/>
  <c r="AC225" i="4"/>
  <c r="AA225" i="4"/>
  <c r="X225" i="4"/>
  <c r="W225" i="4"/>
  <c r="U225" i="4"/>
  <c r="R225" i="4"/>
  <c r="N225" i="4"/>
  <c r="O225" i="4" s="1"/>
  <c r="L225" i="4"/>
  <c r="H225" i="4"/>
  <c r="I225" i="4" s="1"/>
  <c r="F225" i="4"/>
  <c r="C225" i="4"/>
  <c r="AC224" i="4"/>
  <c r="AD224" i="4" s="1"/>
  <c r="AA224" i="4"/>
  <c r="X224" i="4"/>
  <c r="W224" i="4"/>
  <c r="U224" i="4"/>
  <c r="R224" i="4"/>
  <c r="N224" i="4"/>
  <c r="L224" i="4"/>
  <c r="I224" i="4"/>
  <c r="H224" i="4"/>
  <c r="F224" i="4"/>
  <c r="C224" i="4"/>
  <c r="AD223" i="4"/>
  <c r="AC223" i="4"/>
  <c r="AA223" i="4"/>
  <c r="W223" i="4"/>
  <c r="X223" i="4" s="1"/>
  <c r="U223" i="4"/>
  <c r="R223" i="4"/>
  <c r="O223" i="4"/>
  <c r="N223" i="4"/>
  <c r="L223" i="4"/>
  <c r="H223" i="4"/>
  <c r="I223" i="4" s="1"/>
  <c r="F223" i="4"/>
  <c r="C223" i="4"/>
  <c r="AD222" i="4"/>
  <c r="AC222" i="4"/>
  <c r="AA222" i="4"/>
  <c r="W222" i="4"/>
  <c r="X222" i="4" s="1"/>
  <c r="U222" i="4"/>
  <c r="R222" i="4"/>
  <c r="N222" i="4"/>
  <c r="O222" i="4" s="1"/>
  <c r="L222" i="4"/>
  <c r="I222" i="4"/>
  <c r="H222" i="4"/>
  <c r="F222" i="4"/>
  <c r="C222" i="4"/>
  <c r="AC221" i="4"/>
  <c r="AD221" i="4" s="1"/>
  <c r="AA221" i="4"/>
  <c r="X221" i="4"/>
  <c r="W221" i="4"/>
  <c r="U221" i="4"/>
  <c r="R221" i="4"/>
  <c r="N221" i="4"/>
  <c r="O221" i="4" s="1"/>
  <c r="L221" i="4"/>
  <c r="H221" i="4"/>
  <c r="I221" i="4" s="1"/>
  <c r="F221" i="4"/>
  <c r="C221" i="4"/>
  <c r="AD220" i="4"/>
  <c r="AC220" i="4"/>
  <c r="AA220" i="4"/>
  <c r="W220" i="4"/>
  <c r="X220" i="4" s="1"/>
  <c r="U220" i="4"/>
  <c r="R220" i="4"/>
  <c r="N220" i="4"/>
  <c r="O220" i="4" s="1"/>
  <c r="L220" i="4"/>
  <c r="H220" i="4"/>
  <c r="I220" i="4" s="1"/>
  <c r="F220" i="4"/>
  <c r="C220" i="4"/>
  <c r="AD219" i="4"/>
  <c r="AC219" i="4"/>
  <c r="AA219" i="4"/>
  <c r="X219" i="4"/>
  <c r="W219" i="4"/>
  <c r="U219" i="4"/>
  <c r="R219" i="4"/>
  <c r="N219" i="4"/>
  <c r="O219" i="4" s="1"/>
  <c r="L219" i="4"/>
  <c r="H219" i="4"/>
  <c r="I219" i="4" s="1"/>
  <c r="F219" i="4"/>
  <c r="C219" i="4"/>
  <c r="AA218" i="4"/>
  <c r="Z218" i="4"/>
  <c r="W218" i="4"/>
  <c r="X218" i="4" s="1"/>
  <c r="T218" i="4"/>
  <c r="U218" i="4" s="1"/>
  <c r="R218" i="4"/>
  <c r="Q218" i="4"/>
  <c r="AC218" i="4" s="1"/>
  <c r="AD218" i="4" s="1"/>
  <c r="L218" i="4"/>
  <c r="K218" i="4"/>
  <c r="E218" i="4"/>
  <c r="C218" i="4"/>
  <c r="B218" i="4"/>
  <c r="AD217" i="4"/>
  <c r="AC217" i="4"/>
  <c r="AA217" i="4"/>
  <c r="W217" i="4"/>
  <c r="X217" i="4" s="1"/>
  <c r="U217" i="4"/>
  <c r="R217" i="4"/>
  <c r="N217" i="4"/>
  <c r="O217" i="4" s="1"/>
  <c r="L217" i="4"/>
  <c r="I217" i="4"/>
  <c r="H217" i="4"/>
  <c r="F217" i="4"/>
  <c r="C217" i="4"/>
  <c r="AD216" i="4"/>
  <c r="AC216" i="4"/>
  <c r="AA216" i="4"/>
  <c r="X216" i="4"/>
  <c r="W216" i="4"/>
  <c r="U216" i="4"/>
  <c r="R216" i="4"/>
  <c r="N216" i="4"/>
  <c r="O216" i="4" s="1"/>
  <c r="L216" i="4"/>
  <c r="I216" i="4"/>
  <c r="H216" i="4"/>
  <c r="F216" i="4"/>
  <c r="C216" i="4"/>
  <c r="AC215" i="4"/>
  <c r="AD215" i="4" s="1"/>
  <c r="AA215" i="4"/>
  <c r="W215" i="4"/>
  <c r="X215" i="4" s="1"/>
  <c r="U215" i="4"/>
  <c r="R215" i="4"/>
  <c r="N215" i="4"/>
  <c r="O215" i="4" s="1"/>
  <c r="L215" i="4"/>
  <c r="H215" i="4"/>
  <c r="F215" i="4"/>
  <c r="C215" i="4"/>
  <c r="AD214" i="4"/>
  <c r="AC214" i="4"/>
  <c r="AA214" i="4"/>
  <c r="W214" i="4"/>
  <c r="X214" i="4" s="1"/>
  <c r="U214" i="4"/>
  <c r="R214" i="4"/>
  <c r="O214" i="4"/>
  <c r="N214" i="4"/>
  <c r="L214" i="4"/>
  <c r="I214" i="4"/>
  <c r="H214" i="4"/>
  <c r="F214" i="4"/>
  <c r="C214" i="4"/>
  <c r="AC213" i="4"/>
  <c r="AD213" i="4" s="1"/>
  <c r="AA213" i="4"/>
  <c r="X213" i="4"/>
  <c r="W213" i="4"/>
  <c r="U213" i="4"/>
  <c r="R213" i="4"/>
  <c r="N213" i="4"/>
  <c r="O213" i="4" s="1"/>
  <c r="L213" i="4"/>
  <c r="H213" i="4"/>
  <c r="I213" i="4" s="1"/>
  <c r="F213" i="4"/>
  <c r="C213" i="4"/>
  <c r="AD211" i="4"/>
  <c r="AC211" i="4"/>
  <c r="AA211" i="4"/>
  <c r="W211" i="4"/>
  <c r="X211" i="4" s="1"/>
  <c r="U211" i="4"/>
  <c r="R211" i="4"/>
  <c r="O211" i="4"/>
  <c r="N211" i="4"/>
  <c r="L211" i="4"/>
  <c r="I211" i="4"/>
  <c r="H211" i="4"/>
  <c r="F211" i="4"/>
  <c r="C211" i="4"/>
  <c r="AA209" i="4"/>
  <c r="Z209" i="4"/>
  <c r="T209" i="4"/>
  <c r="U209" i="4" s="1"/>
  <c r="R209" i="4"/>
  <c r="Q209" i="4"/>
  <c r="K209" i="4"/>
  <c r="L209" i="4" s="1"/>
  <c r="E209" i="4"/>
  <c r="C209" i="4"/>
  <c r="B209" i="4"/>
  <c r="AC208" i="4"/>
  <c r="AD208" i="4" s="1"/>
  <c r="AA208" i="4"/>
  <c r="X208" i="4"/>
  <c r="W208" i="4"/>
  <c r="U208" i="4"/>
  <c r="R208" i="4"/>
  <c r="N208" i="4"/>
  <c r="L208" i="4"/>
  <c r="I208" i="4"/>
  <c r="H208" i="4"/>
  <c r="F208" i="4"/>
  <c r="C208" i="4"/>
  <c r="AD207" i="4"/>
  <c r="AC207" i="4"/>
  <c r="AA207" i="4"/>
  <c r="W207" i="4"/>
  <c r="X207" i="4" s="1"/>
  <c r="U207" i="4"/>
  <c r="R207" i="4"/>
  <c r="O207" i="4"/>
  <c r="N207" i="4"/>
  <c r="L207" i="4"/>
  <c r="H207" i="4"/>
  <c r="I207" i="4" s="1"/>
  <c r="F207" i="4"/>
  <c r="C207" i="4"/>
  <c r="AD206" i="4"/>
  <c r="AC206" i="4"/>
  <c r="AA206" i="4"/>
  <c r="W206" i="4"/>
  <c r="X206" i="4" s="1"/>
  <c r="U206" i="4"/>
  <c r="R206" i="4"/>
  <c r="O206" i="4"/>
  <c r="N206" i="4"/>
  <c r="L206" i="4"/>
  <c r="H206" i="4"/>
  <c r="I206" i="4" s="1"/>
  <c r="F206" i="4"/>
  <c r="C206" i="4"/>
  <c r="AC205" i="4"/>
  <c r="AD205" i="4" s="1"/>
  <c r="AA205" i="4"/>
  <c r="X205" i="4"/>
  <c r="W205" i="4"/>
  <c r="U205" i="4"/>
  <c r="R205" i="4"/>
  <c r="N205" i="4"/>
  <c r="O205" i="4" s="1"/>
  <c r="L205" i="4"/>
  <c r="I205" i="4"/>
  <c r="H205" i="4"/>
  <c r="F205" i="4"/>
  <c r="C205" i="4"/>
  <c r="AD204" i="4"/>
  <c r="AC204" i="4"/>
  <c r="AA204" i="4"/>
  <c r="W204" i="4"/>
  <c r="X204" i="4" s="1"/>
  <c r="U204" i="4"/>
  <c r="R204" i="4"/>
  <c r="O204" i="4"/>
  <c r="N204" i="4"/>
  <c r="L204" i="4"/>
  <c r="H204" i="4"/>
  <c r="I204" i="4" s="1"/>
  <c r="F204" i="4"/>
  <c r="C204" i="4"/>
  <c r="AD203" i="4"/>
  <c r="AC203" i="4"/>
  <c r="AA203" i="4"/>
  <c r="W203" i="4"/>
  <c r="X203" i="4" s="1"/>
  <c r="U203" i="4"/>
  <c r="R203" i="4"/>
  <c r="N203" i="4"/>
  <c r="O203" i="4" s="1"/>
  <c r="L203" i="4"/>
  <c r="I203" i="4"/>
  <c r="H203" i="4"/>
  <c r="F203" i="4"/>
  <c r="C203" i="4"/>
  <c r="AD202" i="4"/>
  <c r="AC202" i="4"/>
  <c r="AA202" i="4"/>
  <c r="W202" i="4"/>
  <c r="X202" i="4" s="1"/>
  <c r="U202" i="4"/>
  <c r="R202" i="4"/>
  <c r="O202" i="4"/>
  <c r="N202" i="4"/>
  <c r="L202" i="4"/>
  <c r="I202" i="4"/>
  <c r="H202" i="4"/>
  <c r="F202" i="4"/>
  <c r="C202" i="4"/>
  <c r="AC201" i="4"/>
  <c r="AD201" i="4" s="1"/>
  <c r="AA201" i="4"/>
  <c r="X201" i="4"/>
  <c r="W201" i="4"/>
  <c r="U201" i="4"/>
  <c r="R201" i="4"/>
  <c r="N201" i="4"/>
  <c r="O201" i="4" s="1"/>
  <c r="L201" i="4"/>
  <c r="H201" i="4"/>
  <c r="I201" i="4" s="1"/>
  <c r="F201" i="4"/>
  <c r="C201" i="4"/>
  <c r="Z198" i="4"/>
  <c r="Z197" i="4"/>
  <c r="AA197" i="4" s="1"/>
  <c r="T197" i="4"/>
  <c r="U197" i="4" s="1"/>
  <c r="Q197" i="4"/>
  <c r="L197" i="4"/>
  <c r="K197" i="4"/>
  <c r="H197" i="4"/>
  <c r="I197" i="4" s="1"/>
  <c r="E197" i="4"/>
  <c r="F197" i="4" s="1"/>
  <c r="C197" i="4"/>
  <c r="B197" i="4"/>
  <c r="N197" i="4" s="1"/>
  <c r="O197" i="4" s="1"/>
  <c r="AA196" i="4"/>
  <c r="Z196" i="4"/>
  <c r="X196" i="4"/>
  <c r="W196" i="4"/>
  <c r="U196" i="4"/>
  <c r="T196" i="4"/>
  <c r="R196" i="4"/>
  <c r="Q196" i="4"/>
  <c r="AC196" i="4" s="1"/>
  <c r="AD196" i="4" s="1"/>
  <c r="L196" i="4"/>
  <c r="K196" i="4"/>
  <c r="F196" i="4"/>
  <c r="E196" i="4"/>
  <c r="C196" i="4"/>
  <c r="B196" i="4"/>
  <c r="H196" i="4" s="1"/>
  <c r="I196" i="4" s="1"/>
  <c r="AD195" i="4"/>
  <c r="AC195" i="4"/>
  <c r="AA195" i="4"/>
  <c r="X195" i="4"/>
  <c r="W195" i="4"/>
  <c r="U195" i="4"/>
  <c r="R195" i="4"/>
  <c r="O195" i="4"/>
  <c r="N195" i="4"/>
  <c r="L195" i="4"/>
  <c r="I195" i="4"/>
  <c r="H195" i="4"/>
  <c r="F195" i="4"/>
  <c r="C195" i="4"/>
  <c r="AD194" i="4"/>
  <c r="AC194" i="4"/>
  <c r="AA194" i="4"/>
  <c r="W194" i="4"/>
  <c r="X194" i="4" s="1"/>
  <c r="U194" i="4"/>
  <c r="R194" i="4"/>
  <c r="N194" i="4"/>
  <c r="O194" i="4" s="1"/>
  <c r="L194" i="4"/>
  <c r="I194" i="4"/>
  <c r="H194" i="4"/>
  <c r="F194" i="4"/>
  <c r="C194" i="4"/>
  <c r="Z193" i="4"/>
  <c r="AA193" i="4" s="1"/>
  <c r="W193" i="4"/>
  <c r="X193" i="4" s="1"/>
  <c r="U193" i="4"/>
  <c r="T193" i="4"/>
  <c r="R193" i="4"/>
  <c r="Q193" i="4"/>
  <c r="K193" i="4"/>
  <c r="L193" i="4" s="1"/>
  <c r="F193" i="4"/>
  <c r="E193" i="4"/>
  <c r="B193" i="4"/>
  <c r="AD192" i="4"/>
  <c r="AC192" i="4"/>
  <c r="AA192" i="4"/>
  <c r="W192" i="4"/>
  <c r="X192" i="4" s="1"/>
  <c r="U192" i="4"/>
  <c r="R192" i="4"/>
  <c r="O192" i="4"/>
  <c r="N192" i="4"/>
  <c r="L192" i="4"/>
  <c r="I192" i="4"/>
  <c r="H192" i="4"/>
  <c r="F192" i="4"/>
  <c r="C192" i="4"/>
  <c r="AC191" i="4"/>
  <c r="AD191" i="4" s="1"/>
  <c r="AA191" i="4"/>
  <c r="X191" i="4"/>
  <c r="W191" i="4"/>
  <c r="U191" i="4"/>
  <c r="R191" i="4"/>
  <c r="N191" i="4"/>
  <c r="O191" i="4" s="1"/>
  <c r="L191" i="4"/>
  <c r="H191" i="4"/>
  <c r="I191" i="4" s="1"/>
  <c r="F191" i="4"/>
  <c r="C191" i="4"/>
  <c r="AD190" i="4"/>
  <c r="AC190" i="4"/>
  <c r="AA190" i="4"/>
  <c r="W190" i="4"/>
  <c r="X190" i="4" s="1"/>
  <c r="U190" i="4"/>
  <c r="R190" i="4"/>
  <c r="O190" i="4"/>
  <c r="N190" i="4"/>
  <c r="L190" i="4"/>
  <c r="I190" i="4"/>
  <c r="H190" i="4"/>
  <c r="F190" i="4"/>
  <c r="C190" i="4"/>
  <c r="AD189" i="4"/>
  <c r="AC189" i="4"/>
  <c r="AA189" i="4"/>
  <c r="W189" i="4"/>
  <c r="X189" i="4" s="1"/>
  <c r="U189" i="4"/>
  <c r="R189" i="4"/>
  <c r="N189" i="4"/>
  <c r="O189" i="4" s="1"/>
  <c r="L189" i="4"/>
  <c r="I189" i="4"/>
  <c r="H189" i="4"/>
  <c r="F189" i="4"/>
  <c r="C189" i="4"/>
  <c r="AC188" i="4"/>
  <c r="AD188" i="4" s="1"/>
  <c r="AA188" i="4"/>
  <c r="W188" i="4"/>
  <c r="X188" i="4" s="1"/>
  <c r="U188" i="4"/>
  <c r="R188" i="4"/>
  <c r="O188" i="4"/>
  <c r="N188" i="4"/>
  <c r="L188" i="4"/>
  <c r="H188" i="4"/>
  <c r="I188" i="4" s="1"/>
  <c r="F188" i="4"/>
  <c r="C188" i="4"/>
  <c r="AD187" i="4"/>
  <c r="AC187" i="4"/>
  <c r="AA187" i="4"/>
  <c r="W187" i="4"/>
  <c r="X187" i="4" s="1"/>
  <c r="U187" i="4"/>
  <c r="R187" i="4"/>
  <c r="N187" i="4"/>
  <c r="O187" i="4" s="1"/>
  <c r="L187" i="4"/>
  <c r="I187" i="4"/>
  <c r="H187" i="4"/>
  <c r="F187" i="4"/>
  <c r="C187" i="4"/>
  <c r="AD186" i="4"/>
  <c r="AC186" i="4"/>
  <c r="AA186" i="4"/>
  <c r="X186" i="4"/>
  <c r="W186" i="4"/>
  <c r="U186" i="4"/>
  <c r="R186" i="4"/>
  <c r="N186" i="4"/>
  <c r="O186" i="4" s="1"/>
  <c r="L186" i="4"/>
  <c r="H186" i="4"/>
  <c r="I186" i="4" s="1"/>
  <c r="F186" i="4"/>
  <c r="C186" i="4"/>
  <c r="AC184" i="4"/>
  <c r="AD184" i="4" s="1"/>
  <c r="AA184" i="4"/>
  <c r="W184" i="4"/>
  <c r="X184" i="4" s="1"/>
  <c r="U184" i="4"/>
  <c r="R184" i="4"/>
  <c r="O184" i="4"/>
  <c r="N184" i="4"/>
  <c r="L184" i="4"/>
  <c r="I184" i="4"/>
  <c r="H184" i="4"/>
  <c r="F184" i="4"/>
  <c r="C184" i="4"/>
  <c r="AD183" i="4"/>
  <c r="AC183" i="4"/>
  <c r="AA183" i="4"/>
  <c r="W183" i="4"/>
  <c r="X183" i="4" s="1"/>
  <c r="U183" i="4"/>
  <c r="R183" i="4"/>
  <c r="N183" i="4"/>
  <c r="O183" i="4" s="1"/>
  <c r="L183" i="4"/>
  <c r="H183" i="4"/>
  <c r="I183" i="4" s="1"/>
  <c r="F183" i="4"/>
  <c r="C183" i="4"/>
  <c r="AD182" i="4"/>
  <c r="AA182" i="4"/>
  <c r="Z182" i="4"/>
  <c r="W182" i="4"/>
  <c r="X182" i="4" s="1"/>
  <c r="U182" i="4"/>
  <c r="T182" i="4"/>
  <c r="R182" i="4"/>
  <c r="Q182" i="4"/>
  <c r="AC182" i="4" s="1"/>
  <c r="K182" i="4"/>
  <c r="L182" i="4" s="1"/>
  <c r="E182" i="4"/>
  <c r="F182" i="4" s="1"/>
  <c r="B182" i="4"/>
  <c r="AD181" i="4"/>
  <c r="AC181" i="4"/>
  <c r="AA181" i="4"/>
  <c r="W181" i="4"/>
  <c r="X181" i="4" s="1"/>
  <c r="U181" i="4"/>
  <c r="R181" i="4"/>
  <c r="N181" i="4"/>
  <c r="O181" i="4" s="1"/>
  <c r="L181" i="4"/>
  <c r="I181" i="4"/>
  <c r="H181" i="4"/>
  <c r="F181" i="4"/>
  <c r="C181" i="4"/>
  <c r="AD180" i="4"/>
  <c r="AC180" i="4"/>
  <c r="AA180" i="4"/>
  <c r="X180" i="4"/>
  <c r="W180" i="4"/>
  <c r="U180" i="4"/>
  <c r="R180" i="4"/>
  <c r="N180" i="4"/>
  <c r="O180" i="4" s="1"/>
  <c r="L180" i="4"/>
  <c r="I180" i="4"/>
  <c r="H180" i="4"/>
  <c r="F180" i="4"/>
  <c r="C180" i="4"/>
  <c r="AC179" i="4"/>
  <c r="AD179" i="4" s="1"/>
  <c r="AA179" i="4"/>
  <c r="W179" i="4"/>
  <c r="X179" i="4" s="1"/>
  <c r="U179" i="4"/>
  <c r="R179" i="4"/>
  <c r="N179" i="4"/>
  <c r="O179" i="4" s="1"/>
  <c r="L179" i="4"/>
  <c r="H179" i="4"/>
  <c r="I179" i="4" s="1"/>
  <c r="F179" i="4"/>
  <c r="C179" i="4"/>
  <c r="AD178" i="4"/>
  <c r="AC178" i="4"/>
  <c r="AA178" i="4"/>
  <c r="X178" i="4"/>
  <c r="W178" i="4"/>
  <c r="U178" i="4"/>
  <c r="R178" i="4"/>
  <c r="O178" i="4"/>
  <c r="N178" i="4"/>
  <c r="L178" i="4"/>
  <c r="I178" i="4"/>
  <c r="H178" i="4"/>
  <c r="F178" i="4"/>
  <c r="C178" i="4"/>
  <c r="AC177" i="4"/>
  <c r="AD177" i="4" s="1"/>
  <c r="AA177" i="4"/>
  <c r="W177" i="4"/>
  <c r="X177" i="4" s="1"/>
  <c r="U177" i="4"/>
  <c r="R177" i="4"/>
  <c r="O177" i="4"/>
  <c r="N177" i="4"/>
  <c r="L177" i="4"/>
  <c r="I177" i="4"/>
  <c r="H177" i="4"/>
  <c r="F177" i="4"/>
  <c r="C177" i="4"/>
  <c r="AD175" i="4"/>
  <c r="AC175" i="4"/>
  <c r="AA175" i="4"/>
  <c r="W175" i="4"/>
  <c r="X175" i="4" s="1"/>
  <c r="U175" i="4"/>
  <c r="R175" i="4"/>
  <c r="O175" i="4"/>
  <c r="N175" i="4"/>
  <c r="L175" i="4"/>
  <c r="I175" i="4"/>
  <c r="H175" i="4"/>
  <c r="F175" i="4"/>
  <c r="C175" i="4"/>
  <c r="AA172" i="4"/>
  <c r="Z172" i="4"/>
  <c r="K172" i="4"/>
  <c r="B172" i="4"/>
  <c r="AA171" i="4"/>
  <c r="Z171" i="4"/>
  <c r="T171" i="4"/>
  <c r="U171" i="4" s="1"/>
  <c r="Q171" i="4"/>
  <c r="R171" i="4" s="1"/>
  <c r="O171" i="4"/>
  <c r="K171" i="4"/>
  <c r="L171" i="4" s="1"/>
  <c r="F171" i="4"/>
  <c r="E171" i="4"/>
  <c r="C171" i="4"/>
  <c r="B171" i="4"/>
  <c r="N171" i="4" s="1"/>
  <c r="AA170" i="4"/>
  <c r="Z170" i="4"/>
  <c r="W170" i="4"/>
  <c r="X170" i="4" s="1"/>
  <c r="U170" i="4"/>
  <c r="T170" i="4"/>
  <c r="Q170" i="4"/>
  <c r="R170" i="4" s="1"/>
  <c r="K170" i="4"/>
  <c r="L170" i="4" s="1"/>
  <c r="F170" i="4"/>
  <c r="E170" i="4"/>
  <c r="C170" i="4"/>
  <c r="B170" i="4"/>
  <c r="AC169" i="4"/>
  <c r="AD169" i="4" s="1"/>
  <c r="AA169" i="4"/>
  <c r="W169" i="4"/>
  <c r="X169" i="4" s="1"/>
  <c r="U169" i="4"/>
  <c r="R169" i="4"/>
  <c r="O169" i="4"/>
  <c r="N169" i="4"/>
  <c r="L169" i="4"/>
  <c r="I169" i="4"/>
  <c r="H169" i="4"/>
  <c r="F169" i="4"/>
  <c r="C169" i="4"/>
  <c r="AC168" i="4"/>
  <c r="AD168" i="4" s="1"/>
  <c r="AA168" i="4"/>
  <c r="W168" i="4"/>
  <c r="X168" i="4" s="1"/>
  <c r="U168" i="4"/>
  <c r="R168" i="4"/>
  <c r="O168" i="4"/>
  <c r="N168" i="4"/>
  <c r="L168" i="4"/>
  <c r="I168" i="4"/>
  <c r="H168" i="4"/>
  <c r="F168" i="4"/>
  <c r="C168" i="4"/>
  <c r="AD167" i="4"/>
  <c r="AC167" i="4"/>
  <c r="AA167" i="4"/>
  <c r="X167" i="4"/>
  <c r="W167" i="4"/>
  <c r="U167" i="4"/>
  <c r="R167" i="4"/>
  <c r="N167" i="4"/>
  <c r="O167" i="4" s="1"/>
  <c r="L167" i="4"/>
  <c r="I167" i="4"/>
  <c r="H167" i="4"/>
  <c r="F167" i="4"/>
  <c r="C167" i="4"/>
  <c r="AA166" i="4"/>
  <c r="Z166" i="4"/>
  <c r="X166" i="4"/>
  <c r="W166" i="4"/>
  <c r="T166" i="4"/>
  <c r="U166" i="4" s="1"/>
  <c r="R166" i="4"/>
  <c r="Q166" i="4"/>
  <c r="N166" i="4"/>
  <c r="O166" i="4" s="1"/>
  <c r="L166" i="4"/>
  <c r="K166" i="4"/>
  <c r="F166" i="4"/>
  <c r="E166" i="4"/>
  <c r="B166" i="4"/>
  <c r="H166" i="4" s="1"/>
  <c r="I166" i="4" s="1"/>
  <c r="AC165" i="4"/>
  <c r="AD165" i="4" s="1"/>
  <c r="AA165" i="4"/>
  <c r="X165" i="4"/>
  <c r="W165" i="4"/>
  <c r="U165" i="4"/>
  <c r="R165" i="4"/>
  <c r="N165" i="4"/>
  <c r="O165" i="4" s="1"/>
  <c r="L165" i="4"/>
  <c r="H165" i="4"/>
  <c r="I165" i="4" s="1"/>
  <c r="F165" i="4"/>
  <c r="C165" i="4"/>
  <c r="AC164" i="4"/>
  <c r="AD164" i="4" s="1"/>
  <c r="AA164" i="4"/>
  <c r="X164" i="4"/>
  <c r="W164" i="4"/>
  <c r="U164" i="4"/>
  <c r="R164" i="4"/>
  <c r="N164" i="4"/>
  <c r="O164" i="4" s="1"/>
  <c r="L164" i="4"/>
  <c r="H164" i="4"/>
  <c r="I164" i="4" s="1"/>
  <c r="F164" i="4"/>
  <c r="C164" i="4"/>
  <c r="AD163" i="4"/>
  <c r="AC163" i="4"/>
  <c r="AA163" i="4"/>
  <c r="W163" i="4"/>
  <c r="X163" i="4" s="1"/>
  <c r="U163" i="4"/>
  <c r="R163" i="4"/>
  <c r="N163" i="4"/>
  <c r="O163" i="4" s="1"/>
  <c r="L163" i="4"/>
  <c r="H163" i="4"/>
  <c r="I163" i="4" s="1"/>
  <c r="F163" i="4"/>
  <c r="C163" i="4"/>
  <c r="AD162" i="4"/>
  <c r="AC162" i="4"/>
  <c r="AA162" i="4"/>
  <c r="W162" i="4"/>
  <c r="X162" i="4" s="1"/>
  <c r="U162" i="4"/>
  <c r="R162" i="4"/>
  <c r="O162" i="4"/>
  <c r="N162" i="4"/>
  <c r="L162" i="4"/>
  <c r="I162" i="4"/>
  <c r="H162" i="4"/>
  <c r="F162" i="4"/>
  <c r="C162" i="4"/>
  <c r="AD161" i="4"/>
  <c r="AC161" i="4"/>
  <c r="AA161" i="4"/>
  <c r="X161" i="4"/>
  <c r="W161" i="4"/>
  <c r="U161" i="4"/>
  <c r="R161" i="4"/>
  <c r="N161" i="4"/>
  <c r="O161" i="4" s="1"/>
  <c r="L161" i="4"/>
  <c r="I161" i="4"/>
  <c r="H161" i="4"/>
  <c r="F161" i="4"/>
  <c r="C161" i="4"/>
  <c r="AD160" i="4"/>
  <c r="AC160" i="4"/>
  <c r="AA160" i="4"/>
  <c r="X160" i="4"/>
  <c r="W160" i="4"/>
  <c r="U160" i="4"/>
  <c r="R160" i="4"/>
  <c r="N160" i="4"/>
  <c r="O160" i="4" s="1"/>
  <c r="L160" i="4"/>
  <c r="H160" i="4"/>
  <c r="I160" i="4" s="1"/>
  <c r="F160" i="4"/>
  <c r="C160" i="4"/>
  <c r="Z158" i="4"/>
  <c r="AA158" i="4" s="1"/>
  <c r="T158" i="4"/>
  <c r="W158" i="4" s="1"/>
  <c r="X158" i="4" s="1"/>
  <c r="R158" i="4"/>
  <c r="Q158" i="4"/>
  <c r="AC158" i="4" s="1"/>
  <c r="AD158" i="4" s="1"/>
  <c r="L158" i="4"/>
  <c r="K158" i="4"/>
  <c r="I158" i="4"/>
  <c r="H158" i="4"/>
  <c r="F158" i="4"/>
  <c r="E158" i="4"/>
  <c r="B158" i="4"/>
  <c r="C158" i="4" s="1"/>
  <c r="AD157" i="4"/>
  <c r="AC157" i="4"/>
  <c r="AA157" i="4"/>
  <c r="X157" i="4"/>
  <c r="W157" i="4"/>
  <c r="U157" i="4"/>
  <c r="R157" i="4"/>
  <c r="O157" i="4"/>
  <c r="N157" i="4"/>
  <c r="L157" i="4"/>
  <c r="I157" i="4"/>
  <c r="H157" i="4"/>
  <c r="F157" i="4"/>
  <c r="C157" i="4"/>
  <c r="AC156" i="4"/>
  <c r="AD156" i="4" s="1"/>
  <c r="AA156" i="4"/>
  <c r="W156" i="4"/>
  <c r="X156" i="4" s="1"/>
  <c r="U156" i="4"/>
  <c r="R156" i="4"/>
  <c r="N156" i="4"/>
  <c r="O156" i="4" s="1"/>
  <c r="L156" i="4"/>
  <c r="I156" i="4"/>
  <c r="H156" i="4"/>
  <c r="F156" i="4"/>
  <c r="C156" i="4"/>
  <c r="AD155" i="4"/>
  <c r="AC155" i="4"/>
  <c r="AA155" i="4"/>
  <c r="W155" i="4"/>
  <c r="X155" i="4" s="1"/>
  <c r="U155" i="4"/>
  <c r="R155" i="4"/>
  <c r="N155" i="4"/>
  <c r="O155" i="4" s="1"/>
  <c r="L155" i="4"/>
  <c r="I155" i="4"/>
  <c r="H155" i="4"/>
  <c r="F155" i="4"/>
  <c r="C155" i="4"/>
  <c r="AC154" i="4"/>
  <c r="AD154" i="4" s="1"/>
  <c r="AA154" i="4"/>
  <c r="W154" i="4"/>
  <c r="X154" i="4" s="1"/>
  <c r="U154" i="4"/>
  <c r="R154" i="4"/>
  <c r="O154" i="4"/>
  <c r="N154" i="4"/>
  <c r="L154" i="4"/>
  <c r="I154" i="4"/>
  <c r="H154" i="4"/>
  <c r="F154" i="4"/>
  <c r="C154" i="4"/>
  <c r="AC153" i="4"/>
  <c r="AD153" i="4" s="1"/>
  <c r="AA153" i="4"/>
  <c r="W153" i="4"/>
  <c r="X153" i="4" s="1"/>
  <c r="U153" i="4"/>
  <c r="R153" i="4"/>
  <c r="O153" i="4"/>
  <c r="N153" i="4"/>
  <c r="L153" i="4"/>
  <c r="I153" i="4"/>
  <c r="H153" i="4"/>
  <c r="F153" i="4"/>
  <c r="C153" i="4"/>
  <c r="AD151" i="4"/>
  <c r="AC151" i="4"/>
  <c r="AA151" i="4"/>
  <c r="X151" i="4"/>
  <c r="W151" i="4"/>
  <c r="U151" i="4"/>
  <c r="R151" i="4"/>
  <c r="N151" i="4"/>
  <c r="O151" i="4" s="1"/>
  <c r="L151" i="4"/>
  <c r="I151" i="4"/>
  <c r="H151" i="4"/>
  <c r="F151" i="4"/>
  <c r="C151" i="4"/>
  <c r="AA149" i="4"/>
  <c r="Z149" i="4"/>
  <c r="W149" i="4"/>
  <c r="X149" i="4" s="1"/>
  <c r="T149" i="4"/>
  <c r="U149" i="4" s="1"/>
  <c r="R149" i="4"/>
  <c r="Q149" i="4"/>
  <c r="K149" i="4"/>
  <c r="L149" i="4" s="1"/>
  <c r="F149" i="4"/>
  <c r="E149" i="4"/>
  <c r="C149" i="4"/>
  <c r="B149" i="4"/>
  <c r="H149" i="4" s="1"/>
  <c r="I149" i="4" s="1"/>
  <c r="Z148" i="4"/>
  <c r="AA148" i="4" s="1"/>
  <c r="T148" i="4"/>
  <c r="U148" i="4" s="1"/>
  <c r="Q148" i="4"/>
  <c r="R148" i="4" s="1"/>
  <c r="O148" i="4"/>
  <c r="L148" i="4"/>
  <c r="K148" i="4"/>
  <c r="E148" i="4"/>
  <c r="C148" i="4"/>
  <c r="B148" i="4"/>
  <c r="N148" i="4" s="1"/>
  <c r="AD147" i="4"/>
  <c r="AC147" i="4"/>
  <c r="AA147" i="4"/>
  <c r="X147" i="4"/>
  <c r="W147" i="4"/>
  <c r="U147" i="4"/>
  <c r="R147" i="4"/>
  <c r="N147" i="4"/>
  <c r="O147" i="4" s="1"/>
  <c r="L147" i="4"/>
  <c r="H147" i="4"/>
  <c r="I147" i="4" s="1"/>
  <c r="F147" i="4"/>
  <c r="C147" i="4"/>
  <c r="AD146" i="4"/>
  <c r="AC146" i="4"/>
  <c r="AA146" i="4"/>
  <c r="W146" i="4"/>
  <c r="X146" i="4" s="1"/>
  <c r="U146" i="4"/>
  <c r="R146" i="4"/>
  <c r="O146" i="4"/>
  <c r="N146" i="4"/>
  <c r="L146" i="4"/>
  <c r="I146" i="4"/>
  <c r="H146" i="4"/>
  <c r="F146" i="4"/>
  <c r="C146" i="4"/>
  <c r="AD145" i="4"/>
  <c r="AC145" i="4"/>
  <c r="AA145" i="4"/>
  <c r="X145" i="4"/>
  <c r="W145" i="4"/>
  <c r="U145" i="4"/>
  <c r="R145" i="4"/>
  <c r="N145" i="4"/>
  <c r="O145" i="4" s="1"/>
  <c r="L145" i="4"/>
  <c r="I145" i="4"/>
  <c r="H145" i="4"/>
  <c r="F145" i="4"/>
  <c r="C145" i="4"/>
  <c r="AD144" i="4"/>
  <c r="AC144" i="4"/>
  <c r="AA144" i="4"/>
  <c r="X144" i="4"/>
  <c r="W144" i="4"/>
  <c r="U144" i="4"/>
  <c r="R144" i="4"/>
  <c r="N144" i="4"/>
  <c r="O144" i="4" s="1"/>
  <c r="L144" i="4"/>
  <c r="H144" i="4"/>
  <c r="I144" i="4" s="1"/>
  <c r="F144" i="4"/>
  <c r="C144" i="4"/>
  <c r="AD143" i="4"/>
  <c r="AC143" i="4"/>
  <c r="AA143" i="4"/>
  <c r="X143" i="4"/>
  <c r="W143" i="4"/>
  <c r="U143" i="4"/>
  <c r="R143" i="4"/>
  <c r="O143" i="4"/>
  <c r="N143" i="4"/>
  <c r="L143" i="4"/>
  <c r="I143" i="4"/>
  <c r="H143" i="4"/>
  <c r="F143" i="4"/>
  <c r="C143" i="4"/>
  <c r="AA141" i="4"/>
  <c r="Z141" i="4"/>
  <c r="T141" i="4"/>
  <c r="U141" i="4" s="1"/>
  <c r="Q141" i="4"/>
  <c r="O141" i="4"/>
  <c r="K141" i="4"/>
  <c r="L141" i="4" s="1"/>
  <c r="F141" i="4"/>
  <c r="E141" i="4"/>
  <c r="H141" i="4" s="1"/>
  <c r="I141" i="4" s="1"/>
  <c r="C141" i="4"/>
  <c r="B141" i="4"/>
  <c r="N141" i="4" s="1"/>
  <c r="AC140" i="4"/>
  <c r="AD140" i="4" s="1"/>
  <c r="AA140" i="4"/>
  <c r="W140" i="4"/>
  <c r="X140" i="4" s="1"/>
  <c r="U140" i="4"/>
  <c r="R140" i="4"/>
  <c r="N140" i="4"/>
  <c r="O140" i="4" s="1"/>
  <c r="L140" i="4"/>
  <c r="I140" i="4"/>
  <c r="H140" i="4"/>
  <c r="F140" i="4"/>
  <c r="C140" i="4"/>
  <c r="AD139" i="4"/>
  <c r="AC139" i="4"/>
  <c r="AA139" i="4"/>
  <c r="W139" i="4"/>
  <c r="X139" i="4" s="1"/>
  <c r="U139" i="4"/>
  <c r="R139" i="4"/>
  <c r="O139" i="4"/>
  <c r="N139" i="4"/>
  <c r="L139" i="4"/>
  <c r="I139" i="4"/>
  <c r="H139" i="4"/>
  <c r="F139" i="4"/>
  <c r="C139" i="4"/>
  <c r="AC138" i="4"/>
  <c r="AD138" i="4" s="1"/>
  <c r="AA138" i="4"/>
  <c r="W138" i="4"/>
  <c r="X138" i="4" s="1"/>
  <c r="U138" i="4"/>
  <c r="R138" i="4"/>
  <c r="O138" i="4"/>
  <c r="N138" i="4"/>
  <c r="L138" i="4"/>
  <c r="I138" i="4"/>
  <c r="H138" i="4"/>
  <c r="F138" i="4"/>
  <c r="C138" i="4"/>
  <c r="AC137" i="4"/>
  <c r="AD137" i="4" s="1"/>
  <c r="AA137" i="4"/>
  <c r="W137" i="4"/>
  <c r="X137" i="4" s="1"/>
  <c r="U137" i="4"/>
  <c r="R137" i="4"/>
  <c r="O137" i="4"/>
  <c r="N137" i="4"/>
  <c r="L137" i="4"/>
  <c r="I137" i="4"/>
  <c r="H137" i="4"/>
  <c r="F137" i="4"/>
  <c r="C137" i="4"/>
  <c r="AC136" i="4"/>
  <c r="AD136" i="4" s="1"/>
  <c r="AA136" i="4"/>
  <c r="X136" i="4"/>
  <c r="W136" i="4"/>
  <c r="U136" i="4"/>
  <c r="R136" i="4"/>
  <c r="N136" i="4"/>
  <c r="O136" i="4" s="1"/>
  <c r="L136" i="4"/>
  <c r="I136" i="4"/>
  <c r="H136" i="4"/>
  <c r="F136" i="4"/>
  <c r="C136" i="4"/>
  <c r="AD135" i="4"/>
  <c r="AC135" i="4"/>
  <c r="AA135" i="4"/>
  <c r="W135" i="4"/>
  <c r="X135" i="4" s="1"/>
  <c r="U135" i="4"/>
  <c r="R135" i="4"/>
  <c r="O135" i="4"/>
  <c r="N135" i="4"/>
  <c r="L135" i="4"/>
  <c r="H135" i="4"/>
  <c r="I135" i="4" s="1"/>
  <c r="F135" i="4"/>
  <c r="C135" i="4"/>
  <c r="AD134" i="4"/>
  <c r="AC134" i="4"/>
  <c r="AA134" i="4"/>
  <c r="W134" i="4"/>
  <c r="X134" i="4" s="1"/>
  <c r="U134" i="4"/>
  <c r="R134" i="4"/>
  <c r="O134" i="4"/>
  <c r="N134" i="4"/>
  <c r="L134" i="4"/>
  <c r="I134" i="4"/>
  <c r="H134" i="4"/>
  <c r="F134" i="4"/>
  <c r="C134" i="4"/>
  <c r="AD133" i="4"/>
  <c r="AC133" i="4"/>
  <c r="AA133" i="4"/>
  <c r="X133" i="4"/>
  <c r="W133" i="4"/>
  <c r="U133" i="4"/>
  <c r="R133" i="4"/>
  <c r="N133" i="4"/>
  <c r="O133" i="4" s="1"/>
  <c r="L133" i="4"/>
  <c r="H133" i="4"/>
  <c r="I133" i="4" s="1"/>
  <c r="F133" i="4"/>
  <c r="C133" i="4"/>
  <c r="AD132" i="4"/>
  <c r="AC132" i="4"/>
  <c r="AA132" i="4"/>
  <c r="X132" i="4"/>
  <c r="W132" i="4"/>
  <c r="U132" i="4"/>
  <c r="R132" i="4"/>
  <c r="N132" i="4"/>
  <c r="O132" i="4" s="1"/>
  <c r="L132" i="4"/>
  <c r="I132" i="4"/>
  <c r="H132" i="4"/>
  <c r="F132" i="4"/>
  <c r="C132" i="4"/>
  <c r="AD131" i="4"/>
  <c r="AC131" i="4"/>
  <c r="AA131" i="4"/>
  <c r="X131" i="4"/>
  <c r="W131" i="4"/>
  <c r="U131" i="4"/>
  <c r="R131" i="4"/>
  <c r="N131" i="4"/>
  <c r="O131" i="4" s="1"/>
  <c r="L131" i="4"/>
  <c r="H131" i="4"/>
  <c r="I131" i="4" s="1"/>
  <c r="F131" i="4"/>
  <c r="C131" i="4"/>
  <c r="AD130" i="4"/>
  <c r="AC130" i="4"/>
  <c r="AA130" i="4"/>
  <c r="W130" i="4"/>
  <c r="X130" i="4" s="1"/>
  <c r="U130" i="4"/>
  <c r="R130" i="4"/>
  <c r="O130" i="4"/>
  <c r="N130" i="4"/>
  <c r="L130" i="4"/>
  <c r="I130" i="4"/>
  <c r="H130" i="4"/>
  <c r="F130" i="4"/>
  <c r="C130" i="4"/>
  <c r="AD129" i="4"/>
  <c r="AC129" i="4"/>
  <c r="AA129" i="4"/>
  <c r="X129" i="4"/>
  <c r="W129" i="4"/>
  <c r="U129" i="4"/>
  <c r="R129" i="4"/>
  <c r="N129" i="4"/>
  <c r="O129" i="4" s="1"/>
  <c r="L129" i="4"/>
  <c r="I129" i="4"/>
  <c r="H129" i="4"/>
  <c r="F129" i="4"/>
  <c r="C129" i="4"/>
  <c r="AD127" i="4"/>
  <c r="AC127" i="4"/>
  <c r="AA127" i="4"/>
  <c r="X127" i="4"/>
  <c r="W127" i="4"/>
  <c r="U127" i="4"/>
  <c r="R127" i="4"/>
  <c r="N127" i="4"/>
  <c r="O127" i="4" s="1"/>
  <c r="L127" i="4"/>
  <c r="H127" i="4"/>
  <c r="I127" i="4" s="1"/>
  <c r="F127" i="4"/>
  <c r="C127" i="4"/>
  <c r="Z124" i="4"/>
  <c r="AA124" i="4" s="1"/>
  <c r="U124" i="4"/>
  <c r="T124" i="4"/>
  <c r="R124" i="4"/>
  <c r="Q124" i="4"/>
  <c r="AC124" i="4" s="1"/>
  <c r="AD124" i="4" s="1"/>
  <c r="L124" i="4"/>
  <c r="K124" i="4"/>
  <c r="I124" i="4"/>
  <c r="H124" i="4"/>
  <c r="F124" i="4"/>
  <c r="E124" i="4"/>
  <c r="B124" i="4"/>
  <c r="C124" i="4" s="1"/>
  <c r="AD123" i="4"/>
  <c r="AC123" i="4"/>
  <c r="AA123" i="4"/>
  <c r="X123" i="4"/>
  <c r="W123" i="4"/>
  <c r="U123" i="4"/>
  <c r="R123" i="4"/>
  <c r="O123" i="4"/>
  <c r="N123" i="4"/>
  <c r="L123" i="4"/>
  <c r="I123" i="4"/>
  <c r="H123" i="4"/>
  <c r="F123" i="4"/>
  <c r="C123" i="4"/>
  <c r="AA122" i="4"/>
  <c r="Z122" i="4"/>
  <c r="W122" i="4"/>
  <c r="X122" i="4" s="1"/>
  <c r="U122" i="4"/>
  <c r="T122" i="4"/>
  <c r="Q122" i="4"/>
  <c r="R122" i="4" s="1"/>
  <c r="L122" i="4"/>
  <c r="K122" i="4"/>
  <c r="F122" i="4"/>
  <c r="E122" i="4"/>
  <c r="C122" i="4"/>
  <c r="B122" i="4"/>
  <c r="N122" i="4" s="1"/>
  <c r="O122" i="4" s="1"/>
  <c r="AC121" i="4"/>
  <c r="AD121" i="4" s="1"/>
  <c r="AA121" i="4"/>
  <c r="W121" i="4"/>
  <c r="X121" i="4" s="1"/>
  <c r="U121" i="4"/>
  <c r="R121" i="4"/>
  <c r="O121" i="4"/>
  <c r="N121" i="4"/>
  <c r="L121" i="4"/>
  <c r="I121" i="4"/>
  <c r="H121" i="4"/>
  <c r="F121" i="4"/>
  <c r="C121" i="4"/>
  <c r="AC120" i="4"/>
  <c r="AD120" i="4" s="1"/>
  <c r="AA120" i="4"/>
  <c r="W120" i="4"/>
  <c r="X120" i="4" s="1"/>
  <c r="U120" i="4"/>
  <c r="R120" i="4"/>
  <c r="O120" i="4"/>
  <c r="N120" i="4"/>
  <c r="L120" i="4"/>
  <c r="I120" i="4"/>
  <c r="H120" i="4"/>
  <c r="F120" i="4"/>
  <c r="C120" i="4"/>
  <c r="AD119" i="4"/>
  <c r="AC119" i="4"/>
  <c r="AA119" i="4"/>
  <c r="X119" i="4"/>
  <c r="W119" i="4"/>
  <c r="U119" i="4"/>
  <c r="R119" i="4"/>
  <c r="N119" i="4"/>
  <c r="O119" i="4" s="1"/>
  <c r="L119" i="4"/>
  <c r="I119" i="4"/>
  <c r="H119" i="4"/>
  <c r="F119" i="4"/>
  <c r="C119" i="4"/>
  <c r="AA118" i="4"/>
  <c r="Z118" i="4"/>
  <c r="X118" i="4"/>
  <c r="W118" i="4"/>
  <c r="T118" i="4"/>
  <c r="U118" i="4" s="1"/>
  <c r="R118" i="4"/>
  <c r="Q118" i="4"/>
  <c r="N118" i="4"/>
  <c r="O118" i="4" s="1"/>
  <c r="L118" i="4"/>
  <c r="K118" i="4"/>
  <c r="F118" i="4"/>
  <c r="E118" i="4"/>
  <c r="B118" i="4"/>
  <c r="AC117" i="4"/>
  <c r="AD117" i="4" s="1"/>
  <c r="AA117" i="4"/>
  <c r="X117" i="4"/>
  <c r="W117" i="4"/>
  <c r="U117" i="4"/>
  <c r="R117" i="4"/>
  <c r="N117" i="4"/>
  <c r="O117" i="4" s="1"/>
  <c r="L117" i="4"/>
  <c r="H117" i="4"/>
  <c r="I117" i="4" s="1"/>
  <c r="F117" i="4"/>
  <c r="C117" i="4"/>
  <c r="AD116" i="4"/>
  <c r="AC116" i="4"/>
  <c r="AA116" i="4"/>
  <c r="X116" i="4"/>
  <c r="W116" i="4"/>
  <c r="U116" i="4"/>
  <c r="R116" i="4"/>
  <c r="N116" i="4"/>
  <c r="O116" i="4" s="1"/>
  <c r="L116" i="4"/>
  <c r="H116" i="4"/>
  <c r="I116" i="4" s="1"/>
  <c r="F116" i="4"/>
  <c r="C116" i="4"/>
  <c r="AD115" i="4"/>
  <c r="AC115" i="4"/>
  <c r="AA115" i="4"/>
  <c r="X115" i="4"/>
  <c r="W115" i="4"/>
  <c r="U115" i="4"/>
  <c r="R115" i="4"/>
  <c r="O115" i="4"/>
  <c r="N115" i="4"/>
  <c r="L115" i="4"/>
  <c r="I115" i="4"/>
  <c r="H115" i="4"/>
  <c r="F115" i="4"/>
  <c r="C115" i="4"/>
  <c r="AC114" i="4"/>
  <c r="AD114" i="4" s="1"/>
  <c r="AA114" i="4"/>
  <c r="W114" i="4"/>
  <c r="X114" i="4" s="1"/>
  <c r="U114" i="4"/>
  <c r="R114" i="4"/>
  <c r="O114" i="4"/>
  <c r="N114" i="4"/>
  <c r="L114" i="4"/>
  <c r="I114" i="4"/>
  <c r="H114" i="4"/>
  <c r="F114" i="4"/>
  <c r="C114" i="4"/>
  <c r="AD113" i="4"/>
  <c r="AC113" i="4"/>
  <c r="AA113" i="4"/>
  <c r="X113" i="4"/>
  <c r="W113" i="4"/>
  <c r="U113" i="4"/>
  <c r="R113" i="4"/>
  <c r="O113" i="4"/>
  <c r="N113" i="4"/>
  <c r="L113" i="4"/>
  <c r="H113" i="4"/>
  <c r="I113" i="4" s="1"/>
  <c r="F113" i="4"/>
  <c r="C113" i="4"/>
  <c r="AC112" i="4"/>
  <c r="AD112" i="4" s="1"/>
  <c r="AA112" i="4"/>
  <c r="X112" i="4"/>
  <c r="W112" i="4"/>
  <c r="U112" i="4"/>
  <c r="R112" i="4"/>
  <c r="N112" i="4"/>
  <c r="O112" i="4" s="1"/>
  <c r="L112" i="4"/>
  <c r="I112" i="4"/>
  <c r="H112" i="4"/>
  <c r="F112" i="4"/>
  <c r="C112" i="4"/>
  <c r="AD111" i="4"/>
  <c r="AC111" i="4"/>
  <c r="AA111" i="4"/>
  <c r="W111" i="4"/>
  <c r="X111" i="4" s="1"/>
  <c r="U111" i="4"/>
  <c r="R111" i="4"/>
  <c r="O111" i="4"/>
  <c r="N111" i="4"/>
  <c r="L111" i="4"/>
  <c r="H111" i="4"/>
  <c r="I111" i="4" s="1"/>
  <c r="F111" i="4"/>
  <c r="C111" i="4"/>
  <c r="AC110" i="4"/>
  <c r="AD110" i="4" s="1"/>
  <c r="AA110" i="4"/>
  <c r="W110" i="4"/>
  <c r="X110" i="4" s="1"/>
  <c r="U110" i="4"/>
  <c r="R110" i="4"/>
  <c r="O110" i="4"/>
  <c r="N110" i="4"/>
  <c r="L110" i="4"/>
  <c r="I110" i="4"/>
  <c r="H110" i="4"/>
  <c r="F110" i="4"/>
  <c r="C110" i="4"/>
  <c r="AC109" i="4"/>
  <c r="AD109" i="4" s="1"/>
  <c r="AA109" i="4"/>
  <c r="X109" i="4"/>
  <c r="W109" i="4"/>
  <c r="U109" i="4"/>
  <c r="R109" i="4"/>
  <c r="N109" i="4"/>
  <c r="O109" i="4" s="1"/>
  <c r="L109" i="4"/>
  <c r="H109" i="4"/>
  <c r="I109" i="4" s="1"/>
  <c r="F109" i="4"/>
  <c r="C109" i="4"/>
  <c r="AD108" i="4"/>
  <c r="AC108" i="4"/>
  <c r="AA108" i="4"/>
  <c r="X108" i="4"/>
  <c r="W108" i="4"/>
  <c r="U108" i="4"/>
  <c r="R108" i="4"/>
  <c r="N108" i="4"/>
  <c r="O108" i="4" s="1"/>
  <c r="L108" i="4"/>
  <c r="H108" i="4"/>
  <c r="I108" i="4" s="1"/>
  <c r="F108" i="4"/>
  <c r="C108" i="4"/>
  <c r="AD107" i="4"/>
  <c r="AC107" i="4"/>
  <c r="AA107" i="4"/>
  <c r="X107" i="4"/>
  <c r="W107" i="4"/>
  <c r="U107" i="4"/>
  <c r="R107" i="4"/>
  <c r="O107" i="4"/>
  <c r="N107" i="4"/>
  <c r="L107" i="4"/>
  <c r="I107" i="4"/>
  <c r="H107" i="4"/>
  <c r="F107" i="4"/>
  <c r="C107" i="4"/>
  <c r="AC106" i="4"/>
  <c r="AD106" i="4" s="1"/>
  <c r="AA106" i="4"/>
  <c r="W106" i="4"/>
  <c r="X106" i="4" s="1"/>
  <c r="U106" i="4"/>
  <c r="R106" i="4"/>
  <c r="O106" i="4"/>
  <c r="N106" i="4"/>
  <c r="L106" i="4"/>
  <c r="I106" i="4"/>
  <c r="H106" i="4"/>
  <c r="F106" i="4"/>
  <c r="C106" i="4"/>
  <c r="AD105" i="4"/>
  <c r="AC105" i="4"/>
  <c r="AA105" i="4"/>
  <c r="X105" i="4"/>
  <c r="W105" i="4"/>
  <c r="U105" i="4"/>
  <c r="R105" i="4"/>
  <c r="O105" i="4"/>
  <c r="N105" i="4"/>
  <c r="L105" i="4"/>
  <c r="H105" i="4"/>
  <c r="I105" i="4" s="1"/>
  <c r="F105" i="4"/>
  <c r="C105" i="4"/>
  <c r="AC104" i="4"/>
  <c r="AD104" i="4" s="1"/>
  <c r="AA104" i="4"/>
  <c r="X104" i="4"/>
  <c r="W104" i="4"/>
  <c r="U104" i="4"/>
  <c r="R104" i="4"/>
  <c r="N104" i="4"/>
  <c r="O104" i="4" s="1"/>
  <c r="L104" i="4"/>
  <c r="I104" i="4"/>
  <c r="H104" i="4"/>
  <c r="F104" i="4"/>
  <c r="C104" i="4"/>
  <c r="AD103" i="4"/>
  <c r="AC103" i="4"/>
  <c r="AA103" i="4"/>
  <c r="W103" i="4"/>
  <c r="X103" i="4" s="1"/>
  <c r="U103" i="4"/>
  <c r="R103" i="4"/>
  <c r="O103" i="4"/>
  <c r="N103" i="4"/>
  <c r="L103" i="4"/>
  <c r="H103" i="4"/>
  <c r="I103" i="4" s="1"/>
  <c r="F103" i="4"/>
  <c r="C103" i="4"/>
  <c r="AC102" i="4"/>
  <c r="AD102" i="4" s="1"/>
  <c r="AA102" i="4"/>
  <c r="W102" i="4"/>
  <c r="X102" i="4" s="1"/>
  <c r="U102" i="4"/>
  <c r="R102" i="4"/>
  <c r="O102" i="4"/>
  <c r="N102" i="4"/>
  <c r="L102" i="4"/>
  <c r="I102" i="4"/>
  <c r="H102" i="4"/>
  <c r="F102" i="4"/>
  <c r="C102" i="4"/>
  <c r="AC101" i="4"/>
  <c r="AD101" i="4" s="1"/>
  <c r="AA101" i="4"/>
  <c r="X101" i="4"/>
  <c r="W101" i="4"/>
  <c r="U101" i="4"/>
  <c r="R101" i="4"/>
  <c r="N101" i="4"/>
  <c r="O101" i="4" s="1"/>
  <c r="L101" i="4"/>
  <c r="H101" i="4"/>
  <c r="I101" i="4" s="1"/>
  <c r="F101" i="4"/>
  <c r="C101" i="4"/>
  <c r="AD100" i="4"/>
  <c r="AC100" i="4"/>
  <c r="AA100" i="4"/>
  <c r="X100" i="4"/>
  <c r="W100" i="4"/>
  <c r="U100" i="4"/>
  <c r="R100" i="4"/>
  <c r="N100" i="4"/>
  <c r="O100" i="4" s="1"/>
  <c r="L100" i="4"/>
  <c r="H100" i="4"/>
  <c r="I100" i="4" s="1"/>
  <c r="F100" i="4"/>
  <c r="C100" i="4"/>
  <c r="AD99" i="4"/>
  <c r="AC99" i="4"/>
  <c r="AA99" i="4"/>
  <c r="X99" i="4"/>
  <c r="W99" i="4"/>
  <c r="U99" i="4"/>
  <c r="R99" i="4"/>
  <c r="O99" i="4"/>
  <c r="N99" i="4"/>
  <c r="L99" i="4"/>
  <c r="I99" i="4"/>
  <c r="H99" i="4"/>
  <c r="F99" i="4"/>
  <c r="C99" i="4"/>
  <c r="AC98" i="4"/>
  <c r="AD98" i="4" s="1"/>
  <c r="AA98" i="4"/>
  <c r="W98" i="4"/>
  <c r="X98" i="4" s="1"/>
  <c r="U98" i="4"/>
  <c r="R98" i="4"/>
  <c r="O98" i="4"/>
  <c r="N98" i="4"/>
  <c r="L98" i="4"/>
  <c r="I98" i="4"/>
  <c r="H98" i="4"/>
  <c r="F98" i="4"/>
  <c r="C98" i="4"/>
  <c r="AD97" i="4"/>
  <c r="AC97" i="4"/>
  <c r="AA97" i="4"/>
  <c r="X97" i="4"/>
  <c r="W97" i="4"/>
  <c r="U97" i="4"/>
  <c r="R97" i="4"/>
  <c r="O97" i="4"/>
  <c r="N97" i="4"/>
  <c r="L97" i="4"/>
  <c r="H97" i="4"/>
  <c r="I97" i="4" s="1"/>
  <c r="F97" i="4"/>
  <c r="C97" i="4"/>
  <c r="AC96" i="4"/>
  <c r="AD96" i="4" s="1"/>
  <c r="AA96" i="4"/>
  <c r="X96" i="4"/>
  <c r="W96" i="4"/>
  <c r="U96" i="4"/>
  <c r="R96" i="4"/>
  <c r="N96" i="4"/>
  <c r="O96" i="4" s="1"/>
  <c r="L96" i="4"/>
  <c r="I96" i="4"/>
  <c r="H96" i="4"/>
  <c r="F96" i="4"/>
  <c r="C96" i="4"/>
  <c r="AD95" i="4"/>
  <c r="AC95" i="4"/>
  <c r="AA95" i="4"/>
  <c r="W95" i="4"/>
  <c r="X95" i="4" s="1"/>
  <c r="U95" i="4"/>
  <c r="R95" i="4"/>
  <c r="O95" i="4"/>
  <c r="N95" i="4"/>
  <c r="L95" i="4"/>
  <c r="H95" i="4"/>
  <c r="I95" i="4" s="1"/>
  <c r="F95" i="4"/>
  <c r="C95" i="4"/>
  <c r="AC94" i="4"/>
  <c r="AD94" i="4" s="1"/>
  <c r="AA94" i="4"/>
  <c r="W94" i="4"/>
  <c r="X94" i="4" s="1"/>
  <c r="U94" i="4"/>
  <c r="R94" i="4"/>
  <c r="O94" i="4"/>
  <c r="N94" i="4"/>
  <c r="L94" i="4"/>
  <c r="I94" i="4"/>
  <c r="H94" i="4"/>
  <c r="F94" i="4"/>
  <c r="C94" i="4"/>
  <c r="AC92" i="4"/>
  <c r="AD92" i="4" s="1"/>
  <c r="AA92" i="4"/>
  <c r="X92" i="4"/>
  <c r="W92" i="4"/>
  <c r="U92" i="4"/>
  <c r="R92" i="4"/>
  <c r="O92" i="4"/>
  <c r="N92" i="4"/>
  <c r="L92" i="4"/>
  <c r="H92" i="4"/>
  <c r="I92" i="4" s="1"/>
  <c r="F92" i="4"/>
  <c r="C92" i="4"/>
  <c r="AD91" i="4"/>
  <c r="AC91" i="4"/>
  <c r="AA91" i="4"/>
  <c r="X91" i="4"/>
  <c r="W91" i="4"/>
  <c r="U91" i="4"/>
  <c r="R91" i="4"/>
  <c r="N91" i="4"/>
  <c r="O91" i="4" s="1"/>
  <c r="L91" i="4"/>
  <c r="H91" i="4"/>
  <c r="I91" i="4" s="1"/>
  <c r="F91" i="4"/>
  <c r="C91" i="4"/>
  <c r="AD90" i="4"/>
  <c r="AC90" i="4"/>
  <c r="AA90" i="4"/>
  <c r="X90" i="4"/>
  <c r="W90" i="4"/>
  <c r="U90" i="4"/>
  <c r="R90" i="4"/>
  <c r="O90" i="4"/>
  <c r="N90" i="4"/>
  <c r="L90" i="4"/>
  <c r="I90" i="4"/>
  <c r="H90" i="4"/>
  <c r="F90" i="4"/>
  <c r="C90" i="4"/>
  <c r="AC89" i="4"/>
  <c r="AD89" i="4" s="1"/>
  <c r="AA89" i="4"/>
  <c r="W89" i="4"/>
  <c r="X89" i="4" s="1"/>
  <c r="U89" i="4"/>
  <c r="R89" i="4"/>
  <c r="O89" i="4"/>
  <c r="N89" i="4"/>
  <c r="L89" i="4"/>
  <c r="I89" i="4"/>
  <c r="H89" i="4"/>
  <c r="F89" i="4"/>
  <c r="C89" i="4"/>
  <c r="Z88" i="4"/>
  <c r="AA88" i="4" s="1"/>
  <c r="T88" i="4"/>
  <c r="U88" i="4" s="1"/>
  <c r="Q88" i="4"/>
  <c r="L88" i="4"/>
  <c r="K88" i="4"/>
  <c r="E88" i="4"/>
  <c r="H88" i="4" s="1"/>
  <c r="I88" i="4" s="1"/>
  <c r="B88" i="4"/>
  <c r="C88" i="4" s="1"/>
  <c r="AD87" i="4"/>
  <c r="AC87" i="4"/>
  <c r="AA87" i="4"/>
  <c r="X87" i="4"/>
  <c r="W87" i="4"/>
  <c r="U87" i="4"/>
  <c r="R87" i="4"/>
  <c r="O87" i="4"/>
  <c r="N87" i="4"/>
  <c r="L87" i="4"/>
  <c r="I87" i="4"/>
  <c r="H87" i="4"/>
  <c r="F87" i="4"/>
  <c r="C87" i="4"/>
  <c r="AC86" i="4"/>
  <c r="AD86" i="4" s="1"/>
  <c r="AA86" i="4"/>
  <c r="W86" i="4"/>
  <c r="X86" i="4" s="1"/>
  <c r="U86" i="4"/>
  <c r="R86" i="4"/>
  <c r="O86" i="4"/>
  <c r="N86" i="4"/>
  <c r="L86" i="4"/>
  <c r="I86" i="4"/>
  <c r="H86" i="4"/>
  <c r="F86" i="4"/>
  <c r="C86" i="4"/>
  <c r="AD85" i="4"/>
  <c r="AC85" i="4"/>
  <c r="AA85" i="4"/>
  <c r="X85" i="4"/>
  <c r="W85" i="4"/>
  <c r="U85" i="4"/>
  <c r="R85" i="4"/>
  <c r="O85" i="4"/>
  <c r="N85" i="4"/>
  <c r="L85" i="4"/>
  <c r="H85" i="4"/>
  <c r="I85" i="4" s="1"/>
  <c r="F85" i="4"/>
  <c r="C85" i="4"/>
  <c r="AC84" i="4"/>
  <c r="AD84" i="4" s="1"/>
  <c r="AA84" i="4"/>
  <c r="X84" i="4"/>
  <c r="W84" i="4"/>
  <c r="U84" i="4"/>
  <c r="R84" i="4"/>
  <c r="N84" i="4"/>
  <c r="O84" i="4" s="1"/>
  <c r="L84" i="4"/>
  <c r="I84" i="4"/>
  <c r="H84" i="4"/>
  <c r="F84" i="4"/>
  <c r="C84" i="4"/>
  <c r="AD83" i="4"/>
  <c r="AC83" i="4"/>
  <c r="AA83" i="4"/>
  <c r="W83" i="4"/>
  <c r="X83" i="4" s="1"/>
  <c r="U83" i="4"/>
  <c r="R83" i="4"/>
  <c r="O83" i="4"/>
  <c r="N83" i="4"/>
  <c r="L83" i="4"/>
  <c r="H83" i="4"/>
  <c r="I83" i="4" s="1"/>
  <c r="F83" i="4"/>
  <c r="C83" i="4"/>
  <c r="AC82" i="4"/>
  <c r="AD82" i="4" s="1"/>
  <c r="AA82" i="4"/>
  <c r="W82" i="4"/>
  <c r="X82" i="4" s="1"/>
  <c r="U82" i="4"/>
  <c r="R82" i="4"/>
  <c r="O82" i="4"/>
  <c r="N82" i="4"/>
  <c r="L82" i="4"/>
  <c r="I82" i="4"/>
  <c r="H82" i="4"/>
  <c r="F82" i="4"/>
  <c r="C82" i="4"/>
  <c r="AC81" i="4"/>
  <c r="AD81" i="4" s="1"/>
  <c r="AA81" i="4"/>
  <c r="X81" i="4"/>
  <c r="W81" i="4"/>
  <c r="U81" i="4"/>
  <c r="R81" i="4"/>
  <c r="N81" i="4"/>
  <c r="O81" i="4" s="1"/>
  <c r="L81" i="4"/>
  <c r="H81" i="4"/>
  <c r="I81" i="4" s="1"/>
  <c r="F81" i="4"/>
  <c r="C81" i="4"/>
  <c r="AD80" i="4"/>
  <c r="AC80" i="4"/>
  <c r="AA80" i="4"/>
  <c r="X80" i="4"/>
  <c r="W80" i="4"/>
  <c r="U80" i="4"/>
  <c r="R80" i="4"/>
  <c r="N80" i="4"/>
  <c r="O80" i="4" s="1"/>
  <c r="L80" i="4"/>
  <c r="H80" i="4"/>
  <c r="I80" i="4" s="1"/>
  <c r="F80" i="4"/>
  <c r="C80" i="4"/>
  <c r="AD79" i="4"/>
  <c r="AC79" i="4"/>
  <c r="AA79" i="4"/>
  <c r="X79" i="4"/>
  <c r="W79" i="4"/>
  <c r="U79" i="4"/>
  <c r="R79" i="4"/>
  <c r="O79" i="4"/>
  <c r="N79" i="4"/>
  <c r="L79" i="4"/>
  <c r="I79" i="4"/>
  <c r="H79" i="4"/>
  <c r="F79" i="4"/>
  <c r="C79" i="4"/>
  <c r="AC78" i="4"/>
  <c r="AD78" i="4" s="1"/>
  <c r="AA78" i="4"/>
  <c r="W78" i="4"/>
  <c r="X78" i="4" s="1"/>
  <c r="U78" i="4"/>
  <c r="R78" i="4"/>
  <c r="O78" i="4"/>
  <c r="N78" i="4"/>
  <c r="L78" i="4"/>
  <c r="I78" i="4"/>
  <c r="H78" i="4"/>
  <c r="F78" i="4"/>
  <c r="C78" i="4"/>
  <c r="AD77" i="4"/>
  <c r="AC77" i="4"/>
  <c r="AA77" i="4"/>
  <c r="X77" i="4"/>
  <c r="W77" i="4"/>
  <c r="U77" i="4"/>
  <c r="R77" i="4"/>
  <c r="O77" i="4"/>
  <c r="N77" i="4"/>
  <c r="L77" i="4"/>
  <c r="H77" i="4"/>
  <c r="I77" i="4" s="1"/>
  <c r="F77" i="4"/>
  <c r="C77" i="4"/>
  <c r="AC76" i="4"/>
  <c r="AD76" i="4" s="1"/>
  <c r="AA76" i="4"/>
  <c r="X76" i="4"/>
  <c r="W76" i="4"/>
  <c r="U76" i="4"/>
  <c r="R76" i="4"/>
  <c r="N76" i="4"/>
  <c r="O76" i="4" s="1"/>
  <c r="L76" i="4"/>
  <c r="I76" i="4"/>
  <c r="H76" i="4"/>
  <c r="F76" i="4"/>
  <c r="C76" i="4"/>
  <c r="AD75" i="4"/>
  <c r="AC75" i="4"/>
  <c r="AA75" i="4"/>
  <c r="W75" i="4"/>
  <c r="X75" i="4" s="1"/>
  <c r="U75" i="4"/>
  <c r="R75" i="4"/>
  <c r="O75" i="4"/>
  <c r="N75" i="4"/>
  <c r="L75" i="4"/>
  <c r="H75" i="4"/>
  <c r="I75" i="4" s="1"/>
  <c r="F75" i="4"/>
  <c r="C75" i="4"/>
  <c r="AA73" i="4"/>
  <c r="Z73" i="4"/>
  <c r="T73" i="4"/>
  <c r="W73" i="4" s="1"/>
  <c r="X73" i="4" s="1"/>
  <c r="Q73" i="4"/>
  <c r="R73" i="4" s="1"/>
  <c r="L73" i="4"/>
  <c r="K73" i="4"/>
  <c r="I73" i="4"/>
  <c r="H73" i="4"/>
  <c r="E73" i="4"/>
  <c r="F73" i="4" s="1"/>
  <c r="C73" i="4"/>
  <c r="B73" i="4"/>
  <c r="N73" i="4" s="1"/>
  <c r="O73" i="4" s="1"/>
  <c r="AD72" i="4"/>
  <c r="AC72" i="4"/>
  <c r="AA72" i="4"/>
  <c r="X72" i="4"/>
  <c r="W72" i="4"/>
  <c r="U72" i="4"/>
  <c r="R72" i="4"/>
  <c r="N72" i="4"/>
  <c r="O72" i="4" s="1"/>
  <c r="L72" i="4"/>
  <c r="I72" i="4"/>
  <c r="H72" i="4"/>
  <c r="F72" i="4"/>
  <c r="C72" i="4"/>
  <c r="AD71" i="4"/>
  <c r="AC71" i="4"/>
  <c r="AA71" i="4"/>
  <c r="X71" i="4"/>
  <c r="W71" i="4"/>
  <c r="U71" i="4"/>
  <c r="R71" i="4"/>
  <c r="O71" i="4"/>
  <c r="N71" i="4"/>
  <c r="L71" i="4"/>
  <c r="H71" i="4"/>
  <c r="I71" i="4" s="1"/>
  <c r="F71" i="4"/>
  <c r="C71" i="4"/>
  <c r="AC70" i="4"/>
  <c r="AD70" i="4" s="1"/>
  <c r="AA70" i="4"/>
  <c r="W70" i="4"/>
  <c r="X70" i="4" s="1"/>
  <c r="U70" i="4"/>
  <c r="R70" i="4"/>
  <c r="O70" i="4"/>
  <c r="N70" i="4"/>
  <c r="L70" i="4"/>
  <c r="I70" i="4"/>
  <c r="H70" i="4"/>
  <c r="F70" i="4"/>
  <c r="C70" i="4"/>
  <c r="AC69" i="4"/>
  <c r="AD69" i="4" s="1"/>
  <c r="AA69" i="4"/>
  <c r="X69" i="4"/>
  <c r="W69" i="4"/>
  <c r="U69" i="4"/>
  <c r="R69" i="4"/>
  <c r="N69" i="4"/>
  <c r="O69" i="4" s="1"/>
  <c r="L69" i="4"/>
  <c r="H69" i="4"/>
  <c r="I69" i="4" s="1"/>
  <c r="F69" i="4"/>
  <c r="C69" i="4"/>
  <c r="AC68" i="4"/>
  <c r="AD68" i="4" s="1"/>
  <c r="AA68" i="4"/>
  <c r="X68" i="4"/>
  <c r="W68" i="4"/>
  <c r="U68" i="4"/>
  <c r="R68" i="4"/>
  <c r="N68" i="4"/>
  <c r="O68" i="4" s="1"/>
  <c r="L68" i="4"/>
  <c r="I68" i="4"/>
  <c r="H68" i="4"/>
  <c r="F68" i="4"/>
  <c r="C68" i="4"/>
  <c r="AD67" i="4"/>
  <c r="AC67" i="4"/>
  <c r="AA67" i="4"/>
  <c r="W67" i="4"/>
  <c r="X67" i="4" s="1"/>
  <c r="U67" i="4"/>
  <c r="R67" i="4"/>
  <c r="O67" i="4"/>
  <c r="N67" i="4"/>
  <c r="L67" i="4"/>
  <c r="I67" i="4"/>
  <c r="H67" i="4"/>
  <c r="F67" i="4"/>
  <c r="C67" i="4"/>
  <c r="AC66" i="4"/>
  <c r="AD66" i="4" s="1"/>
  <c r="AA66" i="4"/>
  <c r="W66" i="4"/>
  <c r="X66" i="4" s="1"/>
  <c r="U66" i="4"/>
  <c r="R66" i="4"/>
  <c r="O66" i="4"/>
  <c r="N66" i="4"/>
  <c r="L66" i="4"/>
  <c r="I66" i="4"/>
  <c r="H66" i="4"/>
  <c r="F66" i="4"/>
  <c r="C66" i="4"/>
  <c r="AD65" i="4"/>
  <c r="AC65" i="4"/>
  <c r="AA65" i="4"/>
  <c r="X65" i="4"/>
  <c r="W65" i="4"/>
  <c r="U65" i="4"/>
  <c r="R65" i="4"/>
  <c r="O65" i="4"/>
  <c r="N65" i="4"/>
  <c r="L65" i="4"/>
  <c r="H65" i="4"/>
  <c r="I65" i="4" s="1"/>
  <c r="F65" i="4"/>
  <c r="C65" i="4"/>
  <c r="AD64" i="4"/>
  <c r="AC64" i="4"/>
  <c r="AA64" i="4"/>
  <c r="X64" i="4"/>
  <c r="W64" i="4"/>
  <c r="U64" i="4"/>
  <c r="R64" i="4"/>
  <c r="N64" i="4"/>
  <c r="O64" i="4" s="1"/>
  <c r="L64" i="4"/>
  <c r="I64" i="4"/>
  <c r="H64" i="4"/>
  <c r="F64" i="4"/>
  <c r="C64" i="4"/>
  <c r="Z62" i="4"/>
  <c r="AA62" i="4" s="1"/>
  <c r="W62" i="4"/>
  <c r="X62" i="4" s="1"/>
  <c r="T62" i="4"/>
  <c r="U62" i="4" s="1"/>
  <c r="R62" i="4"/>
  <c r="Q62" i="4"/>
  <c r="N62" i="4"/>
  <c r="O62" i="4" s="1"/>
  <c r="K62" i="4"/>
  <c r="L62" i="4" s="1"/>
  <c r="F62" i="4"/>
  <c r="E62" i="4"/>
  <c r="C62" i="4"/>
  <c r="B62" i="4"/>
  <c r="H62" i="4" s="1"/>
  <c r="I62" i="4" s="1"/>
  <c r="AC61" i="4"/>
  <c r="AD61" i="4" s="1"/>
  <c r="Z61" i="4"/>
  <c r="AA61" i="4" s="1"/>
  <c r="T61" i="4"/>
  <c r="U61" i="4" s="1"/>
  <c r="R61" i="4"/>
  <c r="Q61" i="4"/>
  <c r="L61" i="4"/>
  <c r="K61" i="4"/>
  <c r="H61" i="4"/>
  <c r="I61" i="4" s="1"/>
  <c r="E61" i="4"/>
  <c r="F61" i="4" s="1"/>
  <c r="B61" i="4"/>
  <c r="C61" i="4" s="1"/>
  <c r="AD60" i="4"/>
  <c r="AC60" i="4"/>
  <c r="AA60" i="4"/>
  <c r="W60" i="4"/>
  <c r="X60" i="4" s="1"/>
  <c r="U60" i="4"/>
  <c r="R60" i="4"/>
  <c r="O60" i="4"/>
  <c r="N60" i="4"/>
  <c r="L60" i="4"/>
  <c r="H60" i="4"/>
  <c r="I60" i="4" s="1"/>
  <c r="F60" i="4"/>
  <c r="C60" i="4"/>
  <c r="AC59" i="4"/>
  <c r="AD59" i="4" s="1"/>
  <c r="AA59" i="4"/>
  <c r="W59" i="4"/>
  <c r="X59" i="4" s="1"/>
  <c r="U59" i="4"/>
  <c r="R59" i="4"/>
  <c r="O59" i="4"/>
  <c r="N59" i="4"/>
  <c r="L59" i="4"/>
  <c r="I59" i="4"/>
  <c r="H59" i="4"/>
  <c r="F59" i="4"/>
  <c r="C59" i="4"/>
  <c r="AC58" i="4"/>
  <c r="AD58" i="4" s="1"/>
  <c r="AA58" i="4"/>
  <c r="X58" i="4"/>
  <c r="W58" i="4"/>
  <c r="U58" i="4"/>
  <c r="R58" i="4"/>
  <c r="O58" i="4"/>
  <c r="N58" i="4"/>
  <c r="L58" i="4"/>
  <c r="H58" i="4"/>
  <c r="I58" i="4" s="1"/>
  <c r="F58" i="4"/>
  <c r="C58" i="4"/>
  <c r="AC57" i="4"/>
  <c r="AD57" i="4" s="1"/>
  <c r="AA57" i="4"/>
  <c r="X57" i="4"/>
  <c r="W57" i="4"/>
  <c r="U57" i="4"/>
  <c r="R57" i="4"/>
  <c r="N57" i="4"/>
  <c r="O57" i="4" s="1"/>
  <c r="L57" i="4"/>
  <c r="I57" i="4"/>
  <c r="H57" i="4"/>
  <c r="F57" i="4"/>
  <c r="C57" i="4"/>
  <c r="AD56" i="4"/>
  <c r="AC56" i="4"/>
  <c r="AA56" i="4"/>
  <c r="W56" i="4"/>
  <c r="X56" i="4" s="1"/>
  <c r="U56" i="4"/>
  <c r="R56" i="4"/>
  <c r="O56" i="4"/>
  <c r="N56" i="4"/>
  <c r="L56" i="4"/>
  <c r="I56" i="4"/>
  <c r="H56" i="4"/>
  <c r="F56" i="4"/>
  <c r="C56" i="4"/>
  <c r="AC55" i="4"/>
  <c r="AD55" i="4" s="1"/>
  <c r="AA55" i="4"/>
  <c r="W55" i="4"/>
  <c r="X55" i="4" s="1"/>
  <c r="U55" i="4"/>
  <c r="R55" i="4"/>
  <c r="O55" i="4"/>
  <c r="N55" i="4"/>
  <c r="L55" i="4"/>
  <c r="I55" i="4"/>
  <c r="H55" i="4"/>
  <c r="F55" i="4"/>
  <c r="C55" i="4"/>
  <c r="AD54" i="4"/>
  <c r="AC54" i="4"/>
  <c r="AA54" i="4"/>
  <c r="X54" i="4"/>
  <c r="W54" i="4"/>
  <c r="U54" i="4"/>
  <c r="R54" i="4"/>
  <c r="N54" i="4"/>
  <c r="O54" i="4" s="1"/>
  <c r="L54" i="4"/>
  <c r="H54" i="4"/>
  <c r="I54" i="4" s="1"/>
  <c r="F54" i="4"/>
  <c r="C54" i="4"/>
  <c r="AC53" i="4"/>
  <c r="AD53" i="4" s="1"/>
  <c r="AA53" i="4"/>
  <c r="X53" i="4"/>
  <c r="W53" i="4"/>
  <c r="U53" i="4"/>
  <c r="R53" i="4"/>
  <c r="N53" i="4"/>
  <c r="O53" i="4" s="1"/>
  <c r="L53" i="4"/>
  <c r="H53" i="4"/>
  <c r="I53" i="4" s="1"/>
  <c r="F53" i="4"/>
  <c r="C53" i="4"/>
  <c r="AD52" i="4"/>
  <c r="AC52" i="4"/>
  <c r="AA52" i="4"/>
  <c r="W52" i="4"/>
  <c r="X52" i="4" s="1"/>
  <c r="U52" i="4"/>
  <c r="R52" i="4"/>
  <c r="O52" i="4"/>
  <c r="N52" i="4"/>
  <c r="L52" i="4"/>
  <c r="H52" i="4"/>
  <c r="I52" i="4" s="1"/>
  <c r="F52" i="4"/>
  <c r="C52" i="4"/>
  <c r="AC51" i="4"/>
  <c r="AD51" i="4" s="1"/>
  <c r="AA51" i="4"/>
  <c r="W51" i="4"/>
  <c r="X51" i="4" s="1"/>
  <c r="U51" i="4"/>
  <c r="R51" i="4"/>
  <c r="O51" i="4"/>
  <c r="N51" i="4"/>
  <c r="L51" i="4"/>
  <c r="I51" i="4"/>
  <c r="H51" i="4"/>
  <c r="F51" i="4"/>
  <c r="C51" i="4"/>
  <c r="AC50" i="4"/>
  <c r="AD50" i="4" s="1"/>
  <c r="AA50" i="4"/>
  <c r="X50" i="4"/>
  <c r="W50" i="4"/>
  <c r="U50" i="4"/>
  <c r="R50" i="4"/>
  <c r="O50" i="4"/>
  <c r="N50" i="4"/>
  <c r="L50" i="4"/>
  <c r="H50" i="4"/>
  <c r="I50" i="4" s="1"/>
  <c r="F50" i="4"/>
  <c r="C50" i="4"/>
  <c r="AC49" i="4"/>
  <c r="AD49" i="4" s="1"/>
  <c r="AA49" i="4"/>
  <c r="X49" i="4"/>
  <c r="W49" i="4"/>
  <c r="U49" i="4"/>
  <c r="R49" i="4"/>
  <c r="N49" i="4"/>
  <c r="O49" i="4" s="1"/>
  <c r="L49" i="4"/>
  <c r="I49" i="4"/>
  <c r="H49" i="4"/>
  <c r="F49" i="4"/>
  <c r="C49" i="4"/>
  <c r="AD48" i="4"/>
  <c r="AC48" i="4"/>
  <c r="AA48" i="4"/>
  <c r="W48" i="4"/>
  <c r="X48" i="4" s="1"/>
  <c r="U48" i="4"/>
  <c r="R48" i="4"/>
  <c r="O48" i="4"/>
  <c r="N48" i="4"/>
  <c r="L48" i="4"/>
  <c r="I48" i="4"/>
  <c r="H48" i="4"/>
  <c r="F48" i="4"/>
  <c r="C48" i="4"/>
  <c r="AC47" i="4"/>
  <c r="AD47" i="4" s="1"/>
  <c r="AA47" i="4"/>
  <c r="W47" i="4"/>
  <c r="X47" i="4" s="1"/>
  <c r="U47" i="4"/>
  <c r="R47" i="4"/>
  <c r="O47" i="4"/>
  <c r="N47" i="4"/>
  <c r="L47" i="4"/>
  <c r="I47" i="4"/>
  <c r="H47" i="4"/>
  <c r="F47" i="4"/>
  <c r="C47" i="4"/>
  <c r="AD46" i="4"/>
  <c r="AC46" i="4"/>
  <c r="AA46" i="4"/>
  <c r="X46" i="4"/>
  <c r="W46" i="4"/>
  <c r="U46" i="4"/>
  <c r="R46" i="4"/>
  <c r="N46" i="4"/>
  <c r="O46" i="4" s="1"/>
  <c r="L46" i="4"/>
  <c r="H46" i="4"/>
  <c r="I46" i="4" s="1"/>
  <c r="F46" i="4"/>
  <c r="C46" i="4"/>
  <c r="AC44" i="4"/>
  <c r="AD44" i="4" s="1"/>
  <c r="AA44" i="4"/>
  <c r="X44" i="4"/>
  <c r="W44" i="4"/>
  <c r="U44" i="4"/>
  <c r="R44" i="4"/>
  <c r="N44" i="4"/>
  <c r="O44" i="4" s="1"/>
  <c r="L44" i="4"/>
  <c r="I44" i="4"/>
  <c r="H44" i="4"/>
  <c r="F44" i="4"/>
  <c r="C44" i="4"/>
  <c r="AD43" i="4"/>
  <c r="AC43" i="4"/>
  <c r="AA43" i="4"/>
  <c r="W43" i="4"/>
  <c r="X43" i="4" s="1"/>
  <c r="U43" i="4"/>
  <c r="R43" i="4"/>
  <c r="O43" i="4"/>
  <c r="N43" i="4"/>
  <c r="L43" i="4"/>
  <c r="H43" i="4"/>
  <c r="I43" i="4" s="1"/>
  <c r="F43" i="4"/>
  <c r="C43" i="4"/>
  <c r="AC42" i="4"/>
  <c r="AD42" i="4" s="1"/>
  <c r="AA42" i="4"/>
  <c r="W42" i="4"/>
  <c r="X42" i="4" s="1"/>
  <c r="U42" i="4"/>
  <c r="R42" i="4"/>
  <c r="O42" i="4"/>
  <c r="N42" i="4"/>
  <c r="L42" i="4"/>
  <c r="I42" i="4"/>
  <c r="H42" i="4"/>
  <c r="F42" i="4"/>
  <c r="C42" i="4"/>
  <c r="AC40" i="4"/>
  <c r="AD40" i="4" s="1"/>
  <c r="Z40" i="4"/>
  <c r="AA40" i="4" s="1"/>
  <c r="T40" i="4"/>
  <c r="U40" i="4" s="1"/>
  <c r="Q40" i="4"/>
  <c r="L40" i="4"/>
  <c r="K40" i="4"/>
  <c r="E40" i="4"/>
  <c r="B40" i="4"/>
  <c r="C40" i="4" s="1"/>
  <c r="AD39" i="4"/>
  <c r="AC39" i="4"/>
  <c r="AA39" i="4"/>
  <c r="W39" i="4"/>
  <c r="X39" i="4" s="1"/>
  <c r="U39" i="4"/>
  <c r="R39" i="4"/>
  <c r="O39" i="4"/>
  <c r="N39" i="4"/>
  <c r="L39" i="4"/>
  <c r="H39" i="4"/>
  <c r="I39" i="4" s="1"/>
  <c r="F39" i="4"/>
  <c r="C39" i="4"/>
  <c r="AC38" i="4"/>
  <c r="AD38" i="4" s="1"/>
  <c r="AA38" i="4"/>
  <c r="W38" i="4"/>
  <c r="X38" i="4" s="1"/>
  <c r="U38" i="4"/>
  <c r="R38" i="4"/>
  <c r="O38" i="4"/>
  <c r="N38" i="4"/>
  <c r="L38" i="4"/>
  <c r="I38" i="4"/>
  <c r="H38" i="4"/>
  <c r="F38" i="4"/>
  <c r="C38" i="4"/>
  <c r="AC37" i="4"/>
  <c r="AD37" i="4" s="1"/>
  <c r="AA37" i="4"/>
  <c r="X37" i="4"/>
  <c r="W37" i="4"/>
  <c r="U37" i="4"/>
  <c r="R37" i="4"/>
  <c r="O37" i="4"/>
  <c r="N37" i="4"/>
  <c r="L37" i="4"/>
  <c r="H37" i="4"/>
  <c r="I37" i="4" s="1"/>
  <c r="F37" i="4"/>
  <c r="C37" i="4"/>
  <c r="AC36" i="4"/>
  <c r="AD36" i="4" s="1"/>
  <c r="AA36" i="4"/>
  <c r="X36" i="4"/>
  <c r="W36" i="4"/>
  <c r="U36" i="4"/>
  <c r="R36" i="4"/>
  <c r="N36" i="4"/>
  <c r="O36" i="4" s="1"/>
  <c r="L36" i="4"/>
  <c r="I36" i="4"/>
  <c r="H36" i="4"/>
  <c r="F36" i="4"/>
  <c r="C36" i="4"/>
  <c r="AD35" i="4"/>
  <c r="AC35" i="4"/>
  <c r="AA35" i="4"/>
  <c r="W35" i="4"/>
  <c r="X35" i="4" s="1"/>
  <c r="U35" i="4"/>
  <c r="R35" i="4"/>
  <c r="O35" i="4"/>
  <c r="N35" i="4"/>
  <c r="L35" i="4"/>
  <c r="I35" i="4"/>
  <c r="H35" i="4"/>
  <c r="F35" i="4"/>
  <c r="C35" i="4"/>
  <c r="AC34" i="4"/>
  <c r="AD34" i="4" s="1"/>
  <c r="AA34" i="4"/>
  <c r="W34" i="4"/>
  <c r="X34" i="4" s="1"/>
  <c r="U34" i="4"/>
  <c r="R34" i="4"/>
  <c r="O34" i="4"/>
  <c r="N34" i="4"/>
  <c r="L34" i="4"/>
  <c r="I34" i="4"/>
  <c r="H34" i="4"/>
  <c r="F34" i="4"/>
  <c r="C34" i="4"/>
  <c r="AD33" i="4"/>
  <c r="AC33" i="4"/>
  <c r="AA33" i="4"/>
  <c r="X33" i="4"/>
  <c r="W33" i="4"/>
  <c r="U33" i="4"/>
  <c r="R33" i="4"/>
  <c r="O33" i="4"/>
  <c r="N33" i="4"/>
  <c r="L33" i="4"/>
  <c r="H33" i="4"/>
  <c r="I33" i="4" s="1"/>
  <c r="F33" i="4"/>
  <c r="C33" i="4"/>
  <c r="AD32" i="4"/>
  <c r="AC32" i="4"/>
  <c r="AA32" i="4"/>
  <c r="X32" i="4"/>
  <c r="W32" i="4"/>
  <c r="U32" i="4"/>
  <c r="R32" i="4"/>
  <c r="N32" i="4"/>
  <c r="O32" i="4" s="1"/>
  <c r="L32" i="4"/>
  <c r="H32" i="4"/>
  <c r="I32" i="4" s="1"/>
  <c r="F32" i="4"/>
  <c r="C32" i="4"/>
  <c r="AD31" i="4"/>
  <c r="AC31" i="4"/>
  <c r="AA31" i="4"/>
  <c r="X31" i="4"/>
  <c r="W31" i="4"/>
  <c r="U31" i="4"/>
  <c r="R31" i="4"/>
  <c r="O31" i="4"/>
  <c r="N31" i="4"/>
  <c r="L31" i="4"/>
  <c r="H31" i="4"/>
  <c r="I31" i="4" s="1"/>
  <c r="F31" i="4"/>
  <c r="C31" i="4"/>
  <c r="AA29" i="4"/>
  <c r="Z29" i="4"/>
  <c r="T29" i="4"/>
  <c r="Q29" i="4"/>
  <c r="R29" i="4" s="1"/>
  <c r="K29" i="4"/>
  <c r="L29" i="4" s="1"/>
  <c r="H29" i="4"/>
  <c r="I29" i="4" s="1"/>
  <c r="E29" i="4"/>
  <c r="F29" i="4" s="1"/>
  <c r="C29" i="4"/>
  <c r="B29" i="4"/>
  <c r="AC28" i="4"/>
  <c r="AD28" i="4" s="1"/>
  <c r="AA28" i="4"/>
  <c r="X28" i="4"/>
  <c r="W28" i="4"/>
  <c r="U28" i="4"/>
  <c r="R28" i="4"/>
  <c r="N28" i="4"/>
  <c r="O28" i="4" s="1"/>
  <c r="L28" i="4"/>
  <c r="H28" i="4"/>
  <c r="I28" i="4" s="1"/>
  <c r="F28" i="4"/>
  <c r="C28" i="4"/>
  <c r="AD27" i="4"/>
  <c r="AC27" i="4"/>
  <c r="AA27" i="4"/>
  <c r="W27" i="4"/>
  <c r="X27" i="4" s="1"/>
  <c r="U27" i="4"/>
  <c r="R27" i="4"/>
  <c r="O27" i="4"/>
  <c r="N27" i="4"/>
  <c r="L27" i="4"/>
  <c r="H27" i="4"/>
  <c r="I27" i="4" s="1"/>
  <c r="F27" i="4"/>
  <c r="C27" i="4"/>
  <c r="AC26" i="4"/>
  <c r="AD26" i="4" s="1"/>
  <c r="AA26" i="4"/>
  <c r="W26" i="4"/>
  <c r="X26" i="4" s="1"/>
  <c r="U26" i="4"/>
  <c r="R26" i="4"/>
  <c r="O26" i="4"/>
  <c r="N26" i="4"/>
  <c r="L26" i="4"/>
  <c r="I26" i="4"/>
  <c r="H26" i="4"/>
  <c r="F26" i="4"/>
  <c r="C26" i="4"/>
  <c r="AC25" i="4"/>
  <c r="AD25" i="4" s="1"/>
  <c r="AA25" i="4"/>
  <c r="X25" i="4"/>
  <c r="W25" i="4"/>
  <c r="U25" i="4"/>
  <c r="R25" i="4"/>
  <c r="N25" i="4"/>
  <c r="O25" i="4" s="1"/>
  <c r="L25" i="4"/>
  <c r="H25" i="4"/>
  <c r="I25" i="4" s="1"/>
  <c r="F25" i="4"/>
  <c r="C25" i="4"/>
  <c r="AD24" i="4"/>
  <c r="AC24" i="4"/>
  <c r="AA24" i="4"/>
  <c r="X24" i="4"/>
  <c r="W24" i="4"/>
  <c r="U24" i="4"/>
  <c r="R24" i="4"/>
  <c r="N24" i="4"/>
  <c r="O24" i="4" s="1"/>
  <c r="L24" i="4"/>
  <c r="I24" i="4"/>
  <c r="H24" i="4"/>
  <c r="F24" i="4"/>
  <c r="C24" i="4"/>
  <c r="AD23" i="4"/>
  <c r="AC23" i="4"/>
  <c r="AA23" i="4"/>
  <c r="X23" i="4"/>
  <c r="W23" i="4"/>
  <c r="U23" i="4"/>
  <c r="R23" i="4"/>
  <c r="O23" i="4"/>
  <c r="N23" i="4"/>
  <c r="L23" i="4"/>
  <c r="H23" i="4"/>
  <c r="I23" i="4" s="1"/>
  <c r="F23" i="4"/>
  <c r="C23" i="4"/>
  <c r="AC22" i="4"/>
  <c r="AD22" i="4" s="1"/>
  <c r="AA22" i="4"/>
  <c r="W22" i="4"/>
  <c r="X22" i="4" s="1"/>
  <c r="U22" i="4"/>
  <c r="R22" i="4"/>
  <c r="O22" i="4"/>
  <c r="N22" i="4"/>
  <c r="L22" i="4"/>
  <c r="I22" i="4"/>
  <c r="H22" i="4"/>
  <c r="F22" i="4"/>
  <c r="C22" i="4"/>
  <c r="AC21" i="4"/>
  <c r="AD21" i="4" s="1"/>
  <c r="AA21" i="4"/>
  <c r="X21" i="4"/>
  <c r="W21" i="4"/>
  <c r="U21" i="4"/>
  <c r="R21" i="4"/>
  <c r="O21" i="4"/>
  <c r="N21" i="4"/>
  <c r="L21" i="4"/>
  <c r="H21" i="4"/>
  <c r="I21" i="4" s="1"/>
  <c r="F21" i="4"/>
  <c r="C21" i="4"/>
  <c r="AC19" i="4"/>
  <c r="AD19" i="4" s="1"/>
  <c r="AA19" i="4"/>
  <c r="X19" i="4"/>
  <c r="W19" i="4"/>
  <c r="U19" i="4"/>
  <c r="R19" i="4"/>
  <c r="N19" i="4"/>
  <c r="O19" i="4" s="1"/>
  <c r="L19" i="4"/>
  <c r="I19" i="4"/>
  <c r="H19" i="4"/>
  <c r="F19" i="4"/>
  <c r="C19" i="4"/>
  <c r="AA18" i="4"/>
  <c r="Z18" i="4"/>
  <c r="X18" i="4"/>
  <c r="W18" i="4"/>
  <c r="T18" i="4"/>
  <c r="U18" i="4" s="1"/>
  <c r="R18" i="4"/>
  <c r="Q18" i="4"/>
  <c r="AC18" i="4" s="1"/>
  <c r="AD18" i="4" s="1"/>
  <c r="K18" i="4"/>
  <c r="L18" i="4" s="1"/>
  <c r="F18" i="4"/>
  <c r="E18" i="4"/>
  <c r="C18" i="4"/>
  <c r="B18" i="4"/>
  <c r="H18" i="4" s="1"/>
  <c r="I18" i="4" s="1"/>
  <c r="AD17" i="4"/>
  <c r="AC17" i="4"/>
  <c r="AA17" i="4"/>
  <c r="X17" i="4"/>
  <c r="W17" i="4"/>
  <c r="U17" i="4"/>
  <c r="R17" i="4"/>
  <c r="N17" i="4"/>
  <c r="O17" i="4" s="1"/>
  <c r="L17" i="4"/>
  <c r="H17" i="4"/>
  <c r="I17" i="4" s="1"/>
  <c r="F17" i="4"/>
  <c r="C17" i="4"/>
  <c r="AC16" i="4"/>
  <c r="AD16" i="4" s="1"/>
  <c r="AA16" i="4"/>
  <c r="X16" i="4"/>
  <c r="W16" i="4"/>
  <c r="U16" i="4"/>
  <c r="R16" i="4"/>
  <c r="N16" i="4"/>
  <c r="O16" i="4" s="1"/>
  <c r="L16" i="4"/>
  <c r="I16" i="4"/>
  <c r="H16" i="4"/>
  <c r="F16" i="4"/>
  <c r="C16" i="4"/>
  <c r="AD15" i="4"/>
  <c r="AC15" i="4"/>
  <c r="AA15" i="4"/>
  <c r="W15" i="4"/>
  <c r="X15" i="4" s="1"/>
  <c r="U15" i="4"/>
  <c r="R15" i="4"/>
  <c r="O15" i="4"/>
  <c r="N15" i="4"/>
  <c r="L15" i="4"/>
  <c r="H15" i="4"/>
  <c r="I15" i="4" s="1"/>
  <c r="F15" i="4"/>
  <c r="C15" i="4"/>
  <c r="AC14" i="4"/>
  <c r="AD14" i="4" s="1"/>
  <c r="AA14" i="4"/>
  <c r="W14" i="4"/>
  <c r="X14" i="4" s="1"/>
  <c r="U14" i="4"/>
  <c r="R14" i="4"/>
  <c r="O14" i="4"/>
  <c r="N14" i="4"/>
  <c r="L14" i="4"/>
  <c r="I14" i="4"/>
  <c r="H14" i="4"/>
  <c r="F14" i="4"/>
  <c r="C14" i="4"/>
  <c r="AC13" i="4"/>
  <c r="AD13" i="4" s="1"/>
  <c r="AA13" i="4"/>
  <c r="X13" i="4"/>
  <c r="W13" i="4"/>
  <c r="U13" i="4"/>
  <c r="R13" i="4"/>
  <c r="N13" i="4"/>
  <c r="O13" i="4" s="1"/>
  <c r="L13" i="4"/>
  <c r="H13" i="4"/>
  <c r="I13" i="4" s="1"/>
  <c r="F13" i="4"/>
  <c r="C13" i="4"/>
  <c r="AD12" i="4"/>
  <c r="AC12" i="4"/>
  <c r="AA12" i="4"/>
  <c r="X12" i="4"/>
  <c r="W12" i="4"/>
  <c r="U12" i="4"/>
  <c r="R12" i="4"/>
  <c r="N12" i="4"/>
  <c r="O12" i="4" s="1"/>
  <c r="L12" i="4"/>
  <c r="H12" i="4"/>
  <c r="I12" i="4" s="1"/>
  <c r="F12" i="4"/>
  <c r="C12" i="4"/>
  <c r="AD11" i="4"/>
  <c r="AC11" i="4"/>
  <c r="AA11" i="4"/>
  <c r="X11" i="4"/>
  <c r="W11" i="4"/>
  <c r="U11" i="4"/>
  <c r="R11" i="4"/>
  <c r="O11" i="4"/>
  <c r="N11" i="4"/>
  <c r="L11" i="4"/>
  <c r="I11" i="4"/>
  <c r="H11" i="4"/>
  <c r="F11" i="4"/>
  <c r="C11" i="4"/>
  <c r="AC10" i="4"/>
  <c r="AD10" i="4" s="1"/>
  <c r="AA10" i="4"/>
  <c r="W10" i="4"/>
  <c r="X10" i="4" s="1"/>
  <c r="U10" i="4"/>
  <c r="R10" i="4"/>
  <c r="O10" i="4"/>
  <c r="N10" i="4"/>
  <c r="L10" i="4"/>
  <c r="I10" i="4"/>
  <c r="H10" i="4"/>
  <c r="F10" i="4"/>
  <c r="C10" i="4"/>
  <c r="AD8" i="4"/>
  <c r="AC8" i="4"/>
  <c r="AA8" i="4"/>
  <c r="X8" i="4"/>
  <c r="W8" i="4"/>
  <c r="U8" i="4"/>
  <c r="R8" i="4"/>
  <c r="N8" i="4"/>
  <c r="O8" i="4" s="1"/>
  <c r="L8" i="4"/>
  <c r="H8" i="4"/>
  <c r="I8" i="4" s="1"/>
  <c r="F8" i="4"/>
  <c r="C8" i="4"/>
  <c r="AC445" i="3"/>
  <c r="W445" i="3"/>
  <c r="X413" i="3" s="1"/>
  <c r="N445" i="3"/>
  <c r="O427" i="3" s="1"/>
  <c r="H445" i="3"/>
  <c r="I442" i="3" s="1"/>
  <c r="Z443" i="3"/>
  <c r="AA443" i="3" s="1"/>
  <c r="U443" i="3"/>
  <c r="T443" i="3"/>
  <c r="Q443" i="3"/>
  <c r="W443" i="3" s="1"/>
  <c r="K443" i="3"/>
  <c r="L443" i="3" s="1"/>
  <c r="F443" i="3"/>
  <c r="E443" i="3"/>
  <c r="C443" i="3"/>
  <c r="B443" i="3"/>
  <c r="N443" i="3" s="1"/>
  <c r="O443" i="3" s="1"/>
  <c r="AA442" i="3"/>
  <c r="Z442" i="3"/>
  <c r="W442" i="3"/>
  <c r="X442" i="3" s="1"/>
  <c r="T442" i="3"/>
  <c r="U442" i="3" s="1"/>
  <c r="Q442" i="3"/>
  <c r="R442" i="3" s="1"/>
  <c r="K442" i="3"/>
  <c r="L442" i="3" s="1"/>
  <c r="H442" i="3"/>
  <c r="E442" i="3"/>
  <c r="F442" i="3" s="1"/>
  <c r="C442" i="3"/>
  <c r="B442" i="3"/>
  <c r="N442" i="3" s="1"/>
  <c r="O442" i="3" s="1"/>
  <c r="AC441" i="3"/>
  <c r="AA441" i="3"/>
  <c r="W441" i="3"/>
  <c r="U441" i="3"/>
  <c r="R441" i="3"/>
  <c r="N441" i="3"/>
  <c r="O441" i="3" s="1"/>
  <c r="L441" i="3"/>
  <c r="H441" i="3"/>
  <c r="I441" i="3" s="1"/>
  <c r="F441" i="3"/>
  <c r="C441" i="3"/>
  <c r="AC440" i="3"/>
  <c r="AA440" i="3"/>
  <c r="W440" i="3"/>
  <c r="X440" i="3" s="1"/>
  <c r="U440" i="3"/>
  <c r="R440" i="3"/>
  <c r="N440" i="3"/>
  <c r="L440" i="3"/>
  <c r="H440" i="3"/>
  <c r="I440" i="3" s="1"/>
  <c r="F440" i="3"/>
  <c r="C440" i="3"/>
  <c r="AC439" i="3"/>
  <c r="AA439" i="3"/>
  <c r="W439" i="3"/>
  <c r="U439" i="3"/>
  <c r="R439" i="3"/>
  <c r="O439" i="3"/>
  <c r="N439" i="3"/>
  <c r="L439" i="3"/>
  <c r="H439" i="3"/>
  <c r="F439" i="3"/>
  <c r="C439" i="3"/>
  <c r="AC438" i="3"/>
  <c r="AA438" i="3"/>
  <c r="W438" i="3"/>
  <c r="U438" i="3"/>
  <c r="R438" i="3"/>
  <c r="O438" i="3"/>
  <c r="N438" i="3"/>
  <c r="L438" i="3"/>
  <c r="H438" i="3"/>
  <c r="I438" i="3" s="1"/>
  <c r="F438" i="3"/>
  <c r="C438" i="3"/>
  <c r="AD437" i="3"/>
  <c r="AC437" i="3"/>
  <c r="AA437" i="3"/>
  <c r="W437" i="3"/>
  <c r="U437" i="3"/>
  <c r="R437" i="3"/>
  <c r="N437" i="3"/>
  <c r="O437" i="3" s="1"/>
  <c r="L437" i="3"/>
  <c r="H437" i="3"/>
  <c r="I437" i="3" s="1"/>
  <c r="F437" i="3"/>
  <c r="C437" i="3"/>
  <c r="AC436" i="3"/>
  <c r="AA436" i="3"/>
  <c r="W436" i="3"/>
  <c r="X436" i="3" s="1"/>
  <c r="U436" i="3"/>
  <c r="R436" i="3"/>
  <c r="N436" i="3"/>
  <c r="L436" i="3"/>
  <c r="H436" i="3"/>
  <c r="I436" i="3" s="1"/>
  <c r="F436" i="3"/>
  <c r="C436" i="3"/>
  <c r="AC435" i="3"/>
  <c r="AA435" i="3"/>
  <c r="W435" i="3"/>
  <c r="U435" i="3"/>
  <c r="R435" i="3"/>
  <c r="O435" i="3"/>
  <c r="N435" i="3"/>
  <c r="L435" i="3"/>
  <c r="H435" i="3"/>
  <c r="F435" i="3"/>
  <c r="C435" i="3"/>
  <c r="AC434" i="3"/>
  <c r="AD434" i="3" s="1"/>
  <c r="AA434" i="3"/>
  <c r="W434" i="3"/>
  <c r="U434" i="3"/>
  <c r="R434" i="3"/>
  <c r="O434" i="3"/>
  <c r="N434" i="3"/>
  <c r="L434" i="3"/>
  <c r="H434" i="3"/>
  <c r="I434" i="3" s="1"/>
  <c r="F434" i="3"/>
  <c r="C434" i="3"/>
  <c r="AC433" i="3"/>
  <c r="AA433" i="3"/>
  <c r="W433" i="3"/>
  <c r="U433" i="3"/>
  <c r="R433" i="3"/>
  <c r="N433" i="3"/>
  <c r="O433" i="3" s="1"/>
  <c r="L433" i="3"/>
  <c r="H433" i="3"/>
  <c r="I433" i="3" s="1"/>
  <c r="F433" i="3"/>
  <c r="C433" i="3"/>
  <c r="Z430" i="3"/>
  <c r="AA430" i="3" s="1"/>
  <c r="X430" i="3"/>
  <c r="W430" i="3"/>
  <c r="T430" i="3"/>
  <c r="U430" i="3" s="1"/>
  <c r="R430" i="3"/>
  <c r="Q430" i="3"/>
  <c r="K430" i="3"/>
  <c r="F430" i="3"/>
  <c r="E430" i="3"/>
  <c r="C430" i="3"/>
  <c r="B430" i="3"/>
  <c r="H430" i="3" s="1"/>
  <c r="AC429" i="3"/>
  <c r="AD429" i="3" s="1"/>
  <c r="Z429" i="3"/>
  <c r="AA429" i="3" s="1"/>
  <c r="T429" i="3"/>
  <c r="U429" i="3" s="1"/>
  <c r="Q429" i="3"/>
  <c r="L429" i="3"/>
  <c r="K429" i="3"/>
  <c r="E429" i="3"/>
  <c r="F429" i="3" s="1"/>
  <c r="B429" i="3"/>
  <c r="C429" i="3" s="1"/>
  <c r="AC428" i="3"/>
  <c r="AA428" i="3"/>
  <c r="W428" i="3"/>
  <c r="U428" i="3"/>
  <c r="R428" i="3"/>
  <c r="N428" i="3"/>
  <c r="L428" i="3"/>
  <c r="I428" i="3"/>
  <c r="H428" i="3"/>
  <c r="F428" i="3"/>
  <c r="C428" i="3"/>
  <c r="AC427" i="3"/>
  <c r="AA427" i="3"/>
  <c r="W427" i="3"/>
  <c r="X427" i="3" s="1"/>
  <c r="U427" i="3"/>
  <c r="R427" i="3"/>
  <c r="N427" i="3"/>
  <c r="L427" i="3"/>
  <c r="H427" i="3"/>
  <c r="F427" i="3"/>
  <c r="C427" i="3"/>
  <c r="AC426" i="3"/>
  <c r="AD426" i="3" s="1"/>
  <c r="AA426" i="3"/>
  <c r="W426" i="3"/>
  <c r="U426" i="3"/>
  <c r="R426" i="3"/>
  <c r="O426" i="3"/>
  <c r="N426" i="3"/>
  <c r="L426" i="3"/>
  <c r="H426" i="3"/>
  <c r="I426" i="3" s="1"/>
  <c r="F426" i="3"/>
  <c r="C426" i="3"/>
  <c r="AD425" i="3"/>
  <c r="AC425" i="3"/>
  <c r="AA425" i="3"/>
  <c r="W425" i="3"/>
  <c r="U425" i="3"/>
  <c r="R425" i="3"/>
  <c r="N425" i="3"/>
  <c r="L425" i="3"/>
  <c r="H425" i="3"/>
  <c r="I425" i="3" s="1"/>
  <c r="F425" i="3"/>
  <c r="C425" i="3"/>
  <c r="AC424" i="3"/>
  <c r="AA424" i="3"/>
  <c r="W424" i="3"/>
  <c r="X424" i="3" s="1"/>
  <c r="U424" i="3"/>
  <c r="R424" i="3"/>
  <c r="N424" i="3"/>
  <c r="L424" i="3"/>
  <c r="I424" i="3"/>
  <c r="H424" i="3"/>
  <c r="F424" i="3"/>
  <c r="C424" i="3"/>
  <c r="AC423" i="3"/>
  <c r="AD423" i="3" s="1"/>
  <c r="AA423" i="3"/>
  <c r="W423" i="3"/>
  <c r="U423" i="3"/>
  <c r="R423" i="3"/>
  <c r="N423" i="3"/>
  <c r="L423" i="3"/>
  <c r="H423" i="3"/>
  <c r="F423" i="3"/>
  <c r="C423" i="3"/>
  <c r="AC422" i="3"/>
  <c r="AD422" i="3" s="1"/>
  <c r="AA422" i="3"/>
  <c r="W422" i="3"/>
  <c r="U422" i="3"/>
  <c r="R422" i="3"/>
  <c r="O422" i="3"/>
  <c r="N422" i="3"/>
  <c r="L422" i="3"/>
  <c r="H422" i="3"/>
  <c r="I422" i="3" s="1"/>
  <c r="F422" i="3"/>
  <c r="C422" i="3"/>
  <c r="AC421" i="3"/>
  <c r="AD421" i="3" s="1"/>
  <c r="AA421" i="3"/>
  <c r="X421" i="3"/>
  <c r="W421" i="3"/>
  <c r="U421" i="3"/>
  <c r="R421" i="3"/>
  <c r="N421" i="3"/>
  <c r="L421" i="3"/>
  <c r="H421" i="3"/>
  <c r="I421" i="3" s="1"/>
  <c r="F421" i="3"/>
  <c r="C421" i="3"/>
  <c r="AC420" i="3"/>
  <c r="AA420" i="3"/>
  <c r="W420" i="3"/>
  <c r="U420" i="3"/>
  <c r="R420" i="3"/>
  <c r="N420" i="3"/>
  <c r="L420" i="3"/>
  <c r="I420" i="3"/>
  <c r="H420" i="3"/>
  <c r="F420" i="3"/>
  <c r="C420" i="3"/>
  <c r="AC419" i="3"/>
  <c r="AD419" i="3" s="1"/>
  <c r="AA419" i="3"/>
  <c r="W419" i="3"/>
  <c r="X419" i="3" s="1"/>
  <c r="U419" i="3"/>
  <c r="R419" i="3"/>
  <c r="N419" i="3"/>
  <c r="L419" i="3"/>
  <c r="H419" i="3"/>
  <c r="F419" i="3"/>
  <c r="C419" i="3"/>
  <c r="AC418" i="3"/>
  <c r="AD418" i="3" s="1"/>
  <c r="AA418" i="3"/>
  <c r="W418" i="3"/>
  <c r="U418" i="3"/>
  <c r="R418" i="3"/>
  <c r="N418" i="3"/>
  <c r="O418" i="3" s="1"/>
  <c r="L418" i="3"/>
  <c r="H418" i="3"/>
  <c r="I418" i="3" s="1"/>
  <c r="F418" i="3"/>
  <c r="C418" i="3"/>
  <c r="AD417" i="3"/>
  <c r="AC417" i="3"/>
  <c r="AA417" i="3"/>
  <c r="X417" i="3"/>
  <c r="W417" i="3"/>
  <c r="U417" i="3"/>
  <c r="R417" i="3"/>
  <c r="N417" i="3"/>
  <c r="L417" i="3"/>
  <c r="H417" i="3"/>
  <c r="I417" i="3" s="1"/>
  <c r="F417" i="3"/>
  <c r="C417" i="3"/>
  <c r="AC416" i="3"/>
  <c r="AA416" i="3"/>
  <c r="W416" i="3"/>
  <c r="U416" i="3"/>
  <c r="R416" i="3"/>
  <c r="N416" i="3"/>
  <c r="L416" i="3"/>
  <c r="I416" i="3"/>
  <c r="H416" i="3"/>
  <c r="F416" i="3"/>
  <c r="C416" i="3"/>
  <c r="AC415" i="3"/>
  <c r="AD415" i="3" s="1"/>
  <c r="AA415" i="3"/>
  <c r="W415" i="3"/>
  <c r="U415" i="3"/>
  <c r="R415" i="3"/>
  <c r="N415" i="3"/>
  <c r="L415" i="3"/>
  <c r="H415" i="3"/>
  <c r="F415" i="3"/>
  <c r="C415" i="3"/>
  <c r="AC414" i="3"/>
  <c r="AD414" i="3" s="1"/>
  <c r="AA414" i="3"/>
  <c r="W414" i="3"/>
  <c r="U414" i="3"/>
  <c r="R414" i="3"/>
  <c r="N414" i="3"/>
  <c r="O414" i="3" s="1"/>
  <c r="L414" i="3"/>
  <c r="H414" i="3"/>
  <c r="I414" i="3" s="1"/>
  <c r="F414" i="3"/>
  <c r="C414" i="3"/>
  <c r="AD413" i="3"/>
  <c r="AC413" i="3"/>
  <c r="AA413" i="3"/>
  <c r="W413" i="3"/>
  <c r="U413" i="3"/>
  <c r="R413" i="3"/>
  <c r="N413" i="3"/>
  <c r="L413" i="3"/>
  <c r="I413" i="3"/>
  <c r="H413" i="3"/>
  <c r="F413" i="3"/>
  <c r="C413" i="3"/>
  <c r="AC412" i="3"/>
  <c r="AA412" i="3"/>
  <c r="W412" i="3"/>
  <c r="X412" i="3" s="1"/>
  <c r="U412" i="3"/>
  <c r="R412" i="3"/>
  <c r="N412" i="3"/>
  <c r="L412" i="3"/>
  <c r="I412" i="3"/>
  <c r="H412" i="3"/>
  <c r="F412" i="3"/>
  <c r="C412" i="3"/>
  <c r="AC411" i="3"/>
  <c r="AD411" i="3" s="1"/>
  <c r="AA411" i="3"/>
  <c r="W411" i="3"/>
  <c r="U411" i="3"/>
  <c r="R411" i="3"/>
  <c r="N411" i="3"/>
  <c r="L411" i="3"/>
  <c r="H411" i="3"/>
  <c r="F411" i="3"/>
  <c r="C411" i="3"/>
  <c r="AC410" i="3"/>
  <c r="AA410" i="3"/>
  <c r="W410" i="3"/>
  <c r="U410" i="3"/>
  <c r="R410" i="3"/>
  <c r="N410" i="3"/>
  <c r="O410" i="3" s="1"/>
  <c r="L410" i="3"/>
  <c r="H410" i="3"/>
  <c r="I410" i="3" s="1"/>
  <c r="F410" i="3"/>
  <c r="C410" i="3"/>
  <c r="AC409" i="3"/>
  <c r="AD409" i="3" s="1"/>
  <c r="AA409" i="3"/>
  <c r="X409" i="3"/>
  <c r="W409" i="3"/>
  <c r="U409" i="3"/>
  <c r="R409" i="3"/>
  <c r="N409" i="3"/>
  <c r="L409" i="3"/>
  <c r="H409" i="3"/>
  <c r="I409" i="3" s="1"/>
  <c r="F409" i="3"/>
  <c r="C409" i="3"/>
  <c r="AC408" i="3"/>
  <c r="AA408" i="3"/>
  <c r="W408" i="3"/>
  <c r="U408" i="3"/>
  <c r="R408" i="3"/>
  <c r="N408" i="3"/>
  <c r="L408" i="3"/>
  <c r="I408" i="3"/>
  <c r="H408" i="3"/>
  <c r="F408" i="3"/>
  <c r="C408" i="3"/>
  <c r="AA404" i="3"/>
  <c r="Z404" i="3"/>
  <c r="U404" i="3"/>
  <c r="T404" i="3"/>
  <c r="Q404" i="3"/>
  <c r="O404" i="3"/>
  <c r="N404" i="3"/>
  <c r="K404" i="3"/>
  <c r="L404" i="3" s="1"/>
  <c r="E404" i="3"/>
  <c r="F404" i="3" s="1"/>
  <c r="C404" i="3"/>
  <c r="B404" i="3"/>
  <c r="AC403" i="3"/>
  <c r="AD403" i="3" s="1"/>
  <c r="AA403" i="3"/>
  <c r="W403" i="3"/>
  <c r="X403" i="3" s="1"/>
  <c r="U403" i="3"/>
  <c r="R403" i="3"/>
  <c r="O403" i="3"/>
  <c r="N403" i="3"/>
  <c r="L403" i="3"/>
  <c r="H403" i="3"/>
  <c r="F403" i="3"/>
  <c r="C403" i="3"/>
  <c r="AD402" i="3"/>
  <c r="AC402" i="3"/>
  <c r="AA402" i="3"/>
  <c r="W402" i="3"/>
  <c r="U402" i="3"/>
  <c r="R402" i="3"/>
  <c r="N402" i="3"/>
  <c r="O402" i="3" s="1"/>
  <c r="L402" i="3"/>
  <c r="H402" i="3"/>
  <c r="I402" i="3" s="1"/>
  <c r="F402" i="3"/>
  <c r="C402" i="3"/>
  <c r="AC401" i="3"/>
  <c r="AD401" i="3" s="1"/>
  <c r="AA401" i="3"/>
  <c r="X401" i="3"/>
  <c r="W401" i="3"/>
  <c r="U401" i="3"/>
  <c r="R401" i="3"/>
  <c r="N401" i="3"/>
  <c r="L401" i="3"/>
  <c r="H401" i="3"/>
  <c r="I401" i="3" s="1"/>
  <c r="F401" i="3"/>
  <c r="C401" i="3"/>
  <c r="AC400" i="3"/>
  <c r="AA400" i="3"/>
  <c r="W400" i="3"/>
  <c r="U400" i="3"/>
  <c r="R400" i="3"/>
  <c r="N400" i="3"/>
  <c r="L400" i="3"/>
  <c r="H400" i="3"/>
  <c r="I400" i="3" s="1"/>
  <c r="F400" i="3"/>
  <c r="C400" i="3"/>
  <c r="AC399" i="3"/>
  <c r="AD399" i="3" s="1"/>
  <c r="AA399" i="3"/>
  <c r="W399" i="3"/>
  <c r="U399" i="3"/>
  <c r="R399" i="3"/>
  <c r="O399" i="3"/>
  <c r="N399" i="3"/>
  <c r="L399" i="3"/>
  <c r="H399" i="3"/>
  <c r="F399" i="3"/>
  <c r="C399" i="3"/>
  <c r="AD398" i="3"/>
  <c r="AC398" i="3"/>
  <c r="AA398" i="3"/>
  <c r="W398" i="3"/>
  <c r="U398" i="3"/>
  <c r="R398" i="3"/>
  <c r="N398" i="3"/>
  <c r="O398" i="3" s="1"/>
  <c r="L398" i="3"/>
  <c r="H398" i="3"/>
  <c r="I398" i="3" s="1"/>
  <c r="F398" i="3"/>
  <c r="C398" i="3"/>
  <c r="AA397" i="3"/>
  <c r="Z397" i="3"/>
  <c r="AC397" i="3" s="1"/>
  <c r="AD397" i="3" s="1"/>
  <c r="U397" i="3"/>
  <c r="T397" i="3"/>
  <c r="R397" i="3"/>
  <c r="Q397" i="3"/>
  <c r="W397" i="3" s="1"/>
  <c r="N397" i="3"/>
  <c r="O397" i="3" s="1"/>
  <c r="K397" i="3"/>
  <c r="L397" i="3" s="1"/>
  <c r="F397" i="3"/>
  <c r="E397" i="3"/>
  <c r="B397" i="3"/>
  <c r="AC396" i="3"/>
  <c r="AA396" i="3"/>
  <c r="W396" i="3"/>
  <c r="X396" i="3" s="1"/>
  <c r="U396" i="3"/>
  <c r="R396" i="3"/>
  <c r="O396" i="3"/>
  <c r="N396" i="3"/>
  <c r="L396" i="3"/>
  <c r="H396" i="3"/>
  <c r="F396" i="3"/>
  <c r="C396" i="3"/>
  <c r="AD395" i="3"/>
  <c r="AC395" i="3"/>
  <c r="AA395" i="3"/>
  <c r="W395" i="3"/>
  <c r="U395" i="3"/>
  <c r="R395" i="3"/>
  <c r="N395" i="3"/>
  <c r="O395" i="3" s="1"/>
  <c r="L395" i="3"/>
  <c r="H395" i="3"/>
  <c r="I395" i="3" s="1"/>
  <c r="F395" i="3"/>
  <c r="C395" i="3"/>
  <c r="Z394" i="3"/>
  <c r="AA394" i="3" s="1"/>
  <c r="U394" i="3"/>
  <c r="T394" i="3"/>
  <c r="R394" i="3"/>
  <c r="Q394" i="3"/>
  <c r="W394" i="3" s="1"/>
  <c r="K394" i="3"/>
  <c r="L394" i="3" s="1"/>
  <c r="E394" i="3"/>
  <c r="F394" i="3" s="1"/>
  <c r="B394" i="3"/>
  <c r="AC393" i="3"/>
  <c r="AA393" i="3"/>
  <c r="W393" i="3"/>
  <c r="U393" i="3"/>
  <c r="R393" i="3"/>
  <c r="O393" i="3"/>
  <c r="N393" i="3"/>
  <c r="L393" i="3"/>
  <c r="H393" i="3"/>
  <c r="F393" i="3"/>
  <c r="C393" i="3"/>
  <c r="AC392" i="3"/>
  <c r="AD392" i="3" s="1"/>
  <c r="AA392" i="3"/>
  <c r="W392" i="3"/>
  <c r="U392" i="3"/>
  <c r="R392" i="3"/>
  <c r="O392" i="3"/>
  <c r="N392" i="3"/>
  <c r="L392" i="3"/>
  <c r="H392" i="3"/>
  <c r="I392" i="3" s="1"/>
  <c r="F392" i="3"/>
  <c r="C392" i="3"/>
  <c r="AC391" i="3"/>
  <c r="AA391" i="3"/>
  <c r="W391" i="3"/>
  <c r="U391" i="3"/>
  <c r="R391" i="3"/>
  <c r="N391" i="3"/>
  <c r="O391" i="3" s="1"/>
  <c r="L391" i="3"/>
  <c r="H391" i="3"/>
  <c r="I391" i="3" s="1"/>
  <c r="F391" i="3"/>
  <c r="C391" i="3"/>
  <c r="AC390" i="3"/>
  <c r="AA390" i="3"/>
  <c r="X390" i="3"/>
  <c r="W390" i="3"/>
  <c r="U390" i="3"/>
  <c r="R390" i="3"/>
  <c r="N390" i="3"/>
  <c r="L390" i="3"/>
  <c r="H390" i="3"/>
  <c r="I390" i="3" s="1"/>
  <c r="F390" i="3"/>
  <c r="C390" i="3"/>
  <c r="AC389" i="3"/>
  <c r="AA389" i="3"/>
  <c r="W389" i="3"/>
  <c r="U389" i="3"/>
  <c r="R389" i="3"/>
  <c r="O389" i="3"/>
  <c r="N389" i="3"/>
  <c r="L389" i="3"/>
  <c r="H389" i="3"/>
  <c r="F389" i="3"/>
  <c r="C389" i="3"/>
  <c r="AC387" i="3"/>
  <c r="AD387" i="3" s="1"/>
  <c r="AA387" i="3"/>
  <c r="W387" i="3"/>
  <c r="U387" i="3"/>
  <c r="R387" i="3"/>
  <c r="O387" i="3"/>
  <c r="N387" i="3"/>
  <c r="L387" i="3"/>
  <c r="H387" i="3"/>
  <c r="I387" i="3" s="1"/>
  <c r="F387" i="3"/>
  <c r="C387" i="3"/>
  <c r="AD386" i="3"/>
  <c r="AC386" i="3"/>
  <c r="AA386" i="3"/>
  <c r="W386" i="3"/>
  <c r="U386" i="3"/>
  <c r="R386" i="3"/>
  <c r="N386" i="3"/>
  <c r="O386" i="3" s="1"/>
  <c r="L386" i="3"/>
  <c r="H386" i="3"/>
  <c r="I386" i="3" s="1"/>
  <c r="F386" i="3"/>
  <c r="C386" i="3"/>
  <c r="AC384" i="3"/>
  <c r="AA384" i="3"/>
  <c r="W384" i="3"/>
  <c r="X384" i="3" s="1"/>
  <c r="U384" i="3"/>
  <c r="R384" i="3"/>
  <c r="N384" i="3"/>
  <c r="L384" i="3"/>
  <c r="H384" i="3"/>
  <c r="I384" i="3" s="1"/>
  <c r="F384" i="3"/>
  <c r="C384" i="3"/>
  <c r="AC383" i="3"/>
  <c r="AA383" i="3"/>
  <c r="W383" i="3"/>
  <c r="U383" i="3"/>
  <c r="R383" i="3"/>
  <c r="O383" i="3"/>
  <c r="N383" i="3"/>
  <c r="L383" i="3"/>
  <c r="H383" i="3"/>
  <c r="F383" i="3"/>
  <c r="C383" i="3"/>
  <c r="AC382" i="3"/>
  <c r="AD382" i="3" s="1"/>
  <c r="AA382" i="3"/>
  <c r="W382" i="3"/>
  <c r="U382" i="3"/>
  <c r="R382" i="3"/>
  <c r="O382" i="3"/>
  <c r="N382" i="3"/>
  <c r="L382" i="3"/>
  <c r="H382" i="3"/>
  <c r="I382" i="3" s="1"/>
  <c r="F382" i="3"/>
  <c r="C382" i="3"/>
  <c r="AD381" i="3"/>
  <c r="AC381" i="3"/>
  <c r="AA381" i="3"/>
  <c r="W381" i="3"/>
  <c r="U381" i="3"/>
  <c r="R381" i="3"/>
  <c r="N381" i="3"/>
  <c r="O381" i="3" s="1"/>
  <c r="L381" i="3"/>
  <c r="H381" i="3"/>
  <c r="I381" i="3" s="1"/>
  <c r="F381" i="3"/>
  <c r="C381" i="3"/>
  <c r="AC380" i="3"/>
  <c r="AA380" i="3"/>
  <c r="W380" i="3"/>
  <c r="U380" i="3"/>
  <c r="R380" i="3"/>
  <c r="N380" i="3"/>
  <c r="L380" i="3"/>
  <c r="I380" i="3"/>
  <c r="H380" i="3"/>
  <c r="F380" i="3"/>
  <c r="C380" i="3"/>
  <c r="AC379" i="3"/>
  <c r="AA379" i="3"/>
  <c r="W379" i="3"/>
  <c r="U379" i="3"/>
  <c r="R379" i="3"/>
  <c r="O379" i="3"/>
  <c r="N379" i="3"/>
  <c r="L379" i="3"/>
  <c r="H379" i="3"/>
  <c r="F379" i="3"/>
  <c r="C379" i="3"/>
  <c r="AC378" i="3"/>
  <c r="AD378" i="3" s="1"/>
  <c r="AA378" i="3"/>
  <c r="W378" i="3"/>
  <c r="U378" i="3"/>
  <c r="R378" i="3"/>
  <c r="O378" i="3"/>
  <c r="N378" i="3"/>
  <c r="L378" i="3"/>
  <c r="H378" i="3"/>
  <c r="I378" i="3" s="1"/>
  <c r="F378" i="3"/>
  <c r="C378" i="3"/>
  <c r="AD377" i="3"/>
  <c r="AC377" i="3"/>
  <c r="AA377" i="3"/>
  <c r="W377" i="3"/>
  <c r="U377" i="3"/>
  <c r="R377" i="3"/>
  <c r="N377" i="3"/>
  <c r="O377" i="3" s="1"/>
  <c r="L377" i="3"/>
  <c r="H377" i="3"/>
  <c r="I377" i="3" s="1"/>
  <c r="F377" i="3"/>
  <c r="C377" i="3"/>
  <c r="AC376" i="3"/>
  <c r="AA376" i="3"/>
  <c r="X376" i="3"/>
  <c r="W376" i="3"/>
  <c r="U376" i="3"/>
  <c r="R376" i="3"/>
  <c r="N376" i="3"/>
  <c r="L376" i="3"/>
  <c r="H376" i="3"/>
  <c r="I376" i="3" s="1"/>
  <c r="F376" i="3"/>
  <c r="C376" i="3"/>
  <c r="AC375" i="3"/>
  <c r="AA375" i="3"/>
  <c r="W375" i="3"/>
  <c r="U375" i="3"/>
  <c r="R375" i="3"/>
  <c r="O375" i="3"/>
  <c r="N375" i="3"/>
  <c r="L375" i="3"/>
  <c r="H375" i="3"/>
  <c r="F375" i="3"/>
  <c r="C375" i="3"/>
  <c r="AC374" i="3"/>
  <c r="AD374" i="3" s="1"/>
  <c r="AA374" i="3"/>
  <c r="W374" i="3"/>
  <c r="U374" i="3"/>
  <c r="R374" i="3"/>
  <c r="O374" i="3"/>
  <c r="N374" i="3"/>
  <c r="L374" i="3"/>
  <c r="H374" i="3"/>
  <c r="I374" i="3" s="1"/>
  <c r="F374" i="3"/>
  <c r="C374" i="3"/>
  <c r="AD373" i="3"/>
  <c r="AC373" i="3"/>
  <c r="AA373" i="3"/>
  <c r="W373" i="3"/>
  <c r="U373" i="3"/>
  <c r="R373" i="3"/>
  <c r="N373" i="3"/>
  <c r="O373" i="3" s="1"/>
  <c r="L373" i="3"/>
  <c r="H373" i="3"/>
  <c r="I373" i="3" s="1"/>
  <c r="F373" i="3"/>
  <c r="C373" i="3"/>
  <c r="AC372" i="3"/>
  <c r="AA372" i="3"/>
  <c r="W372" i="3"/>
  <c r="X372" i="3" s="1"/>
  <c r="U372" i="3"/>
  <c r="R372" i="3"/>
  <c r="N372" i="3"/>
  <c r="L372" i="3"/>
  <c r="I372" i="3"/>
  <c r="H372" i="3"/>
  <c r="F372" i="3"/>
  <c r="C372" i="3"/>
  <c r="AC371" i="3"/>
  <c r="AA371" i="3"/>
  <c r="W371" i="3"/>
  <c r="U371" i="3"/>
  <c r="R371" i="3"/>
  <c r="O371" i="3"/>
  <c r="N371" i="3"/>
  <c r="L371" i="3"/>
  <c r="H371" i="3"/>
  <c r="F371" i="3"/>
  <c r="C371" i="3"/>
  <c r="AC370" i="3"/>
  <c r="AA370" i="3"/>
  <c r="W370" i="3"/>
  <c r="U370" i="3"/>
  <c r="R370" i="3"/>
  <c r="O370" i="3"/>
  <c r="N370" i="3"/>
  <c r="L370" i="3"/>
  <c r="H370" i="3"/>
  <c r="I370" i="3" s="1"/>
  <c r="F370" i="3"/>
  <c r="C370" i="3"/>
  <c r="AA369" i="3"/>
  <c r="Z369" i="3"/>
  <c r="U369" i="3"/>
  <c r="T369" i="3"/>
  <c r="Q369" i="3"/>
  <c r="K369" i="3"/>
  <c r="L369" i="3" s="1"/>
  <c r="F369" i="3"/>
  <c r="E369" i="3"/>
  <c r="B369" i="3"/>
  <c r="AC368" i="3"/>
  <c r="AA368" i="3"/>
  <c r="W368" i="3"/>
  <c r="U368" i="3"/>
  <c r="R368" i="3"/>
  <c r="O368" i="3"/>
  <c r="N368" i="3"/>
  <c r="L368" i="3"/>
  <c r="H368" i="3"/>
  <c r="F368" i="3"/>
  <c r="C368" i="3"/>
  <c r="AC367" i="3"/>
  <c r="AA367" i="3"/>
  <c r="W367" i="3"/>
  <c r="U367" i="3"/>
  <c r="R367" i="3"/>
  <c r="O367" i="3"/>
  <c r="N367" i="3"/>
  <c r="L367" i="3"/>
  <c r="H367" i="3"/>
  <c r="I367" i="3" s="1"/>
  <c r="F367" i="3"/>
  <c r="C367" i="3"/>
  <c r="AC366" i="3"/>
  <c r="AD366" i="3" s="1"/>
  <c r="AA366" i="3"/>
  <c r="W366" i="3"/>
  <c r="U366" i="3"/>
  <c r="R366" i="3"/>
  <c r="N366" i="3"/>
  <c r="O366" i="3" s="1"/>
  <c r="L366" i="3"/>
  <c r="H366" i="3"/>
  <c r="I366" i="3" s="1"/>
  <c r="F366" i="3"/>
  <c r="C366" i="3"/>
  <c r="AC365" i="3"/>
  <c r="AA365" i="3"/>
  <c r="W365" i="3"/>
  <c r="X365" i="3" s="1"/>
  <c r="U365" i="3"/>
  <c r="R365" i="3"/>
  <c r="N365" i="3"/>
  <c r="L365" i="3"/>
  <c r="I365" i="3"/>
  <c r="H365" i="3"/>
  <c r="F365" i="3"/>
  <c r="C365" i="3"/>
  <c r="AC364" i="3"/>
  <c r="AD364" i="3" s="1"/>
  <c r="AA364" i="3"/>
  <c r="W364" i="3"/>
  <c r="U364" i="3"/>
  <c r="R364" i="3"/>
  <c r="O364" i="3"/>
  <c r="N364" i="3"/>
  <c r="L364" i="3"/>
  <c r="H364" i="3"/>
  <c r="F364" i="3"/>
  <c r="C364" i="3"/>
  <c r="AC363" i="3"/>
  <c r="AA363" i="3"/>
  <c r="W363" i="3"/>
  <c r="U363" i="3"/>
  <c r="R363" i="3"/>
  <c r="O363" i="3"/>
  <c r="N363" i="3"/>
  <c r="L363" i="3"/>
  <c r="H363" i="3"/>
  <c r="I363" i="3" s="1"/>
  <c r="F363" i="3"/>
  <c r="C363" i="3"/>
  <c r="AC362" i="3"/>
  <c r="AD362" i="3" s="1"/>
  <c r="AA362" i="3"/>
  <c r="W362" i="3"/>
  <c r="U362" i="3"/>
  <c r="R362" i="3"/>
  <c r="N362" i="3"/>
  <c r="O362" i="3" s="1"/>
  <c r="L362" i="3"/>
  <c r="H362" i="3"/>
  <c r="I362" i="3" s="1"/>
  <c r="F362" i="3"/>
  <c r="C362" i="3"/>
  <c r="AC361" i="3"/>
  <c r="AA361" i="3"/>
  <c r="W361" i="3"/>
  <c r="X361" i="3" s="1"/>
  <c r="U361" i="3"/>
  <c r="R361" i="3"/>
  <c r="N361" i="3"/>
  <c r="L361" i="3"/>
  <c r="I361" i="3"/>
  <c r="H361" i="3"/>
  <c r="F361" i="3"/>
  <c r="C361" i="3"/>
  <c r="AA359" i="3"/>
  <c r="Z359" i="3"/>
  <c r="W359" i="3"/>
  <c r="X359" i="3" s="1"/>
  <c r="U359" i="3"/>
  <c r="T359" i="3"/>
  <c r="Q359" i="3"/>
  <c r="R359" i="3" s="1"/>
  <c r="K359" i="3"/>
  <c r="L359" i="3" s="1"/>
  <c r="I359" i="3"/>
  <c r="H359" i="3"/>
  <c r="E359" i="3"/>
  <c r="F359" i="3" s="1"/>
  <c r="C359" i="3"/>
  <c r="B359" i="3"/>
  <c r="AD358" i="3"/>
  <c r="AC358" i="3"/>
  <c r="AA358" i="3"/>
  <c r="X358" i="3"/>
  <c r="W358" i="3"/>
  <c r="U358" i="3"/>
  <c r="R358" i="3"/>
  <c r="N358" i="3"/>
  <c r="O358" i="3" s="1"/>
  <c r="L358" i="3"/>
  <c r="H358" i="3"/>
  <c r="I358" i="3" s="1"/>
  <c r="F358" i="3"/>
  <c r="C358" i="3"/>
  <c r="AC357" i="3"/>
  <c r="AA357" i="3"/>
  <c r="W357" i="3"/>
  <c r="U357" i="3"/>
  <c r="R357" i="3"/>
  <c r="N357" i="3"/>
  <c r="L357" i="3"/>
  <c r="I357" i="3"/>
  <c r="H357" i="3"/>
  <c r="F357" i="3"/>
  <c r="C357" i="3"/>
  <c r="AC356" i="3"/>
  <c r="AD356" i="3" s="1"/>
  <c r="AA356" i="3"/>
  <c r="W356" i="3"/>
  <c r="U356" i="3"/>
  <c r="R356" i="3"/>
  <c r="O356" i="3"/>
  <c r="N356" i="3"/>
  <c r="L356" i="3"/>
  <c r="H356" i="3"/>
  <c r="F356" i="3"/>
  <c r="C356" i="3"/>
  <c r="AC355" i="3"/>
  <c r="AD355" i="3" s="1"/>
  <c r="AA355" i="3"/>
  <c r="W355" i="3"/>
  <c r="U355" i="3"/>
  <c r="R355" i="3"/>
  <c r="O355" i="3"/>
  <c r="N355" i="3"/>
  <c r="L355" i="3"/>
  <c r="H355" i="3"/>
  <c r="I355" i="3" s="1"/>
  <c r="F355" i="3"/>
  <c r="C355" i="3"/>
  <c r="AD354" i="3"/>
  <c r="AC354" i="3"/>
  <c r="AA354" i="3"/>
  <c r="W354" i="3"/>
  <c r="U354" i="3"/>
  <c r="R354" i="3"/>
  <c r="N354" i="3"/>
  <c r="O354" i="3" s="1"/>
  <c r="L354" i="3"/>
  <c r="H354" i="3"/>
  <c r="I354" i="3" s="1"/>
  <c r="F354" i="3"/>
  <c r="C354" i="3"/>
  <c r="AC353" i="3"/>
  <c r="AA353" i="3"/>
  <c r="W353" i="3"/>
  <c r="X353" i="3" s="1"/>
  <c r="U353" i="3"/>
  <c r="R353" i="3"/>
  <c r="N353" i="3"/>
  <c r="L353" i="3"/>
  <c r="I353" i="3"/>
  <c r="H353" i="3"/>
  <c r="F353" i="3"/>
  <c r="C353" i="3"/>
  <c r="AC352" i="3"/>
  <c r="AD352" i="3" s="1"/>
  <c r="AA352" i="3"/>
  <c r="W352" i="3"/>
  <c r="U352" i="3"/>
  <c r="R352" i="3"/>
  <c r="O352" i="3"/>
  <c r="N352" i="3"/>
  <c r="L352" i="3"/>
  <c r="H352" i="3"/>
  <c r="F352" i="3"/>
  <c r="C352" i="3"/>
  <c r="AC351" i="3"/>
  <c r="AD351" i="3" s="1"/>
  <c r="AA351" i="3"/>
  <c r="W351" i="3"/>
  <c r="U351" i="3"/>
  <c r="R351" i="3"/>
  <c r="O351" i="3"/>
  <c r="N351" i="3"/>
  <c r="L351" i="3"/>
  <c r="H351" i="3"/>
  <c r="I351" i="3" s="1"/>
  <c r="F351" i="3"/>
  <c r="C351" i="3"/>
  <c r="AC350" i="3"/>
  <c r="AD350" i="3" s="1"/>
  <c r="AA350" i="3"/>
  <c r="W350" i="3"/>
  <c r="U350" i="3"/>
  <c r="R350" i="3"/>
  <c r="N350" i="3"/>
  <c r="O350" i="3" s="1"/>
  <c r="L350" i="3"/>
  <c r="H350" i="3"/>
  <c r="I350" i="3" s="1"/>
  <c r="F350" i="3"/>
  <c r="C350" i="3"/>
  <c r="AC348" i="3"/>
  <c r="AA348" i="3"/>
  <c r="W348" i="3"/>
  <c r="X348" i="3" s="1"/>
  <c r="U348" i="3"/>
  <c r="R348" i="3"/>
  <c r="N348" i="3"/>
  <c r="L348" i="3"/>
  <c r="I348" i="3"/>
  <c r="H348" i="3"/>
  <c r="F348" i="3"/>
  <c r="C348" i="3"/>
  <c r="AA345" i="3"/>
  <c r="Z345" i="3"/>
  <c r="U345" i="3"/>
  <c r="T345" i="3"/>
  <c r="Q345" i="3"/>
  <c r="N345" i="3"/>
  <c r="O345" i="3" s="1"/>
  <c r="K345" i="3"/>
  <c r="L345" i="3" s="1"/>
  <c r="E345" i="3"/>
  <c r="F345" i="3" s="1"/>
  <c r="C345" i="3"/>
  <c r="B345" i="3"/>
  <c r="AA344" i="3"/>
  <c r="Z344" i="3"/>
  <c r="W344" i="3"/>
  <c r="X344" i="3" s="1"/>
  <c r="T344" i="3"/>
  <c r="U344" i="3" s="1"/>
  <c r="Q344" i="3"/>
  <c r="R344" i="3" s="1"/>
  <c r="K344" i="3"/>
  <c r="L344" i="3" s="1"/>
  <c r="H344" i="3"/>
  <c r="I344" i="3" s="1"/>
  <c r="E344" i="3"/>
  <c r="F344" i="3" s="1"/>
  <c r="C344" i="3"/>
  <c r="B344" i="3"/>
  <c r="Z343" i="3"/>
  <c r="AA343" i="3" s="1"/>
  <c r="U343" i="3"/>
  <c r="T343" i="3"/>
  <c r="Q343" i="3"/>
  <c r="W343" i="3" s="1"/>
  <c r="K343" i="3"/>
  <c r="L343" i="3" s="1"/>
  <c r="E343" i="3"/>
  <c r="F343" i="3" s="1"/>
  <c r="C343" i="3"/>
  <c r="B343" i="3"/>
  <c r="N343" i="3" s="1"/>
  <c r="O343" i="3" s="1"/>
  <c r="AC342" i="3"/>
  <c r="AA342" i="3"/>
  <c r="W342" i="3"/>
  <c r="U342" i="3"/>
  <c r="R342" i="3"/>
  <c r="O342" i="3"/>
  <c r="N342" i="3"/>
  <c r="L342" i="3"/>
  <c r="H342" i="3"/>
  <c r="F342" i="3"/>
  <c r="C342" i="3"/>
  <c r="AD341" i="3"/>
  <c r="AC341" i="3"/>
  <c r="AA341" i="3"/>
  <c r="W341" i="3"/>
  <c r="U341" i="3"/>
  <c r="R341" i="3"/>
  <c r="O341" i="3"/>
  <c r="N341" i="3"/>
  <c r="L341" i="3"/>
  <c r="H341" i="3"/>
  <c r="I341" i="3" s="1"/>
  <c r="F341" i="3"/>
  <c r="C341" i="3"/>
  <c r="AC340" i="3"/>
  <c r="AD340" i="3" s="1"/>
  <c r="AA340" i="3"/>
  <c r="W340" i="3"/>
  <c r="U340" i="3"/>
  <c r="R340" i="3"/>
  <c r="N340" i="3"/>
  <c r="O340" i="3" s="1"/>
  <c r="L340" i="3"/>
  <c r="I340" i="3"/>
  <c r="H340" i="3"/>
  <c r="F340" i="3"/>
  <c r="C340" i="3"/>
  <c r="AC339" i="3"/>
  <c r="AA339" i="3"/>
  <c r="W339" i="3"/>
  <c r="U339" i="3"/>
  <c r="R339" i="3"/>
  <c r="N339" i="3"/>
  <c r="L339" i="3"/>
  <c r="H339" i="3"/>
  <c r="I339" i="3" s="1"/>
  <c r="F339" i="3"/>
  <c r="C339" i="3"/>
  <c r="AC338" i="3"/>
  <c r="AA338" i="3"/>
  <c r="W338" i="3"/>
  <c r="U338" i="3"/>
  <c r="R338" i="3"/>
  <c r="O338" i="3"/>
  <c r="N338" i="3"/>
  <c r="L338" i="3"/>
  <c r="H338" i="3"/>
  <c r="F338" i="3"/>
  <c r="C338" i="3"/>
  <c r="AC336" i="3"/>
  <c r="AD336" i="3" s="1"/>
  <c r="AA336" i="3"/>
  <c r="W336" i="3"/>
  <c r="U336" i="3"/>
  <c r="R336" i="3"/>
  <c r="O336" i="3"/>
  <c r="N336" i="3"/>
  <c r="L336" i="3"/>
  <c r="H336" i="3"/>
  <c r="I336" i="3" s="1"/>
  <c r="F336" i="3"/>
  <c r="C336" i="3"/>
  <c r="AC335" i="3"/>
  <c r="AD335" i="3" s="1"/>
  <c r="AA335" i="3"/>
  <c r="W335" i="3"/>
  <c r="U335" i="3"/>
  <c r="R335" i="3"/>
  <c r="N335" i="3"/>
  <c r="O335" i="3" s="1"/>
  <c r="L335" i="3"/>
  <c r="I335" i="3"/>
  <c r="H335" i="3"/>
  <c r="F335" i="3"/>
  <c r="C335" i="3"/>
  <c r="AC334" i="3"/>
  <c r="AA334" i="3"/>
  <c r="X334" i="3"/>
  <c r="W334" i="3"/>
  <c r="U334" i="3"/>
  <c r="R334" i="3"/>
  <c r="N334" i="3"/>
  <c r="L334" i="3"/>
  <c r="H334" i="3"/>
  <c r="I334" i="3" s="1"/>
  <c r="F334" i="3"/>
  <c r="C334" i="3"/>
  <c r="AC333" i="3"/>
  <c r="AA333" i="3"/>
  <c r="W333" i="3"/>
  <c r="U333" i="3"/>
  <c r="R333" i="3"/>
  <c r="O333" i="3"/>
  <c r="N333" i="3"/>
  <c r="L333" i="3"/>
  <c r="H333" i="3"/>
  <c r="F333" i="3"/>
  <c r="C333" i="3"/>
  <c r="AC332" i="3"/>
  <c r="AD332" i="3" s="1"/>
  <c r="AA332" i="3"/>
  <c r="W332" i="3"/>
  <c r="U332" i="3"/>
  <c r="R332" i="3"/>
  <c r="O332" i="3"/>
  <c r="N332" i="3"/>
  <c r="L332" i="3"/>
  <c r="H332" i="3"/>
  <c r="I332" i="3" s="1"/>
  <c r="F332" i="3"/>
  <c r="C332" i="3"/>
  <c r="AC331" i="3"/>
  <c r="AD331" i="3" s="1"/>
  <c r="AA331" i="3"/>
  <c r="W331" i="3"/>
  <c r="U331" i="3"/>
  <c r="R331" i="3"/>
  <c r="N331" i="3"/>
  <c r="O331" i="3" s="1"/>
  <c r="L331" i="3"/>
  <c r="I331" i="3"/>
  <c r="H331" i="3"/>
  <c r="F331" i="3"/>
  <c r="C331" i="3"/>
  <c r="AC330" i="3"/>
  <c r="AA330" i="3"/>
  <c r="X330" i="3"/>
  <c r="W330" i="3"/>
  <c r="U330" i="3"/>
  <c r="R330" i="3"/>
  <c r="N330" i="3"/>
  <c r="L330" i="3"/>
  <c r="H330" i="3"/>
  <c r="I330" i="3" s="1"/>
  <c r="F330" i="3"/>
  <c r="C330" i="3"/>
  <c r="AC329" i="3"/>
  <c r="AA329" i="3"/>
  <c r="W329" i="3"/>
  <c r="U329" i="3"/>
  <c r="R329" i="3"/>
  <c r="O329" i="3"/>
  <c r="N329" i="3"/>
  <c r="L329" i="3"/>
  <c r="H329" i="3"/>
  <c r="F329" i="3"/>
  <c r="C329" i="3"/>
  <c r="AD326" i="3"/>
  <c r="AC326" i="3"/>
  <c r="Z326" i="3"/>
  <c r="AA326" i="3" s="1"/>
  <c r="U326" i="3"/>
  <c r="T326" i="3"/>
  <c r="R326" i="3"/>
  <c r="Q326" i="3"/>
  <c r="L326" i="3"/>
  <c r="K326" i="3"/>
  <c r="H326" i="3"/>
  <c r="I326" i="3" s="1"/>
  <c r="F326" i="3"/>
  <c r="E326" i="3"/>
  <c r="B326" i="3"/>
  <c r="C326" i="3" s="1"/>
  <c r="AA325" i="3"/>
  <c r="Z325" i="3"/>
  <c r="W325" i="3"/>
  <c r="T325" i="3"/>
  <c r="U325" i="3" s="1"/>
  <c r="R325" i="3"/>
  <c r="Q325" i="3"/>
  <c r="AC325" i="3" s="1"/>
  <c r="K325" i="3"/>
  <c r="L325" i="3" s="1"/>
  <c r="F325" i="3"/>
  <c r="E325" i="3"/>
  <c r="C325" i="3"/>
  <c r="B325" i="3"/>
  <c r="H325" i="3" s="1"/>
  <c r="I325" i="3" s="1"/>
  <c r="AC324" i="3"/>
  <c r="AA324" i="3"/>
  <c r="W324" i="3"/>
  <c r="U324" i="3"/>
  <c r="R324" i="3"/>
  <c r="O324" i="3"/>
  <c r="N324" i="3"/>
  <c r="L324" i="3"/>
  <c r="H324" i="3"/>
  <c r="I324" i="3" s="1"/>
  <c r="F324" i="3"/>
  <c r="C324" i="3"/>
  <c r="AD323" i="3"/>
  <c r="AC323" i="3"/>
  <c r="AA323" i="3"/>
  <c r="W323" i="3"/>
  <c r="U323" i="3"/>
  <c r="R323" i="3"/>
  <c r="N323" i="3"/>
  <c r="O323" i="3" s="1"/>
  <c r="L323" i="3"/>
  <c r="I323" i="3"/>
  <c r="H323" i="3"/>
  <c r="F323" i="3"/>
  <c r="C323" i="3"/>
  <c r="AC322" i="3"/>
  <c r="AA322" i="3"/>
  <c r="W322" i="3"/>
  <c r="X322" i="3" s="1"/>
  <c r="U322" i="3"/>
  <c r="R322" i="3"/>
  <c r="N322" i="3"/>
  <c r="L322" i="3"/>
  <c r="I322" i="3"/>
  <c r="H322" i="3"/>
  <c r="F322" i="3"/>
  <c r="C322" i="3"/>
  <c r="AC321" i="3"/>
  <c r="AD321" i="3" s="1"/>
  <c r="AA321" i="3"/>
  <c r="W321" i="3"/>
  <c r="U321" i="3"/>
  <c r="R321" i="3"/>
  <c r="O321" i="3"/>
  <c r="N321" i="3"/>
  <c r="L321" i="3"/>
  <c r="H321" i="3"/>
  <c r="F321" i="3"/>
  <c r="C321" i="3"/>
  <c r="AC320" i="3"/>
  <c r="AA320" i="3"/>
  <c r="W320" i="3"/>
  <c r="U320" i="3"/>
  <c r="R320" i="3"/>
  <c r="O320" i="3"/>
  <c r="N320" i="3"/>
  <c r="L320" i="3"/>
  <c r="H320" i="3"/>
  <c r="I320" i="3" s="1"/>
  <c r="F320" i="3"/>
  <c r="C320" i="3"/>
  <c r="AC319" i="3"/>
  <c r="AD319" i="3" s="1"/>
  <c r="AA319" i="3"/>
  <c r="W319" i="3"/>
  <c r="U319" i="3"/>
  <c r="R319" i="3"/>
  <c r="N319" i="3"/>
  <c r="O319" i="3" s="1"/>
  <c r="L319" i="3"/>
  <c r="H319" i="3"/>
  <c r="I319" i="3" s="1"/>
  <c r="F319" i="3"/>
  <c r="C319" i="3"/>
  <c r="AC318" i="3"/>
  <c r="AA318" i="3"/>
  <c r="W318" i="3"/>
  <c r="X318" i="3" s="1"/>
  <c r="U318" i="3"/>
  <c r="R318" i="3"/>
  <c r="N318" i="3"/>
  <c r="L318" i="3"/>
  <c r="I318" i="3"/>
  <c r="H318" i="3"/>
  <c r="F318" i="3"/>
  <c r="C318" i="3"/>
  <c r="AC317" i="3"/>
  <c r="AD317" i="3" s="1"/>
  <c r="AA317" i="3"/>
  <c r="W317" i="3"/>
  <c r="U317" i="3"/>
  <c r="R317" i="3"/>
  <c r="O317" i="3"/>
  <c r="N317" i="3"/>
  <c r="L317" i="3"/>
  <c r="H317" i="3"/>
  <c r="F317" i="3"/>
  <c r="C317" i="3"/>
  <c r="AC316" i="3"/>
  <c r="AA316" i="3"/>
  <c r="W316" i="3"/>
  <c r="U316" i="3"/>
  <c r="R316" i="3"/>
  <c r="O316" i="3"/>
  <c r="N316" i="3"/>
  <c r="L316" i="3"/>
  <c r="H316" i="3"/>
  <c r="I316" i="3" s="1"/>
  <c r="F316" i="3"/>
  <c r="C316" i="3"/>
  <c r="AC315" i="3"/>
  <c r="AD315" i="3" s="1"/>
  <c r="AA315" i="3"/>
  <c r="W315" i="3"/>
  <c r="U315" i="3"/>
  <c r="R315" i="3"/>
  <c r="N315" i="3"/>
  <c r="O315" i="3" s="1"/>
  <c r="L315" i="3"/>
  <c r="H315" i="3"/>
  <c r="I315" i="3" s="1"/>
  <c r="F315" i="3"/>
  <c r="C315" i="3"/>
  <c r="AC314" i="3"/>
  <c r="AA314" i="3"/>
  <c r="W314" i="3"/>
  <c r="X314" i="3" s="1"/>
  <c r="U314" i="3"/>
  <c r="R314" i="3"/>
  <c r="N314" i="3"/>
  <c r="L314" i="3"/>
  <c r="I314" i="3"/>
  <c r="H314" i="3"/>
  <c r="F314" i="3"/>
  <c r="C314" i="3"/>
  <c r="AC313" i="3"/>
  <c r="AD313" i="3" s="1"/>
  <c r="AA313" i="3"/>
  <c r="W313" i="3"/>
  <c r="U313" i="3"/>
  <c r="R313" i="3"/>
  <c r="O313" i="3"/>
  <c r="N313" i="3"/>
  <c r="L313" i="3"/>
  <c r="H313" i="3"/>
  <c r="F313" i="3"/>
  <c r="C313" i="3"/>
  <c r="AC312" i="3"/>
  <c r="AA312" i="3"/>
  <c r="W312" i="3"/>
  <c r="U312" i="3"/>
  <c r="R312" i="3"/>
  <c r="O312" i="3"/>
  <c r="N312" i="3"/>
  <c r="L312" i="3"/>
  <c r="H312" i="3"/>
  <c r="I312" i="3" s="1"/>
  <c r="F312" i="3"/>
  <c r="C312" i="3"/>
  <c r="AC311" i="3"/>
  <c r="AD311" i="3" s="1"/>
  <c r="AA311" i="3"/>
  <c r="W311" i="3"/>
  <c r="U311" i="3"/>
  <c r="R311" i="3"/>
  <c r="N311" i="3"/>
  <c r="O311" i="3" s="1"/>
  <c r="L311" i="3"/>
  <c r="H311" i="3"/>
  <c r="I311" i="3" s="1"/>
  <c r="F311" i="3"/>
  <c r="C311" i="3"/>
  <c r="AC310" i="3"/>
  <c r="AA310" i="3"/>
  <c r="X310" i="3"/>
  <c r="W310" i="3"/>
  <c r="U310" i="3"/>
  <c r="R310" i="3"/>
  <c r="N310" i="3"/>
  <c r="L310" i="3"/>
  <c r="I310" i="3"/>
  <c r="H310" i="3"/>
  <c r="F310" i="3"/>
  <c r="C310" i="3"/>
  <c r="AC309" i="3"/>
  <c r="AA309" i="3"/>
  <c r="W309" i="3"/>
  <c r="U309" i="3"/>
  <c r="R309" i="3"/>
  <c r="O309" i="3"/>
  <c r="N309" i="3"/>
  <c r="L309" i="3"/>
  <c r="H309" i="3"/>
  <c r="F309" i="3"/>
  <c r="C309" i="3"/>
  <c r="AC308" i="3"/>
  <c r="AA308" i="3"/>
  <c r="W308" i="3"/>
  <c r="U308" i="3"/>
  <c r="R308" i="3"/>
  <c r="O308" i="3"/>
  <c r="N308" i="3"/>
  <c r="L308" i="3"/>
  <c r="H308" i="3"/>
  <c r="I308" i="3" s="1"/>
  <c r="F308" i="3"/>
  <c r="C308" i="3"/>
  <c r="AD307" i="3"/>
  <c r="AC307" i="3"/>
  <c r="AA307" i="3"/>
  <c r="W307" i="3"/>
  <c r="U307" i="3"/>
  <c r="R307" i="3"/>
  <c r="N307" i="3"/>
  <c r="O307" i="3" s="1"/>
  <c r="L307" i="3"/>
  <c r="I307" i="3"/>
  <c r="H307" i="3"/>
  <c r="F307" i="3"/>
  <c r="C307" i="3"/>
  <c r="AC306" i="3"/>
  <c r="AA306" i="3"/>
  <c r="W306" i="3"/>
  <c r="X306" i="3" s="1"/>
  <c r="U306" i="3"/>
  <c r="R306" i="3"/>
  <c r="N306" i="3"/>
  <c r="L306" i="3"/>
  <c r="I306" i="3"/>
  <c r="H306" i="3"/>
  <c r="F306" i="3"/>
  <c r="C306" i="3"/>
  <c r="AC305" i="3"/>
  <c r="AD305" i="3" s="1"/>
  <c r="AA305" i="3"/>
  <c r="W305" i="3"/>
  <c r="U305" i="3"/>
  <c r="R305" i="3"/>
  <c r="O305" i="3"/>
  <c r="N305" i="3"/>
  <c r="L305" i="3"/>
  <c r="H305" i="3"/>
  <c r="F305" i="3"/>
  <c r="C305" i="3"/>
  <c r="AC304" i="3"/>
  <c r="AA304" i="3"/>
  <c r="W304" i="3"/>
  <c r="U304" i="3"/>
  <c r="R304" i="3"/>
  <c r="O304" i="3"/>
  <c r="N304" i="3"/>
  <c r="L304" i="3"/>
  <c r="H304" i="3"/>
  <c r="I304" i="3" s="1"/>
  <c r="F304" i="3"/>
  <c r="C304" i="3"/>
  <c r="AC303" i="3"/>
  <c r="AD303" i="3" s="1"/>
  <c r="AA303" i="3"/>
  <c r="W303" i="3"/>
  <c r="U303" i="3"/>
  <c r="R303" i="3"/>
  <c r="N303" i="3"/>
  <c r="O303" i="3" s="1"/>
  <c r="L303" i="3"/>
  <c r="H303" i="3"/>
  <c r="I303" i="3" s="1"/>
  <c r="F303" i="3"/>
  <c r="C303" i="3"/>
  <c r="AC302" i="3"/>
  <c r="AA302" i="3"/>
  <c r="W302" i="3"/>
  <c r="X302" i="3" s="1"/>
  <c r="U302" i="3"/>
  <c r="R302" i="3"/>
  <c r="N302" i="3"/>
  <c r="L302" i="3"/>
  <c r="I302" i="3"/>
  <c r="H302" i="3"/>
  <c r="F302" i="3"/>
  <c r="C302" i="3"/>
  <c r="AC301" i="3"/>
  <c r="AD301" i="3" s="1"/>
  <c r="AA301" i="3"/>
  <c r="W301" i="3"/>
  <c r="U301" i="3"/>
  <c r="R301" i="3"/>
  <c r="O301" i="3"/>
  <c r="N301" i="3"/>
  <c r="L301" i="3"/>
  <c r="H301" i="3"/>
  <c r="F301" i="3"/>
  <c r="C301" i="3"/>
  <c r="AC300" i="3"/>
  <c r="AA300" i="3"/>
  <c r="W300" i="3"/>
  <c r="U300" i="3"/>
  <c r="R300" i="3"/>
  <c r="O300" i="3"/>
  <c r="N300" i="3"/>
  <c r="L300" i="3"/>
  <c r="H300" i="3"/>
  <c r="I300" i="3" s="1"/>
  <c r="F300" i="3"/>
  <c r="C300" i="3"/>
  <c r="AC299" i="3"/>
  <c r="AD299" i="3" s="1"/>
  <c r="AA299" i="3"/>
  <c r="W299" i="3"/>
  <c r="U299" i="3"/>
  <c r="R299" i="3"/>
  <c r="N299" i="3"/>
  <c r="O299" i="3" s="1"/>
  <c r="L299" i="3"/>
  <c r="H299" i="3"/>
  <c r="I299" i="3" s="1"/>
  <c r="F299" i="3"/>
  <c r="C299" i="3"/>
  <c r="AC298" i="3"/>
  <c r="AA298" i="3"/>
  <c r="W298" i="3"/>
  <c r="X298" i="3" s="1"/>
  <c r="U298" i="3"/>
  <c r="R298" i="3"/>
  <c r="N298" i="3"/>
  <c r="L298" i="3"/>
  <c r="I298" i="3"/>
  <c r="H298" i="3"/>
  <c r="F298" i="3"/>
  <c r="C298" i="3"/>
  <c r="AA296" i="3"/>
  <c r="Z296" i="3"/>
  <c r="W296" i="3"/>
  <c r="U296" i="3"/>
  <c r="T296" i="3"/>
  <c r="Q296" i="3"/>
  <c r="R296" i="3" s="1"/>
  <c r="K296" i="3"/>
  <c r="L296" i="3" s="1"/>
  <c r="I296" i="3"/>
  <c r="H296" i="3"/>
  <c r="E296" i="3"/>
  <c r="F296" i="3" s="1"/>
  <c r="C296" i="3"/>
  <c r="B296" i="3"/>
  <c r="AD295" i="3"/>
  <c r="AC295" i="3"/>
  <c r="AA295" i="3"/>
  <c r="W295" i="3"/>
  <c r="U295" i="3"/>
  <c r="R295" i="3"/>
  <c r="N295" i="3"/>
  <c r="O295" i="3" s="1"/>
  <c r="L295" i="3"/>
  <c r="H295" i="3"/>
  <c r="I295" i="3" s="1"/>
  <c r="F295" i="3"/>
  <c r="C295" i="3"/>
  <c r="AC294" i="3"/>
  <c r="AA294" i="3"/>
  <c r="W294" i="3"/>
  <c r="X294" i="3" s="1"/>
  <c r="U294" i="3"/>
  <c r="R294" i="3"/>
  <c r="N294" i="3"/>
  <c r="L294" i="3"/>
  <c r="I294" i="3"/>
  <c r="H294" i="3"/>
  <c r="F294" i="3"/>
  <c r="C294" i="3"/>
  <c r="AC293" i="3"/>
  <c r="AD293" i="3" s="1"/>
  <c r="AA293" i="3"/>
  <c r="W293" i="3"/>
  <c r="U293" i="3"/>
  <c r="R293" i="3"/>
  <c r="O293" i="3"/>
  <c r="N293" i="3"/>
  <c r="L293" i="3"/>
  <c r="H293" i="3"/>
  <c r="F293" i="3"/>
  <c r="C293" i="3"/>
  <c r="AC292" i="3"/>
  <c r="AA292" i="3"/>
  <c r="W292" i="3"/>
  <c r="U292" i="3"/>
  <c r="R292" i="3"/>
  <c r="O292" i="3"/>
  <c r="N292" i="3"/>
  <c r="L292" i="3"/>
  <c r="H292" i="3"/>
  <c r="I292" i="3" s="1"/>
  <c r="F292" i="3"/>
  <c r="C292" i="3"/>
  <c r="AC291" i="3"/>
  <c r="AD291" i="3" s="1"/>
  <c r="AA291" i="3"/>
  <c r="W291" i="3"/>
  <c r="U291" i="3"/>
  <c r="R291" i="3"/>
  <c r="N291" i="3"/>
  <c r="O291" i="3" s="1"/>
  <c r="L291" i="3"/>
  <c r="H291" i="3"/>
  <c r="I291" i="3" s="1"/>
  <c r="F291" i="3"/>
  <c r="C291" i="3"/>
  <c r="AC290" i="3"/>
  <c r="AA290" i="3"/>
  <c r="W290" i="3"/>
  <c r="X290" i="3" s="1"/>
  <c r="U290" i="3"/>
  <c r="R290" i="3"/>
  <c r="N290" i="3"/>
  <c r="L290" i="3"/>
  <c r="I290" i="3"/>
  <c r="H290" i="3"/>
  <c r="F290" i="3"/>
  <c r="C290" i="3"/>
  <c r="AC289" i="3"/>
  <c r="AD289" i="3" s="1"/>
  <c r="AA289" i="3"/>
  <c r="W289" i="3"/>
  <c r="X289" i="3" s="1"/>
  <c r="U289" i="3"/>
  <c r="R289" i="3"/>
  <c r="O289" i="3"/>
  <c r="N289" i="3"/>
  <c r="L289" i="3"/>
  <c r="H289" i="3"/>
  <c r="F289" i="3"/>
  <c r="C289" i="3"/>
  <c r="AC288" i="3"/>
  <c r="AA288" i="3"/>
  <c r="W288" i="3"/>
  <c r="U288" i="3"/>
  <c r="R288" i="3"/>
  <c r="N288" i="3"/>
  <c r="O288" i="3" s="1"/>
  <c r="L288" i="3"/>
  <c r="H288" i="3"/>
  <c r="I288" i="3" s="1"/>
  <c r="F288" i="3"/>
  <c r="C288" i="3"/>
  <c r="AC287" i="3"/>
  <c r="AD287" i="3" s="1"/>
  <c r="AA287" i="3"/>
  <c r="X287" i="3"/>
  <c r="W287" i="3"/>
  <c r="U287" i="3"/>
  <c r="R287" i="3"/>
  <c r="N287" i="3"/>
  <c r="O287" i="3" s="1"/>
  <c r="L287" i="3"/>
  <c r="H287" i="3"/>
  <c r="I287" i="3" s="1"/>
  <c r="F287" i="3"/>
  <c r="C287" i="3"/>
  <c r="AA285" i="3"/>
  <c r="Z285" i="3"/>
  <c r="W285" i="3"/>
  <c r="T285" i="3"/>
  <c r="U285" i="3" s="1"/>
  <c r="R285" i="3"/>
  <c r="Q285" i="3"/>
  <c r="AC285" i="3" s="1"/>
  <c r="AD285" i="3" s="1"/>
  <c r="L285" i="3"/>
  <c r="K285" i="3"/>
  <c r="F285" i="3"/>
  <c r="E285" i="3"/>
  <c r="B285" i="3"/>
  <c r="AC284" i="3"/>
  <c r="AA284" i="3"/>
  <c r="W284" i="3"/>
  <c r="U284" i="3"/>
  <c r="R284" i="3"/>
  <c r="O284" i="3"/>
  <c r="N284" i="3"/>
  <c r="L284" i="3"/>
  <c r="H284" i="3"/>
  <c r="I284" i="3" s="1"/>
  <c r="F284" i="3"/>
  <c r="C284" i="3"/>
  <c r="AD283" i="3"/>
  <c r="AC283" i="3"/>
  <c r="AA283" i="3"/>
  <c r="W283" i="3"/>
  <c r="U283" i="3"/>
  <c r="R283" i="3"/>
  <c r="N283" i="3"/>
  <c r="O283" i="3" s="1"/>
  <c r="L283" i="3"/>
  <c r="H283" i="3"/>
  <c r="I283" i="3" s="1"/>
  <c r="F283" i="3"/>
  <c r="C283" i="3"/>
  <c r="AC282" i="3"/>
  <c r="AA282" i="3"/>
  <c r="W282" i="3"/>
  <c r="X282" i="3" s="1"/>
  <c r="U282" i="3"/>
  <c r="R282" i="3"/>
  <c r="N282" i="3"/>
  <c r="L282" i="3"/>
  <c r="I282" i="3"/>
  <c r="H282" i="3"/>
  <c r="F282" i="3"/>
  <c r="C282" i="3"/>
  <c r="AC281" i="3"/>
  <c r="AD281" i="3" s="1"/>
  <c r="AA281" i="3"/>
  <c r="W281" i="3"/>
  <c r="U281" i="3"/>
  <c r="R281" i="3"/>
  <c r="O281" i="3"/>
  <c r="N281" i="3"/>
  <c r="L281" i="3"/>
  <c r="H281" i="3"/>
  <c r="F281" i="3"/>
  <c r="C281" i="3"/>
  <c r="AC280" i="3"/>
  <c r="AA280" i="3"/>
  <c r="W280" i="3"/>
  <c r="U280" i="3"/>
  <c r="R280" i="3"/>
  <c r="O280" i="3"/>
  <c r="N280" i="3"/>
  <c r="L280" i="3"/>
  <c r="H280" i="3"/>
  <c r="I280" i="3" s="1"/>
  <c r="F280" i="3"/>
  <c r="C280" i="3"/>
  <c r="AC279" i="3"/>
  <c r="AD279" i="3" s="1"/>
  <c r="AA279" i="3"/>
  <c r="W279" i="3"/>
  <c r="U279" i="3"/>
  <c r="R279" i="3"/>
  <c r="N279" i="3"/>
  <c r="O279" i="3" s="1"/>
  <c r="L279" i="3"/>
  <c r="H279" i="3"/>
  <c r="I279" i="3" s="1"/>
  <c r="F279" i="3"/>
  <c r="C279" i="3"/>
  <c r="AC278" i="3"/>
  <c r="AA278" i="3"/>
  <c r="W278" i="3"/>
  <c r="X278" i="3" s="1"/>
  <c r="U278" i="3"/>
  <c r="R278" i="3"/>
  <c r="N278" i="3"/>
  <c r="L278" i="3"/>
  <c r="I278" i="3"/>
  <c r="H278" i="3"/>
  <c r="F278" i="3"/>
  <c r="C278" i="3"/>
  <c r="AC277" i="3"/>
  <c r="AD277" i="3" s="1"/>
  <c r="AA277" i="3"/>
  <c r="W277" i="3"/>
  <c r="X277" i="3" s="1"/>
  <c r="U277" i="3"/>
  <c r="R277" i="3"/>
  <c r="O277" i="3"/>
  <c r="N277" i="3"/>
  <c r="L277" i="3"/>
  <c r="H277" i="3"/>
  <c r="F277" i="3"/>
  <c r="C277" i="3"/>
  <c r="AC276" i="3"/>
  <c r="AA276" i="3"/>
  <c r="W276" i="3"/>
  <c r="U276" i="3"/>
  <c r="R276" i="3"/>
  <c r="N276" i="3"/>
  <c r="O276" i="3" s="1"/>
  <c r="L276" i="3"/>
  <c r="H276" i="3"/>
  <c r="I276" i="3" s="1"/>
  <c r="F276" i="3"/>
  <c r="C276" i="3"/>
  <c r="Z274" i="3"/>
  <c r="U274" i="3"/>
  <c r="T274" i="3"/>
  <c r="R274" i="3"/>
  <c r="Q274" i="3"/>
  <c r="W274" i="3" s="1"/>
  <c r="N274" i="3"/>
  <c r="O274" i="3" s="1"/>
  <c r="K274" i="3"/>
  <c r="L274" i="3" s="1"/>
  <c r="F274" i="3"/>
  <c r="E274" i="3"/>
  <c r="C274" i="3"/>
  <c r="B274" i="3"/>
  <c r="AC273" i="3"/>
  <c r="AA273" i="3"/>
  <c r="W273" i="3"/>
  <c r="X273" i="3" s="1"/>
  <c r="U273" i="3"/>
  <c r="R273" i="3"/>
  <c r="O273" i="3"/>
  <c r="N273" i="3"/>
  <c r="L273" i="3"/>
  <c r="H273" i="3"/>
  <c r="F273" i="3"/>
  <c r="C273" i="3"/>
  <c r="AC272" i="3"/>
  <c r="AD272" i="3" s="1"/>
  <c r="AA272" i="3"/>
  <c r="W272" i="3"/>
  <c r="U272" i="3"/>
  <c r="R272" i="3"/>
  <c r="N272" i="3"/>
  <c r="O272" i="3" s="1"/>
  <c r="L272" i="3"/>
  <c r="H272" i="3"/>
  <c r="I272" i="3" s="1"/>
  <c r="F272" i="3"/>
  <c r="C272" i="3"/>
  <c r="AC271" i="3"/>
  <c r="AA271" i="3"/>
  <c r="W271" i="3"/>
  <c r="U271" i="3"/>
  <c r="R271" i="3"/>
  <c r="N271" i="3"/>
  <c r="O271" i="3" s="1"/>
  <c r="L271" i="3"/>
  <c r="H271" i="3"/>
  <c r="I271" i="3" s="1"/>
  <c r="F271" i="3"/>
  <c r="C271" i="3"/>
  <c r="AC270" i="3"/>
  <c r="AA270" i="3"/>
  <c r="W270" i="3"/>
  <c r="U270" i="3"/>
  <c r="R270" i="3"/>
  <c r="N270" i="3"/>
  <c r="L270" i="3"/>
  <c r="I270" i="3"/>
  <c r="H270" i="3"/>
  <c r="F270" i="3"/>
  <c r="C270" i="3"/>
  <c r="AA268" i="3"/>
  <c r="Z268" i="3"/>
  <c r="W268" i="3"/>
  <c r="U268" i="3"/>
  <c r="T268" i="3"/>
  <c r="Q268" i="3"/>
  <c r="R268" i="3" s="1"/>
  <c r="L268" i="3"/>
  <c r="K268" i="3"/>
  <c r="H268" i="3"/>
  <c r="I268" i="3" s="1"/>
  <c r="E268" i="3"/>
  <c r="F268" i="3" s="1"/>
  <c r="C268" i="3"/>
  <c r="B268" i="3"/>
  <c r="N268" i="3" s="1"/>
  <c r="O268" i="3" s="1"/>
  <c r="AC267" i="3"/>
  <c r="AA267" i="3"/>
  <c r="X267" i="3"/>
  <c r="W267" i="3"/>
  <c r="U267" i="3"/>
  <c r="R267" i="3"/>
  <c r="N267" i="3"/>
  <c r="O267" i="3" s="1"/>
  <c r="L267" i="3"/>
  <c r="I267" i="3"/>
  <c r="H267" i="3"/>
  <c r="F267" i="3"/>
  <c r="C267" i="3"/>
  <c r="AC266" i="3"/>
  <c r="AA266" i="3"/>
  <c r="W266" i="3"/>
  <c r="U266" i="3"/>
  <c r="R266" i="3"/>
  <c r="N266" i="3"/>
  <c r="L266" i="3"/>
  <c r="H266" i="3"/>
  <c r="I266" i="3" s="1"/>
  <c r="F266" i="3"/>
  <c r="C266" i="3"/>
  <c r="AA264" i="3"/>
  <c r="Z264" i="3"/>
  <c r="X264" i="3"/>
  <c r="W264" i="3"/>
  <c r="T264" i="3"/>
  <c r="U264" i="3" s="1"/>
  <c r="Q264" i="3"/>
  <c r="R264" i="3" s="1"/>
  <c r="L264" i="3"/>
  <c r="K264" i="3"/>
  <c r="H264" i="3"/>
  <c r="I264" i="3" s="1"/>
  <c r="E264" i="3"/>
  <c r="F264" i="3" s="1"/>
  <c r="C264" i="3"/>
  <c r="B264" i="3"/>
  <c r="N264" i="3" s="1"/>
  <c r="O264" i="3" s="1"/>
  <c r="AA263" i="3"/>
  <c r="Z263" i="3"/>
  <c r="U263" i="3"/>
  <c r="T263" i="3"/>
  <c r="Q263" i="3"/>
  <c r="K263" i="3"/>
  <c r="L263" i="3" s="1"/>
  <c r="E263" i="3"/>
  <c r="F263" i="3" s="1"/>
  <c r="C263" i="3"/>
  <c r="B263" i="3"/>
  <c r="AC262" i="3"/>
  <c r="AD262" i="3" s="1"/>
  <c r="AA262" i="3"/>
  <c r="W262" i="3"/>
  <c r="U262" i="3"/>
  <c r="R262" i="3"/>
  <c r="O262" i="3"/>
  <c r="N262" i="3"/>
  <c r="L262" i="3"/>
  <c r="H262" i="3"/>
  <c r="F262" i="3"/>
  <c r="C262" i="3"/>
  <c r="AC261" i="3"/>
  <c r="AA261" i="3"/>
  <c r="W261" i="3"/>
  <c r="U261" i="3"/>
  <c r="R261" i="3"/>
  <c r="O261" i="3"/>
  <c r="N261" i="3"/>
  <c r="L261" i="3"/>
  <c r="H261" i="3"/>
  <c r="I261" i="3" s="1"/>
  <c r="F261" i="3"/>
  <c r="C261" i="3"/>
  <c r="AD260" i="3"/>
  <c r="AC260" i="3"/>
  <c r="AA260" i="3"/>
  <c r="W260" i="3"/>
  <c r="U260" i="3"/>
  <c r="R260" i="3"/>
  <c r="N260" i="3"/>
  <c r="O260" i="3" s="1"/>
  <c r="L260" i="3"/>
  <c r="I260" i="3"/>
  <c r="H260" i="3"/>
  <c r="F260" i="3"/>
  <c r="C260" i="3"/>
  <c r="AC259" i="3"/>
  <c r="AA259" i="3"/>
  <c r="X259" i="3"/>
  <c r="W259" i="3"/>
  <c r="U259" i="3"/>
  <c r="R259" i="3"/>
  <c r="N259" i="3"/>
  <c r="L259" i="3"/>
  <c r="H259" i="3"/>
  <c r="I259" i="3" s="1"/>
  <c r="F259" i="3"/>
  <c r="C259" i="3"/>
  <c r="AC258" i="3"/>
  <c r="AA258" i="3"/>
  <c r="W258" i="3"/>
  <c r="U258" i="3"/>
  <c r="R258" i="3"/>
  <c r="O258" i="3"/>
  <c r="N258" i="3"/>
  <c r="L258" i="3"/>
  <c r="H258" i="3"/>
  <c r="F258" i="3"/>
  <c r="C258" i="3"/>
  <c r="AC257" i="3"/>
  <c r="AA257" i="3"/>
  <c r="W257" i="3"/>
  <c r="U257" i="3"/>
  <c r="R257" i="3"/>
  <c r="O257" i="3"/>
  <c r="N257" i="3"/>
  <c r="L257" i="3"/>
  <c r="H257" i="3"/>
  <c r="I257" i="3" s="1"/>
  <c r="F257" i="3"/>
  <c r="C257" i="3"/>
  <c r="AC256" i="3"/>
  <c r="AD256" i="3" s="1"/>
  <c r="AA256" i="3"/>
  <c r="W256" i="3"/>
  <c r="U256" i="3"/>
  <c r="R256" i="3"/>
  <c r="N256" i="3"/>
  <c r="O256" i="3" s="1"/>
  <c r="L256" i="3"/>
  <c r="I256" i="3"/>
  <c r="H256" i="3"/>
  <c r="F256" i="3"/>
  <c r="C256" i="3"/>
  <c r="AC255" i="3"/>
  <c r="AA255" i="3"/>
  <c r="W255" i="3"/>
  <c r="X255" i="3" s="1"/>
  <c r="U255" i="3"/>
  <c r="R255" i="3"/>
  <c r="N255" i="3"/>
  <c r="L255" i="3"/>
  <c r="H255" i="3"/>
  <c r="I255" i="3" s="1"/>
  <c r="F255" i="3"/>
  <c r="C255" i="3"/>
  <c r="AC254" i="3"/>
  <c r="AD254" i="3" s="1"/>
  <c r="AA254" i="3"/>
  <c r="W254" i="3"/>
  <c r="U254" i="3"/>
  <c r="R254" i="3"/>
  <c r="O254" i="3"/>
  <c r="N254" i="3"/>
  <c r="L254" i="3"/>
  <c r="H254" i="3"/>
  <c r="F254" i="3"/>
  <c r="C254" i="3"/>
  <c r="AC253" i="3"/>
  <c r="AA253" i="3"/>
  <c r="W253" i="3"/>
  <c r="U253" i="3"/>
  <c r="R253" i="3"/>
  <c r="O253" i="3"/>
  <c r="N253" i="3"/>
  <c r="L253" i="3"/>
  <c r="H253" i="3"/>
  <c r="I253" i="3" s="1"/>
  <c r="F253" i="3"/>
  <c r="C253" i="3"/>
  <c r="AC252" i="3"/>
  <c r="AD252" i="3" s="1"/>
  <c r="AA252" i="3"/>
  <c r="W252" i="3"/>
  <c r="U252" i="3"/>
  <c r="R252" i="3"/>
  <c r="N252" i="3"/>
  <c r="O252" i="3" s="1"/>
  <c r="L252" i="3"/>
  <c r="I252" i="3"/>
  <c r="H252" i="3"/>
  <c r="F252" i="3"/>
  <c r="C252" i="3"/>
  <c r="AC251" i="3"/>
  <c r="AA251" i="3"/>
  <c r="W251" i="3"/>
  <c r="U251" i="3"/>
  <c r="R251" i="3"/>
  <c r="N251" i="3"/>
  <c r="L251" i="3"/>
  <c r="H251" i="3"/>
  <c r="I251" i="3" s="1"/>
  <c r="F251" i="3"/>
  <c r="C251" i="3"/>
  <c r="AC250" i="3"/>
  <c r="AD250" i="3" s="1"/>
  <c r="AA250" i="3"/>
  <c r="W250" i="3"/>
  <c r="U250" i="3"/>
  <c r="R250" i="3"/>
  <c r="O250" i="3"/>
  <c r="N250" i="3"/>
  <c r="L250" i="3"/>
  <c r="H250" i="3"/>
  <c r="F250" i="3"/>
  <c r="C250" i="3"/>
  <c r="AC249" i="3"/>
  <c r="AA249" i="3"/>
  <c r="W249" i="3"/>
  <c r="U249" i="3"/>
  <c r="R249" i="3"/>
  <c r="O249" i="3"/>
  <c r="N249" i="3"/>
  <c r="L249" i="3"/>
  <c r="H249" i="3"/>
  <c r="I249" i="3" s="1"/>
  <c r="F249" i="3"/>
  <c r="C249" i="3"/>
  <c r="AC248" i="3"/>
  <c r="AD248" i="3" s="1"/>
  <c r="AA248" i="3"/>
  <c r="W248" i="3"/>
  <c r="U248" i="3"/>
  <c r="R248" i="3"/>
  <c r="N248" i="3"/>
  <c r="O248" i="3" s="1"/>
  <c r="L248" i="3"/>
  <c r="I248" i="3"/>
  <c r="H248" i="3"/>
  <c r="F248" i="3"/>
  <c r="C248" i="3"/>
  <c r="AC247" i="3"/>
  <c r="AA247" i="3"/>
  <c r="W247" i="3"/>
  <c r="X247" i="3" s="1"/>
  <c r="U247" i="3"/>
  <c r="R247" i="3"/>
  <c r="N247" i="3"/>
  <c r="L247" i="3"/>
  <c r="H247" i="3"/>
  <c r="I247" i="3" s="1"/>
  <c r="F247" i="3"/>
  <c r="C247" i="3"/>
  <c r="AC246" i="3"/>
  <c r="AD246" i="3" s="1"/>
  <c r="AA246" i="3"/>
  <c r="W246" i="3"/>
  <c r="U246" i="3"/>
  <c r="R246" i="3"/>
  <c r="O246" i="3"/>
  <c r="N246" i="3"/>
  <c r="L246" i="3"/>
  <c r="H246" i="3"/>
  <c r="F246" i="3"/>
  <c r="C246" i="3"/>
  <c r="AC245" i="3"/>
  <c r="AA245" i="3"/>
  <c r="W245" i="3"/>
  <c r="U245" i="3"/>
  <c r="R245" i="3"/>
  <c r="O245" i="3"/>
  <c r="N245" i="3"/>
  <c r="L245" i="3"/>
  <c r="H245" i="3"/>
  <c r="I245" i="3" s="1"/>
  <c r="F245" i="3"/>
  <c r="C245" i="3"/>
  <c r="AC244" i="3"/>
  <c r="AD244" i="3" s="1"/>
  <c r="AA244" i="3"/>
  <c r="W244" i="3"/>
  <c r="U244" i="3"/>
  <c r="R244" i="3"/>
  <c r="N244" i="3"/>
  <c r="O244" i="3" s="1"/>
  <c r="L244" i="3"/>
  <c r="I244" i="3"/>
  <c r="H244" i="3"/>
  <c r="F244" i="3"/>
  <c r="C244" i="3"/>
  <c r="AC243" i="3"/>
  <c r="AA243" i="3"/>
  <c r="W243" i="3"/>
  <c r="X243" i="3" s="1"/>
  <c r="U243" i="3"/>
  <c r="R243" i="3"/>
  <c r="N243" i="3"/>
  <c r="L243" i="3"/>
  <c r="H243" i="3"/>
  <c r="I243" i="3" s="1"/>
  <c r="F243" i="3"/>
  <c r="C243" i="3"/>
  <c r="AC242" i="3"/>
  <c r="AD242" i="3" s="1"/>
  <c r="AA242" i="3"/>
  <c r="W242" i="3"/>
  <c r="U242" i="3"/>
  <c r="R242" i="3"/>
  <c r="O242" i="3"/>
  <c r="N242" i="3"/>
  <c r="L242" i="3"/>
  <c r="H242" i="3"/>
  <c r="F242" i="3"/>
  <c r="C242" i="3"/>
  <c r="AC241" i="3"/>
  <c r="AA241" i="3"/>
  <c r="W241" i="3"/>
  <c r="U241" i="3"/>
  <c r="R241" i="3"/>
  <c r="O241" i="3"/>
  <c r="N241" i="3"/>
  <c r="L241" i="3"/>
  <c r="H241" i="3"/>
  <c r="I241" i="3" s="1"/>
  <c r="F241" i="3"/>
  <c r="C241" i="3"/>
  <c r="AC240" i="3"/>
  <c r="AD240" i="3" s="1"/>
  <c r="AA240" i="3"/>
  <c r="W240" i="3"/>
  <c r="U240" i="3"/>
  <c r="R240" i="3"/>
  <c r="N240" i="3"/>
  <c r="O240" i="3" s="1"/>
  <c r="L240" i="3"/>
  <c r="I240" i="3"/>
  <c r="H240" i="3"/>
  <c r="F240" i="3"/>
  <c r="C240" i="3"/>
  <c r="AC238" i="3"/>
  <c r="AA238" i="3"/>
  <c r="W238" i="3"/>
  <c r="X238" i="3" s="1"/>
  <c r="U238" i="3"/>
  <c r="R238" i="3"/>
  <c r="N238" i="3"/>
  <c r="L238" i="3"/>
  <c r="H238" i="3"/>
  <c r="I238" i="3" s="1"/>
  <c r="F238" i="3"/>
  <c r="C238" i="3"/>
  <c r="AA236" i="3"/>
  <c r="Z236" i="3"/>
  <c r="T236" i="3"/>
  <c r="Q236" i="3"/>
  <c r="R236" i="3" s="1"/>
  <c r="K236" i="3"/>
  <c r="L236" i="3" s="1"/>
  <c r="I236" i="3"/>
  <c r="H236" i="3"/>
  <c r="E236" i="3"/>
  <c r="F236" i="3" s="1"/>
  <c r="C236" i="3"/>
  <c r="B236" i="3"/>
  <c r="AC235" i="3"/>
  <c r="AD235" i="3" s="1"/>
  <c r="AA235" i="3"/>
  <c r="W235" i="3"/>
  <c r="U235" i="3"/>
  <c r="R235" i="3"/>
  <c r="N235" i="3"/>
  <c r="O235" i="3" s="1"/>
  <c r="L235" i="3"/>
  <c r="H235" i="3"/>
  <c r="I235" i="3" s="1"/>
  <c r="F235" i="3"/>
  <c r="C235" i="3"/>
  <c r="AC234" i="3"/>
  <c r="AA234" i="3"/>
  <c r="W234" i="3"/>
  <c r="X234" i="3" s="1"/>
  <c r="U234" i="3"/>
  <c r="R234" i="3"/>
  <c r="N234" i="3"/>
  <c r="L234" i="3"/>
  <c r="I234" i="3"/>
  <c r="H234" i="3"/>
  <c r="F234" i="3"/>
  <c r="C234" i="3"/>
  <c r="AC233" i="3"/>
  <c r="AD233" i="3" s="1"/>
  <c r="AA233" i="3"/>
  <c r="W233" i="3"/>
  <c r="U233" i="3"/>
  <c r="R233" i="3"/>
  <c r="O233" i="3"/>
  <c r="N233" i="3"/>
  <c r="L233" i="3"/>
  <c r="H233" i="3"/>
  <c r="F233" i="3"/>
  <c r="C233" i="3"/>
  <c r="AC232" i="3"/>
  <c r="AA232" i="3"/>
  <c r="W232" i="3"/>
  <c r="U232" i="3"/>
  <c r="R232" i="3"/>
  <c r="O232" i="3"/>
  <c r="N232" i="3"/>
  <c r="L232" i="3"/>
  <c r="H232" i="3"/>
  <c r="I232" i="3" s="1"/>
  <c r="F232" i="3"/>
  <c r="C232" i="3"/>
  <c r="AC231" i="3"/>
  <c r="AD231" i="3" s="1"/>
  <c r="AA231" i="3"/>
  <c r="W231" i="3"/>
  <c r="U231" i="3"/>
  <c r="R231" i="3"/>
  <c r="N231" i="3"/>
  <c r="O231" i="3" s="1"/>
  <c r="L231" i="3"/>
  <c r="H231" i="3"/>
  <c r="I231" i="3" s="1"/>
  <c r="F231" i="3"/>
  <c r="C231" i="3"/>
  <c r="AC230" i="3"/>
  <c r="AA230" i="3"/>
  <c r="W230" i="3"/>
  <c r="X230" i="3" s="1"/>
  <c r="U230" i="3"/>
  <c r="R230" i="3"/>
  <c r="N230" i="3"/>
  <c r="L230" i="3"/>
  <c r="I230" i="3"/>
  <c r="H230" i="3"/>
  <c r="F230" i="3"/>
  <c r="C230" i="3"/>
  <c r="AC229" i="3"/>
  <c r="AD229" i="3" s="1"/>
  <c r="AA229" i="3"/>
  <c r="W229" i="3"/>
  <c r="U229" i="3"/>
  <c r="R229" i="3"/>
  <c r="O229" i="3"/>
  <c r="N229" i="3"/>
  <c r="L229" i="3"/>
  <c r="H229" i="3"/>
  <c r="F229" i="3"/>
  <c r="C229" i="3"/>
  <c r="Z227" i="3"/>
  <c r="AA227" i="3" s="1"/>
  <c r="U227" i="3"/>
  <c r="T227" i="3"/>
  <c r="Q227" i="3"/>
  <c r="L227" i="3"/>
  <c r="K227" i="3"/>
  <c r="E227" i="3"/>
  <c r="H227" i="3" s="1"/>
  <c r="I227" i="3" s="1"/>
  <c r="B227" i="3"/>
  <c r="C227" i="3" s="1"/>
  <c r="AC226" i="3"/>
  <c r="AA226" i="3"/>
  <c r="W226" i="3"/>
  <c r="U226" i="3"/>
  <c r="R226" i="3"/>
  <c r="N226" i="3"/>
  <c r="L226" i="3"/>
  <c r="I226" i="3"/>
  <c r="H226" i="3"/>
  <c r="F226" i="3"/>
  <c r="C226" i="3"/>
  <c r="AC225" i="3"/>
  <c r="AA225" i="3"/>
  <c r="W225" i="3"/>
  <c r="X225" i="3" s="1"/>
  <c r="U225" i="3"/>
  <c r="R225" i="3"/>
  <c r="O225" i="3"/>
  <c r="N225" i="3"/>
  <c r="L225" i="3"/>
  <c r="H225" i="3"/>
  <c r="F225" i="3"/>
  <c r="C225" i="3"/>
  <c r="AC224" i="3"/>
  <c r="AD224" i="3" s="1"/>
  <c r="AA224" i="3"/>
  <c r="W224" i="3"/>
  <c r="U224" i="3"/>
  <c r="R224" i="3"/>
  <c r="N224" i="3"/>
  <c r="O224" i="3" s="1"/>
  <c r="L224" i="3"/>
  <c r="H224" i="3"/>
  <c r="I224" i="3" s="1"/>
  <c r="F224" i="3"/>
  <c r="C224" i="3"/>
  <c r="AC223" i="3"/>
  <c r="AA223" i="3"/>
  <c r="W223" i="3"/>
  <c r="U223" i="3"/>
  <c r="R223" i="3"/>
  <c r="N223" i="3"/>
  <c r="O223" i="3" s="1"/>
  <c r="L223" i="3"/>
  <c r="H223" i="3"/>
  <c r="I223" i="3" s="1"/>
  <c r="F223" i="3"/>
  <c r="C223" i="3"/>
  <c r="AC222" i="3"/>
  <c r="AA222" i="3"/>
  <c r="W222" i="3"/>
  <c r="U222" i="3"/>
  <c r="R222" i="3"/>
  <c r="N222" i="3"/>
  <c r="L222" i="3"/>
  <c r="I222" i="3"/>
  <c r="H222" i="3"/>
  <c r="F222" i="3"/>
  <c r="C222" i="3"/>
  <c r="AC221" i="3"/>
  <c r="AA221" i="3"/>
  <c r="W221" i="3"/>
  <c r="U221" i="3"/>
  <c r="R221" i="3"/>
  <c r="O221" i="3"/>
  <c r="N221" i="3"/>
  <c r="L221" i="3"/>
  <c r="H221" i="3"/>
  <c r="F221" i="3"/>
  <c r="C221" i="3"/>
  <c r="AC220" i="3"/>
  <c r="AD220" i="3" s="1"/>
  <c r="AA220" i="3"/>
  <c r="W220" i="3"/>
  <c r="U220" i="3"/>
  <c r="R220" i="3"/>
  <c r="N220" i="3"/>
  <c r="O220" i="3" s="1"/>
  <c r="L220" i="3"/>
  <c r="H220" i="3"/>
  <c r="I220" i="3" s="1"/>
  <c r="F220" i="3"/>
  <c r="C220" i="3"/>
  <c r="AC219" i="3"/>
  <c r="AA219" i="3"/>
  <c r="W219" i="3"/>
  <c r="U219" i="3"/>
  <c r="R219" i="3"/>
  <c r="N219" i="3"/>
  <c r="O219" i="3" s="1"/>
  <c r="L219" i="3"/>
  <c r="H219" i="3"/>
  <c r="I219" i="3" s="1"/>
  <c r="F219" i="3"/>
  <c r="C219" i="3"/>
  <c r="AA218" i="3"/>
  <c r="Z218" i="3"/>
  <c r="W218" i="3"/>
  <c r="T218" i="3"/>
  <c r="U218" i="3" s="1"/>
  <c r="R218" i="3"/>
  <c r="Q218" i="3"/>
  <c r="AC218" i="3" s="1"/>
  <c r="AD218" i="3" s="1"/>
  <c r="L218" i="3"/>
  <c r="K218" i="3"/>
  <c r="F218" i="3"/>
  <c r="E218" i="3"/>
  <c r="B218" i="3"/>
  <c r="AD217" i="3"/>
  <c r="AC217" i="3"/>
  <c r="AA217" i="3"/>
  <c r="W217" i="3"/>
  <c r="U217" i="3"/>
  <c r="R217" i="3"/>
  <c r="N217" i="3"/>
  <c r="O217" i="3" s="1"/>
  <c r="L217" i="3"/>
  <c r="H217" i="3"/>
  <c r="I217" i="3" s="1"/>
  <c r="F217" i="3"/>
  <c r="C217" i="3"/>
  <c r="AC216" i="3"/>
  <c r="AD216" i="3" s="1"/>
  <c r="AA216" i="3"/>
  <c r="X216" i="3"/>
  <c r="W216" i="3"/>
  <c r="U216" i="3"/>
  <c r="R216" i="3"/>
  <c r="N216" i="3"/>
  <c r="O216" i="3" s="1"/>
  <c r="L216" i="3"/>
  <c r="H216" i="3"/>
  <c r="I216" i="3" s="1"/>
  <c r="F216" i="3"/>
  <c r="C216" i="3"/>
  <c r="AC215" i="3"/>
  <c r="AA215" i="3"/>
  <c r="W215" i="3"/>
  <c r="U215" i="3"/>
  <c r="R215" i="3"/>
  <c r="N215" i="3"/>
  <c r="L215" i="3"/>
  <c r="I215" i="3"/>
  <c r="H215" i="3"/>
  <c r="F215" i="3"/>
  <c r="C215" i="3"/>
  <c r="AC214" i="3"/>
  <c r="AA214" i="3"/>
  <c r="W214" i="3"/>
  <c r="U214" i="3"/>
  <c r="R214" i="3"/>
  <c r="O214" i="3"/>
  <c r="N214" i="3"/>
  <c r="L214" i="3"/>
  <c r="H214" i="3"/>
  <c r="F214" i="3"/>
  <c r="C214" i="3"/>
  <c r="AC213" i="3"/>
  <c r="AD213" i="3" s="1"/>
  <c r="AA213" i="3"/>
  <c r="W213" i="3"/>
  <c r="U213" i="3"/>
  <c r="R213" i="3"/>
  <c r="N213" i="3"/>
  <c r="O213" i="3" s="1"/>
  <c r="L213" i="3"/>
  <c r="H213" i="3"/>
  <c r="I213" i="3" s="1"/>
  <c r="F213" i="3"/>
  <c r="C213" i="3"/>
  <c r="AC211" i="3"/>
  <c r="AA211" i="3"/>
  <c r="W211" i="3"/>
  <c r="U211" i="3"/>
  <c r="R211" i="3"/>
  <c r="N211" i="3"/>
  <c r="O211" i="3" s="1"/>
  <c r="L211" i="3"/>
  <c r="H211" i="3"/>
  <c r="I211" i="3" s="1"/>
  <c r="F211" i="3"/>
  <c r="C211" i="3"/>
  <c r="AA209" i="3"/>
  <c r="Z209" i="3"/>
  <c r="W209" i="3"/>
  <c r="T209" i="3"/>
  <c r="U209" i="3" s="1"/>
  <c r="R209" i="3"/>
  <c r="Q209" i="3"/>
  <c r="AC209" i="3" s="1"/>
  <c r="O209" i="3"/>
  <c r="N209" i="3"/>
  <c r="L209" i="3"/>
  <c r="K209" i="3"/>
  <c r="F209" i="3"/>
  <c r="E209" i="3"/>
  <c r="C209" i="3"/>
  <c r="B209" i="3"/>
  <c r="H209" i="3" s="1"/>
  <c r="I209" i="3" s="1"/>
  <c r="AD208" i="3"/>
  <c r="AC208" i="3"/>
  <c r="AA208" i="3"/>
  <c r="W208" i="3"/>
  <c r="U208" i="3"/>
  <c r="R208" i="3"/>
  <c r="O208" i="3"/>
  <c r="N208" i="3"/>
  <c r="L208" i="3"/>
  <c r="H208" i="3"/>
  <c r="I208" i="3" s="1"/>
  <c r="F208" i="3"/>
  <c r="C208" i="3"/>
  <c r="AC207" i="3"/>
  <c r="AD207" i="3" s="1"/>
  <c r="AA207" i="3"/>
  <c r="X207" i="3"/>
  <c r="W207" i="3"/>
  <c r="U207" i="3"/>
  <c r="R207" i="3"/>
  <c r="N207" i="3"/>
  <c r="O207" i="3" s="1"/>
  <c r="L207" i="3"/>
  <c r="H207" i="3"/>
  <c r="I207" i="3" s="1"/>
  <c r="F207" i="3"/>
  <c r="C207" i="3"/>
  <c r="AC206" i="3"/>
  <c r="AA206" i="3"/>
  <c r="W206" i="3"/>
  <c r="U206" i="3"/>
  <c r="R206" i="3"/>
  <c r="N206" i="3"/>
  <c r="L206" i="3"/>
  <c r="I206" i="3"/>
  <c r="H206" i="3"/>
  <c r="F206" i="3"/>
  <c r="C206" i="3"/>
  <c r="AC205" i="3"/>
  <c r="AA205" i="3"/>
  <c r="W205" i="3"/>
  <c r="X205" i="3" s="1"/>
  <c r="U205" i="3"/>
  <c r="R205" i="3"/>
  <c r="O205" i="3"/>
  <c r="N205" i="3"/>
  <c r="L205" i="3"/>
  <c r="H205" i="3"/>
  <c r="F205" i="3"/>
  <c r="C205" i="3"/>
  <c r="AC204" i="3"/>
  <c r="AD204" i="3" s="1"/>
  <c r="AA204" i="3"/>
  <c r="W204" i="3"/>
  <c r="U204" i="3"/>
  <c r="R204" i="3"/>
  <c r="N204" i="3"/>
  <c r="O204" i="3" s="1"/>
  <c r="L204" i="3"/>
  <c r="H204" i="3"/>
  <c r="I204" i="3" s="1"/>
  <c r="F204" i="3"/>
  <c r="C204" i="3"/>
  <c r="AC203" i="3"/>
  <c r="AD203" i="3" s="1"/>
  <c r="AA203" i="3"/>
  <c r="X203" i="3"/>
  <c r="W203" i="3"/>
  <c r="U203" i="3"/>
  <c r="R203" i="3"/>
  <c r="N203" i="3"/>
  <c r="O203" i="3" s="1"/>
  <c r="L203" i="3"/>
  <c r="H203" i="3"/>
  <c r="I203" i="3" s="1"/>
  <c r="F203" i="3"/>
  <c r="C203" i="3"/>
  <c r="AC202" i="3"/>
  <c r="AA202" i="3"/>
  <c r="W202" i="3"/>
  <c r="U202" i="3"/>
  <c r="R202" i="3"/>
  <c r="N202" i="3"/>
  <c r="L202" i="3"/>
  <c r="I202" i="3"/>
  <c r="H202" i="3"/>
  <c r="F202" i="3"/>
  <c r="C202" i="3"/>
  <c r="AC201" i="3"/>
  <c r="AA201" i="3"/>
  <c r="W201" i="3"/>
  <c r="U201" i="3"/>
  <c r="R201" i="3"/>
  <c r="O201" i="3"/>
  <c r="N201" i="3"/>
  <c r="L201" i="3"/>
  <c r="H201" i="3"/>
  <c r="F201" i="3"/>
  <c r="C201" i="3"/>
  <c r="AA197" i="3"/>
  <c r="Z197" i="3"/>
  <c r="W197" i="3"/>
  <c r="T197" i="3"/>
  <c r="U197" i="3" s="1"/>
  <c r="R197" i="3"/>
  <c r="Q197" i="3"/>
  <c r="AC197" i="3" s="1"/>
  <c r="AD197" i="3" s="1"/>
  <c r="L197" i="3"/>
  <c r="K197" i="3"/>
  <c r="F197" i="3"/>
  <c r="E197" i="3"/>
  <c r="B197" i="3"/>
  <c r="Z196" i="3"/>
  <c r="AA196" i="3" s="1"/>
  <c r="T196" i="3"/>
  <c r="U196" i="3" s="1"/>
  <c r="R196" i="3"/>
  <c r="Q196" i="3"/>
  <c r="L196" i="3"/>
  <c r="K196" i="3"/>
  <c r="I196" i="3"/>
  <c r="H196" i="3"/>
  <c r="E196" i="3"/>
  <c r="F196" i="3" s="1"/>
  <c r="B196" i="3"/>
  <c r="C196" i="3" s="1"/>
  <c r="AC195" i="3"/>
  <c r="AA195" i="3"/>
  <c r="W195" i="3"/>
  <c r="U195" i="3"/>
  <c r="R195" i="3"/>
  <c r="N195" i="3"/>
  <c r="L195" i="3"/>
  <c r="I195" i="3"/>
  <c r="H195" i="3"/>
  <c r="F195" i="3"/>
  <c r="C195" i="3"/>
  <c r="AC194" i="3"/>
  <c r="AA194" i="3"/>
  <c r="W194" i="3"/>
  <c r="U194" i="3"/>
  <c r="R194" i="3"/>
  <c r="O194" i="3"/>
  <c r="N194" i="3"/>
  <c r="L194" i="3"/>
  <c r="H194" i="3"/>
  <c r="F194" i="3"/>
  <c r="C194" i="3"/>
  <c r="AC193" i="3"/>
  <c r="AD193" i="3" s="1"/>
  <c r="Z193" i="3"/>
  <c r="AA193" i="3" s="1"/>
  <c r="U193" i="3"/>
  <c r="T193" i="3"/>
  <c r="R193" i="3"/>
  <c r="Q193" i="3"/>
  <c r="L193" i="3"/>
  <c r="K193" i="3"/>
  <c r="I193" i="3"/>
  <c r="H193" i="3"/>
  <c r="F193" i="3"/>
  <c r="E193" i="3"/>
  <c r="B193" i="3"/>
  <c r="C193" i="3" s="1"/>
  <c r="AC192" i="3"/>
  <c r="AA192" i="3"/>
  <c r="W192" i="3"/>
  <c r="X192" i="3" s="1"/>
  <c r="U192" i="3"/>
  <c r="R192" i="3"/>
  <c r="N192" i="3"/>
  <c r="L192" i="3"/>
  <c r="H192" i="3"/>
  <c r="I192" i="3" s="1"/>
  <c r="F192" i="3"/>
  <c r="C192" i="3"/>
  <c r="AC191" i="3"/>
  <c r="AD191" i="3" s="1"/>
  <c r="AA191" i="3"/>
  <c r="W191" i="3"/>
  <c r="U191" i="3"/>
  <c r="R191" i="3"/>
  <c r="O191" i="3"/>
  <c r="N191" i="3"/>
  <c r="L191" i="3"/>
  <c r="H191" i="3"/>
  <c r="F191" i="3"/>
  <c r="C191" i="3"/>
  <c r="AC190" i="3"/>
  <c r="AA190" i="3"/>
  <c r="W190" i="3"/>
  <c r="U190" i="3"/>
  <c r="R190" i="3"/>
  <c r="O190" i="3"/>
  <c r="N190" i="3"/>
  <c r="L190" i="3"/>
  <c r="H190" i="3"/>
  <c r="I190" i="3" s="1"/>
  <c r="F190" i="3"/>
  <c r="C190" i="3"/>
  <c r="AD189" i="3"/>
  <c r="AC189" i="3"/>
  <c r="AA189" i="3"/>
  <c r="W189" i="3"/>
  <c r="U189" i="3"/>
  <c r="R189" i="3"/>
  <c r="N189" i="3"/>
  <c r="O189" i="3" s="1"/>
  <c r="L189" i="3"/>
  <c r="I189" i="3"/>
  <c r="H189" i="3"/>
  <c r="F189" i="3"/>
  <c r="C189" i="3"/>
  <c r="AC188" i="3"/>
  <c r="AA188" i="3"/>
  <c r="W188" i="3"/>
  <c r="X188" i="3" s="1"/>
  <c r="U188" i="3"/>
  <c r="R188" i="3"/>
  <c r="N188" i="3"/>
  <c r="L188" i="3"/>
  <c r="H188" i="3"/>
  <c r="I188" i="3" s="1"/>
  <c r="F188" i="3"/>
  <c r="C188" i="3"/>
  <c r="AC187" i="3"/>
  <c r="AD187" i="3" s="1"/>
  <c r="AA187" i="3"/>
  <c r="W187" i="3"/>
  <c r="U187" i="3"/>
  <c r="R187" i="3"/>
  <c r="O187" i="3"/>
  <c r="N187" i="3"/>
  <c r="L187" i="3"/>
  <c r="H187" i="3"/>
  <c r="F187" i="3"/>
  <c r="C187" i="3"/>
  <c r="AC186" i="3"/>
  <c r="AA186" i="3"/>
  <c r="W186" i="3"/>
  <c r="U186" i="3"/>
  <c r="R186" i="3"/>
  <c r="O186" i="3"/>
  <c r="N186" i="3"/>
  <c r="L186" i="3"/>
  <c r="H186" i="3"/>
  <c r="I186" i="3" s="1"/>
  <c r="F186" i="3"/>
  <c r="C186" i="3"/>
  <c r="AC184" i="3"/>
  <c r="AD184" i="3" s="1"/>
  <c r="AA184" i="3"/>
  <c r="W184" i="3"/>
  <c r="U184" i="3"/>
  <c r="R184" i="3"/>
  <c r="N184" i="3"/>
  <c r="O184" i="3" s="1"/>
  <c r="L184" i="3"/>
  <c r="H184" i="3"/>
  <c r="I184" i="3" s="1"/>
  <c r="F184" i="3"/>
  <c r="C184" i="3"/>
  <c r="AC183" i="3"/>
  <c r="AA183" i="3"/>
  <c r="W183" i="3"/>
  <c r="X183" i="3" s="1"/>
  <c r="U183" i="3"/>
  <c r="R183" i="3"/>
  <c r="N183" i="3"/>
  <c r="L183" i="3"/>
  <c r="H183" i="3"/>
  <c r="I183" i="3" s="1"/>
  <c r="F183" i="3"/>
  <c r="C183" i="3"/>
  <c r="AA182" i="3"/>
  <c r="Z182" i="3"/>
  <c r="W182" i="3"/>
  <c r="T182" i="3"/>
  <c r="U182" i="3" s="1"/>
  <c r="Q182" i="3"/>
  <c r="R182" i="3" s="1"/>
  <c r="K182" i="3"/>
  <c r="L182" i="3" s="1"/>
  <c r="I182" i="3"/>
  <c r="H182" i="3"/>
  <c r="E182" i="3"/>
  <c r="F182" i="3" s="1"/>
  <c r="C182" i="3"/>
  <c r="B182" i="3"/>
  <c r="AD181" i="3"/>
  <c r="AC181" i="3"/>
  <c r="AA181" i="3"/>
  <c r="W181" i="3"/>
  <c r="U181" i="3"/>
  <c r="R181" i="3"/>
  <c r="N181" i="3"/>
  <c r="O181" i="3" s="1"/>
  <c r="L181" i="3"/>
  <c r="H181" i="3"/>
  <c r="I181" i="3" s="1"/>
  <c r="F181" i="3"/>
  <c r="C181" i="3"/>
  <c r="AC180" i="3"/>
  <c r="AA180" i="3"/>
  <c r="W180" i="3"/>
  <c r="X180" i="3" s="1"/>
  <c r="U180" i="3"/>
  <c r="R180" i="3"/>
  <c r="N180" i="3"/>
  <c r="L180" i="3"/>
  <c r="I180" i="3"/>
  <c r="H180" i="3"/>
  <c r="F180" i="3"/>
  <c r="C180" i="3"/>
  <c r="AC179" i="3"/>
  <c r="AD179" i="3" s="1"/>
  <c r="AA179" i="3"/>
  <c r="W179" i="3"/>
  <c r="U179" i="3"/>
  <c r="R179" i="3"/>
  <c r="O179" i="3"/>
  <c r="N179" i="3"/>
  <c r="L179" i="3"/>
  <c r="H179" i="3"/>
  <c r="F179" i="3"/>
  <c r="C179" i="3"/>
  <c r="AC178" i="3"/>
  <c r="AA178" i="3"/>
  <c r="W178" i="3"/>
  <c r="U178" i="3"/>
  <c r="R178" i="3"/>
  <c r="O178" i="3"/>
  <c r="N178" i="3"/>
  <c r="L178" i="3"/>
  <c r="H178" i="3"/>
  <c r="I178" i="3" s="1"/>
  <c r="F178" i="3"/>
  <c r="C178" i="3"/>
  <c r="AC177" i="3"/>
  <c r="AD177" i="3" s="1"/>
  <c r="AA177" i="3"/>
  <c r="W177" i="3"/>
  <c r="U177" i="3"/>
  <c r="R177" i="3"/>
  <c r="N177" i="3"/>
  <c r="O177" i="3" s="1"/>
  <c r="L177" i="3"/>
  <c r="I177" i="3"/>
  <c r="H177" i="3"/>
  <c r="F177" i="3"/>
  <c r="C177" i="3"/>
  <c r="AC175" i="3"/>
  <c r="AA175" i="3"/>
  <c r="W175" i="3"/>
  <c r="X175" i="3" s="1"/>
  <c r="U175" i="3"/>
  <c r="R175" i="3"/>
  <c r="N175" i="3"/>
  <c r="L175" i="3"/>
  <c r="I175" i="3"/>
  <c r="H175" i="3"/>
  <c r="F175" i="3"/>
  <c r="C175" i="3"/>
  <c r="U172" i="3"/>
  <c r="L172" i="3"/>
  <c r="K172" i="3"/>
  <c r="K198" i="3" s="1"/>
  <c r="L198" i="3" s="1"/>
  <c r="AC171" i="3"/>
  <c r="AD171" i="3" s="1"/>
  <c r="AA171" i="3"/>
  <c r="Z171" i="3"/>
  <c r="U171" i="3"/>
  <c r="T171" i="3"/>
  <c r="Q171" i="3"/>
  <c r="N171" i="3"/>
  <c r="O171" i="3" s="1"/>
  <c r="K171" i="3"/>
  <c r="L171" i="3" s="1"/>
  <c r="F171" i="3"/>
  <c r="E171" i="3"/>
  <c r="B171" i="3"/>
  <c r="AA170" i="3"/>
  <c r="Z170" i="3"/>
  <c r="W170" i="3"/>
  <c r="X170" i="3" s="1"/>
  <c r="U170" i="3"/>
  <c r="T170" i="3"/>
  <c r="Q170" i="3"/>
  <c r="R170" i="3" s="1"/>
  <c r="K170" i="3"/>
  <c r="L170" i="3" s="1"/>
  <c r="H170" i="3"/>
  <c r="I170" i="3" s="1"/>
  <c r="E170" i="3"/>
  <c r="F170" i="3" s="1"/>
  <c r="C170" i="3"/>
  <c r="B170" i="3"/>
  <c r="AC169" i="3"/>
  <c r="AD169" i="3" s="1"/>
  <c r="AA169" i="3"/>
  <c r="X169" i="3"/>
  <c r="W169" i="3"/>
  <c r="U169" i="3"/>
  <c r="R169" i="3"/>
  <c r="N169" i="3"/>
  <c r="O169" i="3" s="1"/>
  <c r="L169" i="3"/>
  <c r="H169" i="3"/>
  <c r="I169" i="3" s="1"/>
  <c r="F169" i="3"/>
  <c r="C169" i="3"/>
  <c r="AC168" i="3"/>
  <c r="AA168" i="3"/>
  <c r="W168" i="3"/>
  <c r="U168" i="3"/>
  <c r="R168" i="3"/>
  <c r="N168" i="3"/>
  <c r="L168" i="3"/>
  <c r="I168" i="3"/>
  <c r="H168" i="3"/>
  <c r="F168" i="3"/>
  <c r="C168" i="3"/>
  <c r="AC167" i="3"/>
  <c r="AA167" i="3"/>
  <c r="W167" i="3"/>
  <c r="X167" i="3" s="1"/>
  <c r="U167" i="3"/>
  <c r="R167" i="3"/>
  <c r="O167" i="3"/>
  <c r="N167" i="3"/>
  <c r="L167" i="3"/>
  <c r="H167" i="3"/>
  <c r="F167" i="3"/>
  <c r="C167" i="3"/>
  <c r="AC166" i="3"/>
  <c r="AD166" i="3" s="1"/>
  <c r="Z166" i="3"/>
  <c r="AA166" i="3" s="1"/>
  <c r="U166" i="3"/>
  <c r="T166" i="3"/>
  <c r="Q166" i="3"/>
  <c r="L166" i="3"/>
  <c r="K166" i="3"/>
  <c r="I166" i="3"/>
  <c r="H166" i="3"/>
  <c r="F166" i="3"/>
  <c r="E166" i="3"/>
  <c r="B166" i="3"/>
  <c r="C166" i="3" s="1"/>
  <c r="AC165" i="3"/>
  <c r="AA165" i="3"/>
  <c r="W165" i="3"/>
  <c r="X165" i="3" s="1"/>
  <c r="U165" i="3"/>
  <c r="R165" i="3"/>
  <c r="N165" i="3"/>
  <c r="L165" i="3"/>
  <c r="H165" i="3"/>
  <c r="I165" i="3" s="1"/>
  <c r="F165" i="3"/>
  <c r="C165" i="3"/>
  <c r="AC164" i="3"/>
  <c r="AA164" i="3"/>
  <c r="W164" i="3"/>
  <c r="U164" i="3"/>
  <c r="R164" i="3"/>
  <c r="O164" i="3"/>
  <c r="N164" i="3"/>
  <c r="L164" i="3"/>
  <c r="H164" i="3"/>
  <c r="F164" i="3"/>
  <c r="C164" i="3"/>
  <c r="AC163" i="3"/>
  <c r="AD163" i="3" s="1"/>
  <c r="AA163" i="3"/>
  <c r="W163" i="3"/>
  <c r="U163" i="3"/>
  <c r="R163" i="3"/>
  <c r="O163" i="3"/>
  <c r="N163" i="3"/>
  <c r="L163" i="3"/>
  <c r="H163" i="3"/>
  <c r="I163" i="3" s="1"/>
  <c r="F163" i="3"/>
  <c r="C163" i="3"/>
  <c r="AD162" i="3"/>
  <c r="AC162" i="3"/>
  <c r="AA162" i="3"/>
  <c r="W162" i="3"/>
  <c r="U162" i="3"/>
  <c r="R162" i="3"/>
  <c r="N162" i="3"/>
  <c r="O162" i="3" s="1"/>
  <c r="L162" i="3"/>
  <c r="I162" i="3"/>
  <c r="H162" i="3"/>
  <c r="F162" i="3"/>
  <c r="C162" i="3"/>
  <c r="AC161" i="3"/>
  <c r="AA161" i="3"/>
  <c r="W161" i="3"/>
  <c r="X161" i="3" s="1"/>
  <c r="U161" i="3"/>
  <c r="R161" i="3"/>
  <c r="N161" i="3"/>
  <c r="L161" i="3"/>
  <c r="I161" i="3"/>
  <c r="H161" i="3"/>
  <c r="F161" i="3"/>
  <c r="C161" i="3"/>
  <c r="AC160" i="3"/>
  <c r="AA160" i="3"/>
  <c r="W160" i="3"/>
  <c r="U160" i="3"/>
  <c r="R160" i="3"/>
  <c r="O160" i="3"/>
  <c r="N160" i="3"/>
  <c r="L160" i="3"/>
  <c r="H160" i="3"/>
  <c r="F160" i="3"/>
  <c r="C160" i="3"/>
  <c r="AC158" i="3"/>
  <c r="AD158" i="3" s="1"/>
  <c r="Z158" i="3"/>
  <c r="AA158" i="3" s="1"/>
  <c r="T158" i="3"/>
  <c r="U158" i="3" s="1"/>
  <c r="R158" i="3"/>
  <c r="Q158" i="3"/>
  <c r="L158" i="3"/>
  <c r="K158" i="3"/>
  <c r="H158" i="3"/>
  <c r="I158" i="3" s="1"/>
  <c r="E158" i="3"/>
  <c r="F158" i="3" s="1"/>
  <c r="B158" i="3"/>
  <c r="C158" i="3" s="1"/>
  <c r="AC157" i="3"/>
  <c r="AA157" i="3"/>
  <c r="W157" i="3"/>
  <c r="X157" i="3" s="1"/>
  <c r="U157" i="3"/>
  <c r="R157" i="3"/>
  <c r="N157" i="3"/>
  <c r="L157" i="3"/>
  <c r="I157" i="3"/>
  <c r="H157" i="3"/>
  <c r="F157" i="3"/>
  <c r="C157" i="3"/>
  <c r="AC156" i="3"/>
  <c r="AD156" i="3" s="1"/>
  <c r="AA156" i="3"/>
  <c r="W156" i="3"/>
  <c r="U156" i="3"/>
  <c r="R156" i="3"/>
  <c r="O156" i="3"/>
  <c r="N156" i="3"/>
  <c r="L156" i="3"/>
  <c r="H156" i="3"/>
  <c r="F156" i="3"/>
  <c r="C156" i="3"/>
  <c r="AC155" i="3"/>
  <c r="AA155" i="3"/>
  <c r="W155" i="3"/>
  <c r="U155" i="3"/>
  <c r="R155" i="3"/>
  <c r="N155" i="3"/>
  <c r="O155" i="3" s="1"/>
  <c r="L155" i="3"/>
  <c r="H155" i="3"/>
  <c r="I155" i="3" s="1"/>
  <c r="F155" i="3"/>
  <c r="C155" i="3"/>
  <c r="AC154" i="3"/>
  <c r="AD154" i="3" s="1"/>
  <c r="AA154" i="3"/>
  <c r="W154" i="3"/>
  <c r="U154" i="3"/>
  <c r="R154" i="3"/>
  <c r="N154" i="3"/>
  <c r="O154" i="3" s="1"/>
  <c r="L154" i="3"/>
  <c r="I154" i="3"/>
  <c r="H154" i="3"/>
  <c r="F154" i="3"/>
  <c r="C154" i="3"/>
  <c r="AC153" i="3"/>
  <c r="AA153" i="3"/>
  <c r="W153" i="3"/>
  <c r="X153" i="3" s="1"/>
  <c r="U153" i="3"/>
  <c r="R153" i="3"/>
  <c r="N153" i="3"/>
  <c r="L153" i="3"/>
  <c r="I153" i="3"/>
  <c r="H153" i="3"/>
  <c r="F153" i="3"/>
  <c r="C153" i="3"/>
  <c r="AC151" i="3"/>
  <c r="AD151" i="3" s="1"/>
  <c r="AA151" i="3"/>
  <c r="W151" i="3"/>
  <c r="U151" i="3"/>
  <c r="R151" i="3"/>
  <c r="O151" i="3"/>
  <c r="N151" i="3"/>
  <c r="L151" i="3"/>
  <c r="H151" i="3"/>
  <c r="F151" i="3"/>
  <c r="C151" i="3"/>
  <c r="Z149" i="3"/>
  <c r="AA149" i="3" s="1"/>
  <c r="T149" i="3"/>
  <c r="U149" i="3" s="1"/>
  <c r="Q149" i="3"/>
  <c r="R149" i="3" s="1"/>
  <c r="L149" i="3"/>
  <c r="K149" i="3"/>
  <c r="E149" i="3"/>
  <c r="B149" i="3"/>
  <c r="C149" i="3" s="1"/>
  <c r="AA148" i="3"/>
  <c r="Z148" i="3"/>
  <c r="W148" i="3"/>
  <c r="T148" i="3"/>
  <c r="U148" i="3" s="1"/>
  <c r="R148" i="3"/>
  <c r="Q148" i="3"/>
  <c r="AC148" i="3" s="1"/>
  <c r="AD148" i="3" s="1"/>
  <c r="L148" i="3"/>
  <c r="K148" i="3"/>
  <c r="F148" i="3"/>
  <c r="E148" i="3"/>
  <c r="B148" i="3"/>
  <c r="AD147" i="3"/>
  <c r="AC147" i="3"/>
  <c r="AA147" i="3"/>
  <c r="W147" i="3"/>
  <c r="U147" i="3"/>
  <c r="R147" i="3"/>
  <c r="N147" i="3"/>
  <c r="O147" i="3" s="1"/>
  <c r="L147" i="3"/>
  <c r="H147" i="3"/>
  <c r="I147" i="3" s="1"/>
  <c r="F147" i="3"/>
  <c r="C147" i="3"/>
  <c r="AC146" i="3"/>
  <c r="AA146" i="3"/>
  <c r="W146" i="3"/>
  <c r="U146" i="3"/>
  <c r="R146" i="3"/>
  <c r="N146" i="3"/>
  <c r="O146" i="3" s="1"/>
  <c r="L146" i="3"/>
  <c r="H146" i="3"/>
  <c r="I146" i="3" s="1"/>
  <c r="F146" i="3"/>
  <c r="C146" i="3"/>
  <c r="AC145" i="3"/>
  <c r="AA145" i="3"/>
  <c r="W145" i="3"/>
  <c r="U145" i="3"/>
  <c r="R145" i="3"/>
  <c r="N145" i="3"/>
  <c r="L145" i="3"/>
  <c r="H145" i="3"/>
  <c r="I145" i="3" s="1"/>
  <c r="F145" i="3"/>
  <c r="C145" i="3"/>
  <c r="AC144" i="3"/>
  <c r="AA144" i="3"/>
  <c r="W144" i="3"/>
  <c r="U144" i="3"/>
  <c r="R144" i="3"/>
  <c r="O144" i="3"/>
  <c r="N144" i="3"/>
  <c r="L144" i="3"/>
  <c r="H144" i="3"/>
  <c r="F144" i="3"/>
  <c r="C144" i="3"/>
  <c r="AC143" i="3"/>
  <c r="AD143" i="3" s="1"/>
  <c r="AA143" i="3"/>
  <c r="W143" i="3"/>
  <c r="U143" i="3"/>
  <c r="R143" i="3"/>
  <c r="N143" i="3"/>
  <c r="O143" i="3" s="1"/>
  <c r="L143" i="3"/>
  <c r="H143" i="3"/>
  <c r="I143" i="3" s="1"/>
  <c r="F143" i="3"/>
  <c r="C143" i="3"/>
  <c r="Z141" i="3"/>
  <c r="AA141" i="3" s="1"/>
  <c r="U141" i="3"/>
  <c r="T141" i="3"/>
  <c r="R141" i="3"/>
  <c r="Q141" i="3"/>
  <c r="W141" i="3" s="1"/>
  <c r="K141" i="3"/>
  <c r="L141" i="3" s="1"/>
  <c r="E141" i="3"/>
  <c r="F141" i="3" s="1"/>
  <c r="B141" i="3"/>
  <c r="AC140" i="3"/>
  <c r="AA140" i="3"/>
  <c r="W140" i="3"/>
  <c r="U140" i="3"/>
  <c r="R140" i="3"/>
  <c r="O140" i="3"/>
  <c r="N140" i="3"/>
  <c r="L140" i="3"/>
  <c r="H140" i="3"/>
  <c r="F140" i="3"/>
  <c r="C140" i="3"/>
  <c r="AC139" i="3"/>
  <c r="AD139" i="3" s="1"/>
  <c r="AA139" i="3"/>
  <c r="W139" i="3"/>
  <c r="U139" i="3"/>
  <c r="R139" i="3"/>
  <c r="O139" i="3"/>
  <c r="N139" i="3"/>
  <c r="L139" i="3"/>
  <c r="H139" i="3"/>
  <c r="I139" i="3" s="1"/>
  <c r="F139" i="3"/>
  <c r="C139" i="3"/>
  <c r="AD138" i="3"/>
  <c r="AC138" i="3"/>
  <c r="AA138" i="3"/>
  <c r="W138" i="3"/>
  <c r="U138" i="3"/>
  <c r="R138" i="3"/>
  <c r="N138" i="3"/>
  <c r="O138" i="3" s="1"/>
  <c r="L138" i="3"/>
  <c r="I138" i="3"/>
  <c r="H138" i="3"/>
  <c r="F138" i="3"/>
  <c r="C138" i="3"/>
  <c r="AC137" i="3"/>
  <c r="AA137" i="3"/>
  <c r="W137" i="3"/>
  <c r="X137" i="3" s="1"/>
  <c r="U137" i="3"/>
  <c r="R137" i="3"/>
  <c r="N137" i="3"/>
  <c r="L137" i="3"/>
  <c r="I137" i="3"/>
  <c r="H137" i="3"/>
  <c r="F137" i="3"/>
  <c r="C137" i="3"/>
  <c r="AC136" i="3"/>
  <c r="AA136" i="3"/>
  <c r="W136" i="3"/>
  <c r="U136" i="3"/>
  <c r="R136" i="3"/>
  <c r="O136" i="3"/>
  <c r="N136" i="3"/>
  <c r="L136" i="3"/>
  <c r="H136" i="3"/>
  <c r="F136" i="3"/>
  <c r="C136" i="3"/>
  <c r="AC135" i="3"/>
  <c r="AD135" i="3" s="1"/>
  <c r="AA135" i="3"/>
  <c r="W135" i="3"/>
  <c r="U135" i="3"/>
  <c r="R135" i="3"/>
  <c r="O135" i="3"/>
  <c r="N135" i="3"/>
  <c r="L135" i="3"/>
  <c r="H135" i="3"/>
  <c r="I135" i="3" s="1"/>
  <c r="F135" i="3"/>
  <c r="C135" i="3"/>
  <c r="AD134" i="3"/>
  <c r="AC134" i="3"/>
  <c r="AA134" i="3"/>
  <c r="W134" i="3"/>
  <c r="U134" i="3"/>
  <c r="R134" i="3"/>
  <c r="N134" i="3"/>
  <c r="O134" i="3" s="1"/>
  <c r="L134" i="3"/>
  <c r="I134" i="3"/>
  <c r="H134" i="3"/>
  <c r="F134" i="3"/>
  <c r="C134" i="3"/>
  <c r="AC133" i="3"/>
  <c r="AA133" i="3"/>
  <c r="W133" i="3"/>
  <c r="U133" i="3"/>
  <c r="R133" i="3"/>
  <c r="N133" i="3"/>
  <c r="O133" i="3" s="1"/>
  <c r="L133" i="3"/>
  <c r="I133" i="3"/>
  <c r="H133" i="3"/>
  <c r="F133" i="3"/>
  <c r="C133" i="3"/>
  <c r="AC132" i="3"/>
  <c r="AA132" i="3"/>
  <c r="W132" i="3"/>
  <c r="U132" i="3"/>
  <c r="R132" i="3"/>
  <c r="O132" i="3"/>
  <c r="N132" i="3"/>
  <c r="L132" i="3"/>
  <c r="H132" i="3"/>
  <c r="F132" i="3"/>
  <c r="C132" i="3"/>
  <c r="AC131" i="3"/>
  <c r="AD131" i="3" s="1"/>
  <c r="AA131" i="3"/>
  <c r="W131" i="3"/>
  <c r="U131" i="3"/>
  <c r="R131" i="3"/>
  <c r="O131" i="3"/>
  <c r="N131" i="3"/>
  <c r="L131" i="3"/>
  <c r="H131" i="3"/>
  <c r="I131" i="3" s="1"/>
  <c r="F131" i="3"/>
  <c r="C131" i="3"/>
  <c r="AD130" i="3"/>
  <c r="AC130" i="3"/>
  <c r="AA130" i="3"/>
  <c r="W130" i="3"/>
  <c r="U130" i="3"/>
  <c r="R130" i="3"/>
  <c r="N130" i="3"/>
  <c r="O130" i="3" s="1"/>
  <c r="L130" i="3"/>
  <c r="I130" i="3"/>
  <c r="H130" i="3"/>
  <c r="F130" i="3"/>
  <c r="C130" i="3"/>
  <c r="AC129" i="3"/>
  <c r="AA129" i="3"/>
  <c r="X129" i="3"/>
  <c r="W129" i="3"/>
  <c r="U129" i="3"/>
  <c r="R129" i="3"/>
  <c r="N129" i="3"/>
  <c r="O129" i="3" s="1"/>
  <c r="L129" i="3"/>
  <c r="H129" i="3"/>
  <c r="I129" i="3" s="1"/>
  <c r="F129" i="3"/>
  <c r="C129" i="3"/>
  <c r="AC127" i="3"/>
  <c r="AA127" i="3"/>
  <c r="W127" i="3"/>
  <c r="U127" i="3"/>
  <c r="R127" i="3"/>
  <c r="O127" i="3"/>
  <c r="N127" i="3"/>
  <c r="L127" i="3"/>
  <c r="H127" i="3"/>
  <c r="F127" i="3"/>
  <c r="C127" i="3"/>
  <c r="AC124" i="3"/>
  <c r="AD124" i="3" s="1"/>
  <c r="Z124" i="3"/>
  <c r="AA124" i="3" s="1"/>
  <c r="U124" i="3"/>
  <c r="T124" i="3"/>
  <c r="T172" i="3" s="1"/>
  <c r="T198" i="3" s="1"/>
  <c r="R124" i="3"/>
  <c r="Q124" i="3"/>
  <c r="L124" i="3"/>
  <c r="K124" i="3"/>
  <c r="E124" i="3"/>
  <c r="F124" i="3" s="1"/>
  <c r="B124" i="3"/>
  <c r="C124" i="3" s="1"/>
  <c r="AC123" i="3"/>
  <c r="AA123" i="3"/>
  <c r="W123" i="3"/>
  <c r="U123" i="3"/>
  <c r="R123" i="3"/>
  <c r="N123" i="3"/>
  <c r="O123" i="3" s="1"/>
  <c r="L123" i="3"/>
  <c r="I123" i="3"/>
  <c r="H123" i="3"/>
  <c r="F123" i="3"/>
  <c r="C123" i="3"/>
  <c r="AA122" i="3"/>
  <c r="Z122" i="3"/>
  <c r="X122" i="3"/>
  <c r="W122" i="3"/>
  <c r="U122" i="3"/>
  <c r="T122" i="3"/>
  <c r="Q122" i="3"/>
  <c r="R122" i="3" s="1"/>
  <c r="K122" i="3"/>
  <c r="L122" i="3" s="1"/>
  <c r="H122" i="3"/>
  <c r="I122" i="3" s="1"/>
  <c r="E122" i="3"/>
  <c r="F122" i="3" s="1"/>
  <c r="C122" i="3"/>
  <c r="B122" i="3"/>
  <c r="AC121" i="3"/>
  <c r="AD121" i="3" s="1"/>
  <c r="AA121" i="3"/>
  <c r="X121" i="3"/>
  <c r="W121" i="3"/>
  <c r="U121" i="3"/>
  <c r="R121" i="3"/>
  <c r="N121" i="3"/>
  <c r="O121" i="3" s="1"/>
  <c r="L121" i="3"/>
  <c r="H121" i="3"/>
  <c r="I121" i="3" s="1"/>
  <c r="F121" i="3"/>
  <c r="C121" i="3"/>
  <c r="AC120" i="3"/>
  <c r="AA120" i="3"/>
  <c r="W120" i="3"/>
  <c r="U120" i="3"/>
  <c r="R120" i="3"/>
  <c r="N120" i="3"/>
  <c r="O120" i="3" s="1"/>
  <c r="L120" i="3"/>
  <c r="H120" i="3"/>
  <c r="I120" i="3" s="1"/>
  <c r="F120" i="3"/>
  <c r="C120" i="3"/>
  <c r="AC119" i="3"/>
  <c r="AD119" i="3" s="1"/>
  <c r="AA119" i="3"/>
  <c r="W119" i="3"/>
  <c r="U119" i="3"/>
  <c r="R119" i="3"/>
  <c r="O119" i="3"/>
  <c r="N119" i="3"/>
  <c r="L119" i="3"/>
  <c r="H119" i="3"/>
  <c r="F119" i="3"/>
  <c r="C119" i="3"/>
  <c r="Z118" i="3"/>
  <c r="AA118" i="3" s="1"/>
  <c r="T118" i="3"/>
  <c r="U118" i="3" s="1"/>
  <c r="R118" i="3"/>
  <c r="Q118" i="3"/>
  <c r="L118" i="3"/>
  <c r="K118" i="3"/>
  <c r="H118" i="3"/>
  <c r="I118" i="3" s="1"/>
  <c r="E118" i="3"/>
  <c r="F118" i="3" s="1"/>
  <c r="B118" i="3"/>
  <c r="C118" i="3" s="1"/>
  <c r="AC117" i="3"/>
  <c r="AA117" i="3"/>
  <c r="X117" i="3"/>
  <c r="W117" i="3"/>
  <c r="U117" i="3"/>
  <c r="R117" i="3"/>
  <c r="N117" i="3"/>
  <c r="O117" i="3" s="1"/>
  <c r="L117" i="3"/>
  <c r="H117" i="3"/>
  <c r="I117" i="3" s="1"/>
  <c r="F117" i="3"/>
  <c r="C117" i="3"/>
  <c r="AC116" i="3"/>
  <c r="AA116" i="3"/>
  <c r="W116" i="3"/>
  <c r="U116" i="3"/>
  <c r="R116" i="3"/>
  <c r="O116" i="3"/>
  <c r="N116" i="3"/>
  <c r="L116" i="3"/>
  <c r="H116" i="3"/>
  <c r="F116" i="3"/>
  <c r="C116" i="3"/>
  <c r="AC115" i="3"/>
  <c r="AD115" i="3" s="1"/>
  <c r="AA115" i="3"/>
  <c r="W115" i="3"/>
  <c r="X115" i="3" s="1"/>
  <c r="U115" i="3"/>
  <c r="R115" i="3"/>
  <c r="N115" i="3"/>
  <c r="O115" i="3" s="1"/>
  <c r="L115" i="3"/>
  <c r="H115" i="3"/>
  <c r="I115" i="3" s="1"/>
  <c r="F115" i="3"/>
  <c r="C115" i="3"/>
  <c r="AC114" i="3"/>
  <c r="AD114" i="3" s="1"/>
  <c r="AA114" i="3"/>
  <c r="W114" i="3"/>
  <c r="U114" i="3"/>
  <c r="R114" i="3"/>
  <c r="N114" i="3"/>
  <c r="O114" i="3" s="1"/>
  <c r="L114" i="3"/>
  <c r="I114" i="3"/>
  <c r="H114" i="3"/>
  <c r="F114" i="3"/>
  <c r="C114" i="3"/>
  <c r="AC113" i="3"/>
  <c r="AA113" i="3"/>
  <c r="X113" i="3"/>
  <c r="W113" i="3"/>
  <c r="U113" i="3"/>
  <c r="R113" i="3"/>
  <c r="N113" i="3"/>
  <c r="O113" i="3" s="1"/>
  <c r="L113" i="3"/>
  <c r="H113" i="3"/>
  <c r="I113" i="3" s="1"/>
  <c r="F113" i="3"/>
  <c r="C113" i="3"/>
  <c r="AC112" i="3"/>
  <c r="AA112" i="3"/>
  <c r="W112" i="3"/>
  <c r="U112" i="3"/>
  <c r="R112" i="3"/>
  <c r="O112" i="3"/>
  <c r="N112" i="3"/>
  <c r="L112" i="3"/>
  <c r="H112" i="3"/>
  <c r="F112" i="3"/>
  <c r="C112" i="3"/>
  <c r="AD111" i="3"/>
  <c r="AC111" i="3"/>
  <c r="AA111" i="3"/>
  <c r="W111" i="3"/>
  <c r="X111" i="3" s="1"/>
  <c r="U111" i="3"/>
  <c r="R111" i="3"/>
  <c r="N111" i="3"/>
  <c r="O111" i="3" s="1"/>
  <c r="L111" i="3"/>
  <c r="H111" i="3"/>
  <c r="I111" i="3" s="1"/>
  <c r="F111" i="3"/>
  <c r="C111" i="3"/>
  <c r="AC110" i="3"/>
  <c r="AD110" i="3" s="1"/>
  <c r="AA110" i="3"/>
  <c r="W110" i="3"/>
  <c r="U110" i="3"/>
  <c r="R110" i="3"/>
  <c r="N110" i="3"/>
  <c r="O110" i="3" s="1"/>
  <c r="L110" i="3"/>
  <c r="I110" i="3"/>
  <c r="H110" i="3"/>
  <c r="F110" i="3"/>
  <c r="C110" i="3"/>
  <c r="AC109" i="3"/>
  <c r="AA109" i="3"/>
  <c r="W109" i="3"/>
  <c r="U109" i="3"/>
  <c r="R109" i="3"/>
  <c r="N109" i="3"/>
  <c r="O109" i="3" s="1"/>
  <c r="L109" i="3"/>
  <c r="I109" i="3"/>
  <c r="H109" i="3"/>
  <c r="F109" i="3"/>
  <c r="C109" i="3"/>
  <c r="AC108" i="3"/>
  <c r="AA108" i="3"/>
  <c r="W108" i="3"/>
  <c r="U108" i="3"/>
  <c r="R108" i="3"/>
  <c r="O108" i="3"/>
  <c r="N108" i="3"/>
  <c r="L108" i="3"/>
  <c r="H108" i="3"/>
  <c r="F108" i="3"/>
  <c r="C108" i="3"/>
  <c r="AC107" i="3"/>
  <c r="AD107" i="3" s="1"/>
  <c r="AA107" i="3"/>
  <c r="W107" i="3"/>
  <c r="U107" i="3"/>
  <c r="R107" i="3"/>
  <c r="N107" i="3"/>
  <c r="O107" i="3" s="1"/>
  <c r="L107" i="3"/>
  <c r="H107" i="3"/>
  <c r="I107" i="3" s="1"/>
  <c r="F107" i="3"/>
  <c r="C107" i="3"/>
  <c r="AC106" i="3"/>
  <c r="AD106" i="3" s="1"/>
  <c r="AA106" i="3"/>
  <c r="W106" i="3"/>
  <c r="U106" i="3"/>
  <c r="R106" i="3"/>
  <c r="N106" i="3"/>
  <c r="O106" i="3" s="1"/>
  <c r="L106" i="3"/>
  <c r="I106" i="3"/>
  <c r="H106" i="3"/>
  <c r="F106" i="3"/>
  <c r="C106" i="3"/>
  <c r="AC105" i="3"/>
  <c r="AA105" i="3"/>
  <c r="X105" i="3"/>
  <c r="W105" i="3"/>
  <c r="U105" i="3"/>
  <c r="R105" i="3"/>
  <c r="N105" i="3"/>
  <c r="O105" i="3" s="1"/>
  <c r="L105" i="3"/>
  <c r="H105" i="3"/>
  <c r="I105" i="3" s="1"/>
  <c r="F105" i="3"/>
  <c r="C105" i="3"/>
  <c r="AC104" i="3"/>
  <c r="AA104" i="3"/>
  <c r="W104" i="3"/>
  <c r="U104" i="3"/>
  <c r="R104" i="3"/>
  <c r="O104" i="3"/>
  <c r="N104" i="3"/>
  <c r="L104" i="3"/>
  <c r="H104" i="3"/>
  <c r="F104" i="3"/>
  <c r="C104" i="3"/>
  <c r="AC103" i="3"/>
  <c r="AD103" i="3" s="1"/>
  <c r="AA103" i="3"/>
  <c r="W103" i="3"/>
  <c r="X103" i="3" s="1"/>
  <c r="U103" i="3"/>
  <c r="R103" i="3"/>
  <c r="N103" i="3"/>
  <c r="O103" i="3" s="1"/>
  <c r="L103" i="3"/>
  <c r="H103" i="3"/>
  <c r="I103" i="3" s="1"/>
  <c r="F103" i="3"/>
  <c r="C103" i="3"/>
  <c r="AC102" i="3"/>
  <c r="AD102" i="3" s="1"/>
  <c r="AA102" i="3"/>
  <c r="W102" i="3"/>
  <c r="U102" i="3"/>
  <c r="R102" i="3"/>
  <c r="N102" i="3"/>
  <c r="O102" i="3" s="1"/>
  <c r="L102" i="3"/>
  <c r="I102" i="3"/>
  <c r="H102" i="3"/>
  <c r="F102" i="3"/>
  <c r="C102" i="3"/>
  <c r="AC101" i="3"/>
  <c r="AA101" i="3"/>
  <c r="W101" i="3"/>
  <c r="U101" i="3"/>
  <c r="R101" i="3"/>
  <c r="N101" i="3"/>
  <c r="O101" i="3" s="1"/>
  <c r="L101" i="3"/>
  <c r="I101" i="3"/>
  <c r="H101" i="3"/>
  <c r="F101" i="3"/>
  <c r="C101" i="3"/>
  <c r="AC100" i="3"/>
  <c r="AA100" i="3"/>
  <c r="W100" i="3"/>
  <c r="U100" i="3"/>
  <c r="R100" i="3"/>
  <c r="O100" i="3"/>
  <c r="N100" i="3"/>
  <c r="L100" i="3"/>
  <c r="H100" i="3"/>
  <c r="F100" i="3"/>
  <c r="C100" i="3"/>
  <c r="AC99" i="3"/>
  <c r="AD99" i="3" s="1"/>
  <c r="AA99" i="3"/>
  <c r="W99" i="3"/>
  <c r="U99" i="3"/>
  <c r="R99" i="3"/>
  <c r="N99" i="3"/>
  <c r="O99" i="3" s="1"/>
  <c r="L99" i="3"/>
  <c r="H99" i="3"/>
  <c r="I99" i="3" s="1"/>
  <c r="F99" i="3"/>
  <c r="C99" i="3"/>
  <c r="AC98" i="3"/>
  <c r="AD98" i="3" s="1"/>
  <c r="AA98" i="3"/>
  <c r="W98" i="3"/>
  <c r="U98" i="3"/>
  <c r="R98" i="3"/>
  <c r="N98" i="3"/>
  <c r="O98" i="3" s="1"/>
  <c r="L98" i="3"/>
  <c r="I98" i="3"/>
  <c r="H98" i="3"/>
  <c r="F98" i="3"/>
  <c r="C98" i="3"/>
  <c r="AC97" i="3"/>
  <c r="AA97" i="3"/>
  <c r="W97" i="3"/>
  <c r="U97" i="3"/>
  <c r="R97" i="3"/>
  <c r="N97" i="3"/>
  <c r="O97" i="3" s="1"/>
  <c r="L97" i="3"/>
  <c r="I97" i="3"/>
  <c r="H97" i="3"/>
  <c r="F97" i="3"/>
  <c r="C97" i="3"/>
  <c r="AC96" i="3"/>
  <c r="AA96" i="3"/>
  <c r="W96" i="3"/>
  <c r="U96" i="3"/>
  <c r="R96" i="3"/>
  <c r="O96" i="3"/>
  <c r="N96" i="3"/>
  <c r="L96" i="3"/>
  <c r="H96" i="3"/>
  <c r="F96" i="3"/>
  <c r="C96" i="3"/>
  <c r="AC95" i="3"/>
  <c r="AD95" i="3" s="1"/>
  <c r="AA95" i="3"/>
  <c r="W95" i="3"/>
  <c r="U95" i="3"/>
  <c r="R95" i="3"/>
  <c r="N95" i="3"/>
  <c r="O95" i="3" s="1"/>
  <c r="L95" i="3"/>
  <c r="H95" i="3"/>
  <c r="I95" i="3" s="1"/>
  <c r="F95" i="3"/>
  <c r="C95" i="3"/>
  <c r="AC94" i="3"/>
  <c r="AD94" i="3" s="1"/>
  <c r="AA94" i="3"/>
  <c r="W94" i="3"/>
  <c r="U94" i="3"/>
  <c r="R94" i="3"/>
  <c r="N94" i="3"/>
  <c r="O94" i="3" s="1"/>
  <c r="L94" i="3"/>
  <c r="I94" i="3"/>
  <c r="H94" i="3"/>
  <c r="F94" i="3"/>
  <c r="C94" i="3"/>
  <c r="AC92" i="3"/>
  <c r="AA92" i="3"/>
  <c r="X92" i="3"/>
  <c r="W92" i="3"/>
  <c r="U92" i="3"/>
  <c r="R92" i="3"/>
  <c r="N92" i="3"/>
  <c r="O92" i="3" s="1"/>
  <c r="L92" i="3"/>
  <c r="H92" i="3"/>
  <c r="I92" i="3" s="1"/>
  <c r="F92" i="3"/>
  <c r="C92" i="3"/>
  <c r="AC91" i="3"/>
  <c r="AA91" i="3"/>
  <c r="W91" i="3"/>
  <c r="U91" i="3"/>
  <c r="R91" i="3"/>
  <c r="O91" i="3"/>
  <c r="N91" i="3"/>
  <c r="L91" i="3"/>
  <c r="H91" i="3"/>
  <c r="F91" i="3"/>
  <c r="C91" i="3"/>
  <c r="AC90" i="3"/>
  <c r="AD90" i="3" s="1"/>
  <c r="AA90" i="3"/>
  <c r="W90" i="3"/>
  <c r="X90" i="3" s="1"/>
  <c r="U90" i="3"/>
  <c r="R90" i="3"/>
  <c r="N90" i="3"/>
  <c r="O90" i="3" s="1"/>
  <c r="L90" i="3"/>
  <c r="H90" i="3"/>
  <c r="I90" i="3" s="1"/>
  <c r="F90" i="3"/>
  <c r="C90" i="3"/>
  <c r="AC89" i="3"/>
  <c r="AD89" i="3" s="1"/>
  <c r="AA89" i="3"/>
  <c r="W89" i="3"/>
  <c r="U89" i="3"/>
  <c r="R89" i="3"/>
  <c r="N89" i="3"/>
  <c r="O89" i="3" s="1"/>
  <c r="L89" i="3"/>
  <c r="I89" i="3"/>
  <c r="H89" i="3"/>
  <c r="F89" i="3"/>
  <c r="C89" i="3"/>
  <c r="Z88" i="3"/>
  <c r="AA88" i="3" s="1"/>
  <c r="W88" i="3"/>
  <c r="T88" i="3"/>
  <c r="U88" i="3" s="1"/>
  <c r="R88" i="3"/>
  <c r="Q88" i="3"/>
  <c r="L88" i="3"/>
  <c r="K88" i="3"/>
  <c r="N88" i="3" s="1"/>
  <c r="O88" i="3" s="1"/>
  <c r="F88" i="3"/>
  <c r="E88" i="3"/>
  <c r="B88" i="3"/>
  <c r="H88" i="3" s="1"/>
  <c r="I88" i="3" s="1"/>
  <c r="AD87" i="3"/>
  <c r="AC87" i="3"/>
  <c r="AA87" i="3"/>
  <c r="W87" i="3"/>
  <c r="U87" i="3"/>
  <c r="R87" i="3"/>
  <c r="N87" i="3"/>
  <c r="O87" i="3" s="1"/>
  <c r="L87" i="3"/>
  <c r="H87" i="3"/>
  <c r="I87" i="3" s="1"/>
  <c r="F87" i="3"/>
  <c r="C87" i="3"/>
  <c r="AC86" i="3"/>
  <c r="AD86" i="3" s="1"/>
  <c r="AA86" i="3"/>
  <c r="W86" i="3"/>
  <c r="U86" i="3"/>
  <c r="R86" i="3"/>
  <c r="N86" i="3"/>
  <c r="O86" i="3" s="1"/>
  <c r="L86" i="3"/>
  <c r="I86" i="3"/>
  <c r="H86" i="3"/>
  <c r="F86" i="3"/>
  <c r="C86" i="3"/>
  <c r="AC85" i="3"/>
  <c r="AA85" i="3"/>
  <c r="X85" i="3"/>
  <c r="W85" i="3"/>
  <c r="U85" i="3"/>
  <c r="R85" i="3"/>
  <c r="N85" i="3"/>
  <c r="O85" i="3" s="1"/>
  <c r="L85" i="3"/>
  <c r="H85" i="3"/>
  <c r="I85" i="3" s="1"/>
  <c r="F85" i="3"/>
  <c r="C85" i="3"/>
  <c r="AC84" i="3"/>
  <c r="AA84" i="3"/>
  <c r="W84" i="3"/>
  <c r="U84" i="3"/>
  <c r="R84" i="3"/>
  <c r="O84" i="3"/>
  <c r="N84" i="3"/>
  <c r="L84" i="3"/>
  <c r="H84" i="3"/>
  <c r="F84" i="3"/>
  <c r="C84" i="3"/>
  <c r="AC83" i="3"/>
  <c r="AD83" i="3" s="1"/>
  <c r="AA83" i="3"/>
  <c r="W83" i="3"/>
  <c r="X83" i="3" s="1"/>
  <c r="U83" i="3"/>
  <c r="R83" i="3"/>
  <c r="N83" i="3"/>
  <c r="O83" i="3" s="1"/>
  <c r="L83" i="3"/>
  <c r="H83" i="3"/>
  <c r="F83" i="3"/>
  <c r="C83" i="3"/>
  <c r="AC82" i="3"/>
  <c r="AD82" i="3" s="1"/>
  <c r="AA82" i="3"/>
  <c r="W82" i="3"/>
  <c r="U82" i="3"/>
  <c r="R82" i="3"/>
  <c r="N82" i="3"/>
  <c r="O82" i="3" s="1"/>
  <c r="L82" i="3"/>
  <c r="I82" i="3"/>
  <c r="H82" i="3"/>
  <c r="F82" i="3"/>
  <c r="C82" i="3"/>
  <c r="AC81" i="3"/>
  <c r="AA81" i="3"/>
  <c r="W81" i="3"/>
  <c r="U81" i="3"/>
  <c r="R81" i="3"/>
  <c r="N81" i="3"/>
  <c r="O81" i="3" s="1"/>
  <c r="L81" i="3"/>
  <c r="I81" i="3"/>
  <c r="H81" i="3"/>
  <c r="F81" i="3"/>
  <c r="C81" i="3"/>
  <c r="AC80" i="3"/>
  <c r="AA80" i="3"/>
  <c r="W80" i="3"/>
  <c r="U80" i="3"/>
  <c r="R80" i="3"/>
  <c r="O80" i="3"/>
  <c r="N80" i="3"/>
  <c r="L80" i="3"/>
  <c r="H80" i="3"/>
  <c r="F80" i="3"/>
  <c r="C80" i="3"/>
  <c r="AC79" i="3"/>
  <c r="AD79" i="3" s="1"/>
  <c r="AA79" i="3"/>
  <c r="W79" i="3"/>
  <c r="U79" i="3"/>
  <c r="R79" i="3"/>
  <c r="N79" i="3"/>
  <c r="O79" i="3" s="1"/>
  <c r="L79" i="3"/>
  <c r="H79" i="3"/>
  <c r="F79" i="3"/>
  <c r="C79" i="3"/>
  <c r="AC78" i="3"/>
  <c r="AD78" i="3" s="1"/>
  <c r="AA78" i="3"/>
  <c r="W78" i="3"/>
  <c r="U78" i="3"/>
  <c r="R78" i="3"/>
  <c r="N78" i="3"/>
  <c r="O78" i="3" s="1"/>
  <c r="L78" i="3"/>
  <c r="I78" i="3"/>
  <c r="H78" i="3"/>
  <c r="F78" i="3"/>
  <c r="C78" i="3"/>
  <c r="AC77" i="3"/>
  <c r="AA77" i="3"/>
  <c r="W77" i="3"/>
  <c r="U77" i="3"/>
  <c r="R77" i="3"/>
  <c r="N77" i="3"/>
  <c r="O77" i="3" s="1"/>
  <c r="L77" i="3"/>
  <c r="H77" i="3"/>
  <c r="I77" i="3" s="1"/>
  <c r="F77" i="3"/>
  <c r="C77" i="3"/>
  <c r="AC76" i="3"/>
  <c r="AA76" i="3"/>
  <c r="W76" i="3"/>
  <c r="U76" i="3"/>
  <c r="R76" i="3"/>
  <c r="O76" i="3"/>
  <c r="N76" i="3"/>
  <c r="L76" i="3"/>
  <c r="H76" i="3"/>
  <c r="F76" i="3"/>
  <c r="C76" i="3"/>
  <c r="AC75" i="3"/>
  <c r="AD75" i="3" s="1"/>
  <c r="AA75" i="3"/>
  <c r="W75" i="3"/>
  <c r="U75" i="3"/>
  <c r="R75" i="3"/>
  <c r="N75" i="3"/>
  <c r="O75" i="3" s="1"/>
  <c r="L75" i="3"/>
  <c r="H75" i="3"/>
  <c r="F75" i="3"/>
  <c r="C75" i="3"/>
  <c r="Z73" i="3"/>
  <c r="AA73" i="3" s="1"/>
  <c r="U73" i="3"/>
  <c r="T73" i="3"/>
  <c r="Q73" i="3"/>
  <c r="L73" i="3"/>
  <c r="K73" i="3"/>
  <c r="F73" i="3"/>
  <c r="E73" i="3"/>
  <c r="C73" i="3"/>
  <c r="B73" i="3"/>
  <c r="AC72" i="3"/>
  <c r="AA72" i="3"/>
  <c r="W72" i="3"/>
  <c r="U72" i="3"/>
  <c r="R72" i="3"/>
  <c r="O72" i="3"/>
  <c r="N72" i="3"/>
  <c r="L72" i="3"/>
  <c r="H72" i="3"/>
  <c r="F72" i="3"/>
  <c r="C72" i="3"/>
  <c r="AC71" i="3"/>
  <c r="AD71" i="3" s="1"/>
  <c r="AA71" i="3"/>
  <c r="W71" i="3"/>
  <c r="U71" i="3"/>
  <c r="R71" i="3"/>
  <c r="O71" i="3"/>
  <c r="N71" i="3"/>
  <c r="L71" i="3"/>
  <c r="H71" i="3"/>
  <c r="F71" i="3"/>
  <c r="C71" i="3"/>
  <c r="AD70" i="3"/>
  <c r="AC70" i="3"/>
  <c r="AA70" i="3"/>
  <c r="W70" i="3"/>
  <c r="U70" i="3"/>
  <c r="R70" i="3"/>
  <c r="N70" i="3"/>
  <c r="O70" i="3" s="1"/>
  <c r="L70" i="3"/>
  <c r="H70" i="3"/>
  <c r="I70" i="3" s="1"/>
  <c r="F70" i="3"/>
  <c r="C70" i="3"/>
  <c r="AC69" i="3"/>
  <c r="AA69" i="3"/>
  <c r="W69" i="3"/>
  <c r="X69" i="3" s="1"/>
  <c r="U69" i="3"/>
  <c r="R69" i="3"/>
  <c r="N69" i="3"/>
  <c r="O69" i="3" s="1"/>
  <c r="L69" i="3"/>
  <c r="H69" i="3"/>
  <c r="I69" i="3" s="1"/>
  <c r="F69" i="3"/>
  <c r="C69" i="3"/>
  <c r="AC68" i="3"/>
  <c r="AA68" i="3"/>
  <c r="W68" i="3"/>
  <c r="U68" i="3"/>
  <c r="R68" i="3"/>
  <c r="O68" i="3"/>
  <c r="N68" i="3"/>
  <c r="L68" i="3"/>
  <c r="H68" i="3"/>
  <c r="F68" i="3"/>
  <c r="C68" i="3"/>
  <c r="AC67" i="3"/>
  <c r="AD67" i="3" s="1"/>
  <c r="AA67" i="3"/>
  <c r="W67" i="3"/>
  <c r="X67" i="3" s="1"/>
  <c r="U67" i="3"/>
  <c r="R67" i="3"/>
  <c r="O67" i="3"/>
  <c r="N67" i="3"/>
  <c r="L67" i="3"/>
  <c r="H67" i="3"/>
  <c r="F67" i="3"/>
  <c r="C67" i="3"/>
  <c r="AD66" i="3"/>
  <c r="AC66" i="3"/>
  <c r="AA66" i="3"/>
  <c r="W66" i="3"/>
  <c r="U66" i="3"/>
  <c r="R66" i="3"/>
  <c r="N66" i="3"/>
  <c r="O66" i="3" s="1"/>
  <c r="L66" i="3"/>
  <c r="H66" i="3"/>
  <c r="I66" i="3" s="1"/>
  <c r="F66" i="3"/>
  <c r="C66" i="3"/>
  <c r="AC65" i="3"/>
  <c r="AA65" i="3"/>
  <c r="W65" i="3"/>
  <c r="X65" i="3" s="1"/>
  <c r="U65" i="3"/>
  <c r="R65" i="3"/>
  <c r="N65" i="3"/>
  <c r="O65" i="3" s="1"/>
  <c r="L65" i="3"/>
  <c r="I65" i="3"/>
  <c r="H65" i="3"/>
  <c r="F65" i="3"/>
  <c r="C65" i="3"/>
  <c r="AC64" i="3"/>
  <c r="AA64" i="3"/>
  <c r="W64" i="3"/>
  <c r="U64" i="3"/>
  <c r="R64" i="3"/>
  <c r="O64" i="3"/>
  <c r="N64" i="3"/>
  <c r="L64" i="3"/>
  <c r="H64" i="3"/>
  <c r="F64" i="3"/>
  <c r="C64" i="3"/>
  <c r="AC62" i="3"/>
  <c r="AD62" i="3" s="1"/>
  <c r="AA62" i="3"/>
  <c r="Z62" i="3"/>
  <c r="U62" i="3"/>
  <c r="T62" i="3"/>
  <c r="R62" i="3"/>
  <c r="Q62" i="3"/>
  <c r="L62" i="3"/>
  <c r="K62" i="3"/>
  <c r="I62" i="3"/>
  <c r="H62" i="3"/>
  <c r="F62" i="3"/>
  <c r="E62" i="3"/>
  <c r="C62" i="3"/>
  <c r="B62" i="3"/>
  <c r="N62" i="3" s="1"/>
  <c r="O62" i="3" s="1"/>
  <c r="Z61" i="3"/>
  <c r="AA61" i="3" s="1"/>
  <c r="W61" i="3"/>
  <c r="X61" i="3" s="1"/>
  <c r="U61" i="3"/>
  <c r="T61" i="3"/>
  <c r="R61" i="3"/>
  <c r="Q61" i="3"/>
  <c r="N61" i="3"/>
  <c r="O61" i="3" s="1"/>
  <c r="L61" i="3"/>
  <c r="K61" i="3"/>
  <c r="F61" i="3"/>
  <c r="E61" i="3"/>
  <c r="C61" i="3"/>
  <c r="B61" i="3"/>
  <c r="H61" i="3" s="1"/>
  <c r="I61" i="3" s="1"/>
  <c r="AC60" i="3"/>
  <c r="AD60" i="3" s="1"/>
  <c r="AA60" i="3"/>
  <c r="W60" i="3"/>
  <c r="X60" i="3" s="1"/>
  <c r="U60" i="3"/>
  <c r="R60" i="3"/>
  <c r="O60" i="3"/>
  <c r="N60" i="3"/>
  <c r="L60" i="3"/>
  <c r="H60" i="3"/>
  <c r="F60" i="3"/>
  <c r="C60" i="3"/>
  <c r="AD59" i="3"/>
  <c r="AC59" i="3"/>
  <c r="AA59" i="3"/>
  <c r="W59" i="3"/>
  <c r="U59" i="3"/>
  <c r="R59" i="3"/>
  <c r="N59" i="3"/>
  <c r="O59" i="3" s="1"/>
  <c r="L59" i="3"/>
  <c r="H59" i="3"/>
  <c r="I59" i="3" s="1"/>
  <c r="F59" i="3"/>
  <c r="C59" i="3"/>
  <c r="AC58" i="3"/>
  <c r="AA58" i="3"/>
  <c r="W58" i="3"/>
  <c r="X58" i="3" s="1"/>
  <c r="U58" i="3"/>
  <c r="R58" i="3"/>
  <c r="N58" i="3"/>
  <c r="O58" i="3" s="1"/>
  <c r="L58" i="3"/>
  <c r="H58" i="3"/>
  <c r="I58" i="3" s="1"/>
  <c r="F58" i="3"/>
  <c r="C58" i="3"/>
  <c r="AC57" i="3"/>
  <c r="AA57" i="3"/>
  <c r="W57" i="3"/>
  <c r="U57" i="3"/>
  <c r="R57" i="3"/>
  <c r="O57" i="3"/>
  <c r="N57" i="3"/>
  <c r="L57" i="3"/>
  <c r="H57" i="3"/>
  <c r="F57" i="3"/>
  <c r="C57" i="3"/>
  <c r="AC56" i="3"/>
  <c r="AD56" i="3" s="1"/>
  <c r="AA56" i="3"/>
  <c r="W56" i="3"/>
  <c r="X56" i="3" s="1"/>
  <c r="U56" i="3"/>
  <c r="R56" i="3"/>
  <c r="O56" i="3"/>
  <c r="N56" i="3"/>
  <c r="L56" i="3"/>
  <c r="H56" i="3"/>
  <c r="F56" i="3"/>
  <c r="C56" i="3"/>
  <c r="AD55" i="3"/>
  <c r="AC55" i="3"/>
  <c r="AA55" i="3"/>
  <c r="W55" i="3"/>
  <c r="U55" i="3"/>
  <c r="R55" i="3"/>
  <c r="N55" i="3"/>
  <c r="O55" i="3" s="1"/>
  <c r="L55" i="3"/>
  <c r="H55" i="3"/>
  <c r="I55" i="3" s="1"/>
  <c r="F55" i="3"/>
  <c r="C55" i="3"/>
  <c r="AC54" i="3"/>
  <c r="AA54" i="3"/>
  <c r="W54" i="3"/>
  <c r="X54" i="3" s="1"/>
  <c r="U54" i="3"/>
  <c r="R54" i="3"/>
  <c r="N54" i="3"/>
  <c r="O54" i="3" s="1"/>
  <c r="L54" i="3"/>
  <c r="H54" i="3"/>
  <c r="I54" i="3" s="1"/>
  <c r="F54" i="3"/>
  <c r="C54" i="3"/>
  <c r="AC53" i="3"/>
  <c r="AA53" i="3"/>
  <c r="W53" i="3"/>
  <c r="U53" i="3"/>
  <c r="R53" i="3"/>
  <c r="O53" i="3"/>
  <c r="N53" i="3"/>
  <c r="L53" i="3"/>
  <c r="H53" i="3"/>
  <c r="F53" i="3"/>
  <c r="C53" i="3"/>
  <c r="AC52" i="3"/>
  <c r="AD52" i="3" s="1"/>
  <c r="AA52" i="3"/>
  <c r="W52" i="3"/>
  <c r="U52" i="3"/>
  <c r="R52" i="3"/>
  <c r="O52" i="3"/>
  <c r="N52" i="3"/>
  <c r="L52" i="3"/>
  <c r="H52" i="3"/>
  <c r="F52" i="3"/>
  <c r="C52" i="3"/>
  <c r="AD51" i="3"/>
  <c r="AC51" i="3"/>
  <c r="AA51" i="3"/>
  <c r="W51" i="3"/>
  <c r="U51" i="3"/>
  <c r="R51" i="3"/>
  <c r="N51" i="3"/>
  <c r="O51" i="3" s="1"/>
  <c r="L51" i="3"/>
  <c r="H51" i="3"/>
  <c r="I51" i="3" s="1"/>
  <c r="F51" i="3"/>
  <c r="C51" i="3"/>
  <c r="AC50" i="3"/>
  <c r="AA50" i="3"/>
  <c r="X50" i="3"/>
  <c r="W50" i="3"/>
  <c r="U50" i="3"/>
  <c r="R50" i="3"/>
  <c r="N50" i="3"/>
  <c r="O50" i="3" s="1"/>
  <c r="L50" i="3"/>
  <c r="H50" i="3"/>
  <c r="I50" i="3" s="1"/>
  <c r="F50" i="3"/>
  <c r="C50" i="3"/>
  <c r="AC49" i="3"/>
  <c r="AA49" i="3"/>
  <c r="W49" i="3"/>
  <c r="U49" i="3"/>
  <c r="R49" i="3"/>
  <c r="O49" i="3"/>
  <c r="N49" i="3"/>
  <c r="L49" i="3"/>
  <c r="H49" i="3"/>
  <c r="F49" i="3"/>
  <c r="C49" i="3"/>
  <c r="AC48" i="3"/>
  <c r="AD48" i="3" s="1"/>
  <c r="AA48" i="3"/>
  <c r="W48" i="3"/>
  <c r="X48" i="3" s="1"/>
  <c r="U48" i="3"/>
  <c r="R48" i="3"/>
  <c r="O48" i="3"/>
  <c r="N48" i="3"/>
  <c r="L48" i="3"/>
  <c r="H48" i="3"/>
  <c r="F48" i="3"/>
  <c r="C48" i="3"/>
  <c r="AD47" i="3"/>
  <c r="AC47" i="3"/>
  <c r="AA47" i="3"/>
  <c r="W47" i="3"/>
  <c r="U47" i="3"/>
  <c r="R47" i="3"/>
  <c r="N47" i="3"/>
  <c r="O47" i="3" s="1"/>
  <c r="L47" i="3"/>
  <c r="H47" i="3"/>
  <c r="I47" i="3" s="1"/>
  <c r="F47" i="3"/>
  <c r="C47" i="3"/>
  <c r="AC46" i="3"/>
  <c r="AA46" i="3"/>
  <c r="W46" i="3"/>
  <c r="X46" i="3" s="1"/>
  <c r="U46" i="3"/>
  <c r="R46" i="3"/>
  <c r="N46" i="3"/>
  <c r="O46" i="3" s="1"/>
  <c r="L46" i="3"/>
  <c r="H46" i="3"/>
  <c r="I46" i="3" s="1"/>
  <c r="F46" i="3"/>
  <c r="C46" i="3"/>
  <c r="AC44" i="3"/>
  <c r="AA44" i="3"/>
  <c r="W44" i="3"/>
  <c r="U44" i="3"/>
  <c r="R44" i="3"/>
  <c r="O44" i="3"/>
  <c r="N44" i="3"/>
  <c r="L44" i="3"/>
  <c r="H44" i="3"/>
  <c r="F44" i="3"/>
  <c r="C44" i="3"/>
  <c r="AC43" i="3"/>
  <c r="AD43" i="3" s="1"/>
  <c r="AA43" i="3"/>
  <c r="W43" i="3"/>
  <c r="U43" i="3"/>
  <c r="R43" i="3"/>
  <c r="O43" i="3"/>
  <c r="N43" i="3"/>
  <c r="L43" i="3"/>
  <c r="H43" i="3"/>
  <c r="F43" i="3"/>
  <c r="C43" i="3"/>
  <c r="AD42" i="3"/>
  <c r="AC42" i="3"/>
  <c r="AA42" i="3"/>
  <c r="W42" i="3"/>
  <c r="U42" i="3"/>
  <c r="R42" i="3"/>
  <c r="N42" i="3"/>
  <c r="O42" i="3" s="1"/>
  <c r="L42" i="3"/>
  <c r="H42" i="3"/>
  <c r="I42" i="3" s="1"/>
  <c r="F42" i="3"/>
  <c r="C42" i="3"/>
  <c r="AA40" i="3"/>
  <c r="Z40" i="3"/>
  <c r="W40" i="3"/>
  <c r="U40" i="3"/>
  <c r="T40" i="3"/>
  <c r="R40" i="3"/>
  <c r="Q40" i="3"/>
  <c r="L40" i="3"/>
  <c r="K40" i="3"/>
  <c r="N40" i="3" s="1"/>
  <c r="O40" i="3" s="1"/>
  <c r="F40" i="3"/>
  <c r="E40" i="3"/>
  <c r="B40" i="3"/>
  <c r="H40" i="3" s="1"/>
  <c r="I40" i="3" s="1"/>
  <c r="AD39" i="3"/>
  <c r="AC39" i="3"/>
  <c r="AA39" i="3"/>
  <c r="W39" i="3"/>
  <c r="U39" i="3"/>
  <c r="R39" i="3"/>
  <c r="N39" i="3"/>
  <c r="O39" i="3" s="1"/>
  <c r="L39" i="3"/>
  <c r="H39" i="3"/>
  <c r="F39" i="3"/>
  <c r="C39" i="3"/>
  <c r="AC38" i="3"/>
  <c r="AD38" i="3" s="1"/>
  <c r="AA38" i="3"/>
  <c r="W38" i="3"/>
  <c r="U38" i="3"/>
  <c r="R38" i="3"/>
  <c r="N38" i="3"/>
  <c r="O38" i="3" s="1"/>
  <c r="L38" i="3"/>
  <c r="I38" i="3"/>
  <c r="H38" i="3"/>
  <c r="F38" i="3"/>
  <c r="C38" i="3"/>
  <c r="AC37" i="3"/>
  <c r="AA37" i="3"/>
  <c r="X37" i="3"/>
  <c r="W37" i="3"/>
  <c r="U37" i="3"/>
  <c r="R37" i="3"/>
  <c r="N37" i="3"/>
  <c r="O37" i="3" s="1"/>
  <c r="L37" i="3"/>
  <c r="H37" i="3"/>
  <c r="I37" i="3" s="1"/>
  <c r="F37" i="3"/>
  <c r="C37" i="3"/>
  <c r="AC36" i="3"/>
  <c r="AA36" i="3"/>
  <c r="W36" i="3"/>
  <c r="U36" i="3"/>
  <c r="R36" i="3"/>
  <c r="O36" i="3"/>
  <c r="N36" i="3"/>
  <c r="L36" i="3"/>
  <c r="H36" i="3"/>
  <c r="F36" i="3"/>
  <c r="C36" i="3"/>
  <c r="AC35" i="3"/>
  <c r="AD35" i="3" s="1"/>
  <c r="AA35" i="3"/>
  <c r="W35" i="3"/>
  <c r="X35" i="3" s="1"/>
  <c r="U35" i="3"/>
  <c r="R35" i="3"/>
  <c r="N35" i="3"/>
  <c r="O35" i="3" s="1"/>
  <c r="L35" i="3"/>
  <c r="H35" i="3"/>
  <c r="F35" i="3"/>
  <c r="C35" i="3"/>
  <c r="AC34" i="3"/>
  <c r="AD34" i="3" s="1"/>
  <c r="AA34" i="3"/>
  <c r="W34" i="3"/>
  <c r="U34" i="3"/>
  <c r="R34" i="3"/>
  <c r="N34" i="3"/>
  <c r="O34" i="3" s="1"/>
  <c r="L34" i="3"/>
  <c r="I34" i="3"/>
  <c r="H34" i="3"/>
  <c r="F34" i="3"/>
  <c r="C34" i="3"/>
  <c r="AC33" i="3"/>
  <c r="AA33" i="3"/>
  <c r="W33" i="3"/>
  <c r="U33" i="3"/>
  <c r="R33" i="3"/>
  <c r="N33" i="3"/>
  <c r="O33" i="3" s="1"/>
  <c r="L33" i="3"/>
  <c r="I33" i="3"/>
  <c r="H33" i="3"/>
  <c r="F33" i="3"/>
  <c r="C33" i="3"/>
  <c r="AC32" i="3"/>
  <c r="AA32" i="3"/>
  <c r="W32" i="3"/>
  <c r="U32" i="3"/>
  <c r="R32" i="3"/>
  <c r="O32" i="3"/>
  <c r="N32" i="3"/>
  <c r="L32" i="3"/>
  <c r="H32" i="3"/>
  <c r="F32" i="3"/>
  <c r="C32" i="3"/>
  <c r="AC31" i="3"/>
  <c r="AD31" i="3" s="1"/>
  <c r="AA31" i="3"/>
  <c r="W31" i="3"/>
  <c r="U31" i="3"/>
  <c r="R31" i="3"/>
  <c r="N31" i="3"/>
  <c r="O31" i="3" s="1"/>
  <c r="L31" i="3"/>
  <c r="H31" i="3"/>
  <c r="F31" i="3"/>
  <c r="C31" i="3"/>
  <c r="Z29" i="3"/>
  <c r="AA29" i="3" s="1"/>
  <c r="U29" i="3"/>
  <c r="T29" i="3"/>
  <c r="Q29" i="3"/>
  <c r="R29" i="3" s="1"/>
  <c r="L29" i="3"/>
  <c r="K29" i="3"/>
  <c r="E29" i="3"/>
  <c r="F29" i="3" s="1"/>
  <c r="B29" i="3"/>
  <c r="AC28" i="3"/>
  <c r="AA28" i="3"/>
  <c r="W28" i="3"/>
  <c r="U28" i="3"/>
  <c r="R28" i="3"/>
  <c r="O28" i="3"/>
  <c r="N28" i="3"/>
  <c r="L28" i="3"/>
  <c r="H28" i="3"/>
  <c r="F28" i="3"/>
  <c r="C28" i="3"/>
  <c r="AC27" i="3"/>
  <c r="AD27" i="3" s="1"/>
  <c r="AA27" i="3"/>
  <c r="W27" i="3"/>
  <c r="U27" i="3"/>
  <c r="R27" i="3"/>
  <c r="O27" i="3"/>
  <c r="N27" i="3"/>
  <c r="L27" i="3"/>
  <c r="H27" i="3"/>
  <c r="F27" i="3"/>
  <c r="C27" i="3"/>
  <c r="AD26" i="3"/>
  <c r="AC26" i="3"/>
  <c r="AA26" i="3"/>
  <c r="W26" i="3"/>
  <c r="U26" i="3"/>
  <c r="R26" i="3"/>
  <c r="N26" i="3"/>
  <c r="O26" i="3" s="1"/>
  <c r="L26" i="3"/>
  <c r="H26" i="3"/>
  <c r="I26" i="3" s="1"/>
  <c r="F26" i="3"/>
  <c r="C26" i="3"/>
  <c r="AC25" i="3"/>
  <c r="AA25" i="3"/>
  <c r="W25" i="3"/>
  <c r="U25" i="3"/>
  <c r="R25" i="3"/>
  <c r="N25" i="3"/>
  <c r="O25" i="3" s="1"/>
  <c r="L25" i="3"/>
  <c r="I25" i="3"/>
  <c r="H25" i="3"/>
  <c r="F25" i="3"/>
  <c r="C25" i="3"/>
  <c r="AC24" i="3"/>
  <c r="AA24" i="3"/>
  <c r="W24" i="3"/>
  <c r="U24" i="3"/>
  <c r="R24" i="3"/>
  <c r="O24" i="3"/>
  <c r="N24" i="3"/>
  <c r="L24" i="3"/>
  <c r="H24" i="3"/>
  <c r="F24" i="3"/>
  <c r="C24" i="3"/>
  <c r="AC23" i="3"/>
  <c r="AD23" i="3" s="1"/>
  <c r="AA23" i="3"/>
  <c r="W23" i="3"/>
  <c r="U23" i="3"/>
  <c r="R23" i="3"/>
  <c r="O23" i="3"/>
  <c r="N23" i="3"/>
  <c r="L23" i="3"/>
  <c r="H23" i="3"/>
  <c r="F23" i="3"/>
  <c r="C23" i="3"/>
  <c r="AD22" i="3"/>
  <c r="AC22" i="3"/>
  <c r="AA22" i="3"/>
  <c r="W22" i="3"/>
  <c r="U22" i="3"/>
  <c r="R22" i="3"/>
  <c r="N22" i="3"/>
  <c r="O22" i="3" s="1"/>
  <c r="L22" i="3"/>
  <c r="H22" i="3"/>
  <c r="I22" i="3" s="1"/>
  <c r="F22" i="3"/>
  <c r="C22" i="3"/>
  <c r="AC21" i="3"/>
  <c r="AA21" i="3"/>
  <c r="X21" i="3"/>
  <c r="W21" i="3"/>
  <c r="U21" i="3"/>
  <c r="R21" i="3"/>
  <c r="N21" i="3"/>
  <c r="O21" i="3" s="1"/>
  <c r="L21" i="3"/>
  <c r="H21" i="3"/>
  <c r="I21" i="3" s="1"/>
  <c r="F21" i="3"/>
  <c r="C21" i="3"/>
  <c r="AC19" i="3"/>
  <c r="AA19" i="3"/>
  <c r="W19" i="3"/>
  <c r="U19" i="3"/>
  <c r="R19" i="3"/>
  <c r="O19" i="3"/>
  <c r="N19" i="3"/>
  <c r="L19" i="3"/>
  <c r="H19" i="3"/>
  <c r="F19" i="3"/>
  <c r="C19" i="3"/>
  <c r="AC18" i="3"/>
  <c r="AD18" i="3" s="1"/>
  <c r="AA18" i="3"/>
  <c r="Z18" i="3"/>
  <c r="U18" i="3"/>
  <c r="T18" i="3"/>
  <c r="R18" i="3"/>
  <c r="Q18" i="3"/>
  <c r="L18" i="3"/>
  <c r="K18" i="3"/>
  <c r="H18" i="3"/>
  <c r="I18" i="3" s="1"/>
  <c r="F18" i="3"/>
  <c r="E18" i="3"/>
  <c r="C18" i="3"/>
  <c r="B18" i="3"/>
  <c r="N18" i="3" s="1"/>
  <c r="O18" i="3" s="1"/>
  <c r="AC17" i="3"/>
  <c r="AA17" i="3"/>
  <c r="W17" i="3"/>
  <c r="X17" i="3" s="1"/>
  <c r="U17" i="3"/>
  <c r="R17" i="3"/>
  <c r="N17" i="3"/>
  <c r="O17" i="3" s="1"/>
  <c r="L17" i="3"/>
  <c r="H17" i="3"/>
  <c r="I17" i="3" s="1"/>
  <c r="F17" i="3"/>
  <c r="C17" i="3"/>
  <c r="AC16" i="3"/>
  <c r="AA16" i="3"/>
  <c r="W16" i="3"/>
  <c r="U16" i="3"/>
  <c r="R16" i="3"/>
  <c r="O16" i="3"/>
  <c r="N16" i="3"/>
  <c r="L16" i="3"/>
  <c r="H16" i="3"/>
  <c r="F16" i="3"/>
  <c r="C16" i="3"/>
  <c r="AC15" i="3"/>
  <c r="AD15" i="3" s="1"/>
  <c r="AA15" i="3"/>
  <c r="W15" i="3"/>
  <c r="U15" i="3"/>
  <c r="R15" i="3"/>
  <c r="N15" i="3"/>
  <c r="O15" i="3" s="1"/>
  <c r="L15" i="3"/>
  <c r="H15" i="3"/>
  <c r="F15" i="3"/>
  <c r="C15" i="3"/>
  <c r="AC14" i="3"/>
  <c r="AD14" i="3" s="1"/>
  <c r="AA14" i="3"/>
  <c r="W14" i="3"/>
  <c r="U14" i="3"/>
  <c r="R14" i="3"/>
  <c r="N14" i="3"/>
  <c r="O14" i="3" s="1"/>
  <c r="L14" i="3"/>
  <c r="I14" i="3"/>
  <c r="H14" i="3"/>
  <c r="F14" i="3"/>
  <c r="C14" i="3"/>
  <c r="AC13" i="3"/>
  <c r="AA13" i="3"/>
  <c r="W13" i="3"/>
  <c r="X13" i="3" s="1"/>
  <c r="U13" i="3"/>
  <c r="R13" i="3"/>
  <c r="N13" i="3"/>
  <c r="O13" i="3" s="1"/>
  <c r="L13" i="3"/>
  <c r="H13" i="3"/>
  <c r="I13" i="3" s="1"/>
  <c r="F13" i="3"/>
  <c r="C13" i="3"/>
  <c r="AC12" i="3"/>
  <c r="AA12" i="3"/>
  <c r="W12" i="3"/>
  <c r="U12" i="3"/>
  <c r="R12" i="3"/>
  <c r="O12" i="3"/>
  <c r="N12" i="3"/>
  <c r="L12" i="3"/>
  <c r="H12" i="3"/>
  <c r="F12" i="3"/>
  <c r="C12" i="3"/>
  <c r="AC11" i="3"/>
  <c r="AD11" i="3" s="1"/>
  <c r="AA11" i="3"/>
  <c r="W11" i="3"/>
  <c r="X11" i="3" s="1"/>
  <c r="U11" i="3"/>
  <c r="R11" i="3"/>
  <c r="N11" i="3"/>
  <c r="O11" i="3" s="1"/>
  <c r="L11" i="3"/>
  <c r="H11" i="3"/>
  <c r="F11" i="3"/>
  <c r="C11" i="3"/>
  <c r="AC10" i="3"/>
  <c r="AD10" i="3" s="1"/>
  <c r="AA10" i="3"/>
  <c r="W10" i="3"/>
  <c r="U10" i="3"/>
  <c r="R10" i="3"/>
  <c r="N10" i="3"/>
  <c r="O10" i="3" s="1"/>
  <c r="L10" i="3"/>
  <c r="I10" i="3"/>
  <c r="H10" i="3"/>
  <c r="F10" i="3"/>
  <c r="C10" i="3"/>
  <c r="AC8" i="3"/>
  <c r="AA8" i="3"/>
  <c r="W8" i="3"/>
  <c r="X8" i="3" s="1"/>
  <c r="U8" i="3"/>
  <c r="R8" i="3"/>
  <c r="N8" i="3"/>
  <c r="O8" i="3" s="1"/>
  <c r="L8" i="3"/>
  <c r="H8" i="3"/>
  <c r="I8" i="3" s="1"/>
  <c r="F8" i="3"/>
  <c r="C8" i="3"/>
  <c r="AC445" i="2"/>
  <c r="AD438" i="2" s="1"/>
  <c r="W445" i="2"/>
  <c r="N445" i="2"/>
  <c r="H445" i="2"/>
  <c r="AA443" i="2"/>
  <c r="Z443" i="2"/>
  <c r="T443" i="2"/>
  <c r="R443" i="2"/>
  <c r="Q443" i="2"/>
  <c r="AC443" i="2" s="1"/>
  <c r="AD443" i="2" s="1"/>
  <c r="L443" i="2"/>
  <c r="K443" i="2"/>
  <c r="I443" i="2"/>
  <c r="H443" i="2"/>
  <c r="F443" i="2"/>
  <c r="E443" i="2"/>
  <c r="C443" i="2"/>
  <c r="B443" i="2"/>
  <c r="N443" i="2" s="1"/>
  <c r="O443" i="2" s="1"/>
  <c r="AA442" i="2"/>
  <c r="Z442" i="2"/>
  <c r="U442" i="2"/>
  <c r="T442" i="2"/>
  <c r="Q442" i="2"/>
  <c r="L442" i="2"/>
  <c r="K442" i="2"/>
  <c r="E442" i="2"/>
  <c r="F442" i="2" s="1"/>
  <c r="B442" i="2"/>
  <c r="AD441" i="2"/>
  <c r="AC441" i="2"/>
  <c r="AA441" i="2"/>
  <c r="W441" i="2"/>
  <c r="X441" i="2" s="1"/>
  <c r="U441" i="2"/>
  <c r="R441" i="2"/>
  <c r="O441" i="2"/>
  <c r="N441" i="2"/>
  <c r="L441" i="2"/>
  <c r="I441" i="2"/>
  <c r="H441" i="2"/>
  <c r="F441" i="2"/>
  <c r="C441" i="2"/>
  <c r="AD440" i="2"/>
  <c r="AC440" i="2"/>
  <c r="AA440" i="2"/>
  <c r="W440" i="2"/>
  <c r="X440" i="2" s="1"/>
  <c r="U440" i="2"/>
  <c r="R440" i="2"/>
  <c r="N440" i="2"/>
  <c r="O440" i="2" s="1"/>
  <c r="L440" i="2"/>
  <c r="I440" i="2"/>
  <c r="H440" i="2"/>
  <c r="F440" i="2"/>
  <c r="C440" i="2"/>
  <c r="AD439" i="2"/>
  <c r="AC439" i="2"/>
  <c r="AA439" i="2"/>
  <c r="X439" i="2"/>
  <c r="W439" i="2"/>
  <c r="U439" i="2"/>
  <c r="R439" i="2"/>
  <c r="N439" i="2"/>
  <c r="O439" i="2" s="1"/>
  <c r="L439" i="2"/>
  <c r="H439" i="2"/>
  <c r="I439" i="2" s="1"/>
  <c r="F439" i="2"/>
  <c r="C439" i="2"/>
  <c r="AC438" i="2"/>
  <c r="AA438" i="2"/>
  <c r="W438" i="2"/>
  <c r="X438" i="2" s="1"/>
  <c r="U438" i="2"/>
  <c r="R438" i="2"/>
  <c r="N438" i="2"/>
  <c r="O438" i="2" s="1"/>
  <c r="L438" i="2"/>
  <c r="I438" i="2"/>
  <c r="H438" i="2"/>
  <c r="F438" i="2"/>
  <c r="C438" i="2"/>
  <c r="AD437" i="2"/>
  <c r="AC437" i="2"/>
  <c r="AA437" i="2"/>
  <c r="W437" i="2"/>
  <c r="X437" i="2" s="1"/>
  <c r="U437" i="2"/>
  <c r="R437" i="2"/>
  <c r="O437" i="2"/>
  <c r="N437" i="2"/>
  <c r="L437" i="2"/>
  <c r="I437" i="2"/>
  <c r="H437" i="2"/>
  <c r="F437" i="2"/>
  <c r="C437" i="2"/>
  <c r="AD436" i="2"/>
  <c r="AC436" i="2"/>
  <c r="AA436" i="2"/>
  <c r="W436" i="2"/>
  <c r="X436" i="2" s="1"/>
  <c r="U436" i="2"/>
  <c r="R436" i="2"/>
  <c r="N436" i="2"/>
  <c r="O436" i="2" s="1"/>
  <c r="L436" i="2"/>
  <c r="I436" i="2"/>
  <c r="H436" i="2"/>
  <c r="F436" i="2"/>
  <c r="C436" i="2"/>
  <c r="AC435" i="2"/>
  <c r="AD435" i="2" s="1"/>
  <c r="AA435" i="2"/>
  <c r="X435" i="2"/>
  <c r="W435" i="2"/>
  <c r="U435" i="2"/>
  <c r="R435" i="2"/>
  <c r="N435" i="2"/>
  <c r="O435" i="2" s="1"/>
  <c r="L435" i="2"/>
  <c r="H435" i="2"/>
  <c r="I435" i="2" s="1"/>
  <c r="F435" i="2"/>
  <c r="C435" i="2"/>
  <c r="AC434" i="2"/>
  <c r="AA434" i="2"/>
  <c r="W434" i="2"/>
  <c r="X434" i="2" s="1"/>
  <c r="U434" i="2"/>
  <c r="R434" i="2"/>
  <c r="N434" i="2"/>
  <c r="O434" i="2" s="1"/>
  <c r="L434" i="2"/>
  <c r="I434" i="2"/>
  <c r="H434" i="2"/>
  <c r="F434" i="2"/>
  <c r="C434" i="2"/>
  <c r="AD433" i="2"/>
  <c r="AC433" i="2"/>
  <c r="AA433" i="2"/>
  <c r="W433" i="2"/>
  <c r="X433" i="2" s="1"/>
  <c r="U433" i="2"/>
  <c r="R433" i="2"/>
  <c r="O433" i="2"/>
  <c r="N433" i="2"/>
  <c r="L433" i="2"/>
  <c r="I433" i="2"/>
  <c r="H433" i="2"/>
  <c r="F433" i="2"/>
  <c r="C433" i="2"/>
  <c r="AA430" i="2"/>
  <c r="Z430" i="2"/>
  <c r="T430" i="2"/>
  <c r="U430" i="2" s="1"/>
  <c r="Q430" i="2"/>
  <c r="AC430" i="2" s="1"/>
  <c r="AD430" i="2" s="1"/>
  <c r="L430" i="2"/>
  <c r="K430" i="2"/>
  <c r="E430" i="2"/>
  <c r="H430" i="2" s="1"/>
  <c r="I430" i="2" s="1"/>
  <c r="C430" i="2"/>
  <c r="B430" i="2"/>
  <c r="N430" i="2" s="1"/>
  <c r="O430" i="2" s="1"/>
  <c r="Z429" i="2"/>
  <c r="AA429" i="2" s="1"/>
  <c r="X429" i="2"/>
  <c r="W429" i="2"/>
  <c r="U429" i="2"/>
  <c r="T429" i="2"/>
  <c r="R429" i="2"/>
  <c r="Q429" i="2"/>
  <c r="AC429" i="2" s="1"/>
  <c r="AD429" i="2" s="1"/>
  <c r="K429" i="2"/>
  <c r="L429" i="2" s="1"/>
  <c r="F429" i="2"/>
  <c r="E429" i="2"/>
  <c r="B429" i="2"/>
  <c r="H429" i="2" s="1"/>
  <c r="I429" i="2" s="1"/>
  <c r="AC428" i="2"/>
  <c r="AD428" i="2" s="1"/>
  <c r="AA428" i="2"/>
  <c r="W428" i="2"/>
  <c r="X428" i="2" s="1"/>
  <c r="U428" i="2"/>
  <c r="R428" i="2"/>
  <c r="N428" i="2"/>
  <c r="O428" i="2" s="1"/>
  <c r="L428" i="2"/>
  <c r="I428" i="2"/>
  <c r="H428" i="2"/>
  <c r="F428" i="2"/>
  <c r="C428" i="2"/>
  <c r="AD427" i="2"/>
  <c r="AC427" i="2"/>
  <c r="AA427" i="2"/>
  <c r="X427" i="2"/>
  <c r="W427" i="2"/>
  <c r="U427" i="2"/>
  <c r="R427" i="2"/>
  <c r="N427" i="2"/>
  <c r="O427" i="2" s="1"/>
  <c r="L427" i="2"/>
  <c r="H427" i="2"/>
  <c r="I427" i="2" s="1"/>
  <c r="F427" i="2"/>
  <c r="C427" i="2"/>
  <c r="AC426" i="2"/>
  <c r="AA426" i="2"/>
  <c r="W426" i="2"/>
  <c r="X426" i="2" s="1"/>
  <c r="U426" i="2"/>
  <c r="R426" i="2"/>
  <c r="N426" i="2"/>
  <c r="O426" i="2" s="1"/>
  <c r="L426" i="2"/>
  <c r="I426" i="2"/>
  <c r="H426" i="2"/>
  <c r="F426" i="2"/>
  <c r="C426" i="2"/>
  <c r="AD425" i="2"/>
  <c r="AC425" i="2"/>
  <c r="AA425" i="2"/>
  <c r="W425" i="2"/>
  <c r="X425" i="2" s="1"/>
  <c r="U425" i="2"/>
  <c r="R425" i="2"/>
  <c r="O425" i="2"/>
  <c r="N425" i="2"/>
  <c r="L425" i="2"/>
  <c r="I425" i="2"/>
  <c r="H425" i="2"/>
  <c r="F425" i="2"/>
  <c r="C425" i="2"/>
  <c r="AC424" i="2"/>
  <c r="AD424" i="2" s="1"/>
  <c r="AA424" i="2"/>
  <c r="W424" i="2"/>
  <c r="X424" i="2" s="1"/>
  <c r="U424" i="2"/>
  <c r="R424" i="2"/>
  <c r="N424" i="2"/>
  <c r="O424" i="2" s="1"/>
  <c r="L424" i="2"/>
  <c r="I424" i="2"/>
  <c r="H424" i="2"/>
  <c r="F424" i="2"/>
  <c r="C424" i="2"/>
  <c r="AC423" i="2"/>
  <c r="AD423" i="2" s="1"/>
  <c r="AA423" i="2"/>
  <c r="X423" i="2"/>
  <c r="W423" i="2"/>
  <c r="U423" i="2"/>
  <c r="R423" i="2"/>
  <c r="N423" i="2"/>
  <c r="O423" i="2" s="1"/>
  <c r="L423" i="2"/>
  <c r="H423" i="2"/>
  <c r="I423" i="2" s="1"/>
  <c r="F423" i="2"/>
  <c r="C423" i="2"/>
  <c r="AC422" i="2"/>
  <c r="AA422" i="2"/>
  <c r="X422" i="2"/>
  <c r="W422" i="2"/>
  <c r="U422" i="2"/>
  <c r="R422" i="2"/>
  <c r="N422" i="2"/>
  <c r="O422" i="2" s="1"/>
  <c r="L422" i="2"/>
  <c r="I422" i="2"/>
  <c r="H422" i="2"/>
  <c r="F422" i="2"/>
  <c r="C422" i="2"/>
  <c r="AD421" i="2"/>
  <c r="AC421" i="2"/>
  <c r="AA421" i="2"/>
  <c r="W421" i="2"/>
  <c r="X421" i="2" s="1"/>
  <c r="U421" i="2"/>
  <c r="R421" i="2"/>
  <c r="O421" i="2"/>
  <c r="N421" i="2"/>
  <c r="L421" i="2"/>
  <c r="I421" i="2"/>
  <c r="H421" i="2"/>
  <c r="F421" i="2"/>
  <c r="C421" i="2"/>
  <c r="AC420" i="2"/>
  <c r="AD420" i="2" s="1"/>
  <c r="AA420" i="2"/>
  <c r="X420" i="2"/>
  <c r="W420" i="2"/>
  <c r="U420" i="2"/>
  <c r="R420" i="2"/>
  <c r="O420" i="2"/>
  <c r="N420" i="2"/>
  <c r="L420" i="2"/>
  <c r="I420" i="2"/>
  <c r="H420" i="2"/>
  <c r="F420" i="2"/>
  <c r="C420" i="2"/>
  <c r="AD419" i="2"/>
  <c r="AC419" i="2"/>
  <c r="AA419" i="2"/>
  <c r="X419" i="2"/>
  <c r="W419" i="2"/>
  <c r="U419" i="2"/>
  <c r="R419" i="2"/>
  <c r="N419" i="2"/>
  <c r="O419" i="2" s="1"/>
  <c r="L419" i="2"/>
  <c r="I419" i="2"/>
  <c r="H419" i="2"/>
  <c r="F419" i="2"/>
  <c r="C419" i="2"/>
  <c r="AC418" i="2"/>
  <c r="AA418" i="2"/>
  <c r="X418" i="2"/>
  <c r="W418" i="2"/>
  <c r="U418" i="2"/>
  <c r="R418" i="2"/>
  <c r="O418" i="2"/>
  <c r="N418" i="2"/>
  <c r="L418" i="2"/>
  <c r="H418" i="2"/>
  <c r="I418" i="2" s="1"/>
  <c r="F418" i="2"/>
  <c r="C418" i="2"/>
  <c r="AD417" i="2"/>
  <c r="AC417" i="2"/>
  <c r="AA417" i="2"/>
  <c r="W417" i="2"/>
  <c r="X417" i="2" s="1"/>
  <c r="U417" i="2"/>
  <c r="R417" i="2"/>
  <c r="O417" i="2"/>
  <c r="N417" i="2"/>
  <c r="L417" i="2"/>
  <c r="I417" i="2"/>
  <c r="H417" i="2"/>
  <c r="F417" i="2"/>
  <c r="C417" i="2"/>
  <c r="AC416" i="2"/>
  <c r="AD416" i="2" s="1"/>
  <c r="AA416" i="2"/>
  <c r="X416" i="2"/>
  <c r="W416" i="2"/>
  <c r="U416" i="2"/>
  <c r="R416" i="2"/>
  <c r="N416" i="2"/>
  <c r="O416" i="2" s="1"/>
  <c r="L416" i="2"/>
  <c r="I416" i="2"/>
  <c r="H416" i="2"/>
  <c r="F416" i="2"/>
  <c r="C416" i="2"/>
  <c r="AC415" i="2"/>
  <c r="AD415" i="2" s="1"/>
  <c r="AA415" i="2"/>
  <c r="X415" i="2"/>
  <c r="W415" i="2"/>
  <c r="U415" i="2"/>
  <c r="R415" i="2"/>
  <c r="N415" i="2"/>
  <c r="O415" i="2" s="1"/>
  <c r="L415" i="2"/>
  <c r="H415" i="2"/>
  <c r="I415" i="2" s="1"/>
  <c r="F415" i="2"/>
  <c r="C415" i="2"/>
  <c r="AC414" i="2"/>
  <c r="AA414" i="2"/>
  <c r="W414" i="2"/>
  <c r="X414" i="2" s="1"/>
  <c r="U414" i="2"/>
  <c r="R414" i="2"/>
  <c r="O414" i="2"/>
  <c r="N414" i="2"/>
  <c r="L414" i="2"/>
  <c r="I414" i="2"/>
  <c r="H414" i="2"/>
  <c r="F414" i="2"/>
  <c r="C414" i="2"/>
  <c r="AD413" i="2"/>
  <c r="AC413" i="2"/>
  <c r="AA413" i="2"/>
  <c r="W413" i="2"/>
  <c r="X413" i="2" s="1"/>
  <c r="U413" i="2"/>
  <c r="R413" i="2"/>
  <c r="O413" i="2"/>
  <c r="N413" i="2"/>
  <c r="L413" i="2"/>
  <c r="I413" i="2"/>
  <c r="H413" i="2"/>
  <c r="F413" i="2"/>
  <c r="C413" i="2"/>
  <c r="AC412" i="2"/>
  <c r="AD412" i="2" s="1"/>
  <c r="AA412" i="2"/>
  <c r="X412" i="2"/>
  <c r="W412" i="2"/>
  <c r="U412" i="2"/>
  <c r="R412" i="2"/>
  <c r="O412" i="2"/>
  <c r="N412" i="2"/>
  <c r="L412" i="2"/>
  <c r="I412" i="2"/>
  <c r="H412" i="2"/>
  <c r="F412" i="2"/>
  <c r="C412" i="2"/>
  <c r="AC411" i="2"/>
  <c r="AD411" i="2" s="1"/>
  <c r="AA411" i="2"/>
  <c r="X411" i="2"/>
  <c r="W411" i="2"/>
  <c r="U411" i="2"/>
  <c r="R411" i="2"/>
  <c r="N411" i="2"/>
  <c r="O411" i="2" s="1"/>
  <c r="L411" i="2"/>
  <c r="I411" i="2"/>
  <c r="H411" i="2"/>
  <c r="F411" i="2"/>
  <c r="C411" i="2"/>
  <c r="AC410" i="2"/>
  <c r="AA410" i="2"/>
  <c r="X410" i="2"/>
  <c r="W410" i="2"/>
  <c r="U410" i="2"/>
  <c r="R410" i="2"/>
  <c r="O410" i="2"/>
  <c r="N410" i="2"/>
  <c r="L410" i="2"/>
  <c r="H410" i="2"/>
  <c r="I410" i="2" s="1"/>
  <c r="F410" i="2"/>
  <c r="C410" i="2"/>
  <c r="AD409" i="2"/>
  <c r="AC409" i="2"/>
  <c r="AA409" i="2"/>
  <c r="W409" i="2"/>
  <c r="X409" i="2" s="1"/>
  <c r="U409" i="2"/>
  <c r="R409" i="2"/>
  <c r="O409" i="2"/>
  <c r="N409" i="2"/>
  <c r="L409" i="2"/>
  <c r="I409" i="2"/>
  <c r="H409" i="2"/>
  <c r="F409" i="2"/>
  <c r="C409" i="2"/>
  <c r="AD408" i="2"/>
  <c r="AC408" i="2"/>
  <c r="AA408" i="2"/>
  <c r="X408" i="2"/>
  <c r="W408" i="2"/>
  <c r="U408" i="2"/>
  <c r="R408" i="2"/>
  <c r="N408" i="2"/>
  <c r="O408" i="2" s="1"/>
  <c r="L408" i="2"/>
  <c r="I408" i="2"/>
  <c r="H408" i="2"/>
  <c r="F408" i="2"/>
  <c r="C408" i="2"/>
  <c r="AA404" i="2"/>
  <c r="Z404" i="2"/>
  <c r="T404" i="2"/>
  <c r="U404" i="2" s="1"/>
  <c r="R404" i="2"/>
  <c r="Q404" i="2"/>
  <c r="AC404" i="2" s="1"/>
  <c r="AD404" i="2" s="1"/>
  <c r="L404" i="2"/>
  <c r="K404" i="2"/>
  <c r="H404" i="2"/>
  <c r="I404" i="2" s="1"/>
  <c r="F404" i="2"/>
  <c r="E404" i="2"/>
  <c r="C404" i="2"/>
  <c r="B404" i="2"/>
  <c r="N404" i="2" s="1"/>
  <c r="O404" i="2" s="1"/>
  <c r="AD403" i="2"/>
  <c r="AC403" i="2"/>
  <c r="AA403" i="2"/>
  <c r="X403" i="2"/>
  <c r="W403" i="2"/>
  <c r="U403" i="2"/>
  <c r="R403" i="2"/>
  <c r="N403" i="2"/>
  <c r="O403" i="2" s="1"/>
  <c r="L403" i="2"/>
  <c r="H403" i="2"/>
  <c r="I403" i="2" s="1"/>
  <c r="F403" i="2"/>
  <c r="C403" i="2"/>
  <c r="AC402" i="2"/>
  <c r="AA402" i="2"/>
  <c r="W402" i="2"/>
  <c r="X402" i="2" s="1"/>
  <c r="U402" i="2"/>
  <c r="R402" i="2"/>
  <c r="O402" i="2"/>
  <c r="N402" i="2"/>
  <c r="L402" i="2"/>
  <c r="I402" i="2"/>
  <c r="H402" i="2"/>
  <c r="F402" i="2"/>
  <c r="C402" i="2"/>
  <c r="AD401" i="2"/>
  <c r="AC401" i="2"/>
  <c r="AA401" i="2"/>
  <c r="W401" i="2"/>
  <c r="X401" i="2" s="1"/>
  <c r="U401" i="2"/>
  <c r="R401" i="2"/>
  <c r="O401" i="2"/>
  <c r="N401" i="2"/>
  <c r="L401" i="2"/>
  <c r="I401" i="2"/>
  <c r="H401" i="2"/>
  <c r="F401" i="2"/>
  <c r="C401" i="2"/>
  <c r="AC400" i="2"/>
  <c r="AD400" i="2" s="1"/>
  <c r="AA400" i="2"/>
  <c r="X400" i="2"/>
  <c r="W400" i="2"/>
  <c r="U400" i="2"/>
  <c r="R400" i="2"/>
  <c r="O400" i="2"/>
  <c r="N400" i="2"/>
  <c r="L400" i="2"/>
  <c r="I400" i="2"/>
  <c r="H400" i="2"/>
  <c r="F400" i="2"/>
  <c r="C400" i="2"/>
  <c r="AD399" i="2"/>
  <c r="AC399" i="2"/>
  <c r="AA399" i="2"/>
  <c r="X399" i="2"/>
  <c r="W399" i="2"/>
  <c r="U399" i="2"/>
  <c r="R399" i="2"/>
  <c r="N399" i="2"/>
  <c r="O399" i="2" s="1"/>
  <c r="L399" i="2"/>
  <c r="I399" i="2"/>
  <c r="H399" i="2"/>
  <c r="F399" i="2"/>
  <c r="C399" i="2"/>
  <c r="AC398" i="2"/>
  <c r="AA398" i="2"/>
  <c r="W398" i="2"/>
  <c r="X398" i="2" s="1"/>
  <c r="U398" i="2"/>
  <c r="R398" i="2"/>
  <c r="O398" i="2"/>
  <c r="N398" i="2"/>
  <c r="L398" i="2"/>
  <c r="I398" i="2"/>
  <c r="H398" i="2"/>
  <c r="F398" i="2"/>
  <c r="C398" i="2"/>
  <c r="AA397" i="2"/>
  <c r="Z397" i="2"/>
  <c r="T397" i="2"/>
  <c r="R397" i="2"/>
  <c r="Q397" i="2"/>
  <c r="AC397" i="2" s="1"/>
  <c r="AD397" i="2" s="1"/>
  <c r="K397" i="2"/>
  <c r="L397" i="2" s="1"/>
  <c r="H397" i="2"/>
  <c r="I397" i="2" s="1"/>
  <c r="F397" i="2"/>
  <c r="E397" i="2"/>
  <c r="C397" i="2"/>
  <c r="B397" i="2"/>
  <c r="N397" i="2" s="1"/>
  <c r="O397" i="2" s="1"/>
  <c r="AC396" i="2"/>
  <c r="AD396" i="2" s="1"/>
  <c r="AA396" i="2"/>
  <c r="X396" i="2"/>
  <c r="W396" i="2"/>
  <c r="U396" i="2"/>
  <c r="R396" i="2"/>
  <c r="N396" i="2"/>
  <c r="O396" i="2" s="1"/>
  <c r="L396" i="2"/>
  <c r="I396" i="2"/>
  <c r="H396" i="2"/>
  <c r="F396" i="2"/>
  <c r="C396" i="2"/>
  <c r="AC395" i="2"/>
  <c r="AA395" i="2"/>
  <c r="X395" i="2"/>
  <c r="W395" i="2"/>
  <c r="U395" i="2"/>
  <c r="R395" i="2"/>
  <c r="O395" i="2"/>
  <c r="N395" i="2"/>
  <c r="L395" i="2"/>
  <c r="H395" i="2"/>
  <c r="I395" i="2" s="1"/>
  <c r="F395" i="2"/>
  <c r="C395" i="2"/>
  <c r="AA394" i="2"/>
  <c r="Z394" i="2"/>
  <c r="T394" i="2"/>
  <c r="U394" i="2" s="1"/>
  <c r="R394" i="2"/>
  <c r="Q394" i="2"/>
  <c r="AC394" i="2" s="1"/>
  <c r="AD394" i="2" s="1"/>
  <c r="K394" i="2"/>
  <c r="L394" i="2" s="1"/>
  <c r="I394" i="2"/>
  <c r="H394" i="2"/>
  <c r="F394" i="2"/>
  <c r="E394" i="2"/>
  <c r="C394" i="2"/>
  <c r="B394" i="2"/>
  <c r="N394" i="2" s="1"/>
  <c r="O394" i="2" s="1"/>
  <c r="AC393" i="2"/>
  <c r="AD393" i="2" s="1"/>
  <c r="AA393" i="2"/>
  <c r="X393" i="2"/>
  <c r="W393" i="2"/>
  <c r="U393" i="2"/>
  <c r="R393" i="2"/>
  <c r="N393" i="2"/>
  <c r="O393" i="2" s="1"/>
  <c r="L393" i="2"/>
  <c r="H393" i="2"/>
  <c r="I393" i="2" s="1"/>
  <c r="F393" i="2"/>
  <c r="C393" i="2"/>
  <c r="AC392" i="2"/>
  <c r="AA392" i="2"/>
  <c r="X392" i="2"/>
  <c r="W392" i="2"/>
  <c r="U392" i="2"/>
  <c r="R392" i="2"/>
  <c r="O392" i="2"/>
  <c r="N392" i="2"/>
  <c r="L392" i="2"/>
  <c r="H392" i="2"/>
  <c r="I392" i="2" s="1"/>
  <c r="F392" i="2"/>
  <c r="C392" i="2"/>
  <c r="AD391" i="2"/>
  <c r="AC391" i="2"/>
  <c r="AA391" i="2"/>
  <c r="W391" i="2"/>
  <c r="X391" i="2" s="1"/>
  <c r="U391" i="2"/>
  <c r="R391" i="2"/>
  <c r="O391" i="2"/>
  <c r="N391" i="2"/>
  <c r="L391" i="2"/>
  <c r="I391" i="2"/>
  <c r="H391" i="2"/>
  <c r="F391" i="2"/>
  <c r="C391" i="2"/>
  <c r="AD390" i="2"/>
  <c r="AC390" i="2"/>
  <c r="AA390" i="2"/>
  <c r="X390" i="2"/>
  <c r="W390" i="2"/>
  <c r="U390" i="2"/>
  <c r="R390" i="2"/>
  <c r="N390" i="2"/>
  <c r="O390" i="2" s="1"/>
  <c r="L390" i="2"/>
  <c r="I390" i="2"/>
  <c r="H390" i="2"/>
  <c r="F390" i="2"/>
  <c r="C390" i="2"/>
  <c r="AD389" i="2"/>
  <c r="AC389" i="2"/>
  <c r="AA389" i="2"/>
  <c r="X389" i="2"/>
  <c r="W389" i="2"/>
  <c r="U389" i="2"/>
  <c r="R389" i="2"/>
  <c r="N389" i="2"/>
  <c r="O389" i="2" s="1"/>
  <c r="L389" i="2"/>
  <c r="H389" i="2"/>
  <c r="I389" i="2" s="1"/>
  <c r="F389" i="2"/>
  <c r="C389" i="2"/>
  <c r="AC387" i="2"/>
  <c r="AA387" i="2"/>
  <c r="W387" i="2"/>
  <c r="X387" i="2" s="1"/>
  <c r="U387" i="2"/>
  <c r="R387" i="2"/>
  <c r="O387" i="2"/>
  <c r="N387" i="2"/>
  <c r="L387" i="2"/>
  <c r="H387" i="2"/>
  <c r="I387" i="2" s="1"/>
  <c r="F387" i="2"/>
  <c r="C387" i="2"/>
  <c r="AD386" i="2"/>
  <c r="AC386" i="2"/>
  <c r="AA386" i="2"/>
  <c r="W386" i="2"/>
  <c r="X386" i="2" s="1"/>
  <c r="U386" i="2"/>
  <c r="R386" i="2"/>
  <c r="O386" i="2"/>
  <c r="N386" i="2"/>
  <c r="L386" i="2"/>
  <c r="I386" i="2"/>
  <c r="H386" i="2"/>
  <c r="F386" i="2"/>
  <c r="C386" i="2"/>
  <c r="AC384" i="2"/>
  <c r="AD384" i="2" s="1"/>
  <c r="AA384" i="2"/>
  <c r="X384" i="2"/>
  <c r="W384" i="2"/>
  <c r="U384" i="2"/>
  <c r="R384" i="2"/>
  <c r="N384" i="2"/>
  <c r="O384" i="2" s="1"/>
  <c r="L384" i="2"/>
  <c r="I384" i="2"/>
  <c r="H384" i="2"/>
  <c r="F384" i="2"/>
  <c r="C384" i="2"/>
  <c r="AC383" i="2"/>
  <c r="AD383" i="2" s="1"/>
  <c r="AA383" i="2"/>
  <c r="X383" i="2"/>
  <c r="W383" i="2"/>
  <c r="U383" i="2"/>
  <c r="R383" i="2"/>
  <c r="N383" i="2"/>
  <c r="O383" i="2" s="1"/>
  <c r="L383" i="2"/>
  <c r="H383" i="2"/>
  <c r="I383" i="2" s="1"/>
  <c r="F383" i="2"/>
  <c r="C383" i="2"/>
  <c r="AC382" i="2"/>
  <c r="AA382" i="2"/>
  <c r="W382" i="2"/>
  <c r="X382" i="2" s="1"/>
  <c r="U382" i="2"/>
  <c r="R382" i="2"/>
  <c r="O382" i="2"/>
  <c r="N382" i="2"/>
  <c r="L382" i="2"/>
  <c r="H382" i="2"/>
  <c r="I382" i="2" s="1"/>
  <c r="F382" i="2"/>
  <c r="C382" i="2"/>
  <c r="AD381" i="2"/>
  <c r="AC381" i="2"/>
  <c r="AA381" i="2"/>
  <c r="W381" i="2"/>
  <c r="X381" i="2" s="1"/>
  <c r="U381" i="2"/>
  <c r="R381" i="2"/>
  <c r="O381" i="2"/>
  <c r="N381" i="2"/>
  <c r="L381" i="2"/>
  <c r="I381" i="2"/>
  <c r="H381" i="2"/>
  <c r="F381" i="2"/>
  <c r="C381" i="2"/>
  <c r="AC380" i="2"/>
  <c r="AD380" i="2" s="1"/>
  <c r="AA380" i="2"/>
  <c r="X380" i="2"/>
  <c r="W380" i="2"/>
  <c r="U380" i="2"/>
  <c r="R380" i="2"/>
  <c r="N380" i="2"/>
  <c r="O380" i="2" s="1"/>
  <c r="L380" i="2"/>
  <c r="I380" i="2"/>
  <c r="H380" i="2"/>
  <c r="F380" i="2"/>
  <c r="C380" i="2"/>
  <c r="AD379" i="2"/>
  <c r="AC379" i="2"/>
  <c r="AA379" i="2"/>
  <c r="X379" i="2"/>
  <c r="W379" i="2"/>
  <c r="U379" i="2"/>
  <c r="R379" i="2"/>
  <c r="N379" i="2"/>
  <c r="O379" i="2" s="1"/>
  <c r="L379" i="2"/>
  <c r="H379" i="2"/>
  <c r="I379" i="2" s="1"/>
  <c r="F379" i="2"/>
  <c r="C379" i="2"/>
  <c r="AC378" i="2"/>
  <c r="AA378" i="2"/>
  <c r="W378" i="2"/>
  <c r="X378" i="2" s="1"/>
  <c r="U378" i="2"/>
  <c r="R378" i="2"/>
  <c r="O378" i="2"/>
  <c r="N378" i="2"/>
  <c r="L378" i="2"/>
  <c r="I378" i="2"/>
  <c r="H378" i="2"/>
  <c r="F378" i="2"/>
  <c r="C378" i="2"/>
  <c r="AD377" i="2"/>
  <c r="AC377" i="2"/>
  <c r="AA377" i="2"/>
  <c r="W377" i="2"/>
  <c r="X377" i="2" s="1"/>
  <c r="U377" i="2"/>
  <c r="R377" i="2"/>
  <c r="O377" i="2"/>
  <c r="N377" i="2"/>
  <c r="L377" i="2"/>
  <c r="I377" i="2"/>
  <c r="H377" i="2"/>
  <c r="F377" i="2"/>
  <c r="C377" i="2"/>
  <c r="AC376" i="2"/>
  <c r="AD376" i="2" s="1"/>
  <c r="AA376" i="2"/>
  <c r="X376" i="2"/>
  <c r="W376" i="2"/>
  <c r="U376" i="2"/>
  <c r="R376" i="2"/>
  <c r="O376" i="2"/>
  <c r="N376" i="2"/>
  <c r="L376" i="2"/>
  <c r="I376" i="2"/>
  <c r="H376" i="2"/>
  <c r="F376" i="2"/>
  <c r="C376" i="2"/>
  <c r="AD375" i="2"/>
  <c r="AC375" i="2"/>
  <c r="AA375" i="2"/>
  <c r="X375" i="2"/>
  <c r="W375" i="2"/>
  <c r="U375" i="2"/>
  <c r="R375" i="2"/>
  <c r="N375" i="2"/>
  <c r="O375" i="2" s="1"/>
  <c r="L375" i="2"/>
  <c r="I375" i="2"/>
  <c r="H375" i="2"/>
  <c r="F375" i="2"/>
  <c r="C375" i="2"/>
  <c r="AC374" i="2"/>
  <c r="AA374" i="2"/>
  <c r="X374" i="2"/>
  <c r="W374" i="2"/>
  <c r="U374" i="2"/>
  <c r="R374" i="2"/>
  <c r="O374" i="2"/>
  <c r="N374" i="2"/>
  <c r="L374" i="2"/>
  <c r="H374" i="2"/>
  <c r="I374" i="2" s="1"/>
  <c r="F374" i="2"/>
  <c r="C374" i="2"/>
  <c r="AD373" i="2"/>
  <c r="AC373" i="2"/>
  <c r="AA373" i="2"/>
  <c r="W373" i="2"/>
  <c r="X373" i="2" s="1"/>
  <c r="U373" i="2"/>
  <c r="R373" i="2"/>
  <c r="O373" i="2"/>
  <c r="N373" i="2"/>
  <c r="L373" i="2"/>
  <c r="I373" i="2"/>
  <c r="H373" i="2"/>
  <c r="F373" i="2"/>
  <c r="C373" i="2"/>
  <c r="AC372" i="2"/>
  <c r="AD372" i="2" s="1"/>
  <c r="AA372" i="2"/>
  <c r="X372" i="2"/>
  <c r="W372" i="2"/>
  <c r="U372" i="2"/>
  <c r="R372" i="2"/>
  <c r="N372" i="2"/>
  <c r="O372" i="2" s="1"/>
  <c r="L372" i="2"/>
  <c r="I372" i="2"/>
  <c r="H372" i="2"/>
  <c r="F372" i="2"/>
  <c r="C372" i="2"/>
  <c r="AC371" i="2"/>
  <c r="AD371" i="2" s="1"/>
  <c r="AA371" i="2"/>
  <c r="X371" i="2"/>
  <c r="W371" i="2"/>
  <c r="U371" i="2"/>
  <c r="R371" i="2"/>
  <c r="N371" i="2"/>
  <c r="O371" i="2" s="1"/>
  <c r="L371" i="2"/>
  <c r="H371" i="2"/>
  <c r="I371" i="2" s="1"/>
  <c r="F371" i="2"/>
  <c r="C371" i="2"/>
  <c r="AC370" i="2"/>
  <c r="AA370" i="2"/>
  <c r="W370" i="2"/>
  <c r="X370" i="2" s="1"/>
  <c r="U370" i="2"/>
  <c r="R370" i="2"/>
  <c r="O370" i="2"/>
  <c r="N370" i="2"/>
  <c r="L370" i="2"/>
  <c r="I370" i="2"/>
  <c r="H370" i="2"/>
  <c r="F370" i="2"/>
  <c r="C370" i="2"/>
  <c r="AA369" i="2"/>
  <c r="Z369" i="2"/>
  <c r="X369" i="2"/>
  <c r="W369" i="2"/>
  <c r="U369" i="2"/>
  <c r="T369" i="2"/>
  <c r="R369" i="2"/>
  <c r="Q369" i="2"/>
  <c r="AC369" i="2" s="1"/>
  <c r="AD369" i="2" s="1"/>
  <c r="K369" i="2"/>
  <c r="L369" i="2" s="1"/>
  <c r="I369" i="2"/>
  <c r="H369" i="2"/>
  <c r="F369" i="2"/>
  <c r="E369" i="2"/>
  <c r="C369" i="2"/>
  <c r="B369" i="2"/>
  <c r="AC368" i="2"/>
  <c r="AD368" i="2" s="1"/>
  <c r="AA368" i="2"/>
  <c r="X368" i="2"/>
  <c r="W368" i="2"/>
  <c r="U368" i="2"/>
  <c r="R368" i="2"/>
  <c r="N368" i="2"/>
  <c r="O368" i="2" s="1"/>
  <c r="L368" i="2"/>
  <c r="H368" i="2"/>
  <c r="I368" i="2" s="1"/>
  <c r="F368" i="2"/>
  <c r="C368" i="2"/>
  <c r="AD367" i="2"/>
  <c r="AC367" i="2"/>
  <c r="AA367" i="2"/>
  <c r="W367" i="2"/>
  <c r="X367" i="2" s="1"/>
  <c r="U367" i="2"/>
  <c r="R367" i="2"/>
  <c r="O367" i="2"/>
  <c r="N367" i="2"/>
  <c r="L367" i="2"/>
  <c r="H367" i="2"/>
  <c r="I367" i="2" s="1"/>
  <c r="F367" i="2"/>
  <c r="C367" i="2"/>
  <c r="AD366" i="2"/>
  <c r="AC366" i="2"/>
  <c r="AA366" i="2"/>
  <c r="W366" i="2"/>
  <c r="X366" i="2" s="1"/>
  <c r="U366" i="2"/>
  <c r="R366" i="2"/>
  <c r="O366" i="2"/>
  <c r="N366" i="2"/>
  <c r="L366" i="2"/>
  <c r="I366" i="2"/>
  <c r="H366" i="2"/>
  <c r="F366" i="2"/>
  <c r="C366" i="2"/>
  <c r="AC365" i="2"/>
  <c r="AD365" i="2" s="1"/>
  <c r="AA365" i="2"/>
  <c r="X365" i="2"/>
  <c r="W365" i="2"/>
  <c r="U365" i="2"/>
  <c r="R365" i="2"/>
  <c r="N365" i="2"/>
  <c r="O365" i="2" s="1"/>
  <c r="L365" i="2"/>
  <c r="I365" i="2"/>
  <c r="H365" i="2"/>
  <c r="F365" i="2"/>
  <c r="C365" i="2"/>
  <c r="AC364" i="2"/>
  <c r="AD364" i="2" s="1"/>
  <c r="AA364" i="2"/>
  <c r="X364" i="2"/>
  <c r="W364" i="2"/>
  <c r="U364" i="2"/>
  <c r="R364" i="2"/>
  <c r="N364" i="2"/>
  <c r="O364" i="2" s="1"/>
  <c r="L364" i="2"/>
  <c r="H364" i="2"/>
  <c r="I364" i="2" s="1"/>
  <c r="F364" i="2"/>
  <c r="C364" i="2"/>
  <c r="AD363" i="2"/>
  <c r="AC363" i="2"/>
  <c r="AA363" i="2"/>
  <c r="W363" i="2"/>
  <c r="X363" i="2" s="1"/>
  <c r="U363" i="2"/>
  <c r="R363" i="2"/>
  <c r="O363" i="2"/>
  <c r="N363" i="2"/>
  <c r="L363" i="2"/>
  <c r="H363" i="2"/>
  <c r="I363" i="2" s="1"/>
  <c r="F363" i="2"/>
  <c r="C363" i="2"/>
  <c r="AD362" i="2"/>
  <c r="AC362" i="2"/>
  <c r="AA362" i="2"/>
  <c r="W362" i="2"/>
  <c r="X362" i="2" s="1"/>
  <c r="U362" i="2"/>
  <c r="R362" i="2"/>
  <c r="O362" i="2"/>
  <c r="N362" i="2"/>
  <c r="L362" i="2"/>
  <c r="I362" i="2"/>
  <c r="H362" i="2"/>
  <c r="F362" i="2"/>
  <c r="C362" i="2"/>
  <c r="AC361" i="2"/>
  <c r="AD361" i="2" s="1"/>
  <c r="AA361" i="2"/>
  <c r="X361" i="2"/>
  <c r="W361" i="2"/>
  <c r="U361" i="2"/>
  <c r="R361" i="2"/>
  <c r="N361" i="2"/>
  <c r="O361" i="2" s="1"/>
  <c r="L361" i="2"/>
  <c r="I361" i="2"/>
  <c r="H361" i="2"/>
  <c r="F361" i="2"/>
  <c r="C361" i="2"/>
  <c r="Z359" i="2"/>
  <c r="AA359" i="2" s="1"/>
  <c r="U359" i="2"/>
  <c r="T359" i="2"/>
  <c r="R359" i="2"/>
  <c r="Q359" i="2"/>
  <c r="W359" i="2" s="1"/>
  <c r="X359" i="2" s="1"/>
  <c r="L359" i="2"/>
  <c r="K359" i="2"/>
  <c r="E359" i="2"/>
  <c r="F359" i="2" s="1"/>
  <c r="C359" i="2"/>
  <c r="B359" i="2"/>
  <c r="N359" i="2" s="1"/>
  <c r="O359" i="2" s="1"/>
  <c r="AD358" i="2"/>
  <c r="AC358" i="2"/>
  <c r="AA358" i="2"/>
  <c r="W358" i="2"/>
  <c r="X358" i="2" s="1"/>
  <c r="U358" i="2"/>
  <c r="R358" i="2"/>
  <c r="O358" i="2"/>
  <c r="N358" i="2"/>
  <c r="L358" i="2"/>
  <c r="I358" i="2"/>
  <c r="H358" i="2"/>
  <c r="F358" i="2"/>
  <c r="C358" i="2"/>
  <c r="AC357" i="2"/>
  <c r="AD357" i="2" s="1"/>
  <c r="AA357" i="2"/>
  <c r="X357" i="2"/>
  <c r="W357" i="2"/>
  <c r="U357" i="2"/>
  <c r="R357" i="2"/>
  <c r="N357" i="2"/>
  <c r="O357" i="2" s="1"/>
  <c r="L357" i="2"/>
  <c r="I357" i="2"/>
  <c r="H357" i="2"/>
  <c r="F357" i="2"/>
  <c r="C357" i="2"/>
  <c r="AD356" i="2"/>
  <c r="AC356" i="2"/>
  <c r="AA356" i="2"/>
  <c r="X356" i="2"/>
  <c r="W356" i="2"/>
  <c r="U356" i="2"/>
  <c r="R356" i="2"/>
  <c r="N356" i="2"/>
  <c r="O356" i="2" s="1"/>
  <c r="L356" i="2"/>
  <c r="H356" i="2"/>
  <c r="I356" i="2" s="1"/>
  <c r="F356" i="2"/>
  <c r="C356" i="2"/>
  <c r="AD355" i="2"/>
  <c r="AC355" i="2"/>
  <c r="AA355" i="2"/>
  <c r="X355" i="2"/>
  <c r="W355" i="2"/>
  <c r="U355" i="2"/>
  <c r="R355" i="2"/>
  <c r="O355" i="2"/>
  <c r="N355" i="2"/>
  <c r="L355" i="2"/>
  <c r="H355" i="2"/>
  <c r="I355" i="2" s="1"/>
  <c r="F355" i="2"/>
  <c r="C355" i="2"/>
  <c r="AD354" i="2"/>
  <c r="AC354" i="2"/>
  <c r="AA354" i="2"/>
  <c r="W354" i="2"/>
  <c r="X354" i="2" s="1"/>
  <c r="U354" i="2"/>
  <c r="R354" i="2"/>
  <c r="O354" i="2"/>
  <c r="N354" i="2"/>
  <c r="L354" i="2"/>
  <c r="I354" i="2"/>
  <c r="H354" i="2"/>
  <c r="F354" i="2"/>
  <c r="C354" i="2"/>
  <c r="AC353" i="2"/>
  <c r="AD353" i="2" s="1"/>
  <c r="AA353" i="2"/>
  <c r="X353" i="2"/>
  <c r="W353" i="2"/>
  <c r="U353" i="2"/>
  <c r="R353" i="2"/>
  <c r="N353" i="2"/>
  <c r="O353" i="2" s="1"/>
  <c r="L353" i="2"/>
  <c r="I353" i="2"/>
  <c r="H353" i="2"/>
  <c r="F353" i="2"/>
  <c r="C353" i="2"/>
  <c r="AC352" i="2"/>
  <c r="AD352" i="2" s="1"/>
  <c r="AA352" i="2"/>
  <c r="X352" i="2"/>
  <c r="W352" i="2"/>
  <c r="U352" i="2"/>
  <c r="R352" i="2"/>
  <c r="N352" i="2"/>
  <c r="O352" i="2" s="1"/>
  <c r="L352" i="2"/>
  <c r="H352" i="2"/>
  <c r="I352" i="2" s="1"/>
  <c r="F352" i="2"/>
  <c r="C352" i="2"/>
  <c r="AD351" i="2"/>
  <c r="AC351" i="2"/>
  <c r="AA351" i="2"/>
  <c r="W351" i="2"/>
  <c r="X351" i="2" s="1"/>
  <c r="U351" i="2"/>
  <c r="R351" i="2"/>
  <c r="O351" i="2"/>
  <c r="N351" i="2"/>
  <c r="L351" i="2"/>
  <c r="I351" i="2"/>
  <c r="H351" i="2"/>
  <c r="F351" i="2"/>
  <c r="C351" i="2"/>
  <c r="AD350" i="2"/>
  <c r="AC350" i="2"/>
  <c r="AA350" i="2"/>
  <c r="W350" i="2"/>
  <c r="X350" i="2" s="1"/>
  <c r="U350" i="2"/>
  <c r="R350" i="2"/>
  <c r="O350" i="2"/>
  <c r="N350" i="2"/>
  <c r="L350" i="2"/>
  <c r="I350" i="2"/>
  <c r="H350" i="2"/>
  <c r="F350" i="2"/>
  <c r="C350" i="2"/>
  <c r="AC348" i="2"/>
  <c r="AD348" i="2" s="1"/>
  <c r="AA348" i="2"/>
  <c r="X348" i="2"/>
  <c r="W348" i="2"/>
  <c r="U348" i="2"/>
  <c r="R348" i="2"/>
  <c r="O348" i="2"/>
  <c r="N348" i="2"/>
  <c r="L348" i="2"/>
  <c r="I348" i="2"/>
  <c r="H348" i="2"/>
  <c r="F348" i="2"/>
  <c r="C348" i="2"/>
  <c r="AA345" i="2"/>
  <c r="Z345" i="2"/>
  <c r="W345" i="2"/>
  <c r="X345" i="2" s="1"/>
  <c r="T345" i="2"/>
  <c r="U345" i="2" s="1"/>
  <c r="R345" i="2"/>
  <c r="Q345" i="2"/>
  <c r="AC345" i="2" s="1"/>
  <c r="AD345" i="2" s="1"/>
  <c r="K345" i="2"/>
  <c r="L345" i="2" s="1"/>
  <c r="H345" i="2"/>
  <c r="I345" i="2" s="1"/>
  <c r="F345" i="2"/>
  <c r="E345" i="2"/>
  <c r="C345" i="2"/>
  <c r="B345" i="2"/>
  <c r="Z344" i="2"/>
  <c r="AA344" i="2" s="1"/>
  <c r="U344" i="2"/>
  <c r="T344" i="2"/>
  <c r="Q344" i="2"/>
  <c r="W344" i="2" s="1"/>
  <c r="X344" i="2" s="1"/>
  <c r="O344" i="2"/>
  <c r="N344" i="2"/>
  <c r="L344" i="2"/>
  <c r="K344" i="2"/>
  <c r="E344" i="2"/>
  <c r="F344" i="2" s="1"/>
  <c r="B344" i="2"/>
  <c r="AA343" i="2"/>
  <c r="Z343" i="2"/>
  <c r="X343" i="2"/>
  <c r="W343" i="2"/>
  <c r="T343" i="2"/>
  <c r="U343" i="2" s="1"/>
  <c r="R343" i="2"/>
  <c r="Q343" i="2"/>
  <c r="AC343" i="2" s="1"/>
  <c r="AD343" i="2" s="1"/>
  <c r="K343" i="2"/>
  <c r="L343" i="2" s="1"/>
  <c r="H343" i="2"/>
  <c r="I343" i="2" s="1"/>
  <c r="F343" i="2"/>
  <c r="E343" i="2"/>
  <c r="C343" i="2"/>
  <c r="B343" i="2"/>
  <c r="AD342" i="2"/>
  <c r="AC342" i="2"/>
  <c r="AA342" i="2"/>
  <c r="X342" i="2"/>
  <c r="W342" i="2"/>
  <c r="U342" i="2"/>
  <c r="R342" i="2"/>
  <c r="N342" i="2"/>
  <c r="O342" i="2" s="1"/>
  <c r="L342" i="2"/>
  <c r="I342" i="2"/>
  <c r="H342" i="2"/>
  <c r="F342" i="2"/>
  <c r="C342" i="2"/>
  <c r="AD341" i="2"/>
  <c r="AC341" i="2"/>
  <c r="AA341" i="2"/>
  <c r="X341" i="2"/>
  <c r="W341" i="2"/>
  <c r="U341" i="2"/>
  <c r="R341" i="2"/>
  <c r="O341" i="2"/>
  <c r="N341" i="2"/>
  <c r="L341" i="2"/>
  <c r="H341" i="2"/>
  <c r="I341" i="2" s="1"/>
  <c r="F341" i="2"/>
  <c r="C341" i="2"/>
  <c r="AD340" i="2"/>
  <c r="AC340" i="2"/>
  <c r="AA340" i="2"/>
  <c r="W340" i="2"/>
  <c r="X340" i="2" s="1"/>
  <c r="U340" i="2"/>
  <c r="R340" i="2"/>
  <c r="O340" i="2"/>
  <c r="N340" i="2"/>
  <c r="L340" i="2"/>
  <c r="I340" i="2"/>
  <c r="H340" i="2"/>
  <c r="F340" i="2"/>
  <c r="C340" i="2"/>
  <c r="AC339" i="2"/>
  <c r="AD339" i="2" s="1"/>
  <c r="AA339" i="2"/>
  <c r="X339" i="2"/>
  <c r="W339" i="2"/>
  <c r="U339" i="2"/>
  <c r="R339" i="2"/>
  <c r="N339" i="2"/>
  <c r="O339" i="2" s="1"/>
  <c r="L339" i="2"/>
  <c r="I339" i="2"/>
  <c r="H339" i="2"/>
  <c r="F339" i="2"/>
  <c r="C339" i="2"/>
  <c r="AC338" i="2"/>
  <c r="AD338" i="2" s="1"/>
  <c r="AA338" i="2"/>
  <c r="X338" i="2"/>
  <c r="W338" i="2"/>
  <c r="U338" i="2"/>
  <c r="R338" i="2"/>
  <c r="N338" i="2"/>
  <c r="O338" i="2" s="1"/>
  <c r="L338" i="2"/>
  <c r="H338" i="2"/>
  <c r="I338" i="2" s="1"/>
  <c r="F338" i="2"/>
  <c r="C338" i="2"/>
  <c r="AD336" i="2"/>
  <c r="AC336" i="2"/>
  <c r="AA336" i="2"/>
  <c r="W336" i="2"/>
  <c r="X336" i="2" s="1"/>
  <c r="U336" i="2"/>
  <c r="R336" i="2"/>
  <c r="O336" i="2"/>
  <c r="N336" i="2"/>
  <c r="L336" i="2"/>
  <c r="I336" i="2"/>
  <c r="H336" i="2"/>
  <c r="F336" i="2"/>
  <c r="C336" i="2"/>
  <c r="AD335" i="2"/>
  <c r="AC335" i="2"/>
  <c r="AA335" i="2"/>
  <c r="W335" i="2"/>
  <c r="X335" i="2" s="1"/>
  <c r="U335" i="2"/>
  <c r="R335" i="2"/>
  <c r="O335" i="2"/>
  <c r="N335" i="2"/>
  <c r="L335" i="2"/>
  <c r="I335" i="2"/>
  <c r="H335" i="2"/>
  <c r="F335" i="2"/>
  <c r="C335" i="2"/>
  <c r="AC334" i="2"/>
  <c r="AD334" i="2" s="1"/>
  <c r="AA334" i="2"/>
  <c r="X334" i="2"/>
  <c r="W334" i="2"/>
  <c r="U334" i="2"/>
  <c r="R334" i="2"/>
  <c r="O334" i="2"/>
  <c r="N334" i="2"/>
  <c r="L334" i="2"/>
  <c r="I334" i="2"/>
  <c r="H334" i="2"/>
  <c r="F334" i="2"/>
  <c r="C334" i="2"/>
  <c r="AC333" i="2"/>
  <c r="AD333" i="2" s="1"/>
  <c r="AA333" i="2"/>
  <c r="X333" i="2"/>
  <c r="W333" i="2"/>
  <c r="U333" i="2"/>
  <c r="R333" i="2"/>
  <c r="N333" i="2"/>
  <c r="O333" i="2" s="1"/>
  <c r="L333" i="2"/>
  <c r="I333" i="2"/>
  <c r="H333" i="2"/>
  <c r="F333" i="2"/>
  <c r="C333" i="2"/>
  <c r="AD332" i="2"/>
  <c r="AC332" i="2"/>
  <c r="AA332" i="2"/>
  <c r="W332" i="2"/>
  <c r="X332" i="2" s="1"/>
  <c r="U332" i="2"/>
  <c r="R332" i="2"/>
  <c r="O332" i="2"/>
  <c r="N332" i="2"/>
  <c r="L332" i="2"/>
  <c r="I332" i="2"/>
  <c r="H332" i="2"/>
  <c r="F332" i="2"/>
  <c r="C332" i="2"/>
  <c r="AD331" i="2"/>
  <c r="AC331" i="2"/>
  <c r="AA331" i="2"/>
  <c r="W331" i="2"/>
  <c r="X331" i="2" s="1"/>
  <c r="U331" i="2"/>
  <c r="R331" i="2"/>
  <c r="O331" i="2"/>
  <c r="N331" i="2"/>
  <c r="L331" i="2"/>
  <c r="I331" i="2"/>
  <c r="H331" i="2"/>
  <c r="F331" i="2"/>
  <c r="C331" i="2"/>
  <c r="AC330" i="2"/>
  <c r="AD330" i="2" s="1"/>
  <c r="AA330" i="2"/>
  <c r="X330" i="2"/>
  <c r="W330" i="2"/>
  <c r="U330" i="2"/>
  <c r="R330" i="2"/>
  <c r="O330" i="2"/>
  <c r="N330" i="2"/>
  <c r="L330" i="2"/>
  <c r="I330" i="2"/>
  <c r="H330" i="2"/>
  <c r="F330" i="2"/>
  <c r="C330" i="2"/>
  <c r="AD329" i="2"/>
  <c r="AC329" i="2"/>
  <c r="AA329" i="2"/>
  <c r="X329" i="2"/>
  <c r="W329" i="2"/>
  <c r="U329" i="2"/>
  <c r="R329" i="2"/>
  <c r="N329" i="2"/>
  <c r="O329" i="2" s="1"/>
  <c r="L329" i="2"/>
  <c r="I329" i="2"/>
  <c r="H329" i="2"/>
  <c r="F329" i="2"/>
  <c r="C329" i="2"/>
  <c r="Z326" i="2"/>
  <c r="AA326" i="2" s="1"/>
  <c r="W326" i="2"/>
  <c r="X326" i="2" s="1"/>
  <c r="U326" i="2"/>
  <c r="T326" i="2"/>
  <c r="R326" i="2"/>
  <c r="Q326" i="2"/>
  <c r="K326" i="2"/>
  <c r="N326" i="2" s="1"/>
  <c r="O326" i="2" s="1"/>
  <c r="F326" i="2"/>
  <c r="E326" i="2"/>
  <c r="C326" i="2"/>
  <c r="B326" i="2"/>
  <c r="H326" i="2" s="1"/>
  <c r="I326" i="2" s="1"/>
  <c r="AC325" i="2"/>
  <c r="AD325" i="2" s="1"/>
  <c r="AA325" i="2"/>
  <c r="Z325" i="2"/>
  <c r="U325" i="2"/>
  <c r="T325" i="2"/>
  <c r="R325" i="2"/>
  <c r="Q325" i="2"/>
  <c r="L325" i="2"/>
  <c r="K325" i="2"/>
  <c r="H325" i="2"/>
  <c r="I325" i="2" s="1"/>
  <c r="F325" i="2"/>
  <c r="E325" i="2"/>
  <c r="C325" i="2"/>
  <c r="B325" i="2"/>
  <c r="N325" i="2" s="1"/>
  <c r="O325" i="2" s="1"/>
  <c r="AD324" i="2"/>
  <c r="AC324" i="2"/>
  <c r="AA324" i="2"/>
  <c r="W324" i="2"/>
  <c r="X324" i="2" s="1"/>
  <c r="U324" i="2"/>
  <c r="R324" i="2"/>
  <c r="O324" i="2"/>
  <c r="N324" i="2"/>
  <c r="L324" i="2"/>
  <c r="H324" i="2"/>
  <c r="I324" i="2" s="1"/>
  <c r="F324" i="2"/>
  <c r="C324" i="2"/>
  <c r="AD323" i="2"/>
  <c r="AC323" i="2"/>
  <c r="AA323" i="2"/>
  <c r="W323" i="2"/>
  <c r="X323" i="2" s="1"/>
  <c r="U323" i="2"/>
  <c r="R323" i="2"/>
  <c r="O323" i="2"/>
  <c r="N323" i="2"/>
  <c r="L323" i="2"/>
  <c r="I323" i="2"/>
  <c r="H323" i="2"/>
  <c r="F323" i="2"/>
  <c r="C323" i="2"/>
  <c r="AC322" i="2"/>
  <c r="AD322" i="2" s="1"/>
  <c r="AA322" i="2"/>
  <c r="X322" i="2"/>
  <c r="W322" i="2"/>
  <c r="U322" i="2"/>
  <c r="R322" i="2"/>
  <c r="N322" i="2"/>
  <c r="O322" i="2" s="1"/>
  <c r="L322" i="2"/>
  <c r="I322" i="2"/>
  <c r="H322" i="2"/>
  <c r="F322" i="2"/>
  <c r="C322" i="2"/>
  <c r="AC321" i="2"/>
  <c r="AD321" i="2" s="1"/>
  <c r="AA321" i="2"/>
  <c r="X321" i="2"/>
  <c r="W321" i="2"/>
  <c r="U321" i="2"/>
  <c r="R321" i="2"/>
  <c r="N321" i="2"/>
  <c r="O321" i="2" s="1"/>
  <c r="L321" i="2"/>
  <c r="H321" i="2"/>
  <c r="I321" i="2" s="1"/>
  <c r="F321" i="2"/>
  <c r="C321" i="2"/>
  <c r="AD320" i="2"/>
  <c r="AC320" i="2"/>
  <c r="AA320" i="2"/>
  <c r="W320" i="2"/>
  <c r="X320" i="2" s="1"/>
  <c r="U320" i="2"/>
  <c r="R320" i="2"/>
  <c r="O320" i="2"/>
  <c r="N320" i="2"/>
  <c r="L320" i="2"/>
  <c r="H320" i="2"/>
  <c r="I320" i="2" s="1"/>
  <c r="F320" i="2"/>
  <c r="C320" i="2"/>
  <c r="AD319" i="2"/>
  <c r="AC319" i="2"/>
  <c r="AA319" i="2"/>
  <c r="W319" i="2"/>
  <c r="X319" i="2" s="1"/>
  <c r="U319" i="2"/>
  <c r="R319" i="2"/>
  <c r="O319" i="2"/>
  <c r="N319" i="2"/>
  <c r="L319" i="2"/>
  <c r="I319" i="2"/>
  <c r="H319" i="2"/>
  <c r="F319" i="2"/>
  <c r="C319" i="2"/>
  <c r="AD318" i="2"/>
  <c r="AC318" i="2"/>
  <c r="AA318" i="2"/>
  <c r="X318" i="2"/>
  <c r="W318" i="2"/>
  <c r="U318" i="2"/>
  <c r="R318" i="2"/>
  <c r="N318" i="2"/>
  <c r="O318" i="2" s="1"/>
  <c r="L318" i="2"/>
  <c r="I318" i="2"/>
  <c r="H318" i="2"/>
  <c r="F318" i="2"/>
  <c r="C318" i="2"/>
  <c r="AC317" i="2"/>
  <c r="AD317" i="2" s="1"/>
  <c r="AA317" i="2"/>
  <c r="X317" i="2"/>
  <c r="W317" i="2"/>
  <c r="U317" i="2"/>
  <c r="R317" i="2"/>
  <c r="N317" i="2"/>
  <c r="O317" i="2" s="1"/>
  <c r="L317" i="2"/>
  <c r="H317" i="2"/>
  <c r="I317" i="2" s="1"/>
  <c r="F317" i="2"/>
  <c r="C317" i="2"/>
  <c r="AD316" i="2"/>
  <c r="AC316" i="2"/>
  <c r="AA316" i="2"/>
  <c r="W316" i="2"/>
  <c r="X316" i="2" s="1"/>
  <c r="U316" i="2"/>
  <c r="R316" i="2"/>
  <c r="O316" i="2"/>
  <c r="N316" i="2"/>
  <c r="L316" i="2"/>
  <c r="I316" i="2"/>
  <c r="H316" i="2"/>
  <c r="F316" i="2"/>
  <c r="C316" i="2"/>
  <c r="AD315" i="2"/>
  <c r="AC315" i="2"/>
  <c r="AA315" i="2"/>
  <c r="W315" i="2"/>
  <c r="X315" i="2" s="1"/>
  <c r="U315" i="2"/>
  <c r="R315" i="2"/>
  <c r="O315" i="2"/>
  <c r="N315" i="2"/>
  <c r="L315" i="2"/>
  <c r="I315" i="2"/>
  <c r="H315" i="2"/>
  <c r="F315" i="2"/>
  <c r="C315" i="2"/>
  <c r="AC314" i="2"/>
  <c r="AD314" i="2" s="1"/>
  <c r="AA314" i="2"/>
  <c r="X314" i="2"/>
  <c r="W314" i="2"/>
  <c r="U314" i="2"/>
  <c r="R314" i="2"/>
  <c r="O314" i="2"/>
  <c r="N314" i="2"/>
  <c r="L314" i="2"/>
  <c r="I314" i="2"/>
  <c r="H314" i="2"/>
  <c r="F314" i="2"/>
  <c r="C314" i="2"/>
  <c r="AC313" i="2"/>
  <c r="AD313" i="2" s="1"/>
  <c r="AA313" i="2"/>
  <c r="X313" i="2"/>
  <c r="W313" i="2"/>
  <c r="U313" i="2"/>
  <c r="R313" i="2"/>
  <c r="N313" i="2"/>
  <c r="O313" i="2" s="1"/>
  <c r="L313" i="2"/>
  <c r="I313" i="2"/>
  <c r="H313" i="2"/>
  <c r="F313" i="2"/>
  <c r="C313" i="2"/>
  <c r="AD312" i="2"/>
  <c r="AC312" i="2"/>
  <c r="AA312" i="2"/>
  <c r="W312" i="2"/>
  <c r="X312" i="2" s="1"/>
  <c r="U312" i="2"/>
  <c r="R312" i="2"/>
  <c r="O312" i="2"/>
  <c r="N312" i="2"/>
  <c r="L312" i="2"/>
  <c r="I312" i="2"/>
  <c r="H312" i="2"/>
  <c r="F312" i="2"/>
  <c r="C312" i="2"/>
  <c r="AD311" i="2"/>
  <c r="AC311" i="2"/>
  <c r="AA311" i="2"/>
  <c r="W311" i="2"/>
  <c r="X311" i="2" s="1"/>
  <c r="U311" i="2"/>
  <c r="R311" i="2"/>
  <c r="O311" i="2"/>
  <c r="N311" i="2"/>
  <c r="L311" i="2"/>
  <c r="I311" i="2"/>
  <c r="H311" i="2"/>
  <c r="F311" i="2"/>
  <c r="C311" i="2"/>
  <c r="AC310" i="2"/>
  <c r="AD310" i="2" s="1"/>
  <c r="AA310" i="2"/>
  <c r="X310" i="2"/>
  <c r="W310" i="2"/>
  <c r="U310" i="2"/>
  <c r="R310" i="2"/>
  <c r="O310" i="2"/>
  <c r="N310" i="2"/>
  <c r="L310" i="2"/>
  <c r="I310" i="2"/>
  <c r="H310" i="2"/>
  <c r="F310" i="2"/>
  <c r="C310" i="2"/>
  <c r="AC309" i="2"/>
  <c r="AD309" i="2" s="1"/>
  <c r="AA309" i="2"/>
  <c r="X309" i="2"/>
  <c r="W309" i="2"/>
  <c r="U309" i="2"/>
  <c r="R309" i="2"/>
  <c r="N309" i="2"/>
  <c r="O309" i="2" s="1"/>
  <c r="L309" i="2"/>
  <c r="I309" i="2"/>
  <c r="H309" i="2"/>
  <c r="F309" i="2"/>
  <c r="C309" i="2"/>
  <c r="AD308" i="2"/>
  <c r="AC308" i="2"/>
  <c r="AA308" i="2"/>
  <c r="W308" i="2"/>
  <c r="X308" i="2" s="1"/>
  <c r="U308" i="2"/>
  <c r="R308" i="2"/>
  <c r="O308" i="2"/>
  <c r="N308" i="2"/>
  <c r="L308" i="2"/>
  <c r="H308" i="2"/>
  <c r="I308" i="2" s="1"/>
  <c r="F308" i="2"/>
  <c r="C308" i="2"/>
  <c r="AD307" i="2"/>
  <c r="AC307" i="2"/>
  <c r="AA307" i="2"/>
  <c r="W307" i="2"/>
  <c r="X307" i="2" s="1"/>
  <c r="U307" i="2"/>
  <c r="R307" i="2"/>
  <c r="O307" i="2"/>
  <c r="N307" i="2"/>
  <c r="L307" i="2"/>
  <c r="I307" i="2"/>
  <c r="H307" i="2"/>
  <c r="F307" i="2"/>
  <c r="C307" i="2"/>
  <c r="AC306" i="2"/>
  <c r="AD306" i="2" s="1"/>
  <c r="AA306" i="2"/>
  <c r="X306" i="2"/>
  <c r="W306" i="2"/>
  <c r="U306" i="2"/>
  <c r="R306" i="2"/>
  <c r="N306" i="2"/>
  <c r="O306" i="2" s="1"/>
  <c r="L306" i="2"/>
  <c r="I306" i="2"/>
  <c r="H306" i="2"/>
  <c r="F306" i="2"/>
  <c r="C306" i="2"/>
  <c r="AD305" i="2"/>
  <c r="AC305" i="2"/>
  <c r="AA305" i="2"/>
  <c r="X305" i="2"/>
  <c r="W305" i="2"/>
  <c r="U305" i="2"/>
  <c r="R305" i="2"/>
  <c r="N305" i="2"/>
  <c r="O305" i="2" s="1"/>
  <c r="L305" i="2"/>
  <c r="H305" i="2"/>
  <c r="I305" i="2" s="1"/>
  <c r="F305" i="2"/>
  <c r="C305" i="2"/>
  <c r="AD304" i="2"/>
  <c r="AC304" i="2"/>
  <c r="AA304" i="2"/>
  <c r="X304" i="2"/>
  <c r="W304" i="2"/>
  <c r="U304" i="2"/>
  <c r="R304" i="2"/>
  <c r="O304" i="2"/>
  <c r="N304" i="2"/>
  <c r="L304" i="2"/>
  <c r="H304" i="2"/>
  <c r="I304" i="2" s="1"/>
  <c r="F304" i="2"/>
  <c r="C304" i="2"/>
  <c r="AD303" i="2"/>
  <c r="AC303" i="2"/>
  <c r="AA303" i="2"/>
  <c r="W303" i="2"/>
  <c r="X303" i="2" s="1"/>
  <c r="U303" i="2"/>
  <c r="R303" i="2"/>
  <c r="O303" i="2"/>
  <c r="N303" i="2"/>
  <c r="L303" i="2"/>
  <c r="I303" i="2"/>
  <c r="H303" i="2"/>
  <c r="F303" i="2"/>
  <c r="C303" i="2"/>
  <c r="AC302" i="2"/>
  <c r="AD302" i="2" s="1"/>
  <c r="AA302" i="2"/>
  <c r="X302" i="2"/>
  <c r="W302" i="2"/>
  <c r="U302" i="2"/>
  <c r="R302" i="2"/>
  <c r="N302" i="2"/>
  <c r="O302" i="2" s="1"/>
  <c r="L302" i="2"/>
  <c r="I302" i="2"/>
  <c r="H302" i="2"/>
  <c r="F302" i="2"/>
  <c r="C302" i="2"/>
  <c r="AC301" i="2"/>
  <c r="AD301" i="2" s="1"/>
  <c r="AA301" i="2"/>
  <c r="X301" i="2"/>
  <c r="W301" i="2"/>
  <c r="U301" i="2"/>
  <c r="R301" i="2"/>
  <c r="N301" i="2"/>
  <c r="O301" i="2" s="1"/>
  <c r="L301" i="2"/>
  <c r="H301" i="2"/>
  <c r="I301" i="2" s="1"/>
  <c r="F301" i="2"/>
  <c r="C301" i="2"/>
  <c r="AD300" i="2"/>
  <c r="AC300" i="2"/>
  <c r="AA300" i="2"/>
  <c r="W300" i="2"/>
  <c r="X300" i="2" s="1"/>
  <c r="U300" i="2"/>
  <c r="R300" i="2"/>
  <c r="O300" i="2"/>
  <c r="N300" i="2"/>
  <c r="L300" i="2"/>
  <c r="I300" i="2"/>
  <c r="H300" i="2"/>
  <c r="F300" i="2"/>
  <c r="C300" i="2"/>
  <c r="AD299" i="2"/>
  <c r="AC299" i="2"/>
  <c r="AA299" i="2"/>
  <c r="W299" i="2"/>
  <c r="X299" i="2" s="1"/>
  <c r="U299" i="2"/>
  <c r="R299" i="2"/>
  <c r="O299" i="2"/>
  <c r="N299" i="2"/>
  <c r="L299" i="2"/>
  <c r="I299" i="2"/>
  <c r="H299" i="2"/>
  <c r="F299" i="2"/>
  <c r="C299" i="2"/>
  <c r="AC298" i="2"/>
  <c r="AD298" i="2" s="1"/>
  <c r="AA298" i="2"/>
  <c r="X298" i="2"/>
  <c r="W298" i="2"/>
  <c r="U298" i="2"/>
  <c r="R298" i="2"/>
  <c r="O298" i="2"/>
  <c r="N298" i="2"/>
  <c r="L298" i="2"/>
  <c r="I298" i="2"/>
  <c r="H298" i="2"/>
  <c r="F298" i="2"/>
  <c r="C298" i="2"/>
  <c r="AC296" i="2"/>
  <c r="AD296" i="2" s="1"/>
  <c r="Z296" i="2"/>
  <c r="AA296" i="2" s="1"/>
  <c r="X296" i="2"/>
  <c r="U296" i="2"/>
  <c r="T296" i="2"/>
  <c r="R296" i="2"/>
  <c r="Q296" i="2"/>
  <c r="W296" i="2" s="1"/>
  <c r="L296" i="2"/>
  <c r="K296" i="2"/>
  <c r="E296" i="2"/>
  <c r="F296" i="2" s="1"/>
  <c r="C296" i="2"/>
  <c r="B296" i="2"/>
  <c r="N296" i="2" s="1"/>
  <c r="O296" i="2" s="1"/>
  <c r="AD295" i="2"/>
  <c r="AC295" i="2"/>
  <c r="AA295" i="2"/>
  <c r="W295" i="2"/>
  <c r="X295" i="2" s="1"/>
  <c r="U295" i="2"/>
  <c r="R295" i="2"/>
  <c r="O295" i="2"/>
  <c r="N295" i="2"/>
  <c r="L295" i="2"/>
  <c r="I295" i="2"/>
  <c r="H295" i="2"/>
  <c r="F295" i="2"/>
  <c r="C295" i="2"/>
  <c r="AD294" i="2"/>
  <c r="AC294" i="2"/>
  <c r="AA294" i="2"/>
  <c r="X294" i="2"/>
  <c r="W294" i="2"/>
  <c r="U294" i="2"/>
  <c r="R294" i="2"/>
  <c r="N294" i="2"/>
  <c r="O294" i="2" s="1"/>
  <c r="L294" i="2"/>
  <c r="I294" i="2"/>
  <c r="H294" i="2"/>
  <c r="F294" i="2"/>
  <c r="C294" i="2"/>
  <c r="AD293" i="2"/>
  <c r="AC293" i="2"/>
  <c r="AA293" i="2"/>
  <c r="X293" i="2"/>
  <c r="W293" i="2"/>
  <c r="U293" i="2"/>
  <c r="R293" i="2"/>
  <c r="N293" i="2"/>
  <c r="O293" i="2" s="1"/>
  <c r="L293" i="2"/>
  <c r="H293" i="2"/>
  <c r="I293" i="2" s="1"/>
  <c r="F293" i="2"/>
  <c r="C293" i="2"/>
  <c r="AD292" i="2"/>
  <c r="AC292" i="2"/>
  <c r="AA292" i="2"/>
  <c r="X292" i="2"/>
  <c r="W292" i="2"/>
  <c r="U292" i="2"/>
  <c r="R292" i="2"/>
  <c r="O292" i="2"/>
  <c r="N292" i="2"/>
  <c r="L292" i="2"/>
  <c r="H292" i="2"/>
  <c r="I292" i="2" s="1"/>
  <c r="F292" i="2"/>
  <c r="C292" i="2"/>
  <c r="AD291" i="2"/>
  <c r="AC291" i="2"/>
  <c r="AA291" i="2"/>
  <c r="W291" i="2"/>
  <c r="X291" i="2" s="1"/>
  <c r="U291" i="2"/>
  <c r="R291" i="2"/>
  <c r="O291" i="2"/>
  <c r="N291" i="2"/>
  <c r="L291" i="2"/>
  <c r="I291" i="2"/>
  <c r="H291" i="2"/>
  <c r="F291" i="2"/>
  <c r="C291" i="2"/>
  <c r="AC290" i="2"/>
  <c r="AD290" i="2" s="1"/>
  <c r="AA290" i="2"/>
  <c r="X290" i="2"/>
  <c r="W290" i="2"/>
  <c r="U290" i="2"/>
  <c r="R290" i="2"/>
  <c r="N290" i="2"/>
  <c r="O290" i="2" s="1"/>
  <c r="L290" i="2"/>
  <c r="I290" i="2"/>
  <c r="H290" i="2"/>
  <c r="F290" i="2"/>
  <c r="C290" i="2"/>
  <c r="AC289" i="2"/>
  <c r="AD289" i="2" s="1"/>
  <c r="AA289" i="2"/>
  <c r="W289" i="2"/>
  <c r="X289" i="2" s="1"/>
  <c r="U289" i="2"/>
  <c r="R289" i="2"/>
  <c r="N289" i="2"/>
  <c r="O289" i="2" s="1"/>
  <c r="L289" i="2"/>
  <c r="H289" i="2"/>
  <c r="I289" i="2" s="1"/>
  <c r="F289" i="2"/>
  <c r="C289" i="2"/>
  <c r="AD288" i="2"/>
  <c r="AC288" i="2"/>
  <c r="AA288" i="2"/>
  <c r="W288" i="2"/>
  <c r="X288" i="2" s="1"/>
  <c r="U288" i="2"/>
  <c r="R288" i="2"/>
  <c r="O288" i="2"/>
  <c r="N288" i="2"/>
  <c r="L288" i="2"/>
  <c r="I288" i="2"/>
  <c r="H288" i="2"/>
  <c r="F288" i="2"/>
  <c r="C288" i="2"/>
  <c r="AD287" i="2"/>
  <c r="AC287" i="2"/>
  <c r="AA287" i="2"/>
  <c r="W287" i="2"/>
  <c r="X287" i="2" s="1"/>
  <c r="U287" i="2"/>
  <c r="R287" i="2"/>
  <c r="N287" i="2"/>
  <c r="O287" i="2" s="1"/>
  <c r="L287" i="2"/>
  <c r="I287" i="2"/>
  <c r="H287" i="2"/>
  <c r="F287" i="2"/>
  <c r="C287" i="2"/>
  <c r="AA285" i="2"/>
  <c r="Z285" i="2"/>
  <c r="U285" i="2"/>
  <c r="T285" i="2"/>
  <c r="Q285" i="2"/>
  <c r="AC285" i="2" s="1"/>
  <c r="AD285" i="2" s="1"/>
  <c r="L285" i="2"/>
  <c r="K285" i="2"/>
  <c r="H285" i="2"/>
  <c r="I285" i="2" s="1"/>
  <c r="F285" i="2"/>
  <c r="E285" i="2"/>
  <c r="C285" i="2"/>
  <c r="B285" i="2"/>
  <c r="N285" i="2" s="1"/>
  <c r="O285" i="2" s="1"/>
  <c r="AD284" i="2"/>
  <c r="AC284" i="2"/>
  <c r="AA284" i="2"/>
  <c r="X284" i="2"/>
  <c r="W284" i="2"/>
  <c r="U284" i="2"/>
  <c r="R284" i="2"/>
  <c r="O284" i="2"/>
  <c r="N284" i="2"/>
  <c r="L284" i="2"/>
  <c r="H284" i="2"/>
  <c r="I284" i="2" s="1"/>
  <c r="F284" i="2"/>
  <c r="C284" i="2"/>
  <c r="AD283" i="2"/>
  <c r="AC283" i="2"/>
  <c r="AA283" i="2"/>
  <c r="W283" i="2"/>
  <c r="X283" i="2" s="1"/>
  <c r="U283" i="2"/>
  <c r="R283" i="2"/>
  <c r="O283" i="2"/>
  <c r="N283" i="2"/>
  <c r="L283" i="2"/>
  <c r="I283" i="2"/>
  <c r="H283" i="2"/>
  <c r="F283" i="2"/>
  <c r="C283" i="2"/>
  <c r="AD282" i="2"/>
  <c r="AC282" i="2"/>
  <c r="AA282" i="2"/>
  <c r="X282" i="2"/>
  <c r="W282" i="2"/>
  <c r="U282" i="2"/>
  <c r="R282" i="2"/>
  <c r="N282" i="2"/>
  <c r="O282" i="2" s="1"/>
  <c r="L282" i="2"/>
  <c r="I282" i="2"/>
  <c r="H282" i="2"/>
  <c r="F282" i="2"/>
  <c r="C282" i="2"/>
  <c r="AC281" i="2"/>
  <c r="AD281" i="2" s="1"/>
  <c r="AA281" i="2"/>
  <c r="X281" i="2"/>
  <c r="W281" i="2"/>
  <c r="U281" i="2"/>
  <c r="R281" i="2"/>
  <c r="N281" i="2"/>
  <c r="O281" i="2" s="1"/>
  <c r="L281" i="2"/>
  <c r="I281" i="2"/>
  <c r="H281" i="2"/>
  <c r="F281" i="2"/>
  <c r="C281" i="2"/>
  <c r="AD280" i="2"/>
  <c r="AC280" i="2"/>
  <c r="AA280" i="2"/>
  <c r="W280" i="2"/>
  <c r="X280" i="2" s="1"/>
  <c r="U280" i="2"/>
  <c r="R280" i="2"/>
  <c r="O280" i="2"/>
  <c r="N280" i="2"/>
  <c r="L280" i="2"/>
  <c r="H280" i="2"/>
  <c r="I280" i="2" s="1"/>
  <c r="F280" i="2"/>
  <c r="C280" i="2"/>
  <c r="AD279" i="2"/>
  <c r="AC279" i="2"/>
  <c r="AA279" i="2"/>
  <c r="W279" i="2"/>
  <c r="X279" i="2" s="1"/>
  <c r="U279" i="2"/>
  <c r="R279" i="2"/>
  <c r="N279" i="2"/>
  <c r="O279" i="2" s="1"/>
  <c r="L279" i="2"/>
  <c r="I279" i="2"/>
  <c r="H279" i="2"/>
  <c r="F279" i="2"/>
  <c r="C279" i="2"/>
  <c r="AC278" i="2"/>
  <c r="AD278" i="2" s="1"/>
  <c r="AA278" i="2"/>
  <c r="X278" i="2"/>
  <c r="W278" i="2"/>
  <c r="U278" i="2"/>
  <c r="R278" i="2"/>
  <c r="N278" i="2"/>
  <c r="O278" i="2" s="1"/>
  <c r="L278" i="2"/>
  <c r="I278" i="2"/>
  <c r="H278" i="2"/>
  <c r="F278" i="2"/>
  <c r="C278" i="2"/>
  <c r="AC277" i="2"/>
  <c r="AD277" i="2" s="1"/>
  <c r="AA277" i="2"/>
  <c r="W277" i="2"/>
  <c r="X277" i="2" s="1"/>
  <c r="U277" i="2"/>
  <c r="R277" i="2"/>
  <c r="N277" i="2"/>
  <c r="O277" i="2" s="1"/>
  <c r="L277" i="2"/>
  <c r="H277" i="2"/>
  <c r="I277" i="2" s="1"/>
  <c r="F277" i="2"/>
  <c r="C277" i="2"/>
  <c r="AD276" i="2"/>
  <c r="AC276" i="2"/>
  <c r="AA276" i="2"/>
  <c r="W276" i="2"/>
  <c r="X276" i="2" s="1"/>
  <c r="U276" i="2"/>
  <c r="R276" i="2"/>
  <c r="O276" i="2"/>
  <c r="N276" i="2"/>
  <c r="L276" i="2"/>
  <c r="I276" i="2"/>
  <c r="H276" i="2"/>
  <c r="F276" i="2"/>
  <c r="C276" i="2"/>
  <c r="AA274" i="2"/>
  <c r="Z274" i="2"/>
  <c r="T274" i="2"/>
  <c r="W274" i="2" s="1"/>
  <c r="X274" i="2" s="1"/>
  <c r="R274" i="2"/>
  <c r="Q274" i="2"/>
  <c r="AC274" i="2" s="1"/>
  <c r="AD274" i="2" s="1"/>
  <c r="L274" i="2"/>
  <c r="K274" i="2"/>
  <c r="H274" i="2"/>
  <c r="I274" i="2" s="1"/>
  <c r="F274" i="2"/>
  <c r="E274" i="2"/>
  <c r="C274" i="2"/>
  <c r="B274" i="2"/>
  <c r="N274" i="2" s="1"/>
  <c r="O274" i="2" s="1"/>
  <c r="AC273" i="2"/>
  <c r="AD273" i="2" s="1"/>
  <c r="AA273" i="2"/>
  <c r="X273" i="2"/>
  <c r="W273" i="2"/>
  <c r="U273" i="2"/>
  <c r="R273" i="2"/>
  <c r="N273" i="2"/>
  <c r="O273" i="2" s="1"/>
  <c r="L273" i="2"/>
  <c r="I273" i="2"/>
  <c r="H273" i="2"/>
  <c r="F273" i="2"/>
  <c r="C273" i="2"/>
  <c r="AD272" i="2"/>
  <c r="AC272" i="2"/>
  <c r="AA272" i="2"/>
  <c r="W272" i="2"/>
  <c r="X272" i="2" s="1"/>
  <c r="U272" i="2"/>
  <c r="R272" i="2"/>
  <c r="O272" i="2"/>
  <c r="N272" i="2"/>
  <c r="L272" i="2"/>
  <c r="H272" i="2"/>
  <c r="I272" i="2" s="1"/>
  <c r="F272" i="2"/>
  <c r="C272" i="2"/>
  <c r="AD271" i="2"/>
  <c r="AC271" i="2"/>
  <c r="AA271" i="2"/>
  <c r="W271" i="2"/>
  <c r="X271" i="2" s="1"/>
  <c r="U271" i="2"/>
  <c r="R271" i="2"/>
  <c r="O271" i="2"/>
  <c r="N271" i="2"/>
  <c r="L271" i="2"/>
  <c r="I271" i="2"/>
  <c r="H271" i="2"/>
  <c r="F271" i="2"/>
  <c r="C271" i="2"/>
  <c r="AC270" i="2"/>
  <c r="AD270" i="2" s="1"/>
  <c r="AA270" i="2"/>
  <c r="X270" i="2"/>
  <c r="W270" i="2"/>
  <c r="U270" i="2"/>
  <c r="R270" i="2"/>
  <c r="N270" i="2"/>
  <c r="O270" i="2" s="1"/>
  <c r="L270" i="2"/>
  <c r="I270" i="2"/>
  <c r="H270" i="2"/>
  <c r="F270" i="2"/>
  <c r="C270" i="2"/>
  <c r="Z268" i="2"/>
  <c r="AC268" i="2" s="1"/>
  <c r="AD268" i="2" s="1"/>
  <c r="U268" i="2"/>
  <c r="T268" i="2"/>
  <c r="Q268" i="2"/>
  <c r="N268" i="2"/>
  <c r="O268" i="2" s="1"/>
  <c r="L268" i="2"/>
  <c r="K268" i="2"/>
  <c r="F268" i="2"/>
  <c r="E268" i="2"/>
  <c r="B268" i="2"/>
  <c r="AD267" i="2"/>
  <c r="AC267" i="2"/>
  <c r="AA267" i="2"/>
  <c r="W267" i="2"/>
  <c r="X267" i="2" s="1"/>
  <c r="U267" i="2"/>
  <c r="R267" i="2"/>
  <c r="N267" i="2"/>
  <c r="O267" i="2" s="1"/>
  <c r="L267" i="2"/>
  <c r="I267" i="2"/>
  <c r="H267" i="2"/>
  <c r="F267" i="2"/>
  <c r="C267" i="2"/>
  <c r="AC266" i="2"/>
  <c r="AD266" i="2" s="1"/>
  <c r="AA266" i="2"/>
  <c r="X266" i="2"/>
  <c r="W266" i="2"/>
  <c r="U266" i="2"/>
  <c r="R266" i="2"/>
  <c r="O266" i="2"/>
  <c r="N266" i="2"/>
  <c r="L266" i="2"/>
  <c r="I266" i="2"/>
  <c r="H266" i="2"/>
  <c r="F266" i="2"/>
  <c r="C266" i="2"/>
  <c r="AC264" i="2"/>
  <c r="AD264" i="2" s="1"/>
  <c r="Z264" i="2"/>
  <c r="AA264" i="2" s="1"/>
  <c r="X264" i="2"/>
  <c r="U264" i="2"/>
  <c r="T264" i="2"/>
  <c r="R264" i="2"/>
  <c r="Q264" i="2"/>
  <c r="W264" i="2" s="1"/>
  <c r="L264" i="2"/>
  <c r="K264" i="2"/>
  <c r="E264" i="2"/>
  <c r="F264" i="2" s="1"/>
  <c r="C264" i="2"/>
  <c r="B264" i="2"/>
  <c r="N264" i="2" s="1"/>
  <c r="O264" i="2" s="1"/>
  <c r="AA263" i="2"/>
  <c r="Z263" i="2"/>
  <c r="T263" i="2"/>
  <c r="W263" i="2" s="1"/>
  <c r="X263" i="2" s="1"/>
  <c r="R263" i="2"/>
  <c r="Q263" i="2"/>
  <c r="AC263" i="2" s="1"/>
  <c r="AD263" i="2" s="1"/>
  <c r="K263" i="2"/>
  <c r="L263" i="2" s="1"/>
  <c r="I263" i="2"/>
  <c r="H263" i="2"/>
  <c r="F263" i="2"/>
  <c r="E263" i="2"/>
  <c r="C263" i="2"/>
  <c r="B263" i="2"/>
  <c r="N263" i="2" s="1"/>
  <c r="O263" i="2" s="1"/>
  <c r="AC262" i="2"/>
  <c r="AD262" i="2" s="1"/>
  <c r="AA262" i="2"/>
  <c r="X262" i="2"/>
  <c r="W262" i="2"/>
  <c r="U262" i="2"/>
  <c r="R262" i="2"/>
  <c r="N262" i="2"/>
  <c r="O262" i="2" s="1"/>
  <c r="L262" i="2"/>
  <c r="H262" i="2"/>
  <c r="I262" i="2" s="1"/>
  <c r="F262" i="2"/>
  <c r="C262" i="2"/>
  <c r="AD261" i="2"/>
  <c r="AC261" i="2"/>
  <c r="AA261" i="2"/>
  <c r="W261" i="2"/>
  <c r="X261" i="2" s="1"/>
  <c r="U261" i="2"/>
  <c r="R261" i="2"/>
  <c r="O261" i="2"/>
  <c r="N261" i="2"/>
  <c r="L261" i="2"/>
  <c r="I261" i="2"/>
  <c r="H261" i="2"/>
  <c r="F261" i="2"/>
  <c r="C261" i="2"/>
  <c r="AD260" i="2"/>
  <c r="AC260" i="2"/>
  <c r="AA260" i="2"/>
  <c r="W260" i="2"/>
  <c r="X260" i="2" s="1"/>
  <c r="U260" i="2"/>
  <c r="R260" i="2"/>
  <c r="N260" i="2"/>
  <c r="O260" i="2" s="1"/>
  <c r="L260" i="2"/>
  <c r="I260" i="2"/>
  <c r="H260" i="2"/>
  <c r="F260" i="2"/>
  <c r="C260" i="2"/>
  <c r="AC259" i="2"/>
  <c r="AD259" i="2" s="1"/>
  <c r="AA259" i="2"/>
  <c r="X259" i="2"/>
  <c r="W259" i="2"/>
  <c r="U259" i="2"/>
  <c r="R259" i="2"/>
  <c r="O259" i="2"/>
  <c r="N259" i="2"/>
  <c r="L259" i="2"/>
  <c r="I259" i="2"/>
  <c r="H259" i="2"/>
  <c r="F259" i="2"/>
  <c r="C259" i="2"/>
  <c r="AC258" i="2"/>
  <c r="AD258" i="2" s="1"/>
  <c r="AA258" i="2"/>
  <c r="W258" i="2"/>
  <c r="X258" i="2" s="1"/>
  <c r="U258" i="2"/>
  <c r="R258" i="2"/>
  <c r="N258" i="2"/>
  <c r="O258" i="2" s="1"/>
  <c r="L258" i="2"/>
  <c r="I258" i="2"/>
  <c r="H258" i="2"/>
  <c r="F258" i="2"/>
  <c r="C258" i="2"/>
  <c r="AD257" i="2"/>
  <c r="AC257" i="2"/>
  <c r="AA257" i="2"/>
  <c r="W257" i="2"/>
  <c r="X257" i="2" s="1"/>
  <c r="U257" i="2"/>
  <c r="R257" i="2"/>
  <c r="O257" i="2"/>
  <c r="N257" i="2"/>
  <c r="L257" i="2"/>
  <c r="I257" i="2"/>
  <c r="H257" i="2"/>
  <c r="F257" i="2"/>
  <c r="C257" i="2"/>
  <c r="AD256" i="2"/>
  <c r="AC256" i="2"/>
  <c r="AA256" i="2"/>
  <c r="W256" i="2"/>
  <c r="X256" i="2" s="1"/>
  <c r="U256" i="2"/>
  <c r="R256" i="2"/>
  <c r="O256" i="2"/>
  <c r="N256" i="2"/>
  <c r="L256" i="2"/>
  <c r="I256" i="2"/>
  <c r="H256" i="2"/>
  <c r="F256" i="2"/>
  <c r="C256" i="2"/>
  <c r="AC255" i="2"/>
  <c r="AD255" i="2" s="1"/>
  <c r="AA255" i="2"/>
  <c r="X255" i="2"/>
  <c r="W255" i="2"/>
  <c r="U255" i="2"/>
  <c r="R255" i="2"/>
  <c r="O255" i="2"/>
  <c r="N255" i="2"/>
  <c r="L255" i="2"/>
  <c r="H255" i="2"/>
  <c r="I255" i="2" s="1"/>
  <c r="F255" i="2"/>
  <c r="C255" i="2"/>
  <c r="AD254" i="2"/>
  <c r="AC254" i="2"/>
  <c r="AA254" i="2"/>
  <c r="X254" i="2"/>
  <c r="W254" i="2"/>
  <c r="U254" i="2"/>
  <c r="R254" i="2"/>
  <c r="N254" i="2"/>
  <c r="O254" i="2" s="1"/>
  <c r="L254" i="2"/>
  <c r="I254" i="2"/>
  <c r="H254" i="2"/>
  <c r="F254" i="2"/>
  <c r="C254" i="2"/>
  <c r="AD253" i="2"/>
  <c r="AC253" i="2"/>
  <c r="AA253" i="2"/>
  <c r="X253" i="2"/>
  <c r="W253" i="2"/>
  <c r="U253" i="2"/>
  <c r="R253" i="2"/>
  <c r="O253" i="2"/>
  <c r="N253" i="2"/>
  <c r="L253" i="2"/>
  <c r="H253" i="2"/>
  <c r="I253" i="2" s="1"/>
  <c r="F253" i="2"/>
  <c r="C253" i="2"/>
  <c r="AD252" i="2"/>
  <c r="AC252" i="2"/>
  <c r="AA252" i="2"/>
  <c r="W252" i="2"/>
  <c r="X252" i="2" s="1"/>
  <c r="U252" i="2"/>
  <c r="R252" i="2"/>
  <c r="O252" i="2"/>
  <c r="N252" i="2"/>
  <c r="L252" i="2"/>
  <c r="I252" i="2"/>
  <c r="H252" i="2"/>
  <c r="F252" i="2"/>
  <c r="C252" i="2"/>
  <c r="AD251" i="2"/>
  <c r="AC251" i="2"/>
  <c r="AA251" i="2"/>
  <c r="X251" i="2"/>
  <c r="W251" i="2"/>
  <c r="U251" i="2"/>
  <c r="R251" i="2"/>
  <c r="N251" i="2"/>
  <c r="O251" i="2" s="1"/>
  <c r="L251" i="2"/>
  <c r="H251" i="2"/>
  <c r="I251" i="2" s="1"/>
  <c r="F251" i="2"/>
  <c r="C251" i="2"/>
  <c r="AD250" i="2"/>
  <c r="AC250" i="2"/>
  <c r="AA250" i="2"/>
  <c r="X250" i="2"/>
  <c r="W250" i="2"/>
  <c r="U250" i="2"/>
  <c r="R250" i="2"/>
  <c r="N250" i="2"/>
  <c r="O250" i="2" s="1"/>
  <c r="L250" i="2"/>
  <c r="I250" i="2"/>
  <c r="H250" i="2"/>
  <c r="F250" i="2"/>
  <c r="C250" i="2"/>
  <c r="AD249" i="2"/>
  <c r="AC249" i="2"/>
  <c r="AA249" i="2"/>
  <c r="X249" i="2"/>
  <c r="W249" i="2"/>
  <c r="U249" i="2"/>
  <c r="R249" i="2"/>
  <c r="O249" i="2"/>
  <c r="N249" i="2"/>
  <c r="L249" i="2"/>
  <c r="H249" i="2"/>
  <c r="I249" i="2" s="1"/>
  <c r="F249" i="2"/>
  <c r="C249" i="2"/>
  <c r="AD248" i="2"/>
  <c r="AC248" i="2"/>
  <c r="AA248" i="2"/>
  <c r="W248" i="2"/>
  <c r="X248" i="2" s="1"/>
  <c r="U248" i="2"/>
  <c r="R248" i="2"/>
  <c r="O248" i="2"/>
  <c r="N248" i="2"/>
  <c r="L248" i="2"/>
  <c r="I248" i="2"/>
  <c r="H248" i="2"/>
  <c r="F248" i="2"/>
  <c r="C248" i="2"/>
  <c r="AC247" i="2"/>
  <c r="AD247" i="2" s="1"/>
  <c r="AA247" i="2"/>
  <c r="X247" i="2"/>
  <c r="W247" i="2"/>
  <c r="U247" i="2"/>
  <c r="R247" i="2"/>
  <c r="N247" i="2"/>
  <c r="O247" i="2" s="1"/>
  <c r="L247" i="2"/>
  <c r="H247" i="2"/>
  <c r="I247" i="2" s="1"/>
  <c r="F247" i="2"/>
  <c r="C247" i="2"/>
  <c r="AC246" i="2"/>
  <c r="AD246" i="2" s="1"/>
  <c r="AA246" i="2"/>
  <c r="W246" i="2"/>
  <c r="X246" i="2" s="1"/>
  <c r="U246" i="2"/>
  <c r="R246" i="2"/>
  <c r="N246" i="2"/>
  <c r="O246" i="2" s="1"/>
  <c r="L246" i="2"/>
  <c r="H246" i="2"/>
  <c r="I246" i="2" s="1"/>
  <c r="F246" i="2"/>
  <c r="C246" i="2"/>
  <c r="AD245" i="2"/>
  <c r="AC245" i="2"/>
  <c r="AA245" i="2"/>
  <c r="W245" i="2"/>
  <c r="X245" i="2" s="1"/>
  <c r="U245" i="2"/>
  <c r="R245" i="2"/>
  <c r="O245" i="2"/>
  <c r="N245" i="2"/>
  <c r="L245" i="2"/>
  <c r="I245" i="2"/>
  <c r="H245" i="2"/>
  <c r="F245" i="2"/>
  <c r="C245" i="2"/>
  <c r="AC244" i="2"/>
  <c r="AD244" i="2" s="1"/>
  <c r="AA244" i="2"/>
  <c r="W244" i="2"/>
  <c r="X244" i="2" s="1"/>
  <c r="U244" i="2"/>
  <c r="R244" i="2"/>
  <c r="N244" i="2"/>
  <c r="O244" i="2" s="1"/>
  <c r="L244" i="2"/>
  <c r="I244" i="2"/>
  <c r="H244" i="2"/>
  <c r="F244" i="2"/>
  <c r="C244" i="2"/>
  <c r="AC243" i="2"/>
  <c r="AD243" i="2" s="1"/>
  <c r="AA243" i="2"/>
  <c r="X243" i="2"/>
  <c r="W243" i="2"/>
  <c r="U243" i="2"/>
  <c r="R243" i="2"/>
  <c r="O243" i="2"/>
  <c r="N243" i="2"/>
  <c r="L243" i="2"/>
  <c r="I243" i="2"/>
  <c r="H243" i="2"/>
  <c r="F243" i="2"/>
  <c r="C243" i="2"/>
  <c r="AC242" i="2"/>
  <c r="AD242" i="2" s="1"/>
  <c r="AA242" i="2"/>
  <c r="W242" i="2"/>
  <c r="X242" i="2" s="1"/>
  <c r="U242" i="2"/>
  <c r="R242" i="2"/>
  <c r="N242" i="2"/>
  <c r="O242" i="2" s="1"/>
  <c r="L242" i="2"/>
  <c r="I242" i="2"/>
  <c r="H242" i="2"/>
  <c r="F242" i="2"/>
  <c r="C242" i="2"/>
  <c r="AD241" i="2"/>
  <c r="AC241" i="2"/>
  <c r="AA241" i="2"/>
  <c r="W241" i="2"/>
  <c r="X241" i="2" s="1"/>
  <c r="U241" i="2"/>
  <c r="R241" i="2"/>
  <c r="O241" i="2"/>
  <c r="N241" i="2"/>
  <c r="L241" i="2"/>
  <c r="I241" i="2"/>
  <c r="H241" i="2"/>
  <c r="F241" i="2"/>
  <c r="C241" i="2"/>
  <c r="AC240" i="2"/>
  <c r="AD240" i="2" s="1"/>
  <c r="AA240" i="2"/>
  <c r="W240" i="2"/>
  <c r="X240" i="2" s="1"/>
  <c r="U240" i="2"/>
  <c r="R240" i="2"/>
  <c r="O240" i="2"/>
  <c r="N240" i="2"/>
  <c r="L240" i="2"/>
  <c r="I240" i="2"/>
  <c r="H240" i="2"/>
  <c r="F240" i="2"/>
  <c r="C240" i="2"/>
  <c r="AC238" i="2"/>
  <c r="AD238" i="2" s="1"/>
  <c r="AA238" i="2"/>
  <c r="X238" i="2"/>
  <c r="W238" i="2"/>
  <c r="U238" i="2"/>
  <c r="R238" i="2"/>
  <c r="O238" i="2"/>
  <c r="N238" i="2"/>
  <c r="L238" i="2"/>
  <c r="H238" i="2"/>
  <c r="I238" i="2" s="1"/>
  <c r="F238" i="2"/>
  <c r="C238" i="2"/>
  <c r="AC236" i="2"/>
  <c r="AD236" i="2" s="1"/>
  <c r="Z236" i="2"/>
  <c r="AA236" i="2" s="1"/>
  <c r="U236" i="2"/>
  <c r="T236" i="2"/>
  <c r="Q236" i="2"/>
  <c r="W236" i="2" s="1"/>
  <c r="X236" i="2" s="1"/>
  <c r="K236" i="2"/>
  <c r="L236" i="2" s="1"/>
  <c r="E236" i="2"/>
  <c r="F236" i="2" s="1"/>
  <c r="B236" i="2"/>
  <c r="AC235" i="2"/>
  <c r="AD235" i="2" s="1"/>
  <c r="AA235" i="2"/>
  <c r="W235" i="2"/>
  <c r="X235" i="2" s="1"/>
  <c r="U235" i="2"/>
  <c r="R235" i="2"/>
  <c r="N235" i="2"/>
  <c r="O235" i="2" s="1"/>
  <c r="L235" i="2"/>
  <c r="I235" i="2"/>
  <c r="H235" i="2"/>
  <c r="F235" i="2"/>
  <c r="C235" i="2"/>
  <c r="AC234" i="2"/>
  <c r="AD234" i="2" s="1"/>
  <c r="AA234" i="2"/>
  <c r="X234" i="2"/>
  <c r="W234" i="2"/>
  <c r="U234" i="2"/>
  <c r="R234" i="2"/>
  <c r="N234" i="2"/>
  <c r="O234" i="2" s="1"/>
  <c r="L234" i="2"/>
  <c r="I234" i="2"/>
  <c r="H234" i="2"/>
  <c r="F234" i="2"/>
  <c r="C234" i="2"/>
  <c r="AC233" i="2"/>
  <c r="AD233" i="2" s="1"/>
  <c r="AA233" i="2"/>
  <c r="W233" i="2"/>
  <c r="X233" i="2" s="1"/>
  <c r="U233" i="2"/>
  <c r="R233" i="2"/>
  <c r="N233" i="2"/>
  <c r="O233" i="2" s="1"/>
  <c r="L233" i="2"/>
  <c r="I233" i="2"/>
  <c r="H233" i="2"/>
  <c r="F233" i="2"/>
  <c r="C233" i="2"/>
  <c r="AD232" i="2"/>
  <c r="AC232" i="2"/>
  <c r="AA232" i="2"/>
  <c r="W232" i="2"/>
  <c r="X232" i="2" s="1"/>
  <c r="U232" i="2"/>
  <c r="R232" i="2"/>
  <c r="O232" i="2"/>
  <c r="N232" i="2"/>
  <c r="L232" i="2"/>
  <c r="H232" i="2"/>
  <c r="I232" i="2" s="1"/>
  <c r="F232" i="2"/>
  <c r="C232" i="2"/>
  <c r="AD231" i="2"/>
  <c r="AC231" i="2"/>
  <c r="AA231" i="2"/>
  <c r="W231" i="2"/>
  <c r="X231" i="2" s="1"/>
  <c r="U231" i="2"/>
  <c r="R231" i="2"/>
  <c r="O231" i="2"/>
  <c r="N231" i="2"/>
  <c r="L231" i="2"/>
  <c r="I231" i="2"/>
  <c r="H231" i="2"/>
  <c r="F231" i="2"/>
  <c r="C231" i="2"/>
  <c r="AC230" i="2"/>
  <c r="AD230" i="2" s="1"/>
  <c r="AA230" i="2"/>
  <c r="X230" i="2"/>
  <c r="W230" i="2"/>
  <c r="U230" i="2"/>
  <c r="R230" i="2"/>
  <c r="N230" i="2"/>
  <c r="O230" i="2" s="1"/>
  <c r="L230" i="2"/>
  <c r="H230" i="2"/>
  <c r="I230" i="2" s="1"/>
  <c r="F230" i="2"/>
  <c r="C230" i="2"/>
  <c r="AD229" i="2"/>
  <c r="AC229" i="2"/>
  <c r="AA229" i="2"/>
  <c r="W229" i="2"/>
  <c r="X229" i="2" s="1"/>
  <c r="U229" i="2"/>
  <c r="R229" i="2"/>
  <c r="N229" i="2"/>
  <c r="O229" i="2" s="1"/>
  <c r="L229" i="2"/>
  <c r="H229" i="2"/>
  <c r="I229" i="2" s="1"/>
  <c r="F229" i="2"/>
  <c r="C229" i="2"/>
  <c r="Z227" i="2"/>
  <c r="AA227" i="2" s="1"/>
  <c r="W227" i="2"/>
  <c r="X227" i="2" s="1"/>
  <c r="T227" i="2"/>
  <c r="U227" i="2" s="1"/>
  <c r="R227" i="2"/>
  <c r="Q227" i="2"/>
  <c r="N227" i="2"/>
  <c r="O227" i="2" s="1"/>
  <c r="K227" i="2"/>
  <c r="L227" i="2" s="1"/>
  <c r="F227" i="2"/>
  <c r="E227" i="2"/>
  <c r="C227" i="2"/>
  <c r="B227" i="2"/>
  <c r="H227" i="2" s="1"/>
  <c r="I227" i="2" s="1"/>
  <c r="AC226" i="2"/>
  <c r="AD226" i="2" s="1"/>
  <c r="AA226" i="2"/>
  <c r="X226" i="2"/>
  <c r="W226" i="2"/>
  <c r="U226" i="2"/>
  <c r="R226" i="2"/>
  <c r="O226" i="2"/>
  <c r="N226" i="2"/>
  <c r="L226" i="2"/>
  <c r="H226" i="2"/>
  <c r="I226" i="2" s="1"/>
  <c r="F226" i="2"/>
  <c r="C226" i="2"/>
  <c r="AD225" i="2"/>
  <c r="AC225" i="2"/>
  <c r="AA225" i="2"/>
  <c r="X225" i="2"/>
  <c r="W225" i="2"/>
  <c r="U225" i="2"/>
  <c r="R225" i="2"/>
  <c r="N225" i="2"/>
  <c r="O225" i="2" s="1"/>
  <c r="L225" i="2"/>
  <c r="I225" i="2"/>
  <c r="H225" i="2"/>
  <c r="F225" i="2"/>
  <c r="C225" i="2"/>
  <c r="AD224" i="2"/>
  <c r="AC224" i="2"/>
  <c r="AA224" i="2"/>
  <c r="X224" i="2"/>
  <c r="W224" i="2"/>
  <c r="U224" i="2"/>
  <c r="R224" i="2"/>
  <c r="O224" i="2"/>
  <c r="N224" i="2"/>
  <c r="L224" i="2"/>
  <c r="I224" i="2"/>
  <c r="H224" i="2"/>
  <c r="F224" i="2"/>
  <c r="C224" i="2"/>
  <c r="AD223" i="2"/>
  <c r="AC223" i="2"/>
  <c r="AA223" i="2"/>
  <c r="W223" i="2"/>
  <c r="X223" i="2" s="1"/>
  <c r="U223" i="2"/>
  <c r="R223" i="2"/>
  <c r="O223" i="2"/>
  <c r="N223" i="2"/>
  <c r="L223" i="2"/>
  <c r="I223" i="2"/>
  <c r="H223" i="2"/>
  <c r="F223" i="2"/>
  <c r="C223" i="2"/>
  <c r="AD222" i="2"/>
  <c r="AC222" i="2"/>
  <c r="AA222" i="2"/>
  <c r="X222" i="2"/>
  <c r="W222" i="2"/>
  <c r="U222" i="2"/>
  <c r="R222" i="2"/>
  <c r="O222" i="2"/>
  <c r="N222" i="2"/>
  <c r="L222" i="2"/>
  <c r="H222" i="2"/>
  <c r="I222" i="2" s="1"/>
  <c r="F222" i="2"/>
  <c r="C222" i="2"/>
  <c r="AC221" i="2"/>
  <c r="AD221" i="2" s="1"/>
  <c r="AA221" i="2"/>
  <c r="X221" i="2"/>
  <c r="W221" i="2"/>
  <c r="U221" i="2"/>
  <c r="R221" i="2"/>
  <c r="N221" i="2"/>
  <c r="O221" i="2" s="1"/>
  <c r="L221" i="2"/>
  <c r="H221" i="2"/>
  <c r="I221" i="2" s="1"/>
  <c r="F221" i="2"/>
  <c r="C221" i="2"/>
  <c r="AD220" i="2"/>
  <c r="AC220" i="2"/>
  <c r="AA220" i="2"/>
  <c r="W220" i="2"/>
  <c r="X220" i="2" s="1"/>
  <c r="U220" i="2"/>
  <c r="R220" i="2"/>
  <c r="O220" i="2"/>
  <c r="N220" i="2"/>
  <c r="L220" i="2"/>
  <c r="H220" i="2"/>
  <c r="I220" i="2" s="1"/>
  <c r="F220" i="2"/>
  <c r="C220" i="2"/>
  <c r="AD219" i="2"/>
  <c r="AC219" i="2"/>
  <c r="AA219" i="2"/>
  <c r="W219" i="2"/>
  <c r="X219" i="2" s="1"/>
  <c r="U219" i="2"/>
  <c r="R219" i="2"/>
  <c r="N219" i="2"/>
  <c r="O219" i="2" s="1"/>
  <c r="L219" i="2"/>
  <c r="I219" i="2"/>
  <c r="H219" i="2"/>
  <c r="F219" i="2"/>
  <c r="C219" i="2"/>
  <c r="Z218" i="2"/>
  <c r="T218" i="2"/>
  <c r="U218" i="2" s="1"/>
  <c r="Q218" i="2"/>
  <c r="L218" i="2"/>
  <c r="K218" i="2"/>
  <c r="E218" i="2"/>
  <c r="F218" i="2" s="1"/>
  <c r="B218" i="2"/>
  <c r="AD217" i="2"/>
  <c r="AC217" i="2"/>
  <c r="AA217" i="2"/>
  <c r="X217" i="2"/>
  <c r="W217" i="2"/>
  <c r="U217" i="2"/>
  <c r="R217" i="2"/>
  <c r="O217" i="2"/>
  <c r="N217" i="2"/>
  <c r="L217" i="2"/>
  <c r="H217" i="2"/>
  <c r="I217" i="2" s="1"/>
  <c r="F217" i="2"/>
  <c r="C217" i="2"/>
  <c r="AC216" i="2"/>
  <c r="AD216" i="2" s="1"/>
  <c r="AA216" i="2"/>
  <c r="W216" i="2"/>
  <c r="X216" i="2" s="1"/>
  <c r="U216" i="2"/>
  <c r="R216" i="2"/>
  <c r="N216" i="2"/>
  <c r="O216" i="2" s="1"/>
  <c r="L216" i="2"/>
  <c r="I216" i="2"/>
  <c r="H216" i="2"/>
  <c r="F216" i="2"/>
  <c r="C216" i="2"/>
  <c r="AD215" i="2"/>
  <c r="AC215" i="2"/>
  <c r="AA215" i="2"/>
  <c r="X215" i="2"/>
  <c r="W215" i="2"/>
  <c r="U215" i="2"/>
  <c r="R215" i="2"/>
  <c r="N215" i="2"/>
  <c r="O215" i="2" s="1"/>
  <c r="L215" i="2"/>
  <c r="H215" i="2"/>
  <c r="I215" i="2" s="1"/>
  <c r="F215" i="2"/>
  <c r="C215" i="2"/>
  <c r="AD214" i="2"/>
  <c r="AC214" i="2"/>
  <c r="AA214" i="2"/>
  <c r="W214" i="2"/>
  <c r="X214" i="2" s="1"/>
  <c r="U214" i="2"/>
  <c r="R214" i="2"/>
  <c r="N214" i="2"/>
  <c r="O214" i="2" s="1"/>
  <c r="L214" i="2"/>
  <c r="H214" i="2"/>
  <c r="I214" i="2" s="1"/>
  <c r="F214" i="2"/>
  <c r="C214" i="2"/>
  <c r="AD213" i="2"/>
  <c r="AC213" i="2"/>
  <c r="AA213" i="2"/>
  <c r="X213" i="2"/>
  <c r="W213" i="2"/>
  <c r="U213" i="2"/>
  <c r="R213" i="2"/>
  <c r="N213" i="2"/>
  <c r="O213" i="2" s="1"/>
  <c r="L213" i="2"/>
  <c r="I213" i="2"/>
  <c r="H213" i="2"/>
  <c r="F213" i="2"/>
  <c r="C213" i="2"/>
  <c r="AC211" i="2"/>
  <c r="AD211" i="2" s="1"/>
  <c r="AA211" i="2"/>
  <c r="W211" i="2"/>
  <c r="X211" i="2" s="1"/>
  <c r="U211" i="2"/>
  <c r="R211" i="2"/>
  <c r="N211" i="2"/>
  <c r="O211" i="2" s="1"/>
  <c r="L211" i="2"/>
  <c r="I211" i="2"/>
  <c r="H211" i="2"/>
  <c r="F211" i="2"/>
  <c r="C211" i="2"/>
  <c r="AA209" i="2"/>
  <c r="Z209" i="2"/>
  <c r="T209" i="2"/>
  <c r="U209" i="2" s="1"/>
  <c r="Q209" i="2"/>
  <c r="L209" i="2"/>
  <c r="K209" i="2"/>
  <c r="E209" i="2"/>
  <c r="H209" i="2" s="1"/>
  <c r="I209" i="2" s="1"/>
  <c r="B209" i="2"/>
  <c r="C209" i="2" s="1"/>
  <c r="AD208" i="2"/>
  <c r="AC208" i="2"/>
  <c r="AA208" i="2"/>
  <c r="X208" i="2"/>
  <c r="W208" i="2"/>
  <c r="U208" i="2"/>
  <c r="R208" i="2"/>
  <c r="O208" i="2"/>
  <c r="N208" i="2"/>
  <c r="L208" i="2"/>
  <c r="H208" i="2"/>
  <c r="I208" i="2" s="1"/>
  <c r="F208" i="2"/>
  <c r="C208" i="2"/>
  <c r="AC207" i="2"/>
  <c r="AD207" i="2" s="1"/>
  <c r="AA207" i="2"/>
  <c r="W207" i="2"/>
  <c r="X207" i="2" s="1"/>
  <c r="U207" i="2"/>
  <c r="R207" i="2"/>
  <c r="O207" i="2"/>
  <c r="N207" i="2"/>
  <c r="L207" i="2"/>
  <c r="I207" i="2"/>
  <c r="H207" i="2"/>
  <c r="F207" i="2"/>
  <c r="C207" i="2"/>
  <c r="AC206" i="2"/>
  <c r="AD206" i="2" s="1"/>
  <c r="AA206" i="2"/>
  <c r="W206" i="2"/>
  <c r="X206" i="2" s="1"/>
  <c r="U206" i="2"/>
  <c r="R206" i="2"/>
  <c r="N206" i="2"/>
  <c r="O206" i="2" s="1"/>
  <c r="L206" i="2"/>
  <c r="I206" i="2"/>
  <c r="H206" i="2"/>
  <c r="F206" i="2"/>
  <c r="C206" i="2"/>
  <c r="AC205" i="2"/>
  <c r="AD205" i="2" s="1"/>
  <c r="AA205" i="2"/>
  <c r="X205" i="2"/>
  <c r="W205" i="2"/>
  <c r="U205" i="2"/>
  <c r="R205" i="2"/>
  <c r="N205" i="2"/>
  <c r="O205" i="2" s="1"/>
  <c r="L205" i="2"/>
  <c r="H205" i="2"/>
  <c r="I205" i="2" s="1"/>
  <c r="F205" i="2"/>
  <c r="C205" i="2"/>
  <c r="AD204" i="2"/>
  <c r="AC204" i="2"/>
  <c r="AA204" i="2"/>
  <c r="W204" i="2"/>
  <c r="X204" i="2" s="1"/>
  <c r="U204" i="2"/>
  <c r="R204" i="2"/>
  <c r="O204" i="2"/>
  <c r="N204" i="2"/>
  <c r="L204" i="2"/>
  <c r="H204" i="2"/>
  <c r="I204" i="2" s="1"/>
  <c r="F204" i="2"/>
  <c r="C204" i="2"/>
  <c r="AC203" i="2"/>
  <c r="AD203" i="2" s="1"/>
  <c r="AA203" i="2"/>
  <c r="W203" i="2"/>
  <c r="X203" i="2" s="1"/>
  <c r="U203" i="2"/>
  <c r="R203" i="2"/>
  <c r="N203" i="2"/>
  <c r="O203" i="2" s="1"/>
  <c r="L203" i="2"/>
  <c r="I203" i="2"/>
  <c r="H203" i="2"/>
  <c r="F203" i="2"/>
  <c r="C203" i="2"/>
  <c r="AC202" i="2"/>
  <c r="AD202" i="2" s="1"/>
  <c r="AA202" i="2"/>
  <c r="W202" i="2"/>
  <c r="X202" i="2" s="1"/>
  <c r="U202" i="2"/>
  <c r="R202" i="2"/>
  <c r="N202" i="2"/>
  <c r="O202" i="2" s="1"/>
  <c r="L202" i="2"/>
  <c r="H202" i="2"/>
  <c r="I202" i="2" s="1"/>
  <c r="F202" i="2"/>
  <c r="C202" i="2"/>
  <c r="AD201" i="2"/>
  <c r="AC201" i="2"/>
  <c r="AA201" i="2"/>
  <c r="X201" i="2"/>
  <c r="W201" i="2"/>
  <c r="U201" i="2"/>
  <c r="R201" i="2"/>
  <c r="N201" i="2"/>
  <c r="O201" i="2" s="1"/>
  <c r="L201" i="2"/>
  <c r="H201" i="2"/>
  <c r="I201" i="2" s="1"/>
  <c r="F201" i="2"/>
  <c r="C201" i="2"/>
  <c r="AA197" i="2"/>
  <c r="Z197" i="2"/>
  <c r="T197" i="2"/>
  <c r="T198" i="2" s="1"/>
  <c r="Q197" i="2"/>
  <c r="L197" i="2"/>
  <c r="K197" i="2"/>
  <c r="E197" i="2"/>
  <c r="H197" i="2" s="1"/>
  <c r="I197" i="2" s="1"/>
  <c r="B197" i="2"/>
  <c r="C197" i="2" s="1"/>
  <c r="Z196" i="2"/>
  <c r="AA196" i="2" s="1"/>
  <c r="W196" i="2"/>
  <c r="X196" i="2" s="1"/>
  <c r="U196" i="2"/>
  <c r="T196" i="2"/>
  <c r="R196" i="2"/>
  <c r="Q196" i="2"/>
  <c r="L196" i="2"/>
  <c r="K196" i="2"/>
  <c r="F196" i="2"/>
  <c r="E196" i="2"/>
  <c r="B196" i="2"/>
  <c r="AD195" i="2"/>
  <c r="AC195" i="2"/>
  <c r="AA195" i="2"/>
  <c r="W195" i="2"/>
  <c r="X195" i="2" s="1"/>
  <c r="U195" i="2"/>
  <c r="R195" i="2"/>
  <c r="N195" i="2"/>
  <c r="O195" i="2" s="1"/>
  <c r="L195" i="2"/>
  <c r="I195" i="2"/>
  <c r="H195" i="2"/>
  <c r="F195" i="2"/>
  <c r="C195" i="2"/>
  <c r="AC194" i="2"/>
  <c r="AD194" i="2" s="1"/>
  <c r="AA194" i="2"/>
  <c r="W194" i="2"/>
  <c r="X194" i="2" s="1"/>
  <c r="U194" i="2"/>
  <c r="R194" i="2"/>
  <c r="N194" i="2"/>
  <c r="O194" i="2" s="1"/>
  <c r="L194" i="2"/>
  <c r="H194" i="2"/>
  <c r="I194" i="2" s="1"/>
  <c r="F194" i="2"/>
  <c r="C194" i="2"/>
  <c r="AA193" i="2"/>
  <c r="Z193" i="2"/>
  <c r="T193" i="2"/>
  <c r="W193" i="2" s="1"/>
  <c r="X193" i="2" s="1"/>
  <c r="R193" i="2"/>
  <c r="Q193" i="2"/>
  <c r="AC193" i="2" s="1"/>
  <c r="AD193" i="2" s="1"/>
  <c r="K193" i="2"/>
  <c r="L193" i="2" s="1"/>
  <c r="H193" i="2"/>
  <c r="I193" i="2" s="1"/>
  <c r="F193" i="2"/>
  <c r="E193" i="2"/>
  <c r="C193" i="2"/>
  <c r="B193" i="2"/>
  <c r="AC192" i="2"/>
  <c r="AD192" i="2" s="1"/>
  <c r="AA192" i="2"/>
  <c r="W192" i="2"/>
  <c r="X192" i="2" s="1"/>
  <c r="U192" i="2"/>
  <c r="R192" i="2"/>
  <c r="N192" i="2"/>
  <c r="O192" i="2" s="1"/>
  <c r="L192" i="2"/>
  <c r="I192" i="2"/>
  <c r="H192" i="2"/>
  <c r="F192" i="2"/>
  <c r="C192" i="2"/>
  <c r="AD191" i="2"/>
  <c r="AC191" i="2"/>
  <c r="AA191" i="2"/>
  <c r="W191" i="2"/>
  <c r="X191" i="2" s="1"/>
  <c r="U191" i="2"/>
  <c r="R191" i="2"/>
  <c r="N191" i="2"/>
  <c r="O191" i="2" s="1"/>
  <c r="L191" i="2"/>
  <c r="H191" i="2"/>
  <c r="I191" i="2" s="1"/>
  <c r="F191" i="2"/>
  <c r="C191" i="2"/>
  <c r="AD190" i="2"/>
  <c r="AC190" i="2"/>
  <c r="AA190" i="2"/>
  <c r="X190" i="2"/>
  <c r="W190" i="2"/>
  <c r="U190" i="2"/>
  <c r="R190" i="2"/>
  <c r="N190" i="2"/>
  <c r="O190" i="2" s="1"/>
  <c r="L190" i="2"/>
  <c r="H190" i="2"/>
  <c r="I190" i="2" s="1"/>
  <c r="F190" i="2"/>
  <c r="C190" i="2"/>
  <c r="AC189" i="2"/>
  <c r="AD189" i="2" s="1"/>
  <c r="AA189" i="2"/>
  <c r="W189" i="2"/>
  <c r="X189" i="2" s="1"/>
  <c r="U189" i="2"/>
  <c r="R189" i="2"/>
  <c r="N189" i="2"/>
  <c r="O189" i="2" s="1"/>
  <c r="L189" i="2"/>
  <c r="I189" i="2"/>
  <c r="H189" i="2"/>
  <c r="F189" i="2"/>
  <c r="C189" i="2"/>
  <c r="AD188" i="2"/>
  <c r="AC188" i="2"/>
  <c r="AA188" i="2"/>
  <c r="W188" i="2"/>
  <c r="X188" i="2" s="1"/>
  <c r="U188" i="2"/>
  <c r="R188" i="2"/>
  <c r="N188" i="2"/>
  <c r="O188" i="2" s="1"/>
  <c r="L188" i="2"/>
  <c r="H188" i="2"/>
  <c r="I188" i="2" s="1"/>
  <c r="F188" i="2"/>
  <c r="C188" i="2"/>
  <c r="AD187" i="2"/>
  <c r="AC187" i="2"/>
  <c r="AA187" i="2"/>
  <c r="W187" i="2"/>
  <c r="X187" i="2" s="1"/>
  <c r="U187" i="2"/>
  <c r="R187" i="2"/>
  <c r="N187" i="2"/>
  <c r="O187" i="2" s="1"/>
  <c r="L187" i="2"/>
  <c r="H187" i="2"/>
  <c r="I187" i="2" s="1"/>
  <c r="F187" i="2"/>
  <c r="C187" i="2"/>
  <c r="AD186" i="2"/>
  <c r="AC186" i="2"/>
  <c r="AA186" i="2"/>
  <c r="X186" i="2"/>
  <c r="W186" i="2"/>
  <c r="U186" i="2"/>
  <c r="R186" i="2"/>
  <c r="N186" i="2"/>
  <c r="O186" i="2" s="1"/>
  <c r="L186" i="2"/>
  <c r="I186" i="2"/>
  <c r="H186" i="2"/>
  <c r="F186" i="2"/>
  <c r="C186" i="2"/>
  <c r="AC184" i="2"/>
  <c r="AD184" i="2" s="1"/>
  <c r="AA184" i="2"/>
  <c r="W184" i="2"/>
  <c r="X184" i="2" s="1"/>
  <c r="U184" i="2"/>
  <c r="R184" i="2"/>
  <c r="N184" i="2"/>
  <c r="O184" i="2" s="1"/>
  <c r="L184" i="2"/>
  <c r="I184" i="2"/>
  <c r="H184" i="2"/>
  <c r="F184" i="2"/>
  <c r="C184" i="2"/>
  <c r="AD183" i="2"/>
  <c r="AC183" i="2"/>
  <c r="AA183" i="2"/>
  <c r="W183" i="2"/>
  <c r="X183" i="2" s="1"/>
  <c r="U183" i="2"/>
  <c r="R183" i="2"/>
  <c r="N183" i="2"/>
  <c r="O183" i="2" s="1"/>
  <c r="L183" i="2"/>
  <c r="I183" i="2"/>
  <c r="H183" i="2"/>
  <c r="F183" i="2"/>
  <c r="C183" i="2"/>
  <c r="AC182" i="2"/>
  <c r="AD182" i="2" s="1"/>
  <c r="AA182" i="2"/>
  <c r="Z182" i="2"/>
  <c r="U182" i="2"/>
  <c r="T182" i="2"/>
  <c r="R182" i="2"/>
  <c r="Q182" i="2"/>
  <c r="W182" i="2" s="1"/>
  <c r="X182" i="2" s="1"/>
  <c r="L182" i="2"/>
  <c r="K182" i="2"/>
  <c r="E182" i="2"/>
  <c r="F182" i="2" s="1"/>
  <c r="B182" i="2"/>
  <c r="AC181" i="2"/>
  <c r="AD181" i="2" s="1"/>
  <c r="AA181" i="2"/>
  <c r="W181" i="2"/>
  <c r="X181" i="2" s="1"/>
  <c r="U181" i="2"/>
  <c r="R181" i="2"/>
  <c r="O181" i="2"/>
  <c r="N181" i="2"/>
  <c r="L181" i="2"/>
  <c r="I181" i="2"/>
  <c r="H181" i="2"/>
  <c r="F181" i="2"/>
  <c r="C181" i="2"/>
  <c r="AD180" i="2"/>
  <c r="AC180" i="2"/>
  <c r="AA180" i="2"/>
  <c r="W180" i="2"/>
  <c r="X180" i="2" s="1"/>
  <c r="U180" i="2"/>
  <c r="R180" i="2"/>
  <c r="N180" i="2"/>
  <c r="O180" i="2" s="1"/>
  <c r="L180" i="2"/>
  <c r="I180" i="2"/>
  <c r="H180" i="2"/>
  <c r="F180" i="2"/>
  <c r="C180" i="2"/>
  <c r="AC179" i="2"/>
  <c r="AD179" i="2" s="1"/>
  <c r="AA179" i="2"/>
  <c r="W179" i="2"/>
  <c r="X179" i="2" s="1"/>
  <c r="U179" i="2"/>
  <c r="R179" i="2"/>
  <c r="N179" i="2"/>
  <c r="O179" i="2" s="1"/>
  <c r="L179" i="2"/>
  <c r="H179" i="2"/>
  <c r="I179" i="2" s="1"/>
  <c r="F179" i="2"/>
  <c r="C179" i="2"/>
  <c r="AD178" i="2"/>
  <c r="AC178" i="2"/>
  <c r="AA178" i="2"/>
  <c r="W178" i="2"/>
  <c r="X178" i="2" s="1"/>
  <c r="U178" i="2"/>
  <c r="R178" i="2"/>
  <c r="O178" i="2"/>
  <c r="N178" i="2"/>
  <c r="L178" i="2"/>
  <c r="H178" i="2"/>
  <c r="I178" i="2" s="1"/>
  <c r="F178" i="2"/>
  <c r="C178" i="2"/>
  <c r="AC177" i="2"/>
  <c r="AD177" i="2" s="1"/>
  <c r="AA177" i="2"/>
  <c r="W177" i="2"/>
  <c r="X177" i="2" s="1"/>
  <c r="U177" i="2"/>
  <c r="R177" i="2"/>
  <c r="O177" i="2"/>
  <c r="N177" i="2"/>
  <c r="L177" i="2"/>
  <c r="I177" i="2"/>
  <c r="H177" i="2"/>
  <c r="F177" i="2"/>
  <c r="C177" i="2"/>
  <c r="AC175" i="2"/>
  <c r="AD175" i="2" s="1"/>
  <c r="AA175" i="2"/>
  <c r="W175" i="2"/>
  <c r="X175" i="2" s="1"/>
  <c r="U175" i="2"/>
  <c r="R175" i="2"/>
  <c r="N175" i="2"/>
  <c r="O175" i="2" s="1"/>
  <c r="L175" i="2"/>
  <c r="H175" i="2"/>
  <c r="I175" i="2" s="1"/>
  <c r="F175" i="2"/>
  <c r="C175" i="2"/>
  <c r="U172" i="2"/>
  <c r="AC171" i="2"/>
  <c r="AD171" i="2" s="1"/>
  <c r="AA171" i="2"/>
  <c r="Z171" i="2"/>
  <c r="U171" i="2"/>
  <c r="T171" i="2"/>
  <c r="Q171" i="2"/>
  <c r="K171" i="2"/>
  <c r="K172" i="2" s="1"/>
  <c r="H171" i="2"/>
  <c r="I171" i="2" s="1"/>
  <c r="E171" i="2"/>
  <c r="E172" i="2" s="1"/>
  <c r="C171" i="2"/>
  <c r="B171" i="2"/>
  <c r="AC170" i="2"/>
  <c r="AD170" i="2" s="1"/>
  <c r="Z170" i="2"/>
  <c r="AA170" i="2" s="1"/>
  <c r="U170" i="2"/>
  <c r="T170" i="2"/>
  <c r="R170" i="2"/>
  <c r="Q170" i="2"/>
  <c r="W170" i="2" s="1"/>
  <c r="X170" i="2" s="1"/>
  <c r="N170" i="2"/>
  <c r="O170" i="2" s="1"/>
  <c r="K170" i="2"/>
  <c r="L170" i="2" s="1"/>
  <c r="E170" i="2"/>
  <c r="F170" i="2" s="1"/>
  <c r="C170" i="2"/>
  <c r="B170" i="2"/>
  <c r="AD169" i="2"/>
  <c r="AC169" i="2"/>
  <c r="AA169" i="2"/>
  <c r="W169" i="2"/>
  <c r="X169" i="2" s="1"/>
  <c r="U169" i="2"/>
  <c r="R169" i="2"/>
  <c r="O169" i="2"/>
  <c r="N169" i="2"/>
  <c r="L169" i="2"/>
  <c r="I169" i="2"/>
  <c r="H169" i="2"/>
  <c r="F169" i="2"/>
  <c r="C169" i="2"/>
  <c r="AC168" i="2"/>
  <c r="AD168" i="2" s="1"/>
  <c r="AA168" i="2"/>
  <c r="X168" i="2"/>
  <c r="W168" i="2"/>
  <c r="U168" i="2"/>
  <c r="R168" i="2"/>
  <c r="N168" i="2"/>
  <c r="O168" i="2" s="1"/>
  <c r="L168" i="2"/>
  <c r="H168" i="2"/>
  <c r="I168" i="2" s="1"/>
  <c r="F168" i="2"/>
  <c r="C168" i="2"/>
  <c r="AC167" i="2"/>
  <c r="AD167" i="2" s="1"/>
  <c r="AA167" i="2"/>
  <c r="X167" i="2"/>
  <c r="W167" i="2"/>
  <c r="U167" i="2"/>
  <c r="R167" i="2"/>
  <c r="N167" i="2"/>
  <c r="O167" i="2" s="1"/>
  <c r="L167" i="2"/>
  <c r="H167" i="2"/>
  <c r="I167" i="2" s="1"/>
  <c r="F167" i="2"/>
  <c r="C167" i="2"/>
  <c r="Z166" i="2"/>
  <c r="AA166" i="2" s="1"/>
  <c r="W166" i="2"/>
  <c r="X166" i="2" s="1"/>
  <c r="T166" i="2"/>
  <c r="U166" i="2" s="1"/>
  <c r="R166" i="2"/>
  <c r="Q166" i="2"/>
  <c r="AC166" i="2" s="1"/>
  <c r="AD166" i="2" s="1"/>
  <c r="K166" i="2"/>
  <c r="L166" i="2" s="1"/>
  <c r="H166" i="2"/>
  <c r="I166" i="2" s="1"/>
  <c r="F166" i="2"/>
  <c r="E166" i="2"/>
  <c r="B166" i="2"/>
  <c r="C166" i="2" s="1"/>
  <c r="AC165" i="2"/>
  <c r="AD165" i="2" s="1"/>
  <c r="AA165" i="2"/>
  <c r="X165" i="2"/>
  <c r="W165" i="2"/>
  <c r="U165" i="2"/>
  <c r="R165" i="2"/>
  <c r="N165" i="2"/>
  <c r="O165" i="2" s="1"/>
  <c r="L165" i="2"/>
  <c r="H165" i="2"/>
  <c r="I165" i="2" s="1"/>
  <c r="F165" i="2"/>
  <c r="C165" i="2"/>
  <c r="AC164" i="2"/>
  <c r="AD164" i="2" s="1"/>
  <c r="AA164" i="2"/>
  <c r="W164" i="2"/>
  <c r="X164" i="2" s="1"/>
  <c r="U164" i="2"/>
  <c r="R164" i="2"/>
  <c r="N164" i="2"/>
  <c r="O164" i="2" s="1"/>
  <c r="L164" i="2"/>
  <c r="H164" i="2"/>
  <c r="I164" i="2" s="1"/>
  <c r="F164" i="2"/>
  <c r="C164" i="2"/>
  <c r="AD163" i="2"/>
  <c r="AC163" i="2"/>
  <c r="AA163" i="2"/>
  <c r="W163" i="2"/>
  <c r="X163" i="2" s="1"/>
  <c r="U163" i="2"/>
  <c r="R163" i="2"/>
  <c r="N163" i="2"/>
  <c r="O163" i="2" s="1"/>
  <c r="L163" i="2"/>
  <c r="I163" i="2"/>
  <c r="H163" i="2"/>
  <c r="F163" i="2"/>
  <c r="C163" i="2"/>
  <c r="AC162" i="2"/>
  <c r="AD162" i="2" s="1"/>
  <c r="AA162" i="2"/>
  <c r="W162" i="2"/>
  <c r="X162" i="2" s="1"/>
  <c r="U162" i="2"/>
  <c r="R162" i="2"/>
  <c r="N162" i="2"/>
  <c r="O162" i="2" s="1"/>
  <c r="L162" i="2"/>
  <c r="I162" i="2"/>
  <c r="H162" i="2"/>
  <c r="F162" i="2"/>
  <c r="C162" i="2"/>
  <c r="AC161" i="2"/>
  <c r="AD161" i="2" s="1"/>
  <c r="AA161" i="2"/>
  <c r="W161" i="2"/>
  <c r="X161" i="2" s="1"/>
  <c r="U161" i="2"/>
  <c r="R161" i="2"/>
  <c r="O161" i="2"/>
  <c r="N161" i="2"/>
  <c r="L161" i="2"/>
  <c r="I161" i="2"/>
  <c r="H161" i="2"/>
  <c r="F161" i="2"/>
  <c r="C161" i="2"/>
  <c r="AC160" i="2"/>
  <c r="AD160" i="2" s="1"/>
  <c r="AA160" i="2"/>
  <c r="W160" i="2"/>
  <c r="X160" i="2" s="1"/>
  <c r="U160" i="2"/>
  <c r="R160" i="2"/>
  <c r="N160" i="2"/>
  <c r="O160" i="2" s="1"/>
  <c r="L160" i="2"/>
  <c r="I160" i="2"/>
  <c r="H160" i="2"/>
  <c r="F160" i="2"/>
  <c r="C160" i="2"/>
  <c r="AD158" i="2"/>
  <c r="AA158" i="2"/>
  <c r="Z158" i="2"/>
  <c r="W158" i="2"/>
  <c r="X158" i="2" s="1"/>
  <c r="T158" i="2"/>
  <c r="U158" i="2" s="1"/>
  <c r="R158" i="2"/>
  <c r="Q158" i="2"/>
  <c r="AC158" i="2" s="1"/>
  <c r="N158" i="2"/>
  <c r="O158" i="2" s="1"/>
  <c r="K158" i="2"/>
  <c r="L158" i="2" s="1"/>
  <c r="F158" i="2"/>
  <c r="E158" i="2"/>
  <c r="B158" i="2"/>
  <c r="H158" i="2" s="1"/>
  <c r="I158" i="2" s="1"/>
  <c r="AC157" i="2"/>
  <c r="AD157" i="2" s="1"/>
  <c r="AA157" i="2"/>
  <c r="W157" i="2"/>
  <c r="X157" i="2" s="1"/>
  <c r="U157" i="2"/>
  <c r="R157" i="2"/>
  <c r="O157" i="2"/>
  <c r="N157" i="2"/>
  <c r="L157" i="2"/>
  <c r="H157" i="2"/>
  <c r="I157" i="2" s="1"/>
  <c r="F157" i="2"/>
  <c r="C157" i="2"/>
  <c r="AD156" i="2"/>
  <c r="AC156" i="2"/>
  <c r="AA156" i="2"/>
  <c r="X156" i="2"/>
  <c r="W156" i="2"/>
  <c r="U156" i="2"/>
  <c r="R156" i="2"/>
  <c r="N156" i="2"/>
  <c r="O156" i="2" s="1"/>
  <c r="L156" i="2"/>
  <c r="I156" i="2"/>
  <c r="H156" i="2"/>
  <c r="F156" i="2"/>
  <c r="C156" i="2"/>
  <c r="AD155" i="2"/>
  <c r="AC155" i="2"/>
  <c r="AA155" i="2"/>
  <c r="X155" i="2"/>
  <c r="W155" i="2"/>
  <c r="U155" i="2"/>
  <c r="R155" i="2"/>
  <c r="N155" i="2"/>
  <c r="O155" i="2" s="1"/>
  <c r="L155" i="2"/>
  <c r="H155" i="2"/>
  <c r="I155" i="2" s="1"/>
  <c r="F155" i="2"/>
  <c r="C155" i="2"/>
  <c r="AD154" i="2"/>
  <c r="AC154" i="2"/>
  <c r="AA154" i="2"/>
  <c r="W154" i="2"/>
  <c r="X154" i="2" s="1"/>
  <c r="U154" i="2"/>
  <c r="R154" i="2"/>
  <c r="O154" i="2"/>
  <c r="N154" i="2"/>
  <c r="L154" i="2"/>
  <c r="I154" i="2"/>
  <c r="H154" i="2"/>
  <c r="F154" i="2"/>
  <c r="C154" i="2"/>
  <c r="AD153" i="2"/>
  <c r="AC153" i="2"/>
  <c r="AA153" i="2"/>
  <c r="X153" i="2"/>
  <c r="W153" i="2"/>
  <c r="U153" i="2"/>
  <c r="R153" i="2"/>
  <c r="N153" i="2"/>
  <c r="O153" i="2" s="1"/>
  <c r="L153" i="2"/>
  <c r="H153" i="2"/>
  <c r="I153" i="2" s="1"/>
  <c r="F153" i="2"/>
  <c r="C153" i="2"/>
  <c r="AC151" i="2"/>
  <c r="AD151" i="2" s="1"/>
  <c r="AA151" i="2"/>
  <c r="X151" i="2"/>
  <c r="W151" i="2"/>
  <c r="U151" i="2"/>
  <c r="R151" i="2"/>
  <c r="N151" i="2"/>
  <c r="O151" i="2" s="1"/>
  <c r="L151" i="2"/>
  <c r="H151" i="2"/>
  <c r="I151" i="2" s="1"/>
  <c r="F151" i="2"/>
  <c r="C151" i="2"/>
  <c r="Z149" i="2"/>
  <c r="AA149" i="2" s="1"/>
  <c r="T149" i="2"/>
  <c r="W149" i="2" s="1"/>
  <c r="X149" i="2" s="1"/>
  <c r="R149" i="2"/>
  <c r="Q149" i="2"/>
  <c r="AC149" i="2" s="1"/>
  <c r="AD149" i="2" s="1"/>
  <c r="L149" i="2"/>
  <c r="K149" i="2"/>
  <c r="I149" i="2"/>
  <c r="H149" i="2"/>
  <c r="F149" i="2"/>
  <c r="E149" i="2"/>
  <c r="B149" i="2"/>
  <c r="C149" i="2" s="1"/>
  <c r="AD148" i="2"/>
  <c r="AC148" i="2"/>
  <c r="Z148" i="2"/>
  <c r="AA148" i="2" s="1"/>
  <c r="U148" i="2"/>
  <c r="T148" i="2"/>
  <c r="Q148" i="2"/>
  <c r="N148" i="2"/>
  <c r="O148" i="2" s="1"/>
  <c r="L148" i="2"/>
  <c r="K148" i="2"/>
  <c r="E148" i="2"/>
  <c r="F148" i="2" s="1"/>
  <c r="B148" i="2"/>
  <c r="H148" i="2" s="1"/>
  <c r="I148" i="2" s="1"/>
  <c r="AD147" i="2"/>
  <c r="AC147" i="2"/>
  <c r="AA147" i="2"/>
  <c r="W147" i="2"/>
  <c r="X147" i="2" s="1"/>
  <c r="U147" i="2"/>
  <c r="R147" i="2"/>
  <c r="N147" i="2"/>
  <c r="O147" i="2" s="1"/>
  <c r="L147" i="2"/>
  <c r="I147" i="2"/>
  <c r="H147" i="2"/>
  <c r="F147" i="2"/>
  <c r="C147" i="2"/>
  <c r="AD146" i="2"/>
  <c r="AC146" i="2"/>
  <c r="AA146" i="2"/>
  <c r="W146" i="2"/>
  <c r="X146" i="2" s="1"/>
  <c r="U146" i="2"/>
  <c r="R146" i="2"/>
  <c r="N146" i="2"/>
  <c r="O146" i="2" s="1"/>
  <c r="L146" i="2"/>
  <c r="I146" i="2"/>
  <c r="H146" i="2"/>
  <c r="F146" i="2"/>
  <c r="C146" i="2"/>
  <c r="AC145" i="2"/>
  <c r="AD145" i="2" s="1"/>
  <c r="AA145" i="2"/>
  <c r="X145" i="2"/>
  <c r="W145" i="2"/>
  <c r="U145" i="2"/>
  <c r="R145" i="2"/>
  <c r="O145" i="2"/>
  <c r="N145" i="2"/>
  <c r="L145" i="2"/>
  <c r="H145" i="2"/>
  <c r="I145" i="2" s="1"/>
  <c r="F145" i="2"/>
  <c r="C145" i="2"/>
  <c r="AC144" i="2"/>
  <c r="AD144" i="2" s="1"/>
  <c r="AA144" i="2"/>
  <c r="W144" i="2"/>
  <c r="X144" i="2" s="1"/>
  <c r="U144" i="2"/>
  <c r="R144" i="2"/>
  <c r="N144" i="2"/>
  <c r="O144" i="2" s="1"/>
  <c r="L144" i="2"/>
  <c r="I144" i="2"/>
  <c r="H144" i="2"/>
  <c r="F144" i="2"/>
  <c r="C144" i="2"/>
  <c r="AD143" i="2"/>
  <c r="AC143" i="2"/>
  <c r="AA143" i="2"/>
  <c r="W143" i="2"/>
  <c r="X143" i="2" s="1"/>
  <c r="U143" i="2"/>
  <c r="R143" i="2"/>
  <c r="N143" i="2"/>
  <c r="O143" i="2" s="1"/>
  <c r="L143" i="2"/>
  <c r="I143" i="2"/>
  <c r="H143" i="2"/>
  <c r="F143" i="2"/>
  <c r="C143" i="2"/>
  <c r="AC141" i="2"/>
  <c r="AD141" i="2" s="1"/>
  <c r="AA141" i="2"/>
  <c r="Z141" i="2"/>
  <c r="U141" i="2"/>
  <c r="T141" i="2"/>
  <c r="Q141" i="2"/>
  <c r="K141" i="2"/>
  <c r="L141" i="2" s="1"/>
  <c r="H141" i="2"/>
  <c r="I141" i="2" s="1"/>
  <c r="E141" i="2"/>
  <c r="F141" i="2" s="1"/>
  <c r="C141" i="2"/>
  <c r="B141" i="2"/>
  <c r="N141" i="2" s="1"/>
  <c r="O141" i="2" s="1"/>
  <c r="AC140" i="2"/>
  <c r="AD140" i="2" s="1"/>
  <c r="AA140" i="2"/>
  <c r="X140" i="2"/>
  <c r="W140" i="2"/>
  <c r="U140" i="2"/>
  <c r="R140" i="2"/>
  <c r="N140" i="2"/>
  <c r="O140" i="2" s="1"/>
  <c r="L140" i="2"/>
  <c r="I140" i="2"/>
  <c r="H140" i="2"/>
  <c r="F140" i="2"/>
  <c r="C140" i="2"/>
  <c r="AD139" i="2"/>
  <c r="AC139" i="2"/>
  <c r="AA139" i="2"/>
  <c r="W139" i="2"/>
  <c r="X139" i="2" s="1"/>
  <c r="U139" i="2"/>
  <c r="R139" i="2"/>
  <c r="N139" i="2"/>
  <c r="O139" i="2" s="1"/>
  <c r="L139" i="2"/>
  <c r="I139" i="2"/>
  <c r="H139" i="2"/>
  <c r="F139" i="2"/>
  <c r="C139" i="2"/>
  <c r="AD138" i="2"/>
  <c r="AC138" i="2"/>
  <c r="AA138" i="2"/>
  <c r="W138" i="2"/>
  <c r="X138" i="2" s="1"/>
  <c r="U138" i="2"/>
  <c r="R138" i="2"/>
  <c r="O138" i="2"/>
  <c r="N138" i="2"/>
  <c r="L138" i="2"/>
  <c r="I138" i="2"/>
  <c r="H138" i="2"/>
  <c r="F138" i="2"/>
  <c r="C138" i="2"/>
  <c r="AD137" i="2"/>
  <c r="AC137" i="2"/>
  <c r="AA137" i="2"/>
  <c r="X137" i="2"/>
  <c r="W137" i="2"/>
  <c r="U137" i="2"/>
  <c r="R137" i="2"/>
  <c r="O137" i="2"/>
  <c r="N137" i="2"/>
  <c r="L137" i="2"/>
  <c r="H137" i="2"/>
  <c r="I137" i="2" s="1"/>
  <c r="F137" i="2"/>
  <c r="C137" i="2"/>
  <c r="AC136" i="2"/>
  <c r="AD136" i="2" s="1"/>
  <c r="AA136" i="2"/>
  <c r="X136" i="2"/>
  <c r="W136" i="2"/>
  <c r="U136" i="2"/>
  <c r="R136" i="2"/>
  <c r="N136" i="2"/>
  <c r="O136" i="2" s="1"/>
  <c r="L136" i="2"/>
  <c r="H136" i="2"/>
  <c r="I136" i="2" s="1"/>
  <c r="F136" i="2"/>
  <c r="C136" i="2"/>
  <c r="AD135" i="2"/>
  <c r="AC135" i="2"/>
  <c r="AA135" i="2"/>
  <c r="W135" i="2"/>
  <c r="X135" i="2" s="1"/>
  <c r="U135" i="2"/>
  <c r="R135" i="2"/>
  <c r="N135" i="2"/>
  <c r="O135" i="2" s="1"/>
  <c r="L135" i="2"/>
  <c r="H135" i="2"/>
  <c r="I135" i="2" s="1"/>
  <c r="F135" i="2"/>
  <c r="C135" i="2"/>
  <c r="AD134" i="2"/>
  <c r="AC134" i="2"/>
  <c r="AA134" i="2"/>
  <c r="W134" i="2"/>
  <c r="X134" i="2" s="1"/>
  <c r="U134" i="2"/>
  <c r="R134" i="2"/>
  <c r="N134" i="2"/>
  <c r="O134" i="2" s="1"/>
  <c r="L134" i="2"/>
  <c r="I134" i="2"/>
  <c r="H134" i="2"/>
  <c r="F134" i="2"/>
  <c r="C134" i="2"/>
  <c r="AC133" i="2"/>
  <c r="AD133" i="2" s="1"/>
  <c r="AA133" i="2"/>
  <c r="X133" i="2"/>
  <c r="W133" i="2"/>
  <c r="U133" i="2"/>
  <c r="R133" i="2"/>
  <c r="N133" i="2"/>
  <c r="O133" i="2" s="1"/>
  <c r="L133" i="2"/>
  <c r="H133" i="2"/>
  <c r="I133" i="2" s="1"/>
  <c r="F133" i="2"/>
  <c r="C133" i="2"/>
  <c r="AC132" i="2"/>
  <c r="AD132" i="2" s="1"/>
  <c r="AA132" i="2"/>
  <c r="X132" i="2"/>
  <c r="W132" i="2"/>
  <c r="U132" i="2"/>
  <c r="R132" i="2"/>
  <c r="N132" i="2"/>
  <c r="O132" i="2" s="1"/>
  <c r="L132" i="2"/>
  <c r="H132" i="2"/>
  <c r="I132" i="2" s="1"/>
  <c r="F132" i="2"/>
  <c r="C132" i="2"/>
  <c r="AD131" i="2"/>
  <c r="AC131" i="2"/>
  <c r="AA131" i="2"/>
  <c r="W131" i="2"/>
  <c r="X131" i="2" s="1"/>
  <c r="U131" i="2"/>
  <c r="R131" i="2"/>
  <c r="N131" i="2"/>
  <c r="O131" i="2" s="1"/>
  <c r="L131" i="2"/>
  <c r="I131" i="2"/>
  <c r="H131" i="2"/>
  <c r="F131" i="2"/>
  <c r="C131" i="2"/>
  <c r="AD130" i="2"/>
  <c r="AC130" i="2"/>
  <c r="AA130" i="2"/>
  <c r="W130" i="2"/>
  <c r="X130" i="2" s="1"/>
  <c r="U130" i="2"/>
  <c r="R130" i="2"/>
  <c r="N130" i="2"/>
  <c r="O130" i="2" s="1"/>
  <c r="L130" i="2"/>
  <c r="I130" i="2"/>
  <c r="H130" i="2"/>
  <c r="F130" i="2"/>
  <c r="C130" i="2"/>
  <c r="AC129" i="2"/>
  <c r="AD129" i="2" s="1"/>
  <c r="AA129" i="2"/>
  <c r="W129" i="2"/>
  <c r="X129" i="2" s="1"/>
  <c r="U129" i="2"/>
  <c r="R129" i="2"/>
  <c r="O129" i="2"/>
  <c r="N129" i="2"/>
  <c r="L129" i="2"/>
  <c r="H129" i="2"/>
  <c r="I129" i="2" s="1"/>
  <c r="F129" i="2"/>
  <c r="C129" i="2"/>
  <c r="AC127" i="2"/>
  <c r="AD127" i="2" s="1"/>
  <c r="AA127" i="2"/>
  <c r="W127" i="2"/>
  <c r="X127" i="2" s="1"/>
  <c r="U127" i="2"/>
  <c r="R127" i="2"/>
  <c r="N127" i="2"/>
  <c r="O127" i="2" s="1"/>
  <c r="L127" i="2"/>
  <c r="I127" i="2"/>
  <c r="H127" i="2"/>
  <c r="F127" i="2"/>
  <c r="C127" i="2"/>
  <c r="Z124" i="2"/>
  <c r="AA124" i="2" s="1"/>
  <c r="W124" i="2"/>
  <c r="X124" i="2" s="1"/>
  <c r="T124" i="2"/>
  <c r="T172" i="2" s="1"/>
  <c r="R124" i="2"/>
  <c r="Q124" i="2"/>
  <c r="N124" i="2"/>
  <c r="O124" i="2" s="1"/>
  <c r="K124" i="2"/>
  <c r="L124" i="2" s="1"/>
  <c r="F124" i="2"/>
  <c r="E124" i="2"/>
  <c r="C124" i="2"/>
  <c r="B124" i="2"/>
  <c r="AC123" i="2"/>
  <c r="AD123" i="2" s="1"/>
  <c r="AA123" i="2"/>
  <c r="W123" i="2"/>
  <c r="X123" i="2" s="1"/>
  <c r="U123" i="2"/>
  <c r="R123" i="2"/>
  <c r="O123" i="2"/>
  <c r="N123" i="2"/>
  <c r="L123" i="2"/>
  <c r="H123" i="2"/>
  <c r="I123" i="2" s="1"/>
  <c r="F123" i="2"/>
  <c r="C123" i="2"/>
  <c r="AC122" i="2"/>
  <c r="AD122" i="2" s="1"/>
  <c r="Z122" i="2"/>
  <c r="AA122" i="2" s="1"/>
  <c r="U122" i="2"/>
  <c r="T122" i="2"/>
  <c r="R122" i="2"/>
  <c r="Q122" i="2"/>
  <c r="W122" i="2" s="1"/>
  <c r="X122" i="2" s="1"/>
  <c r="N122" i="2"/>
  <c r="O122" i="2" s="1"/>
  <c r="K122" i="2"/>
  <c r="L122" i="2" s="1"/>
  <c r="F122" i="2"/>
  <c r="E122" i="2"/>
  <c r="C122" i="2"/>
  <c r="B122" i="2"/>
  <c r="AD121" i="2"/>
  <c r="AC121" i="2"/>
  <c r="AA121" i="2"/>
  <c r="W121" i="2"/>
  <c r="X121" i="2" s="1"/>
  <c r="U121" i="2"/>
  <c r="R121" i="2"/>
  <c r="O121" i="2"/>
  <c r="N121" i="2"/>
  <c r="L121" i="2"/>
  <c r="I121" i="2"/>
  <c r="H121" i="2"/>
  <c r="F121" i="2"/>
  <c r="C121" i="2"/>
  <c r="AD120" i="2"/>
  <c r="AC120" i="2"/>
  <c r="AA120" i="2"/>
  <c r="X120" i="2"/>
  <c r="W120" i="2"/>
  <c r="U120" i="2"/>
  <c r="R120" i="2"/>
  <c r="O120" i="2"/>
  <c r="N120" i="2"/>
  <c r="L120" i="2"/>
  <c r="H120" i="2"/>
  <c r="I120" i="2" s="1"/>
  <c r="F120" i="2"/>
  <c r="C120" i="2"/>
  <c r="AC119" i="2"/>
  <c r="AD119" i="2" s="1"/>
  <c r="AA119" i="2"/>
  <c r="X119" i="2"/>
  <c r="W119" i="2"/>
  <c r="U119" i="2"/>
  <c r="R119" i="2"/>
  <c r="N119" i="2"/>
  <c r="O119" i="2" s="1"/>
  <c r="L119" i="2"/>
  <c r="H119" i="2"/>
  <c r="I119" i="2" s="1"/>
  <c r="F119" i="2"/>
  <c r="C119" i="2"/>
  <c r="Z118" i="2"/>
  <c r="AA118" i="2" s="1"/>
  <c r="T118" i="2"/>
  <c r="U118" i="2" s="1"/>
  <c r="R118" i="2"/>
  <c r="Q118" i="2"/>
  <c r="AC118" i="2" s="1"/>
  <c r="AD118" i="2" s="1"/>
  <c r="K118" i="2"/>
  <c r="L118" i="2" s="1"/>
  <c r="H118" i="2"/>
  <c r="I118" i="2" s="1"/>
  <c r="F118" i="2"/>
  <c r="E118" i="2"/>
  <c r="B118" i="2"/>
  <c r="C118" i="2" s="1"/>
  <c r="AD117" i="2"/>
  <c r="AC117" i="2"/>
  <c r="AA117" i="2"/>
  <c r="X117" i="2"/>
  <c r="W117" i="2"/>
  <c r="U117" i="2"/>
  <c r="R117" i="2"/>
  <c r="N117" i="2"/>
  <c r="O117" i="2" s="1"/>
  <c r="L117" i="2"/>
  <c r="H117" i="2"/>
  <c r="I117" i="2" s="1"/>
  <c r="F117" i="2"/>
  <c r="C117" i="2"/>
  <c r="AC116" i="2"/>
  <c r="AD116" i="2" s="1"/>
  <c r="AA116" i="2"/>
  <c r="X116" i="2"/>
  <c r="W116" i="2"/>
  <c r="U116" i="2"/>
  <c r="R116" i="2"/>
  <c r="N116" i="2"/>
  <c r="O116" i="2" s="1"/>
  <c r="L116" i="2"/>
  <c r="H116" i="2"/>
  <c r="I116" i="2" s="1"/>
  <c r="F116" i="2"/>
  <c r="C116" i="2"/>
  <c r="AD115" i="2"/>
  <c r="AC115" i="2"/>
  <c r="AA115" i="2"/>
  <c r="W115" i="2"/>
  <c r="X115" i="2" s="1"/>
  <c r="U115" i="2"/>
  <c r="R115" i="2"/>
  <c r="N115" i="2"/>
  <c r="O115" i="2" s="1"/>
  <c r="L115" i="2"/>
  <c r="I115" i="2"/>
  <c r="H115" i="2"/>
  <c r="F115" i="2"/>
  <c r="C115" i="2"/>
  <c r="AC114" i="2"/>
  <c r="AD114" i="2" s="1"/>
  <c r="AA114" i="2"/>
  <c r="W114" i="2"/>
  <c r="X114" i="2" s="1"/>
  <c r="U114" i="2"/>
  <c r="R114" i="2"/>
  <c r="N114" i="2"/>
  <c r="O114" i="2" s="1"/>
  <c r="L114" i="2"/>
  <c r="I114" i="2"/>
  <c r="H114" i="2"/>
  <c r="F114" i="2"/>
  <c r="C114" i="2"/>
  <c r="AC113" i="2"/>
  <c r="AD113" i="2" s="1"/>
  <c r="AA113" i="2"/>
  <c r="W113" i="2"/>
  <c r="X113" i="2" s="1"/>
  <c r="U113" i="2"/>
  <c r="R113" i="2"/>
  <c r="O113" i="2"/>
  <c r="N113" i="2"/>
  <c r="L113" i="2"/>
  <c r="I113" i="2"/>
  <c r="H113" i="2"/>
  <c r="F113" i="2"/>
  <c r="C113" i="2"/>
  <c r="AC112" i="2"/>
  <c r="AD112" i="2" s="1"/>
  <c r="AA112" i="2"/>
  <c r="W112" i="2"/>
  <c r="X112" i="2" s="1"/>
  <c r="U112" i="2"/>
  <c r="R112" i="2"/>
  <c r="N112" i="2"/>
  <c r="O112" i="2" s="1"/>
  <c r="L112" i="2"/>
  <c r="I112" i="2"/>
  <c r="H112" i="2"/>
  <c r="F112" i="2"/>
  <c r="C112" i="2"/>
  <c r="AD111" i="2"/>
  <c r="AC111" i="2"/>
  <c r="AA111" i="2"/>
  <c r="W111" i="2"/>
  <c r="X111" i="2" s="1"/>
  <c r="U111" i="2"/>
  <c r="R111" i="2"/>
  <c r="N111" i="2"/>
  <c r="O111" i="2" s="1"/>
  <c r="L111" i="2"/>
  <c r="I111" i="2"/>
  <c r="H111" i="2"/>
  <c r="F111" i="2"/>
  <c r="C111" i="2"/>
  <c r="AC110" i="2"/>
  <c r="AD110" i="2" s="1"/>
  <c r="AA110" i="2"/>
  <c r="W110" i="2"/>
  <c r="X110" i="2" s="1"/>
  <c r="U110" i="2"/>
  <c r="R110" i="2"/>
  <c r="O110" i="2"/>
  <c r="N110" i="2"/>
  <c r="L110" i="2"/>
  <c r="I110" i="2"/>
  <c r="H110" i="2"/>
  <c r="F110" i="2"/>
  <c r="C110" i="2"/>
  <c r="AC109" i="2"/>
  <c r="AD109" i="2" s="1"/>
  <c r="AA109" i="2"/>
  <c r="W109" i="2"/>
  <c r="X109" i="2" s="1"/>
  <c r="U109" i="2"/>
  <c r="R109" i="2"/>
  <c r="O109" i="2"/>
  <c r="N109" i="2"/>
  <c r="L109" i="2"/>
  <c r="H109" i="2"/>
  <c r="I109" i="2" s="1"/>
  <c r="F109" i="2"/>
  <c r="C109" i="2"/>
  <c r="AC108" i="2"/>
  <c r="AD108" i="2" s="1"/>
  <c r="AA108" i="2"/>
  <c r="X108" i="2"/>
  <c r="W108" i="2"/>
  <c r="U108" i="2"/>
  <c r="R108" i="2"/>
  <c r="N108" i="2"/>
  <c r="O108" i="2" s="1"/>
  <c r="L108" i="2"/>
  <c r="I108" i="2"/>
  <c r="H108" i="2"/>
  <c r="F108" i="2"/>
  <c r="C108" i="2"/>
  <c r="AD107" i="2"/>
  <c r="AC107" i="2"/>
  <c r="AA107" i="2"/>
  <c r="W107" i="2"/>
  <c r="X107" i="2" s="1"/>
  <c r="U107" i="2"/>
  <c r="R107" i="2"/>
  <c r="N107" i="2"/>
  <c r="O107" i="2" s="1"/>
  <c r="L107" i="2"/>
  <c r="H107" i="2"/>
  <c r="I107" i="2" s="1"/>
  <c r="F107" i="2"/>
  <c r="C107" i="2"/>
  <c r="AD106" i="2"/>
  <c r="AC106" i="2"/>
  <c r="AA106" i="2"/>
  <c r="W106" i="2"/>
  <c r="X106" i="2" s="1"/>
  <c r="U106" i="2"/>
  <c r="R106" i="2"/>
  <c r="O106" i="2"/>
  <c r="N106" i="2"/>
  <c r="L106" i="2"/>
  <c r="I106" i="2"/>
  <c r="H106" i="2"/>
  <c r="F106" i="2"/>
  <c r="C106" i="2"/>
  <c r="AC105" i="2"/>
  <c r="AD105" i="2" s="1"/>
  <c r="AA105" i="2"/>
  <c r="X105" i="2"/>
  <c r="W105" i="2"/>
  <c r="U105" i="2"/>
  <c r="R105" i="2"/>
  <c r="N105" i="2"/>
  <c r="O105" i="2" s="1"/>
  <c r="L105" i="2"/>
  <c r="H105" i="2"/>
  <c r="I105" i="2" s="1"/>
  <c r="F105" i="2"/>
  <c r="C105" i="2"/>
  <c r="AC104" i="2"/>
  <c r="AD104" i="2" s="1"/>
  <c r="AA104" i="2"/>
  <c r="X104" i="2"/>
  <c r="W104" i="2"/>
  <c r="U104" i="2"/>
  <c r="R104" i="2"/>
  <c r="N104" i="2"/>
  <c r="O104" i="2" s="1"/>
  <c r="L104" i="2"/>
  <c r="I104" i="2"/>
  <c r="H104" i="2"/>
  <c r="F104" i="2"/>
  <c r="C104" i="2"/>
  <c r="AD103" i="2"/>
  <c r="AC103" i="2"/>
  <c r="AA103" i="2"/>
  <c r="W103" i="2"/>
  <c r="X103" i="2" s="1"/>
  <c r="U103" i="2"/>
  <c r="R103" i="2"/>
  <c r="N103" i="2"/>
  <c r="O103" i="2" s="1"/>
  <c r="L103" i="2"/>
  <c r="H103" i="2"/>
  <c r="I103" i="2" s="1"/>
  <c r="F103" i="2"/>
  <c r="C103" i="2"/>
  <c r="AD102" i="2"/>
  <c r="AC102" i="2"/>
  <c r="AA102" i="2"/>
  <c r="W102" i="2"/>
  <c r="X102" i="2" s="1"/>
  <c r="U102" i="2"/>
  <c r="R102" i="2"/>
  <c r="O102" i="2"/>
  <c r="N102" i="2"/>
  <c r="L102" i="2"/>
  <c r="I102" i="2"/>
  <c r="H102" i="2"/>
  <c r="F102" i="2"/>
  <c r="C102" i="2"/>
  <c r="AD101" i="2"/>
  <c r="AC101" i="2"/>
  <c r="AA101" i="2"/>
  <c r="X101" i="2"/>
  <c r="W101" i="2"/>
  <c r="U101" i="2"/>
  <c r="R101" i="2"/>
  <c r="N101" i="2"/>
  <c r="O101" i="2" s="1"/>
  <c r="L101" i="2"/>
  <c r="I101" i="2"/>
  <c r="H101" i="2"/>
  <c r="F101" i="2"/>
  <c r="C101" i="2"/>
  <c r="AC100" i="2"/>
  <c r="AD100" i="2" s="1"/>
  <c r="AA100" i="2"/>
  <c r="W100" i="2"/>
  <c r="X100" i="2" s="1"/>
  <c r="U100" i="2"/>
  <c r="R100" i="2"/>
  <c r="N100" i="2"/>
  <c r="O100" i="2" s="1"/>
  <c r="L100" i="2"/>
  <c r="H100" i="2"/>
  <c r="I100" i="2" s="1"/>
  <c r="F100" i="2"/>
  <c r="C100" i="2"/>
  <c r="AD99" i="2"/>
  <c r="AC99" i="2"/>
  <c r="AA99" i="2"/>
  <c r="W99" i="2"/>
  <c r="X99" i="2" s="1"/>
  <c r="U99" i="2"/>
  <c r="R99" i="2"/>
  <c r="N99" i="2"/>
  <c r="O99" i="2" s="1"/>
  <c r="L99" i="2"/>
  <c r="I99" i="2"/>
  <c r="H99" i="2"/>
  <c r="F99" i="2"/>
  <c r="C99" i="2"/>
  <c r="AC98" i="2"/>
  <c r="AD98" i="2" s="1"/>
  <c r="AA98" i="2"/>
  <c r="W98" i="2"/>
  <c r="X98" i="2" s="1"/>
  <c r="U98" i="2"/>
  <c r="R98" i="2"/>
  <c r="N98" i="2"/>
  <c r="O98" i="2" s="1"/>
  <c r="L98" i="2"/>
  <c r="I98" i="2"/>
  <c r="H98" i="2"/>
  <c r="F98" i="2"/>
  <c r="C98" i="2"/>
  <c r="AC97" i="2"/>
  <c r="AD97" i="2" s="1"/>
  <c r="AA97" i="2"/>
  <c r="X97" i="2"/>
  <c r="W97" i="2"/>
  <c r="U97" i="2"/>
  <c r="R97" i="2"/>
  <c r="O97" i="2"/>
  <c r="N97" i="2"/>
  <c r="L97" i="2"/>
  <c r="H97" i="2"/>
  <c r="I97" i="2" s="1"/>
  <c r="F97" i="2"/>
  <c r="C97" i="2"/>
  <c r="AC96" i="2"/>
  <c r="AD96" i="2" s="1"/>
  <c r="AA96" i="2"/>
  <c r="W96" i="2"/>
  <c r="X96" i="2" s="1"/>
  <c r="U96" i="2"/>
  <c r="R96" i="2"/>
  <c r="N96" i="2"/>
  <c r="O96" i="2" s="1"/>
  <c r="L96" i="2"/>
  <c r="I96" i="2"/>
  <c r="H96" i="2"/>
  <c r="F96" i="2"/>
  <c r="C96" i="2"/>
  <c r="AD95" i="2"/>
  <c r="AC95" i="2"/>
  <c r="AA95" i="2"/>
  <c r="W95" i="2"/>
  <c r="X95" i="2" s="1"/>
  <c r="U95" i="2"/>
  <c r="R95" i="2"/>
  <c r="N95" i="2"/>
  <c r="O95" i="2" s="1"/>
  <c r="L95" i="2"/>
  <c r="I95" i="2"/>
  <c r="H95" i="2"/>
  <c r="F95" i="2"/>
  <c r="C95" i="2"/>
  <c r="AC94" i="2"/>
  <c r="AD94" i="2" s="1"/>
  <c r="AA94" i="2"/>
  <c r="W94" i="2"/>
  <c r="X94" i="2" s="1"/>
  <c r="U94" i="2"/>
  <c r="R94" i="2"/>
  <c r="O94" i="2"/>
  <c r="N94" i="2"/>
  <c r="L94" i="2"/>
  <c r="I94" i="2"/>
  <c r="H94" i="2"/>
  <c r="F94" i="2"/>
  <c r="C94" i="2"/>
  <c r="AC92" i="2"/>
  <c r="AD92" i="2" s="1"/>
  <c r="AA92" i="2"/>
  <c r="W92" i="2"/>
  <c r="X92" i="2" s="1"/>
  <c r="U92" i="2"/>
  <c r="R92" i="2"/>
  <c r="O92" i="2"/>
  <c r="N92" i="2"/>
  <c r="L92" i="2"/>
  <c r="H92" i="2"/>
  <c r="I92" i="2" s="1"/>
  <c r="F92" i="2"/>
  <c r="C92" i="2"/>
  <c r="AC91" i="2"/>
  <c r="AD91" i="2" s="1"/>
  <c r="AA91" i="2"/>
  <c r="X91" i="2"/>
  <c r="W91" i="2"/>
  <c r="U91" i="2"/>
  <c r="R91" i="2"/>
  <c r="N91" i="2"/>
  <c r="O91" i="2" s="1"/>
  <c r="L91" i="2"/>
  <c r="I91" i="2"/>
  <c r="H91" i="2"/>
  <c r="F91" i="2"/>
  <c r="C91" i="2"/>
  <c r="AD90" i="2"/>
  <c r="AC90" i="2"/>
  <c r="AA90" i="2"/>
  <c r="W90" i="2"/>
  <c r="X90" i="2" s="1"/>
  <c r="U90" i="2"/>
  <c r="R90" i="2"/>
  <c r="N90" i="2"/>
  <c r="O90" i="2" s="1"/>
  <c r="L90" i="2"/>
  <c r="I90" i="2"/>
  <c r="H90" i="2"/>
  <c r="F90" i="2"/>
  <c r="C90" i="2"/>
  <c r="AD89" i="2"/>
  <c r="AC89" i="2"/>
  <c r="AA89" i="2"/>
  <c r="W89" i="2"/>
  <c r="X89" i="2" s="1"/>
  <c r="U89" i="2"/>
  <c r="R89" i="2"/>
  <c r="O89" i="2"/>
  <c r="N89" i="2"/>
  <c r="L89" i="2"/>
  <c r="I89" i="2"/>
  <c r="H89" i="2"/>
  <c r="F89" i="2"/>
  <c r="C89" i="2"/>
  <c r="Z88" i="2"/>
  <c r="AA88" i="2" s="1"/>
  <c r="T88" i="2"/>
  <c r="U88" i="2" s="1"/>
  <c r="Q88" i="2"/>
  <c r="R88" i="2" s="1"/>
  <c r="L88" i="2"/>
  <c r="K88" i="2"/>
  <c r="E88" i="2"/>
  <c r="F88" i="2" s="1"/>
  <c r="C88" i="2"/>
  <c r="B88" i="2"/>
  <c r="N88" i="2" s="1"/>
  <c r="O88" i="2" s="1"/>
  <c r="AD87" i="2"/>
  <c r="AC87" i="2"/>
  <c r="AA87" i="2"/>
  <c r="W87" i="2"/>
  <c r="X87" i="2" s="1"/>
  <c r="U87" i="2"/>
  <c r="R87" i="2"/>
  <c r="N87" i="2"/>
  <c r="O87" i="2" s="1"/>
  <c r="L87" i="2"/>
  <c r="H87" i="2"/>
  <c r="I87" i="2" s="1"/>
  <c r="F87" i="2"/>
  <c r="C87" i="2"/>
  <c r="AD86" i="2"/>
  <c r="AC86" i="2"/>
  <c r="AA86" i="2"/>
  <c r="W86" i="2"/>
  <c r="X86" i="2" s="1"/>
  <c r="U86" i="2"/>
  <c r="R86" i="2"/>
  <c r="N86" i="2"/>
  <c r="O86" i="2" s="1"/>
  <c r="L86" i="2"/>
  <c r="I86" i="2"/>
  <c r="H86" i="2"/>
  <c r="F86" i="2"/>
  <c r="C86" i="2"/>
  <c r="AD85" i="2"/>
  <c r="AC85" i="2"/>
  <c r="AA85" i="2"/>
  <c r="X85" i="2"/>
  <c r="W85" i="2"/>
  <c r="U85" i="2"/>
  <c r="R85" i="2"/>
  <c r="N85" i="2"/>
  <c r="O85" i="2" s="1"/>
  <c r="L85" i="2"/>
  <c r="H85" i="2"/>
  <c r="I85" i="2" s="1"/>
  <c r="F85" i="2"/>
  <c r="C85" i="2"/>
  <c r="AC84" i="2"/>
  <c r="AD84" i="2" s="1"/>
  <c r="AA84" i="2"/>
  <c r="W84" i="2"/>
  <c r="X84" i="2" s="1"/>
  <c r="U84" i="2"/>
  <c r="R84" i="2"/>
  <c r="N84" i="2"/>
  <c r="O84" i="2" s="1"/>
  <c r="L84" i="2"/>
  <c r="H84" i="2"/>
  <c r="I84" i="2" s="1"/>
  <c r="F84" i="2"/>
  <c r="C84" i="2"/>
  <c r="AD83" i="2"/>
  <c r="AC83" i="2"/>
  <c r="AA83" i="2"/>
  <c r="W83" i="2"/>
  <c r="X83" i="2" s="1"/>
  <c r="U83" i="2"/>
  <c r="R83" i="2"/>
  <c r="O83" i="2"/>
  <c r="N83" i="2"/>
  <c r="L83" i="2"/>
  <c r="I83" i="2"/>
  <c r="H83" i="2"/>
  <c r="F83" i="2"/>
  <c r="C83" i="2"/>
  <c r="AD82" i="2"/>
  <c r="AC82" i="2"/>
  <c r="AA82" i="2"/>
  <c r="W82" i="2"/>
  <c r="X82" i="2" s="1"/>
  <c r="U82" i="2"/>
  <c r="R82" i="2"/>
  <c r="N82" i="2"/>
  <c r="O82" i="2" s="1"/>
  <c r="L82" i="2"/>
  <c r="I82" i="2"/>
  <c r="H82" i="2"/>
  <c r="F82" i="2"/>
  <c r="C82" i="2"/>
  <c r="AC81" i="2"/>
  <c r="AD81" i="2" s="1"/>
  <c r="AA81" i="2"/>
  <c r="W81" i="2"/>
  <c r="X81" i="2" s="1"/>
  <c r="U81" i="2"/>
  <c r="R81" i="2"/>
  <c r="O81" i="2"/>
  <c r="N81" i="2"/>
  <c r="L81" i="2"/>
  <c r="H81" i="2"/>
  <c r="I81" i="2" s="1"/>
  <c r="F81" i="2"/>
  <c r="C81" i="2"/>
  <c r="AC80" i="2"/>
  <c r="AD80" i="2" s="1"/>
  <c r="AA80" i="2"/>
  <c r="W80" i="2"/>
  <c r="X80" i="2" s="1"/>
  <c r="U80" i="2"/>
  <c r="R80" i="2"/>
  <c r="N80" i="2"/>
  <c r="O80" i="2" s="1"/>
  <c r="L80" i="2"/>
  <c r="I80" i="2"/>
  <c r="H80" i="2"/>
  <c r="F80" i="2"/>
  <c r="C80" i="2"/>
  <c r="AD79" i="2"/>
  <c r="AC79" i="2"/>
  <c r="AA79" i="2"/>
  <c r="W79" i="2"/>
  <c r="X79" i="2" s="1"/>
  <c r="U79" i="2"/>
  <c r="R79" i="2"/>
  <c r="N79" i="2"/>
  <c r="O79" i="2" s="1"/>
  <c r="L79" i="2"/>
  <c r="I79" i="2"/>
  <c r="H79" i="2"/>
  <c r="F79" i="2"/>
  <c r="C79" i="2"/>
  <c r="AD78" i="2"/>
  <c r="AC78" i="2"/>
  <c r="AA78" i="2"/>
  <c r="W78" i="2"/>
  <c r="X78" i="2" s="1"/>
  <c r="U78" i="2"/>
  <c r="R78" i="2"/>
  <c r="O78" i="2"/>
  <c r="N78" i="2"/>
  <c r="L78" i="2"/>
  <c r="I78" i="2"/>
  <c r="H78" i="2"/>
  <c r="F78" i="2"/>
  <c r="C78" i="2"/>
  <c r="AC77" i="2"/>
  <c r="AD77" i="2" s="1"/>
  <c r="AA77" i="2"/>
  <c r="W77" i="2"/>
  <c r="X77" i="2" s="1"/>
  <c r="U77" i="2"/>
  <c r="R77" i="2"/>
  <c r="O77" i="2"/>
  <c r="N77" i="2"/>
  <c r="L77" i="2"/>
  <c r="H77" i="2"/>
  <c r="I77" i="2" s="1"/>
  <c r="F77" i="2"/>
  <c r="C77" i="2"/>
  <c r="AC76" i="2"/>
  <c r="AD76" i="2" s="1"/>
  <c r="AA76" i="2"/>
  <c r="X76" i="2"/>
  <c r="W76" i="2"/>
  <c r="U76" i="2"/>
  <c r="R76" i="2"/>
  <c r="N76" i="2"/>
  <c r="O76" i="2" s="1"/>
  <c r="L76" i="2"/>
  <c r="I76" i="2"/>
  <c r="H76" i="2"/>
  <c r="F76" i="2"/>
  <c r="C76" i="2"/>
  <c r="AD75" i="2"/>
  <c r="AC75" i="2"/>
  <c r="AA75" i="2"/>
  <c r="W75" i="2"/>
  <c r="X75" i="2" s="1"/>
  <c r="U75" i="2"/>
  <c r="R75" i="2"/>
  <c r="N75" i="2"/>
  <c r="O75" i="2" s="1"/>
  <c r="L75" i="2"/>
  <c r="H75" i="2"/>
  <c r="I75" i="2" s="1"/>
  <c r="F75" i="2"/>
  <c r="C75" i="2"/>
  <c r="AA73" i="2"/>
  <c r="Z73" i="2"/>
  <c r="X73" i="2"/>
  <c r="W73" i="2"/>
  <c r="U73" i="2"/>
  <c r="T73" i="2"/>
  <c r="R73" i="2"/>
  <c r="Q73" i="2"/>
  <c r="AC73" i="2" s="1"/>
  <c r="AD73" i="2" s="1"/>
  <c r="K73" i="2"/>
  <c r="L73" i="2" s="1"/>
  <c r="H73" i="2"/>
  <c r="I73" i="2" s="1"/>
  <c r="E73" i="2"/>
  <c r="F73" i="2" s="1"/>
  <c r="C73" i="2"/>
  <c r="B73" i="2"/>
  <c r="AC72" i="2"/>
  <c r="AD72" i="2" s="1"/>
  <c r="AA72" i="2"/>
  <c r="X72" i="2"/>
  <c r="W72" i="2"/>
  <c r="U72" i="2"/>
  <c r="R72" i="2"/>
  <c r="N72" i="2"/>
  <c r="O72" i="2" s="1"/>
  <c r="L72" i="2"/>
  <c r="I72" i="2"/>
  <c r="H72" i="2"/>
  <c r="F72" i="2"/>
  <c r="C72" i="2"/>
  <c r="AD71" i="2"/>
  <c r="AC71" i="2"/>
  <c r="AA71" i="2"/>
  <c r="W71" i="2"/>
  <c r="X71" i="2" s="1"/>
  <c r="U71" i="2"/>
  <c r="R71" i="2"/>
  <c r="N71" i="2"/>
  <c r="O71" i="2" s="1"/>
  <c r="L71" i="2"/>
  <c r="H71" i="2"/>
  <c r="I71" i="2" s="1"/>
  <c r="F71" i="2"/>
  <c r="C71" i="2"/>
  <c r="AD70" i="2"/>
  <c r="AC70" i="2"/>
  <c r="AA70" i="2"/>
  <c r="W70" i="2"/>
  <c r="X70" i="2" s="1"/>
  <c r="U70" i="2"/>
  <c r="R70" i="2"/>
  <c r="N70" i="2"/>
  <c r="O70" i="2" s="1"/>
  <c r="L70" i="2"/>
  <c r="I70" i="2"/>
  <c r="H70" i="2"/>
  <c r="F70" i="2"/>
  <c r="C70" i="2"/>
  <c r="AC69" i="2"/>
  <c r="AD69" i="2" s="1"/>
  <c r="AA69" i="2"/>
  <c r="X69" i="2"/>
  <c r="W69" i="2"/>
  <c r="U69" i="2"/>
  <c r="R69" i="2"/>
  <c r="N69" i="2"/>
  <c r="O69" i="2" s="1"/>
  <c r="L69" i="2"/>
  <c r="H69" i="2"/>
  <c r="I69" i="2" s="1"/>
  <c r="F69" i="2"/>
  <c r="C69" i="2"/>
  <c r="AC68" i="2"/>
  <c r="AD68" i="2" s="1"/>
  <c r="AA68" i="2"/>
  <c r="W68" i="2"/>
  <c r="X68" i="2" s="1"/>
  <c r="U68" i="2"/>
  <c r="R68" i="2"/>
  <c r="N68" i="2"/>
  <c r="O68" i="2" s="1"/>
  <c r="L68" i="2"/>
  <c r="H68" i="2"/>
  <c r="I68" i="2" s="1"/>
  <c r="F68" i="2"/>
  <c r="C68" i="2"/>
  <c r="AD67" i="2"/>
  <c r="AC67" i="2"/>
  <c r="AA67" i="2"/>
  <c r="W67" i="2"/>
  <c r="X67" i="2" s="1"/>
  <c r="U67" i="2"/>
  <c r="R67" i="2"/>
  <c r="N67" i="2"/>
  <c r="O67" i="2" s="1"/>
  <c r="L67" i="2"/>
  <c r="I67" i="2"/>
  <c r="H67" i="2"/>
  <c r="F67" i="2"/>
  <c r="C67" i="2"/>
  <c r="AC66" i="2"/>
  <c r="AD66" i="2" s="1"/>
  <c r="AA66" i="2"/>
  <c r="W66" i="2"/>
  <c r="X66" i="2" s="1"/>
  <c r="U66" i="2"/>
  <c r="R66" i="2"/>
  <c r="O66" i="2"/>
  <c r="N66" i="2"/>
  <c r="L66" i="2"/>
  <c r="I66" i="2"/>
  <c r="H66" i="2"/>
  <c r="F66" i="2"/>
  <c r="C66" i="2"/>
  <c r="AC65" i="2"/>
  <c r="AD65" i="2" s="1"/>
  <c r="AA65" i="2"/>
  <c r="W65" i="2"/>
  <c r="X65" i="2" s="1"/>
  <c r="U65" i="2"/>
  <c r="R65" i="2"/>
  <c r="O65" i="2"/>
  <c r="N65" i="2"/>
  <c r="L65" i="2"/>
  <c r="I65" i="2"/>
  <c r="H65" i="2"/>
  <c r="F65" i="2"/>
  <c r="C65" i="2"/>
  <c r="AC64" i="2"/>
  <c r="AD64" i="2" s="1"/>
  <c r="AA64" i="2"/>
  <c r="W64" i="2"/>
  <c r="X64" i="2" s="1"/>
  <c r="U64" i="2"/>
  <c r="R64" i="2"/>
  <c r="N64" i="2"/>
  <c r="O64" i="2" s="1"/>
  <c r="L64" i="2"/>
  <c r="I64" i="2"/>
  <c r="H64" i="2"/>
  <c r="F64" i="2"/>
  <c r="C64" i="2"/>
  <c r="Z62" i="2"/>
  <c r="AA62" i="2" s="1"/>
  <c r="T62" i="2"/>
  <c r="U62" i="2" s="1"/>
  <c r="R62" i="2"/>
  <c r="Q62" i="2"/>
  <c r="K62" i="2"/>
  <c r="L62" i="2" s="1"/>
  <c r="H62" i="2"/>
  <c r="I62" i="2" s="1"/>
  <c r="F62" i="2"/>
  <c r="E62" i="2"/>
  <c r="C62" i="2"/>
  <c r="B62" i="2"/>
  <c r="Z61" i="2"/>
  <c r="AA61" i="2" s="1"/>
  <c r="X61" i="2"/>
  <c r="U61" i="2"/>
  <c r="T61" i="2"/>
  <c r="R61" i="2"/>
  <c r="Q61" i="2"/>
  <c r="W61" i="2" s="1"/>
  <c r="L61" i="2"/>
  <c r="K61" i="2"/>
  <c r="H61" i="2"/>
  <c r="I61" i="2" s="1"/>
  <c r="E61" i="2"/>
  <c r="F61" i="2" s="1"/>
  <c r="C61" i="2"/>
  <c r="B61" i="2"/>
  <c r="N61" i="2" s="1"/>
  <c r="O61" i="2" s="1"/>
  <c r="AD60" i="2"/>
  <c r="AC60" i="2"/>
  <c r="AA60" i="2"/>
  <c r="X60" i="2"/>
  <c r="W60" i="2"/>
  <c r="U60" i="2"/>
  <c r="R60" i="2"/>
  <c r="N60" i="2"/>
  <c r="O60" i="2" s="1"/>
  <c r="L60" i="2"/>
  <c r="H60" i="2"/>
  <c r="I60" i="2" s="1"/>
  <c r="F60" i="2"/>
  <c r="C60" i="2"/>
  <c r="AD59" i="2"/>
  <c r="AC59" i="2"/>
  <c r="AA59" i="2"/>
  <c r="W59" i="2"/>
  <c r="X59" i="2" s="1"/>
  <c r="U59" i="2"/>
  <c r="R59" i="2"/>
  <c r="O59" i="2"/>
  <c r="N59" i="2"/>
  <c r="L59" i="2"/>
  <c r="I59" i="2"/>
  <c r="H59" i="2"/>
  <c r="F59" i="2"/>
  <c r="C59" i="2"/>
  <c r="AC58" i="2"/>
  <c r="AD58" i="2" s="1"/>
  <c r="AA58" i="2"/>
  <c r="X58" i="2"/>
  <c r="W58" i="2"/>
  <c r="U58" i="2"/>
  <c r="R58" i="2"/>
  <c r="N58" i="2"/>
  <c r="O58" i="2" s="1"/>
  <c r="L58" i="2"/>
  <c r="H58" i="2"/>
  <c r="I58" i="2" s="1"/>
  <c r="F58" i="2"/>
  <c r="C58" i="2"/>
  <c r="AC57" i="2"/>
  <c r="AD57" i="2" s="1"/>
  <c r="AA57" i="2"/>
  <c r="X57" i="2"/>
  <c r="W57" i="2"/>
  <c r="U57" i="2"/>
  <c r="R57" i="2"/>
  <c r="N57" i="2"/>
  <c r="O57" i="2" s="1"/>
  <c r="L57" i="2"/>
  <c r="H57" i="2"/>
  <c r="I57" i="2" s="1"/>
  <c r="F57" i="2"/>
  <c r="C57" i="2"/>
  <c r="AD56" i="2"/>
  <c r="AC56" i="2"/>
  <c r="AA56" i="2"/>
  <c r="W56" i="2"/>
  <c r="X56" i="2" s="1"/>
  <c r="U56" i="2"/>
  <c r="R56" i="2"/>
  <c r="N56" i="2"/>
  <c r="O56" i="2" s="1"/>
  <c r="L56" i="2"/>
  <c r="H56" i="2"/>
  <c r="I56" i="2" s="1"/>
  <c r="F56" i="2"/>
  <c r="C56" i="2"/>
  <c r="AD55" i="2"/>
  <c r="AC55" i="2"/>
  <c r="AA55" i="2"/>
  <c r="W55" i="2"/>
  <c r="X55" i="2" s="1"/>
  <c r="U55" i="2"/>
  <c r="R55" i="2"/>
  <c r="N55" i="2"/>
  <c r="O55" i="2" s="1"/>
  <c r="L55" i="2"/>
  <c r="I55" i="2"/>
  <c r="H55" i="2"/>
  <c r="F55" i="2"/>
  <c r="C55" i="2"/>
  <c r="AC54" i="2"/>
  <c r="AD54" i="2" s="1"/>
  <c r="AA54" i="2"/>
  <c r="X54" i="2"/>
  <c r="W54" i="2"/>
  <c r="U54" i="2"/>
  <c r="R54" i="2"/>
  <c r="N54" i="2"/>
  <c r="O54" i="2" s="1"/>
  <c r="L54" i="2"/>
  <c r="I54" i="2"/>
  <c r="H54" i="2"/>
  <c r="F54" i="2"/>
  <c r="C54" i="2"/>
  <c r="AC53" i="2"/>
  <c r="AD53" i="2" s="1"/>
  <c r="AA53" i="2"/>
  <c r="W53" i="2"/>
  <c r="X53" i="2" s="1"/>
  <c r="U53" i="2"/>
  <c r="R53" i="2"/>
  <c r="N53" i="2"/>
  <c r="O53" i="2" s="1"/>
  <c r="L53" i="2"/>
  <c r="H53" i="2"/>
  <c r="I53" i="2" s="1"/>
  <c r="F53" i="2"/>
  <c r="C53" i="2"/>
  <c r="AD52" i="2"/>
  <c r="AC52" i="2"/>
  <c r="AA52" i="2"/>
  <c r="W52" i="2"/>
  <c r="X52" i="2" s="1"/>
  <c r="U52" i="2"/>
  <c r="R52" i="2"/>
  <c r="N52" i="2"/>
  <c r="O52" i="2" s="1"/>
  <c r="L52" i="2"/>
  <c r="I52" i="2"/>
  <c r="H52" i="2"/>
  <c r="F52" i="2"/>
  <c r="C52" i="2"/>
  <c r="AC51" i="2"/>
  <c r="AD51" i="2" s="1"/>
  <c r="AA51" i="2"/>
  <c r="W51" i="2"/>
  <c r="X51" i="2" s="1"/>
  <c r="U51" i="2"/>
  <c r="R51" i="2"/>
  <c r="O51" i="2"/>
  <c r="N51" i="2"/>
  <c r="L51" i="2"/>
  <c r="I51" i="2"/>
  <c r="H51" i="2"/>
  <c r="F51" i="2"/>
  <c r="C51" i="2"/>
  <c r="AC50" i="2"/>
  <c r="AD50" i="2" s="1"/>
  <c r="AA50" i="2"/>
  <c r="W50" i="2"/>
  <c r="X50" i="2" s="1"/>
  <c r="U50" i="2"/>
  <c r="R50" i="2"/>
  <c r="O50" i="2"/>
  <c r="N50" i="2"/>
  <c r="L50" i="2"/>
  <c r="I50" i="2"/>
  <c r="H50" i="2"/>
  <c r="F50" i="2"/>
  <c r="C50" i="2"/>
  <c r="AC49" i="2"/>
  <c r="AD49" i="2" s="1"/>
  <c r="AA49" i="2"/>
  <c r="W49" i="2"/>
  <c r="X49" i="2" s="1"/>
  <c r="U49" i="2"/>
  <c r="R49" i="2"/>
  <c r="N49" i="2"/>
  <c r="O49" i="2" s="1"/>
  <c r="L49" i="2"/>
  <c r="I49" i="2"/>
  <c r="H49" i="2"/>
  <c r="F49" i="2"/>
  <c r="C49" i="2"/>
  <c r="AD48" i="2"/>
  <c r="AC48" i="2"/>
  <c r="AA48" i="2"/>
  <c r="W48" i="2"/>
  <c r="X48" i="2" s="1"/>
  <c r="U48" i="2"/>
  <c r="R48" i="2"/>
  <c r="O48" i="2"/>
  <c r="N48" i="2"/>
  <c r="L48" i="2"/>
  <c r="H48" i="2"/>
  <c r="I48" i="2" s="1"/>
  <c r="F48" i="2"/>
  <c r="C48" i="2"/>
  <c r="AC47" i="2"/>
  <c r="AD47" i="2" s="1"/>
  <c r="AA47" i="2"/>
  <c r="W47" i="2"/>
  <c r="X47" i="2" s="1"/>
  <c r="U47" i="2"/>
  <c r="R47" i="2"/>
  <c r="O47" i="2"/>
  <c r="N47" i="2"/>
  <c r="L47" i="2"/>
  <c r="I47" i="2"/>
  <c r="H47" i="2"/>
  <c r="F47" i="2"/>
  <c r="C47" i="2"/>
  <c r="AC46" i="2"/>
  <c r="AD46" i="2" s="1"/>
  <c r="AA46" i="2"/>
  <c r="W46" i="2"/>
  <c r="X46" i="2" s="1"/>
  <c r="U46" i="2"/>
  <c r="R46" i="2"/>
  <c r="N46" i="2"/>
  <c r="O46" i="2" s="1"/>
  <c r="L46" i="2"/>
  <c r="H46" i="2"/>
  <c r="I46" i="2" s="1"/>
  <c r="F46" i="2"/>
  <c r="C46" i="2"/>
  <c r="AC44" i="2"/>
  <c r="AD44" i="2" s="1"/>
  <c r="AA44" i="2"/>
  <c r="X44" i="2"/>
  <c r="W44" i="2"/>
  <c r="U44" i="2"/>
  <c r="R44" i="2"/>
  <c r="N44" i="2"/>
  <c r="O44" i="2" s="1"/>
  <c r="L44" i="2"/>
  <c r="H44" i="2"/>
  <c r="I44" i="2" s="1"/>
  <c r="F44" i="2"/>
  <c r="C44" i="2"/>
  <c r="AD43" i="2"/>
  <c r="AC43" i="2"/>
  <c r="AA43" i="2"/>
  <c r="W43" i="2"/>
  <c r="X43" i="2" s="1"/>
  <c r="U43" i="2"/>
  <c r="R43" i="2"/>
  <c r="N43" i="2"/>
  <c r="O43" i="2" s="1"/>
  <c r="L43" i="2"/>
  <c r="H43" i="2"/>
  <c r="I43" i="2" s="1"/>
  <c r="F43" i="2"/>
  <c r="C43" i="2"/>
  <c r="AD42" i="2"/>
  <c r="AC42" i="2"/>
  <c r="AA42" i="2"/>
  <c r="W42" i="2"/>
  <c r="X42" i="2" s="1"/>
  <c r="U42" i="2"/>
  <c r="R42" i="2"/>
  <c r="N42" i="2"/>
  <c r="O42" i="2" s="1"/>
  <c r="L42" i="2"/>
  <c r="I42" i="2"/>
  <c r="H42" i="2"/>
  <c r="F42" i="2"/>
  <c r="C42" i="2"/>
  <c r="Z40" i="2"/>
  <c r="AC40" i="2" s="1"/>
  <c r="AD40" i="2" s="1"/>
  <c r="T40" i="2"/>
  <c r="U40" i="2" s="1"/>
  <c r="R40" i="2"/>
  <c r="Q40" i="2"/>
  <c r="L40" i="2"/>
  <c r="K40" i="2"/>
  <c r="H40" i="2"/>
  <c r="I40" i="2" s="1"/>
  <c r="F40" i="2"/>
  <c r="E40" i="2"/>
  <c r="C40" i="2"/>
  <c r="B40" i="2"/>
  <c r="N40" i="2" s="1"/>
  <c r="O40" i="2" s="1"/>
  <c r="AD39" i="2"/>
  <c r="AC39" i="2"/>
  <c r="AA39" i="2"/>
  <c r="W39" i="2"/>
  <c r="X39" i="2" s="1"/>
  <c r="U39" i="2"/>
  <c r="R39" i="2"/>
  <c r="N39" i="2"/>
  <c r="O39" i="2" s="1"/>
  <c r="L39" i="2"/>
  <c r="H39" i="2"/>
  <c r="I39" i="2" s="1"/>
  <c r="F39" i="2"/>
  <c r="C39" i="2"/>
  <c r="AD38" i="2"/>
  <c r="AC38" i="2"/>
  <c r="AA38" i="2"/>
  <c r="W38" i="2"/>
  <c r="X38" i="2" s="1"/>
  <c r="U38" i="2"/>
  <c r="R38" i="2"/>
  <c r="O38" i="2"/>
  <c r="N38" i="2"/>
  <c r="L38" i="2"/>
  <c r="I38" i="2"/>
  <c r="H38" i="2"/>
  <c r="F38" i="2"/>
  <c r="C38" i="2"/>
  <c r="AC37" i="2"/>
  <c r="AD37" i="2" s="1"/>
  <c r="AA37" i="2"/>
  <c r="X37" i="2"/>
  <c r="W37" i="2"/>
  <c r="U37" i="2"/>
  <c r="R37" i="2"/>
  <c r="N37" i="2"/>
  <c r="O37" i="2" s="1"/>
  <c r="L37" i="2"/>
  <c r="H37" i="2"/>
  <c r="I37" i="2" s="1"/>
  <c r="F37" i="2"/>
  <c r="C37" i="2"/>
  <c r="AC36" i="2"/>
  <c r="AD36" i="2" s="1"/>
  <c r="AA36" i="2"/>
  <c r="W36" i="2"/>
  <c r="X36" i="2" s="1"/>
  <c r="U36" i="2"/>
  <c r="R36" i="2"/>
  <c r="N36" i="2"/>
  <c r="O36" i="2" s="1"/>
  <c r="L36" i="2"/>
  <c r="H36" i="2"/>
  <c r="I36" i="2" s="1"/>
  <c r="F36" i="2"/>
  <c r="C36" i="2"/>
  <c r="AD35" i="2"/>
  <c r="AC35" i="2"/>
  <c r="AA35" i="2"/>
  <c r="W35" i="2"/>
  <c r="X35" i="2" s="1"/>
  <c r="U35" i="2"/>
  <c r="R35" i="2"/>
  <c r="N35" i="2"/>
  <c r="O35" i="2" s="1"/>
  <c r="L35" i="2"/>
  <c r="I35" i="2"/>
  <c r="H35" i="2"/>
  <c r="F35" i="2"/>
  <c r="C35" i="2"/>
  <c r="AC34" i="2"/>
  <c r="AD34" i="2" s="1"/>
  <c r="AA34" i="2"/>
  <c r="W34" i="2"/>
  <c r="X34" i="2" s="1"/>
  <c r="U34" i="2"/>
  <c r="R34" i="2"/>
  <c r="N34" i="2"/>
  <c r="O34" i="2" s="1"/>
  <c r="L34" i="2"/>
  <c r="I34" i="2"/>
  <c r="H34" i="2"/>
  <c r="F34" i="2"/>
  <c r="C34" i="2"/>
  <c r="AC33" i="2"/>
  <c r="AD33" i="2" s="1"/>
  <c r="AA33" i="2"/>
  <c r="W33" i="2"/>
  <c r="X33" i="2" s="1"/>
  <c r="U33" i="2"/>
  <c r="R33" i="2"/>
  <c r="O33" i="2"/>
  <c r="N33" i="2"/>
  <c r="L33" i="2"/>
  <c r="H33" i="2"/>
  <c r="I33" i="2" s="1"/>
  <c r="F33" i="2"/>
  <c r="C33" i="2"/>
  <c r="AD32" i="2"/>
  <c r="AC32" i="2"/>
  <c r="AA32" i="2"/>
  <c r="W32" i="2"/>
  <c r="X32" i="2" s="1"/>
  <c r="U32" i="2"/>
  <c r="R32" i="2"/>
  <c r="N32" i="2"/>
  <c r="O32" i="2" s="1"/>
  <c r="L32" i="2"/>
  <c r="I32" i="2"/>
  <c r="H32" i="2"/>
  <c r="F32" i="2"/>
  <c r="C32" i="2"/>
  <c r="AD31" i="2"/>
  <c r="AC31" i="2"/>
  <c r="AA31" i="2"/>
  <c r="X31" i="2"/>
  <c r="W31" i="2"/>
  <c r="U31" i="2"/>
  <c r="R31" i="2"/>
  <c r="N31" i="2"/>
  <c r="O31" i="2" s="1"/>
  <c r="L31" i="2"/>
  <c r="H31" i="2"/>
  <c r="I31" i="2" s="1"/>
  <c r="F31" i="2"/>
  <c r="C31" i="2"/>
  <c r="AA29" i="2"/>
  <c r="Z29" i="2"/>
  <c r="W29" i="2"/>
  <c r="X29" i="2" s="1"/>
  <c r="U29" i="2"/>
  <c r="T29" i="2"/>
  <c r="Q29" i="2"/>
  <c r="R29" i="2" s="1"/>
  <c r="K29" i="2"/>
  <c r="L29" i="2" s="1"/>
  <c r="E29" i="2"/>
  <c r="F29" i="2" s="1"/>
  <c r="B29" i="2"/>
  <c r="AC28" i="2"/>
  <c r="AD28" i="2" s="1"/>
  <c r="AA28" i="2"/>
  <c r="X28" i="2"/>
  <c r="W28" i="2"/>
  <c r="U28" i="2"/>
  <c r="R28" i="2"/>
  <c r="N28" i="2"/>
  <c r="O28" i="2" s="1"/>
  <c r="L28" i="2"/>
  <c r="H28" i="2"/>
  <c r="I28" i="2" s="1"/>
  <c r="F28" i="2"/>
  <c r="C28" i="2"/>
  <c r="AC27" i="2"/>
  <c r="AD27" i="2" s="1"/>
  <c r="AA27" i="2"/>
  <c r="W27" i="2"/>
  <c r="X27" i="2" s="1"/>
  <c r="U27" i="2"/>
  <c r="R27" i="2"/>
  <c r="O27" i="2"/>
  <c r="N27" i="2"/>
  <c r="L27" i="2"/>
  <c r="H27" i="2"/>
  <c r="I27" i="2" s="1"/>
  <c r="F27" i="2"/>
  <c r="C27" i="2"/>
  <c r="AC26" i="2"/>
  <c r="AD26" i="2" s="1"/>
  <c r="AA26" i="2"/>
  <c r="W26" i="2"/>
  <c r="X26" i="2" s="1"/>
  <c r="U26" i="2"/>
  <c r="R26" i="2"/>
  <c r="O26" i="2"/>
  <c r="N26" i="2"/>
  <c r="L26" i="2"/>
  <c r="I26" i="2"/>
  <c r="H26" i="2"/>
  <c r="F26" i="2"/>
  <c r="C26" i="2"/>
  <c r="AC25" i="2"/>
  <c r="AD25" i="2" s="1"/>
  <c r="AA25" i="2"/>
  <c r="W25" i="2"/>
  <c r="X25" i="2" s="1"/>
  <c r="U25" i="2"/>
  <c r="R25" i="2"/>
  <c r="N25" i="2"/>
  <c r="O25" i="2" s="1"/>
  <c r="L25" i="2"/>
  <c r="H25" i="2"/>
  <c r="I25" i="2" s="1"/>
  <c r="F25" i="2"/>
  <c r="C25" i="2"/>
  <c r="AC24" i="2"/>
  <c r="AD24" i="2" s="1"/>
  <c r="AA24" i="2"/>
  <c r="X24" i="2"/>
  <c r="W24" i="2"/>
  <c r="U24" i="2"/>
  <c r="R24" i="2"/>
  <c r="O24" i="2"/>
  <c r="N24" i="2"/>
  <c r="L24" i="2"/>
  <c r="H24" i="2"/>
  <c r="I24" i="2" s="1"/>
  <c r="F24" i="2"/>
  <c r="C24" i="2"/>
  <c r="AC23" i="2"/>
  <c r="AD23" i="2" s="1"/>
  <c r="AA23" i="2"/>
  <c r="W23" i="2"/>
  <c r="X23" i="2" s="1"/>
  <c r="U23" i="2"/>
  <c r="R23" i="2"/>
  <c r="O23" i="2"/>
  <c r="N23" i="2"/>
  <c r="L23" i="2"/>
  <c r="H23" i="2"/>
  <c r="I23" i="2" s="1"/>
  <c r="F23" i="2"/>
  <c r="C23" i="2"/>
  <c r="AC22" i="2"/>
  <c r="AD22" i="2" s="1"/>
  <c r="AA22" i="2"/>
  <c r="W22" i="2"/>
  <c r="X22" i="2" s="1"/>
  <c r="U22" i="2"/>
  <c r="R22" i="2"/>
  <c r="O22" i="2"/>
  <c r="N22" i="2"/>
  <c r="L22" i="2"/>
  <c r="I22" i="2"/>
  <c r="H22" i="2"/>
  <c r="F22" i="2"/>
  <c r="C22" i="2"/>
  <c r="AC21" i="2"/>
  <c r="AD21" i="2" s="1"/>
  <c r="AA21" i="2"/>
  <c r="W21" i="2"/>
  <c r="X21" i="2" s="1"/>
  <c r="U21" i="2"/>
  <c r="R21" i="2"/>
  <c r="N21" i="2"/>
  <c r="O21" i="2" s="1"/>
  <c r="L21" i="2"/>
  <c r="H21" i="2"/>
  <c r="I21" i="2" s="1"/>
  <c r="F21" i="2"/>
  <c r="C21" i="2"/>
  <c r="AC19" i="2"/>
  <c r="AD19" i="2" s="1"/>
  <c r="AA19" i="2"/>
  <c r="X19" i="2"/>
  <c r="W19" i="2"/>
  <c r="U19" i="2"/>
  <c r="R19" i="2"/>
  <c r="O19" i="2"/>
  <c r="N19" i="2"/>
  <c r="L19" i="2"/>
  <c r="H19" i="2"/>
  <c r="I19" i="2" s="1"/>
  <c r="F19" i="2"/>
  <c r="C19" i="2"/>
  <c r="Z18" i="2"/>
  <c r="AA18" i="2" s="1"/>
  <c r="T18" i="2"/>
  <c r="U18" i="2" s="1"/>
  <c r="Q18" i="2"/>
  <c r="L18" i="2"/>
  <c r="K18" i="2"/>
  <c r="E18" i="2"/>
  <c r="F18" i="2" s="1"/>
  <c r="B18" i="2"/>
  <c r="C18" i="2" s="1"/>
  <c r="AC17" i="2"/>
  <c r="AD17" i="2" s="1"/>
  <c r="AA17" i="2"/>
  <c r="W17" i="2"/>
  <c r="X17" i="2" s="1"/>
  <c r="U17" i="2"/>
  <c r="R17" i="2"/>
  <c r="O17" i="2"/>
  <c r="N17" i="2"/>
  <c r="L17" i="2"/>
  <c r="H17" i="2"/>
  <c r="I17" i="2" s="1"/>
  <c r="F17" i="2"/>
  <c r="C17" i="2"/>
  <c r="AC16" i="2"/>
  <c r="AD16" i="2" s="1"/>
  <c r="AA16" i="2"/>
  <c r="X16" i="2"/>
  <c r="W16" i="2"/>
  <c r="U16" i="2"/>
  <c r="R16" i="2"/>
  <c r="N16" i="2"/>
  <c r="O16" i="2" s="1"/>
  <c r="L16" i="2"/>
  <c r="I16" i="2"/>
  <c r="H16" i="2"/>
  <c r="F16" i="2"/>
  <c r="C16" i="2"/>
  <c r="AC15" i="2"/>
  <c r="AD15" i="2" s="1"/>
  <c r="AA15" i="2"/>
  <c r="X15" i="2"/>
  <c r="W15" i="2"/>
  <c r="U15" i="2"/>
  <c r="R15" i="2"/>
  <c r="N15" i="2"/>
  <c r="O15" i="2" s="1"/>
  <c r="L15" i="2"/>
  <c r="H15" i="2"/>
  <c r="I15" i="2" s="1"/>
  <c r="F15" i="2"/>
  <c r="C15" i="2"/>
  <c r="AC14" i="2"/>
  <c r="AD14" i="2" s="1"/>
  <c r="AA14" i="2"/>
  <c r="W14" i="2"/>
  <c r="X14" i="2" s="1"/>
  <c r="U14" i="2"/>
  <c r="R14" i="2"/>
  <c r="O14" i="2"/>
  <c r="N14" i="2"/>
  <c r="L14" i="2"/>
  <c r="H14" i="2"/>
  <c r="I14" i="2" s="1"/>
  <c r="F14" i="2"/>
  <c r="C14" i="2"/>
  <c r="AC13" i="2"/>
  <c r="AD13" i="2" s="1"/>
  <c r="AA13" i="2"/>
  <c r="X13" i="2"/>
  <c r="W13" i="2"/>
  <c r="U13" i="2"/>
  <c r="R13" i="2"/>
  <c r="N13" i="2"/>
  <c r="O13" i="2" s="1"/>
  <c r="L13" i="2"/>
  <c r="H13" i="2"/>
  <c r="I13" i="2" s="1"/>
  <c r="F13" i="2"/>
  <c r="C13" i="2"/>
  <c r="AC12" i="2"/>
  <c r="AD12" i="2" s="1"/>
  <c r="AA12" i="2"/>
  <c r="X12" i="2"/>
  <c r="W12" i="2"/>
  <c r="U12" i="2"/>
  <c r="R12" i="2"/>
  <c r="N12" i="2"/>
  <c r="O12" i="2" s="1"/>
  <c r="L12" i="2"/>
  <c r="H12" i="2"/>
  <c r="I12" i="2" s="1"/>
  <c r="F12" i="2"/>
  <c r="C12" i="2"/>
  <c r="AD11" i="2"/>
  <c r="AC11" i="2"/>
  <c r="AA11" i="2"/>
  <c r="W11" i="2"/>
  <c r="X11" i="2" s="1"/>
  <c r="U11" i="2"/>
  <c r="R11" i="2"/>
  <c r="N11" i="2"/>
  <c r="O11" i="2" s="1"/>
  <c r="L11" i="2"/>
  <c r="H11" i="2"/>
  <c r="I11" i="2" s="1"/>
  <c r="F11" i="2"/>
  <c r="C11" i="2"/>
  <c r="AC10" i="2"/>
  <c r="AD10" i="2" s="1"/>
  <c r="AA10" i="2"/>
  <c r="X10" i="2"/>
  <c r="W10" i="2"/>
  <c r="U10" i="2"/>
  <c r="R10" i="2"/>
  <c r="O10" i="2"/>
  <c r="N10" i="2"/>
  <c r="L10" i="2"/>
  <c r="H10" i="2"/>
  <c r="I10" i="2" s="1"/>
  <c r="F10" i="2"/>
  <c r="C10" i="2"/>
  <c r="AC8" i="2"/>
  <c r="AD8" i="2" s="1"/>
  <c r="AA8" i="2"/>
  <c r="X8" i="2"/>
  <c r="W8" i="2"/>
  <c r="U8" i="2"/>
  <c r="R8" i="2"/>
  <c r="N8" i="2"/>
  <c r="O8" i="2" s="1"/>
  <c r="L8" i="2"/>
  <c r="H8" i="2"/>
  <c r="I8" i="2" s="1"/>
  <c r="F8" i="2"/>
  <c r="C8" i="2"/>
  <c r="AC445" i="1"/>
  <c r="W445" i="1"/>
  <c r="N445" i="1"/>
  <c r="H445" i="1"/>
  <c r="I440" i="1" s="1"/>
  <c r="AC443" i="1"/>
  <c r="AD443" i="1" s="1"/>
  <c r="Z443" i="1"/>
  <c r="AA443" i="1" s="1"/>
  <c r="T443" i="1"/>
  <c r="U443" i="1" s="1"/>
  <c r="Q443" i="1"/>
  <c r="K443" i="1"/>
  <c r="L443" i="1" s="1"/>
  <c r="E443" i="1"/>
  <c r="F443" i="1" s="1"/>
  <c r="B443" i="1"/>
  <c r="AA442" i="1"/>
  <c r="Z442" i="1"/>
  <c r="T442" i="1"/>
  <c r="U442" i="1" s="1"/>
  <c r="Q442" i="1"/>
  <c r="N442" i="1"/>
  <c r="O442" i="1" s="1"/>
  <c r="K442" i="1"/>
  <c r="L442" i="1" s="1"/>
  <c r="E442" i="1"/>
  <c r="C442" i="1"/>
  <c r="B442" i="1"/>
  <c r="AD441" i="1"/>
  <c r="AC441" i="1"/>
  <c r="AA441" i="1"/>
  <c r="X441" i="1"/>
  <c r="W441" i="1"/>
  <c r="U441" i="1"/>
  <c r="R441" i="1"/>
  <c r="N441" i="1"/>
  <c r="O441" i="1" s="1"/>
  <c r="L441" i="1"/>
  <c r="H441" i="1"/>
  <c r="I441" i="1" s="1"/>
  <c r="F441" i="1"/>
  <c r="C441" i="1"/>
  <c r="AD440" i="1"/>
  <c r="AC440" i="1"/>
  <c r="AA440" i="1"/>
  <c r="W440" i="1"/>
  <c r="X440" i="1" s="1"/>
  <c r="U440" i="1"/>
  <c r="R440" i="1"/>
  <c r="O440" i="1"/>
  <c r="N440" i="1"/>
  <c r="L440" i="1"/>
  <c r="H440" i="1"/>
  <c r="F440" i="1"/>
  <c r="C440" i="1"/>
  <c r="AC439" i="1"/>
  <c r="AD439" i="1" s="1"/>
  <c r="AA439" i="1"/>
  <c r="X439" i="1"/>
  <c r="W439" i="1"/>
  <c r="U439" i="1"/>
  <c r="R439" i="1"/>
  <c r="N439" i="1"/>
  <c r="O439" i="1" s="1"/>
  <c r="L439" i="1"/>
  <c r="I439" i="1"/>
  <c r="H439" i="1"/>
  <c r="F439" i="1"/>
  <c r="C439" i="1"/>
  <c r="AC438" i="1"/>
  <c r="AD438" i="1" s="1"/>
  <c r="AA438" i="1"/>
  <c r="W438" i="1"/>
  <c r="X438" i="1" s="1"/>
  <c r="U438" i="1"/>
  <c r="R438" i="1"/>
  <c r="O438" i="1"/>
  <c r="N438" i="1"/>
  <c r="L438" i="1"/>
  <c r="H438" i="1"/>
  <c r="I438" i="1" s="1"/>
  <c r="F438" i="1"/>
  <c r="C438" i="1"/>
  <c r="AC437" i="1"/>
  <c r="AD437" i="1" s="1"/>
  <c r="AA437" i="1"/>
  <c r="W437" i="1"/>
  <c r="X437" i="1" s="1"/>
  <c r="U437" i="1"/>
  <c r="R437" i="1"/>
  <c r="O437" i="1"/>
  <c r="N437" i="1"/>
  <c r="L437" i="1"/>
  <c r="H437" i="1"/>
  <c r="I437" i="1" s="1"/>
  <c r="F437" i="1"/>
  <c r="C437" i="1"/>
  <c r="AD436" i="1"/>
  <c r="AC436" i="1"/>
  <c r="AA436" i="1"/>
  <c r="X436" i="1"/>
  <c r="W436" i="1"/>
  <c r="U436" i="1"/>
  <c r="R436" i="1"/>
  <c r="N436" i="1"/>
  <c r="O436" i="1" s="1"/>
  <c r="L436" i="1"/>
  <c r="H436" i="1"/>
  <c r="I436" i="1" s="1"/>
  <c r="F436" i="1"/>
  <c r="C436" i="1"/>
  <c r="AC435" i="1"/>
  <c r="AD435" i="1" s="1"/>
  <c r="AA435" i="1"/>
  <c r="X435" i="1"/>
  <c r="W435" i="1"/>
  <c r="U435" i="1"/>
  <c r="R435" i="1"/>
  <c r="N435" i="1"/>
  <c r="O435" i="1" s="1"/>
  <c r="L435" i="1"/>
  <c r="H435" i="1"/>
  <c r="I435" i="1" s="1"/>
  <c r="F435" i="1"/>
  <c r="C435" i="1"/>
  <c r="AC434" i="1"/>
  <c r="AD434" i="1" s="1"/>
  <c r="AA434" i="1"/>
  <c r="W434" i="1"/>
  <c r="X434" i="1" s="1"/>
  <c r="U434" i="1"/>
  <c r="R434" i="1"/>
  <c r="O434" i="1"/>
  <c r="N434" i="1"/>
  <c r="L434" i="1"/>
  <c r="H434" i="1"/>
  <c r="I434" i="1" s="1"/>
  <c r="F434" i="1"/>
  <c r="C434" i="1"/>
  <c r="AC433" i="1"/>
  <c r="AD433" i="1" s="1"/>
  <c r="AA433" i="1"/>
  <c r="W433" i="1"/>
  <c r="X433" i="1" s="1"/>
  <c r="U433" i="1"/>
  <c r="R433" i="1"/>
  <c r="O433" i="1"/>
  <c r="N433" i="1"/>
  <c r="L433" i="1"/>
  <c r="H433" i="1"/>
  <c r="I433" i="1" s="1"/>
  <c r="F433" i="1"/>
  <c r="C433" i="1"/>
  <c r="Z430" i="1"/>
  <c r="AA430" i="1" s="1"/>
  <c r="T430" i="1"/>
  <c r="U430" i="1" s="1"/>
  <c r="Q430" i="1"/>
  <c r="W430" i="1" s="1"/>
  <c r="X430" i="1" s="1"/>
  <c r="K430" i="1"/>
  <c r="L430" i="1" s="1"/>
  <c r="E430" i="1"/>
  <c r="H430" i="1" s="1"/>
  <c r="I430" i="1" s="1"/>
  <c r="B430" i="1"/>
  <c r="C430" i="1" s="1"/>
  <c r="Z429" i="1"/>
  <c r="AA429" i="1" s="1"/>
  <c r="W429" i="1"/>
  <c r="X429" i="1" s="1"/>
  <c r="T429" i="1"/>
  <c r="U429" i="1" s="1"/>
  <c r="Q429" i="1"/>
  <c r="R429" i="1" s="1"/>
  <c r="K429" i="1"/>
  <c r="L429" i="1" s="1"/>
  <c r="E429" i="1"/>
  <c r="F429" i="1" s="1"/>
  <c r="B429" i="1"/>
  <c r="C429" i="1" s="1"/>
  <c r="AC428" i="1"/>
  <c r="AD428" i="1" s="1"/>
  <c r="AA428" i="1"/>
  <c r="X428" i="1"/>
  <c r="W428" i="1"/>
  <c r="U428" i="1"/>
  <c r="R428" i="1"/>
  <c r="N428" i="1"/>
  <c r="O428" i="1" s="1"/>
  <c r="L428" i="1"/>
  <c r="H428" i="1"/>
  <c r="I428" i="1" s="1"/>
  <c r="F428" i="1"/>
  <c r="C428" i="1"/>
  <c r="AC427" i="1"/>
  <c r="AD427" i="1" s="1"/>
  <c r="AA427" i="1"/>
  <c r="X427" i="1"/>
  <c r="W427" i="1"/>
  <c r="U427" i="1"/>
  <c r="R427" i="1"/>
  <c r="N427" i="1"/>
  <c r="O427" i="1" s="1"/>
  <c r="L427" i="1"/>
  <c r="H427" i="1"/>
  <c r="I427" i="1" s="1"/>
  <c r="F427" i="1"/>
  <c r="C427" i="1"/>
  <c r="AC426" i="1"/>
  <c r="AD426" i="1" s="1"/>
  <c r="AA426" i="1"/>
  <c r="W426" i="1"/>
  <c r="X426" i="1" s="1"/>
  <c r="U426" i="1"/>
  <c r="R426" i="1"/>
  <c r="O426" i="1"/>
  <c r="N426" i="1"/>
  <c r="L426" i="1"/>
  <c r="H426" i="1"/>
  <c r="I426" i="1" s="1"/>
  <c r="F426" i="1"/>
  <c r="C426" i="1"/>
  <c r="AC425" i="1"/>
  <c r="AD425" i="1" s="1"/>
  <c r="AA425" i="1"/>
  <c r="W425" i="1"/>
  <c r="X425" i="1" s="1"/>
  <c r="U425" i="1"/>
  <c r="R425" i="1"/>
  <c r="O425" i="1"/>
  <c r="N425" i="1"/>
  <c r="L425" i="1"/>
  <c r="H425" i="1"/>
  <c r="I425" i="1" s="1"/>
  <c r="F425" i="1"/>
  <c r="C425" i="1"/>
  <c r="AC424" i="1"/>
  <c r="AD424" i="1" s="1"/>
  <c r="AA424" i="1"/>
  <c r="X424" i="1"/>
  <c r="W424" i="1"/>
  <c r="U424" i="1"/>
  <c r="R424" i="1"/>
  <c r="N424" i="1"/>
  <c r="O424" i="1" s="1"/>
  <c r="L424" i="1"/>
  <c r="H424" i="1"/>
  <c r="I424" i="1" s="1"/>
  <c r="F424" i="1"/>
  <c r="C424" i="1"/>
  <c r="AC423" i="1"/>
  <c r="AD423" i="1" s="1"/>
  <c r="AA423" i="1"/>
  <c r="X423" i="1"/>
  <c r="W423" i="1"/>
  <c r="U423" i="1"/>
  <c r="R423" i="1"/>
  <c r="N423" i="1"/>
  <c r="O423" i="1" s="1"/>
  <c r="L423" i="1"/>
  <c r="H423" i="1"/>
  <c r="I423" i="1" s="1"/>
  <c r="F423" i="1"/>
  <c r="C423" i="1"/>
  <c r="AC422" i="1"/>
  <c r="AD422" i="1" s="1"/>
  <c r="AA422" i="1"/>
  <c r="W422" i="1"/>
  <c r="X422" i="1" s="1"/>
  <c r="U422" i="1"/>
  <c r="R422" i="1"/>
  <c r="O422" i="1"/>
  <c r="N422" i="1"/>
  <c r="L422" i="1"/>
  <c r="H422" i="1"/>
  <c r="I422" i="1" s="1"/>
  <c r="F422" i="1"/>
  <c r="C422" i="1"/>
  <c r="AC421" i="1"/>
  <c r="AD421" i="1" s="1"/>
  <c r="AA421" i="1"/>
  <c r="W421" i="1"/>
  <c r="X421" i="1" s="1"/>
  <c r="U421" i="1"/>
  <c r="R421" i="1"/>
  <c r="O421" i="1"/>
  <c r="N421" i="1"/>
  <c r="L421" i="1"/>
  <c r="H421" i="1"/>
  <c r="I421" i="1" s="1"/>
  <c r="F421" i="1"/>
  <c r="C421" i="1"/>
  <c r="AC420" i="1"/>
  <c r="AD420" i="1" s="1"/>
  <c r="AA420" i="1"/>
  <c r="X420" i="1"/>
  <c r="W420" i="1"/>
  <c r="U420" i="1"/>
  <c r="R420" i="1"/>
  <c r="N420" i="1"/>
  <c r="O420" i="1" s="1"/>
  <c r="L420" i="1"/>
  <c r="H420" i="1"/>
  <c r="I420" i="1" s="1"/>
  <c r="F420" i="1"/>
  <c r="C420" i="1"/>
  <c r="AC419" i="1"/>
  <c r="AD419" i="1" s="1"/>
  <c r="AA419" i="1"/>
  <c r="X419" i="1"/>
  <c r="W419" i="1"/>
  <c r="U419" i="1"/>
  <c r="R419" i="1"/>
  <c r="N419" i="1"/>
  <c r="O419" i="1" s="1"/>
  <c r="L419" i="1"/>
  <c r="H419" i="1"/>
  <c r="I419" i="1" s="1"/>
  <c r="F419" i="1"/>
  <c r="C419" i="1"/>
  <c r="AC418" i="1"/>
  <c r="AD418" i="1" s="1"/>
  <c r="AA418" i="1"/>
  <c r="W418" i="1"/>
  <c r="X418" i="1" s="1"/>
  <c r="U418" i="1"/>
  <c r="R418" i="1"/>
  <c r="O418" i="1"/>
  <c r="N418" i="1"/>
  <c r="L418" i="1"/>
  <c r="H418" i="1"/>
  <c r="I418" i="1" s="1"/>
  <c r="F418" i="1"/>
  <c r="C418" i="1"/>
  <c r="AC417" i="1"/>
  <c r="AD417" i="1" s="1"/>
  <c r="AA417" i="1"/>
  <c r="W417" i="1"/>
  <c r="X417" i="1" s="1"/>
  <c r="U417" i="1"/>
  <c r="R417" i="1"/>
  <c r="O417" i="1"/>
  <c r="N417" i="1"/>
  <c r="L417" i="1"/>
  <c r="H417" i="1"/>
  <c r="I417" i="1" s="1"/>
  <c r="F417" i="1"/>
  <c r="C417" i="1"/>
  <c r="AC416" i="1"/>
  <c r="AD416" i="1" s="1"/>
  <c r="AA416" i="1"/>
  <c r="X416" i="1"/>
  <c r="W416" i="1"/>
  <c r="U416" i="1"/>
  <c r="R416" i="1"/>
  <c r="N416" i="1"/>
  <c r="O416" i="1" s="1"/>
  <c r="L416" i="1"/>
  <c r="H416" i="1"/>
  <c r="I416" i="1" s="1"/>
  <c r="F416" i="1"/>
  <c r="C416" i="1"/>
  <c r="AC415" i="1"/>
  <c r="AD415" i="1" s="1"/>
  <c r="AA415" i="1"/>
  <c r="X415" i="1"/>
  <c r="W415" i="1"/>
  <c r="U415" i="1"/>
  <c r="R415" i="1"/>
  <c r="N415" i="1"/>
  <c r="O415" i="1" s="1"/>
  <c r="L415" i="1"/>
  <c r="I415" i="1"/>
  <c r="H415" i="1"/>
  <c r="F415" i="1"/>
  <c r="C415" i="1"/>
  <c r="AC414" i="1"/>
  <c r="AD414" i="1" s="1"/>
  <c r="AA414" i="1"/>
  <c r="W414" i="1"/>
  <c r="X414" i="1" s="1"/>
  <c r="U414" i="1"/>
  <c r="R414" i="1"/>
  <c r="O414" i="1"/>
  <c r="N414" i="1"/>
  <c r="L414" i="1"/>
  <c r="H414" i="1"/>
  <c r="I414" i="1" s="1"/>
  <c r="F414" i="1"/>
  <c r="C414" i="1"/>
  <c r="AC413" i="1"/>
  <c r="AD413" i="1" s="1"/>
  <c r="AA413" i="1"/>
  <c r="W413" i="1"/>
  <c r="X413" i="1" s="1"/>
  <c r="U413" i="1"/>
  <c r="R413" i="1"/>
  <c r="O413" i="1"/>
  <c r="N413" i="1"/>
  <c r="L413" i="1"/>
  <c r="H413" i="1"/>
  <c r="I413" i="1" s="1"/>
  <c r="F413" i="1"/>
  <c r="C413" i="1"/>
  <c r="AC412" i="1"/>
  <c r="AD412" i="1" s="1"/>
  <c r="AA412" i="1"/>
  <c r="X412" i="1"/>
  <c r="W412" i="1"/>
  <c r="U412" i="1"/>
  <c r="R412" i="1"/>
  <c r="N412" i="1"/>
  <c r="O412" i="1" s="1"/>
  <c r="L412" i="1"/>
  <c r="H412" i="1"/>
  <c r="I412" i="1" s="1"/>
  <c r="F412" i="1"/>
  <c r="C412" i="1"/>
  <c r="AC411" i="1"/>
  <c r="AD411" i="1" s="1"/>
  <c r="AA411" i="1"/>
  <c r="X411" i="1"/>
  <c r="W411" i="1"/>
  <c r="U411" i="1"/>
  <c r="R411" i="1"/>
  <c r="N411" i="1"/>
  <c r="O411" i="1" s="1"/>
  <c r="L411" i="1"/>
  <c r="H411" i="1"/>
  <c r="I411" i="1" s="1"/>
  <c r="F411" i="1"/>
  <c r="C411" i="1"/>
  <c r="AC410" i="1"/>
  <c r="AD410" i="1" s="1"/>
  <c r="AA410" i="1"/>
  <c r="W410" i="1"/>
  <c r="X410" i="1" s="1"/>
  <c r="U410" i="1"/>
  <c r="R410" i="1"/>
  <c r="O410" i="1"/>
  <c r="N410" i="1"/>
  <c r="L410" i="1"/>
  <c r="H410" i="1"/>
  <c r="I410" i="1" s="1"/>
  <c r="F410" i="1"/>
  <c r="C410" i="1"/>
  <c r="AC409" i="1"/>
  <c r="AD409" i="1" s="1"/>
  <c r="AA409" i="1"/>
  <c r="W409" i="1"/>
  <c r="X409" i="1" s="1"/>
  <c r="U409" i="1"/>
  <c r="R409" i="1"/>
  <c r="O409" i="1"/>
  <c r="N409" i="1"/>
  <c r="L409" i="1"/>
  <c r="H409" i="1"/>
  <c r="I409" i="1" s="1"/>
  <c r="F409" i="1"/>
  <c r="C409" i="1"/>
  <c r="AC408" i="1"/>
  <c r="AD408" i="1" s="1"/>
  <c r="AA408" i="1"/>
  <c r="X408" i="1"/>
  <c r="W408" i="1"/>
  <c r="U408" i="1"/>
  <c r="R408" i="1"/>
  <c r="N408" i="1"/>
  <c r="O408" i="1" s="1"/>
  <c r="L408" i="1"/>
  <c r="H408" i="1"/>
  <c r="I408" i="1" s="1"/>
  <c r="F408" i="1"/>
  <c r="C408" i="1"/>
  <c r="Z404" i="1"/>
  <c r="AA404" i="1" s="1"/>
  <c r="T404" i="1"/>
  <c r="W404" i="1" s="1"/>
  <c r="X404" i="1" s="1"/>
  <c r="Q404" i="1"/>
  <c r="R404" i="1" s="1"/>
  <c r="K404" i="1"/>
  <c r="L404" i="1" s="1"/>
  <c r="I404" i="1"/>
  <c r="H404" i="1"/>
  <c r="E404" i="1"/>
  <c r="F404" i="1" s="1"/>
  <c r="B404" i="1"/>
  <c r="C404" i="1" s="1"/>
  <c r="AC403" i="1"/>
  <c r="AD403" i="1" s="1"/>
  <c r="AA403" i="1"/>
  <c r="X403" i="1"/>
  <c r="W403" i="1"/>
  <c r="U403" i="1"/>
  <c r="R403" i="1"/>
  <c r="N403" i="1"/>
  <c r="O403" i="1" s="1"/>
  <c r="L403" i="1"/>
  <c r="H403" i="1"/>
  <c r="I403" i="1" s="1"/>
  <c r="F403" i="1"/>
  <c r="C403" i="1"/>
  <c r="AC402" i="1"/>
  <c r="AD402" i="1" s="1"/>
  <c r="AA402" i="1"/>
  <c r="W402" i="1"/>
  <c r="X402" i="1" s="1"/>
  <c r="U402" i="1"/>
  <c r="R402" i="1"/>
  <c r="O402" i="1"/>
  <c r="N402" i="1"/>
  <c r="L402" i="1"/>
  <c r="H402" i="1"/>
  <c r="I402" i="1" s="1"/>
  <c r="F402" i="1"/>
  <c r="C402" i="1"/>
  <c r="AC401" i="1"/>
  <c r="AD401" i="1" s="1"/>
  <c r="AA401" i="1"/>
  <c r="W401" i="1"/>
  <c r="X401" i="1" s="1"/>
  <c r="U401" i="1"/>
  <c r="R401" i="1"/>
  <c r="O401" i="1"/>
  <c r="N401" i="1"/>
  <c r="L401" i="1"/>
  <c r="H401" i="1"/>
  <c r="I401" i="1" s="1"/>
  <c r="F401" i="1"/>
  <c r="C401" i="1"/>
  <c r="AC400" i="1"/>
  <c r="AD400" i="1" s="1"/>
  <c r="AA400" i="1"/>
  <c r="X400" i="1"/>
  <c r="W400" i="1"/>
  <c r="U400" i="1"/>
  <c r="R400" i="1"/>
  <c r="N400" i="1"/>
  <c r="O400" i="1" s="1"/>
  <c r="L400" i="1"/>
  <c r="H400" i="1"/>
  <c r="I400" i="1" s="1"/>
  <c r="F400" i="1"/>
  <c r="C400" i="1"/>
  <c r="AC399" i="1"/>
  <c r="AD399" i="1" s="1"/>
  <c r="AA399" i="1"/>
  <c r="X399" i="1"/>
  <c r="W399" i="1"/>
  <c r="U399" i="1"/>
  <c r="R399" i="1"/>
  <c r="N399" i="1"/>
  <c r="O399" i="1" s="1"/>
  <c r="L399" i="1"/>
  <c r="I399" i="1"/>
  <c r="H399" i="1"/>
  <c r="F399" i="1"/>
  <c r="C399" i="1"/>
  <c r="AC398" i="1"/>
  <c r="AD398" i="1" s="1"/>
  <c r="AA398" i="1"/>
  <c r="W398" i="1"/>
  <c r="X398" i="1" s="1"/>
  <c r="U398" i="1"/>
  <c r="R398" i="1"/>
  <c r="O398" i="1"/>
  <c r="N398" i="1"/>
  <c r="L398" i="1"/>
  <c r="H398" i="1"/>
  <c r="I398" i="1" s="1"/>
  <c r="F398" i="1"/>
  <c r="C398" i="1"/>
  <c r="Z397" i="1"/>
  <c r="AA397" i="1" s="1"/>
  <c r="T397" i="1"/>
  <c r="W397" i="1" s="1"/>
  <c r="X397" i="1" s="1"/>
  <c r="Q397" i="1"/>
  <c r="R397" i="1" s="1"/>
  <c r="K397" i="1"/>
  <c r="L397" i="1" s="1"/>
  <c r="H397" i="1"/>
  <c r="I397" i="1" s="1"/>
  <c r="E397" i="1"/>
  <c r="F397" i="1" s="1"/>
  <c r="B397" i="1"/>
  <c r="C397" i="1" s="1"/>
  <c r="AC396" i="1"/>
  <c r="AD396" i="1" s="1"/>
  <c r="AA396" i="1"/>
  <c r="X396" i="1"/>
  <c r="W396" i="1"/>
  <c r="U396" i="1"/>
  <c r="R396" i="1"/>
  <c r="N396" i="1"/>
  <c r="O396" i="1" s="1"/>
  <c r="L396" i="1"/>
  <c r="H396" i="1"/>
  <c r="I396" i="1" s="1"/>
  <c r="F396" i="1"/>
  <c r="C396" i="1"/>
  <c r="AC395" i="1"/>
  <c r="AD395" i="1" s="1"/>
  <c r="AA395" i="1"/>
  <c r="W395" i="1"/>
  <c r="X395" i="1" s="1"/>
  <c r="U395" i="1"/>
  <c r="R395" i="1"/>
  <c r="O395" i="1"/>
  <c r="N395" i="1"/>
  <c r="L395" i="1"/>
  <c r="H395" i="1"/>
  <c r="I395" i="1" s="1"/>
  <c r="F395" i="1"/>
  <c r="C395" i="1"/>
  <c r="Z394" i="1"/>
  <c r="AA394" i="1" s="1"/>
  <c r="T394" i="1"/>
  <c r="W394" i="1" s="1"/>
  <c r="X394" i="1" s="1"/>
  <c r="Q394" i="1"/>
  <c r="R394" i="1" s="1"/>
  <c r="K394" i="1"/>
  <c r="L394" i="1" s="1"/>
  <c r="H394" i="1"/>
  <c r="I394" i="1" s="1"/>
  <c r="E394" i="1"/>
  <c r="F394" i="1" s="1"/>
  <c r="B394" i="1"/>
  <c r="C394" i="1" s="1"/>
  <c r="AC393" i="1"/>
  <c r="AD393" i="1" s="1"/>
  <c r="AA393" i="1"/>
  <c r="X393" i="1"/>
  <c r="W393" i="1"/>
  <c r="U393" i="1"/>
  <c r="R393" i="1"/>
  <c r="N393" i="1"/>
  <c r="O393" i="1" s="1"/>
  <c r="L393" i="1"/>
  <c r="H393" i="1"/>
  <c r="I393" i="1" s="1"/>
  <c r="F393" i="1"/>
  <c r="C393" i="1"/>
  <c r="AC392" i="1"/>
  <c r="AD392" i="1" s="1"/>
  <c r="AA392" i="1"/>
  <c r="W392" i="1"/>
  <c r="X392" i="1" s="1"/>
  <c r="U392" i="1"/>
  <c r="R392" i="1"/>
  <c r="O392" i="1"/>
  <c r="N392" i="1"/>
  <c r="L392" i="1"/>
  <c r="H392" i="1"/>
  <c r="I392" i="1" s="1"/>
  <c r="F392" i="1"/>
  <c r="C392" i="1"/>
  <c r="AC391" i="1"/>
  <c r="AD391" i="1" s="1"/>
  <c r="AA391" i="1"/>
  <c r="W391" i="1"/>
  <c r="X391" i="1" s="1"/>
  <c r="U391" i="1"/>
  <c r="R391" i="1"/>
  <c r="O391" i="1"/>
  <c r="N391" i="1"/>
  <c r="L391" i="1"/>
  <c r="H391" i="1"/>
  <c r="I391" i="1" s="1"/>
  <c r="F391" i="1"/>
  <c r="C391" i="1"/>
  <c r="AC390" i="1"/>
  <c r="AD390" i="1" s="1"/>
  <c r="AA390" i="1"/>
  <c r="X390" i="1"/>
  <c r="W390" i="1"/>
  <c r="U390" i="1"/>
  <c r="R390" i="1"/>
  <c r="N390" i="1"/>
  <c r="O390" i="1" s="1"/>
  <c r="L390" i="1"/>
  <c r="H390" i="1"/>
  <c r="I390" i="1" s="1"/>
  <c r="F390" i="1"/>
  <c r="C390" i="1"/>
  <c r="AC389" i="1"/>
  <c r="AD389" i="1" s="1"/>
  <c r="AA389" i="1"/>
  <c r="X389" i="1"/>
  <c r="W389" i="1"/>
  <c r="U389" i="1"/>
  <c r="R389" i="1"/>
  <c r="N389" i="1"/>
  <c r="O389" i="1" s="1"/>
  <c r="L389" i="1"/>
  <c r="I389" i="1"/>
  <c r="H389" i="1"/>
  <c r="F389" i="1"/>
  <c r="C389" i="1"/>
  <c r="AC387" i="1"/>
  <c r="AD387" i="1" s="1"/>
  <c r="AA387" i="1"/>
  <c r="W387" i="1"/>
  <c r="X387" i="1" s="1"/>
  <c r="U387" i="1"/>
  <c r="R387" i="1"/>
  <c r="O387" i="1"/>
  <c r="N387" i="1"/>
  <c r="L387" i="1"/>
  <c r="H387" i="1"/>
  <c r="I387" i="1" s="1"/>
  <c r="F387" i="1"/>
  <c r="C387" i="1"/>
  <c r="AC386" i="1"/>
  <c r="AD386" i="1" s="1"/>
  <c r="AA386" i="1"/>
  <c r="W386" i="1"/>
  <c r="X386" i="1" s="1"/>
  <c r="U386" i="1"/>
  <c r="R386" i="1"/>
  <c r="O386" i="1"/>
  <c r="N386" i="1"/>
  <c r="L386" i="1"/>
  <c r="H386" i="1"/>
  <c r="I386" i="1" s="1"/>
  <c r="F386" i="1"/>
  <c r="C386" i="1"/>
  <c r="AC384" i="1"/>
  <c r="AD384" i="1" s="1"/>
  <c r="AA384" i="1"/>
  <c r="X384" i="1"/>
  <c r="W384" i="1"/>
  <c r="U384" i="1"/>
  <c r="R384" i="1"/>
  <c r="N384" i="1"/>
  <c r="O384" i="1" s="1"/>
  <c r="L384" i="1"/>
  <c r="H384" i="1"/>
  <c r="I384" i="1" s="1"/>
  <c r="F384" i="1"/>
  <c r="C384" i="1"/>
  <c r="AC383" i="1"/>
  <c r="AD383" i="1" s="1"/>
  <c r="AA383" i="1"/>
  <c r="X383" i="1"/>
  <c r="W383" i="1"/>
  <c r="U383" i="1"/>
  <c r="R383" i="1"/>
  <c r="N383" i="1"/>
  <c r="O383" i="1" s="1"/>
  <c r="L383" i="1"/>
  <c r="H383" i="1"/>
  <c r="I383" i="1" s="1"/>
  <c r="F383" i="1"/>
  <c r="C383" i="1"/>
  <c r="AC382" i="1"/>
  <c r="AD382" i="1" s="1"/>
  <c r="AA382" i="1"/>
  <c r="W382" i="1"/>
  <c r="X382" i="1" s="1"/>
  <c r="U382" i="1"/>
  <c r="R382" i="1"/>
  <c r="O382" i="1"/>
  <c r="N382" i="1"/>
  <c r="L382" i="1"/>
  <c r="H382" i="1"/>
  <c r="I382" i="1" s="1"/>
  <c r="F382" i="1"/>
  <c r="C382" i="1"/>
  <c r="AC381" i="1"/>
  <c r="AD381" i="1" s="1"/>
  <c r="AA381" i="1"/>
  <c r="W381" i="1"/>
  <c r="X381" i="1" s="1"/>
  <c r="U381" i="1"/>
  <c r="R381" i="1"/>
  <c r="O381" i="1"/>
  <c r="N381" i="1"/>
  <c r="L381" i="1"/>
  <c r="H381" i="1"/>
  <c r="I381" i="1" s="1"/>
  <c r="F381" i="1"/>
  <c r="C381" i="1"/>
  <c r="AD380" i="1"/>
  <c r="AC380" i="1"/>
  <c r="AA380" i="1"/>
  <c r="X380" i="1"/>
  <c r="W380" i="1"/>
  <c r="U380" i="1"/>
  <c r="R380" i="1"/>
  <c r="N380" i="1"/>
  <c r="O380" i="1" s="1"/>
  <c r="L380" i="1"/>
  <c r="H380" i="1"/>
  <c r="I380" i="1" s="1"/>
  <c r="F380" i="1"/>
  <c r="C380" i="1"/>
  <c r="AC379" i="1"/>
  <c r="AD379" i="1" s="1"/>
  <c r="AA379" i="1"/>
  <c r="X379" i="1"/>
  <c r="W379" i="1"/>
  <c r="U379" i="1"/>
  <c r="R379" i="1"/>
  <c r="N379" i="1"/>
  <c r="O379" i="1" s="1"/>
  <c r="L379" i="1"/>
  <c r="H379" i="1"/>
  <c r="I379" i="1" s="1"/>
  <c r="F379" i="1"/>
  <c r="C379" i="1"/>
  <c r="AC378" i="1"/>
  <c r="AD378" i="1" s="1"/>
  <c r="AA378" i="1"/>
  <c r="W378" i="1"/>
  <c r="X378" i="1" s="1"/>
  <c r="U378" i="1"/>
  <c r="R378" i="1"/>
  <c r="O378" i="1"/>
  <c r="N378" i="1"/>
  <c r="L378" i="1"/>
  <c r="H378" i="1"/>
  <c r="I378" i="1" s="1"/>
  <c r="F378" i="1"/>
  <c r="C378" i="1"/>
  <c r="AC377" i="1"/>
  <c r="AD377" i="1" s="1"/>
  <c r="AA377" i="1"/>
  <c r="W377" i="1"/>
  <c r="X377" i="1" s="1"/>
  <c r="U377" i="1"/>
  <c r="R377" i="1"/>
  <c r="O377" i="1"/>
  <c r="N377" i="1"/>
  <c r="L377" i="1"/>
  <c r="H377" i="1"/>
  <c r="I377" i="1" s="1"/>
  <c r="F377" i="1"/>
  <c r="C377" i="1"/>
  <c r="AC376" i="1"/>
  <c r="AD376" i="1" s="1"/>
  <c r="AA376" i="1"/>
  <c r="X376" i="1"/>
  <c r="W376" i="1"/>
  <c r="U376" i="1"/>
  <c r="R376" i="1"/>
  <c r="N376" i="1"/>
  <c r="O376" i="1" s="1"/>
  <c r="L376" i="1"/>
  <c r="H376" i="1"/>
  <c r="I376" i="1" s="1"/>
  <c r="F376" i="1"/>
  <c r="C376" i="1"/>
  <c r="AC375" i="1"/>
  <c r="AD375" i="1" s="1"/>
  <c r="AA375" i="1"/>
  <c r="X375" i="1"/>
  <c r="W375" i="1"/>
  <c r="U375" i="1"/>
  <c r="R375" i="1"/>
  <c r="N375" i="1"/>
  <c r="O375" i="1" s="1"/>
  <c r="L375" i="1"/>
  <c r="H375" i="1"/>
  <c r="I375" i="1" s="1"/>
  <c r="F375" i="1"/>
  <c r="C375" i="1"/>
  <c r="AC374" i="1"/>
  <c r="AD374" i="1" s="1"/>
  <c r="AA374" i="1"/>
  <c r="W374" i="1"/>
  <c r="X374" i="1" s="1"/>
  <c r="U374" i="1"/>
  <c r="R374" i="1"/>
  <c r="O374" i="1"/>
  <c r="N374" i="1"/>
  <c r="L374" i="1"/>
  <c r="H374" i="1"/>
  <c r="I374" i="1" s="1"/>
  <c r="F374" i="1"/>
  <c r="C374" i="1"/>
  <c r="AC373" i="1"/>
  <c r="AD373" i="1" s="1"/>
  <c r="AA373" i="1"/>
  <c r="W373" i="1"/>
  <c r="X373" i="1" s="1"/>
  <c r="U373" i="1"/>
  <c r="R373" i="1"/>
  <c r="O373" i="1"/>
  <c r="N373" i="1"/>
  <c r="L373" i="1"/>
  <c r="H373" i="1"/>
  <c r="I373" i="1" s="1"/>
  <c r="F373" i="1"/>
  <c r="C373" i="1"/>
  <c r="AC372" i="1"/>
  <c r="AD372" i="1" s="1"/>
  <c r="AA372" i="1"/>
  <c r="X372" i="1"/>
  <c r="W372" i="1"/>
  <c r="U372" i="1"/>
  <c r="R372" i="1"/>
  <c r="N372" i="1"/>
  <c r="O372" i="1" s="1"/>
  <c r="L372" i="1"/>
  <c r="H372" i="1"/>
  <c r="I372" i="1" s="1"/>
  <c r="F372" i="1"/>
  <c r="C372" i="1"/>
  <c r="AC371" i="1"/>
  <c r="AD371" i="1" s="1"/>
  <c r="AA371" i="1"/>
  <c r="X371" i="1"/>
  <c r="W371" i="1"/>
  <c r="U371" i="1"/>
  <c r="R371" i="1"/>
  <c r="N371" i="1"/>
  <c r="O371" i="1" s="1"/>
  <c r="L371" i="1"/>
  <c r="I371" i="1"/>
  <c r="H371" i="1"/>
  <c r="F371" i="1"/>
  <c r="C371" i="1"/>
  <c r="AC370" i="1"/>
  <c r="AD370" i="1" s="1"/>
  <c r="AA370" i="1"/>
  <c r="W370" i="1"/>
  <c r="X370" i="1" s="1"/>
  <c r="U370" i="1"/>
  <c r="R370" i="1"/>
  <c r="O370" i="1"/>
  <c r="N370" i="1"/>
  <c r="L370" i="1"/>
  <c r="H370" i="1"/>
  <c r="I370" i="1" s="1"/>
  <c r="F370" i="1"/>
  <c r="C370" i="1"/>
  <c r="Z369" i="1"/>
  <c r="AA369" i="1" s="1"/>
  <c r="U369" i="1"/>
  <c r="T369" i="1"/>
  <c r="W369" i="1" s="1"/>
  <c r="X369" i="1" s="1"/>
  <c r="Q369" i="1"/>
  <c r="R369" i="1" s="1"/>
  <c r="K369" i="1"/>
  <c r="L369" i="1" s="1"/>
  <c r="H369" i="1"/>
  <c r="I369" i="1" s="1"/>
  <c r="E369" i="1"/>
  <c r="F369" i="1" s="1"/>
  <c r="B369" i="1"/>
  <c r="C369" i="1" s="1"/>
  <c r="AC368" i="1"/>
  <c r="AD368" i="1" s="1"/>
  <c r="AA368" i="1"/>
  <c r="X368" i="1"/>
  <c r="W368" i="1"/>
  <c r="U368" i="1"/>
  <c r="R368" i="1"/>
  <c r="N368" i="1"/>
  <c r="O368" i="1" s="1"/>
  <c r="L368" i="1"/>
  <c r="I368" i="1"/>
  <c r="H368" i="1"/>
  <c r="F368" i="1"/>
  <c r="C368" i="1"/>
  <c r="AC367" i="1"/>
  <c r="AD367" i="1" s="1"/>
  <c r="AA367" i="1"/>
  <c r="W367" i="1"/>
  <c r="X367" i="1" s="1"/>
  <c r="U367" i="1"/>
  <c r="R367" i="1"/>
  <c r="O367" i="1"/>
  <c r="N367" i="1"/>
  <c r="L367" i="1"/>
  <c r="H367" i="1"/>
  <c r="I367" i="1" s="1"/>
  <c r="F367" i="1"/>
  <c r="C367" i="1"/>
  <c r="AC366" i="1"/>
  <c r="AD366" i="1" s="1"/>
  <c r="AA366" i="1"/>
  <c r="W366" i="1"/>
  <c r="X366" i="1" s="1"/>
  <c r="U366" i="1"/>
  <c r="R366" i="1"/>
  <c r="O366" i="1"/>
  <c r="N366" i="1"/>
  <c r="L366" i="1"/>
  <c r="H366" i="1"/>
  <c r="I366" i="1" s="1"/>
  <c r="F366" i="1"/>
  <c r="C366" i="1"/>
  <c r="AD365" i="1"/>
  <c r="AC365" i="1"/>
  <c r="AA365" i="1"/>
  <c r="X365" i="1"/>
  <c r="W365" i="1"/>
  <c r="U365" i="1"/>
  <c r="R365" i="1"/>
  <c r="N365" i="1"/>
  <c r="O365" i="1" s="1"/>
  <c r="L365" i="1"/>
  <c r="H365" i="1"/>
  <c r="I365" i="1" s="1"/>
  <c r="F365" i="1"/>
  <c r="C365" i="1"/>
  <c r="AC364" i="1"/>
  <c r="AD364" i="1" s="1"/>
  <c r="AA364" i="1"/>
  <c r="X364" i="1"/>
  <c r="W364" i="1"/>
  <c r="U364" i="1"/>
  <c r="R364" i="1"/>
  <c r="N364" i="1"/>
  <c r="O364" i="1" s="1"/>
  <c r="L364" i="1"/>
  <c r="H364" i="1"/>
  <c r="I364" i="1" s="1"/>
  <c r="F364" i="1"/>
  <c r="C364" i="1"/>
  <c r="AC363" i="1"/>
  <c r="AD363" i="1" s="1"/>
  <c r="AA363" i="1"/>
  <c r="W363" i="1"/>
  <c r="X363" i="1" s="1"/>
  <c r="U363" i="1"/>
  <c r="R363" i="1"/>
  <c r="O363" i="1"/>
  <c r="N363" i="1"/>
  <c r="L363" i="1"/>
  <c r="H363" i="1"/>
  <c r="I363" i="1" s="1"/>
  <c r="F363" i="1"/>
  <c r="C363" i="1"/>
  <c r="AC362" i="1"/>
  <c r="AD362" i="1" s="1"/>
  <c r="AA362" i="1"/>
  <c r="W362" i="1"/>
  <c r="X362" i="1" s="1"/>
  <c r="U362" i="1"/>
  <c r="R362" i="1"/>
  <c r="O362" i="1"/>
  <c r="N362" i="1"/>
  <c r="L362" i="1"/>
  <c r="H362" i="1"/>
  <c r="I362" i="1" s="1"/>
  <c r="F362" i="1"/>
  <c r="C362" i="1"/>
  <c r="AD361" i="1"/>
  <c r="AC361" i="1"/>
  <c r="AA361" i="1"/>
  <c r="X361" i="1"/>
  <c r="W361" i="1"/>
  <c r="U361" i="1"/>
  <c r="R361" i="1"/>
  <c r="N361" i="1"/>
  <c r="O361" i="1" s="1"/>
  <c r="L361" i="1"/>
  <c r="H361" i="1"/>
  <c r="I361" i="1" s="1"/>
  <c r="F361" i="1"/>
  <c r="C361" i="1"/>
  <c r="Z359" i="1"/>
  <c r="AA359" i="1" s="1"/>
  <c r="T359" i="1"/>
  <c r="U359" i="1" s="1"/>
  <c r="Q359" i="1"/>
  <c r="W359" i="1" s="1"/>
  <c r="X359" i="1" s="1"/>
  <c r="K359" i="1"/>
  <c r="L359" i="1" s="1"/>
  <c r="E359" i="1"/>
  <c r="F359" i="1" s="1"/>
  <c r="B359" i="1"/>
  <c r="H359" i="1" s="1"/>
  <c r="I359" i="1" s="1"/>
  <c r="AC358" i="1"/>
  <c r="AD358" i="1" s="1"/>
  <c r="AA358" i="1"/>
  <c r="W358" i="1"/>
  <c r="X358" i="1" s="1"/>
  <c r="U358" i="1"/>
  <c r="R358" i="1"/>
  <c r="O358" i="1"/>
  <c r="N358" i="1"/>
  <c r="L358" i="1"/>
  <c r="H358" i="1"/>
  <c r="I358" i="1" s="1"/>
  <c r="F358" i="1"/>
  <c r="C358" i="1"/>
  <c r="AC357" i="1"/>
  <c r="AD357" i="1" s="1"/>
  <c r="AA357" i="1"/>
  <c r="X357" i="1"/>
  <c r="W357" i="1"/>
  <c r="U357" i="1"/>
  <c r="R357" i="1"/>
  <c r="N357" i="1"/>
  <c r="O357" i="1" s="1"/>
  <c r="L357" i="1"/>
  <c r="H357" i="1"/>
  <c r="I357" i="1" s="1"/>
  <c r="F357" i="1"/>
  <c r="C357" i="1"/>
  <c r="AC356" i="1"/>
  <c r="AD356" i="1" s="1"/>
  <c r="AA356" i="1"/>
  <c r="X356" i="1"/>
  <c r="W356" i="1"/>
  <c r="U356" i="1"/>
  <c r="R356" i="1"/>
  <c r="N356" i="1"/>
  <c r="O356" i="1" s="1"/>
  <c r="L356" i="1"/>
  <c r="H356" i="1"/>
  <c r="I356" i="1" s="1"/>
  <c r="F356" i="1"/>
  <c r="C356" i="1"/>
  <c r="AC355" i="1"/>
  <c r="AD355" i="1" s="1"/>
  <c r="AA355" i="1"/>
  <c r="W355" i="1"/>
  <c r="X355" i="1" s="1"/>
  <c r="U355" i="1"/>
  <c r="R355" i="1"/>
  <c r="O355" i="1"/>
  <c r="N355" i="1"/>
  <c r="L355" i="1"/>
  <c r="H355" i="1"/>
  <c r="I355" i="1" s="1"/>
  <c r="F355" i="1"/>
  <c r="C355" i="1"/>
  <c r="AC354" i="1"/>
  <c r="AD354" i="1" s="1"/>
  <c r="AA354" i="1"/>
  <c r="W354" i="1"/>
  <c r="X354" i="1" s="1"/>
  <c r="U354" i="1"/>
  <c r="R354" i="1"/>
  <c r="O354" i="1"/>
  <c r="N354" i="1"/>
  <c r="L354" i="1"/>
  <c r="H354" i="1"/>
  <c r="I354" i="1" s="1"/>
  <c r="F354" i="1"/>
  <c r="C354" i="1"/>
  <c r="AC353" i="1"/>
  <c r="AD353" i="1" s="1"/>
  <c r="AA353" i="1"/>
  <c r="X353" i="1"/>
  <c r="W353" i="1"/>
  <c r="U353" i="1"/>
  <c r="R353" i="1"/>
  <c r="N353" i="1"/>
  <c r="O353" i="1" s="1"/>
  <c r="L353" i="1"/>
  <c r="H353" i="1"/>
  <c r="I353" i="1" s="1"/>
  <c r="F353" i="1"/>
  <c r="C353" i="1"/>
  <c r="AC352" i="1"/>
  <c r="AD352" i="1" s="1"/>
  <c r="AA352" i="1"/>
  <c r="X352" i="1"/>
  <c r="W352" i="1"/>
  <c r="U352" i="1"/>
  <c r="R352" i="1"/>
  <c r="N352" i="1"/>
  <c r="O352" i="1" s="1"/>
  <c r="L352" i="1"/>
  <c r="H352" i="1"/>
  <c r="I352" i="1" s="1"/>
  <c r="F352" i="1"/>
  <c r="C352" i="1"/>
  <c r="AC351" i="1"/>
  <c r="AD351" i="1" s="1"/>
  <c r="AA351" i="1"/>
  <c r="W351" i="1"/>
  <c r="X351" i="1" s="1"/>
  <c r="U351" i="1"/>
  <c r="R351" i="1"/>
  <c r="O351" i="1"/>
  <c r="N351" i="1"/>
  <c r="L351" i="1"/>
  <c r="H351" i="1"/>
  <c r="I351" i="1" s="1"/>
  <c r="F351" i="1"/>
  <c r="C351" i="1"/>
  <c r="AC350" i="1"/>
  <c r="AD350" i="1" s="1"/>
  <c r="AA350" i="1"/>
  <c r="W350" i="1"/>
  <c r="X350" i="1" s="1"/>
  <c r="U350" i="1"/>
  <c r="R350" i="1"/>
  <c r="O350" i="1"/>
  <c r="N350" i="1"/>
  <c r="L350" i="1"/>
  <c r="H350" i="1"/>
  <c r="I350" i="1" s="1"/>
  <c r="F350" i="1"/>
  <c r="C350" i="1"/>
  <c r="AC348" i="1"/>
  <c r="AD348" i="1" s="1"/>
  <c r="AA348" i="1"/>
  <c r="X348" i="1"/>
  <c r="W348" i="1"/>
  <c r="U348" i="1"/>
  <c r="R348" i="1"/>
  <c r="N348" i="1"/>
  <c r="O348" i="1" s="1"/>
  <c r="L348" i="1"/>
  <c r="H348" i="1"/>
  <c r="I348" i="1" s="1"/>
  <c r="F348" i="1"/>
  <c r="C348" i="1"/>
  <c r="Z345" i="1"/>
  <c r="AA345" i="1" s="1"/>
  <c r="U345" i="1"/>
  <c r="T345" i="1"/>
  <c r="W345" i="1" s="1"/>
  <c r="X345" i="1" s="1"/>
  <c r="Q345" i="1"/>
  <c r="R345" i="1" s="1"/>
  <c r="K345" i="1"/>
  <c r="L345" i="1" s="1"/>
  <c r="H345" i="1"/>
  <c r="I345" i="1" s="1"/>
  <c r="E345" i="1"/>
  <c r="F345" i="1" s="1"/>
  <c r="B345" i="1"/>
  <c r="C345" i="1" s="1"/>
  <c r="AA344" i="1"/>
  <c r="Z344" i="1"/>
  <c r="T344" i="1"/>
  <c r="U344" i="1" s="1"/>
  <c r="Q344" i="1"/>
  <c r="W344" i="1" s="1"/>
  <c r="X344" i="1" s="1"/>
  <c r="N344" i="1"/>
  <c r="O344" i="1" s="1"/>
  <c r="K344" i="1"/>
  <c r="L344" i="1" s="1"/>
  <c r="E344" i="1"/>
  <c r="F344" i="1" s="1"/>
  <c r="C344" i="1"/>
  <c r="B344" i="1"/>
  <c r="H344" i="1" s="1"/>
  <c r="I344" i="1" s="1"/>
  <c r="Z343" i="1"/>
  <c r="AA343" i="1" s="1"/>
  <c r="T343" i="1"/>
  <c r="W343" i="1" s="1"/>
  <c r="X343" i="1" s="1"/>
  <c r="Q343" i="1"/>
  <c r="R343" i="1" s="1"/>
  <c r="K343" i="1"/>
  <c r="L343" i="1" s="1"/>
  <c r="H343" i="1"/>
  <c r="I343" i="1" s="1"/>
  <c r="E343" i="1"/>
  <c r="F343" i="1" s="1"/>
  <c r="B343" i="1"/>
  <c r="C343" i="1" s="1"/>
  <c r="AC342" i="1"/>
  <c r="AD342" i="1" s="1"/>
  <c r="AA342" i="1"/>
  <c r="X342" i="1"/>
  <c r="W342" i="1"/>
  <c r="U342" i="1"/>
  <c r="R342" i="1"/>
  <c r="N342" i="1"/>
  <c r="O342" i="1" s="1"/>
  <c r="L342" i="1"/>
  <c r="H342" i="1"/>
  <c r="I342" i="1" s="1"/>
  <c r="F342" i="1"/>
  <c r="C342" i="1"/>
  <c r="AC341" i="1"/>
  <c r="AD341" i="1" s="1"/>
  <c r="AA341" i="1"/>
  <c r="W341" i="1"/>
  <c r="X341" i="1" s="1"/>
  <c r="U341" i="1"/>
  <c r="R341" i="1"/>
  <c r="O341" i="1"/>
  <c r="N341" i="1"/>
  <c r="L341" i="1"/>
  <c r="H341" i="1"/>
  <c r="I341" i="1" s="1"/>
  <c r="F341" i="1"/>
  <c r="C341" i="1"/>
  <c r="AC340" i="1"/>
  <c r="AD340" i="1" s="1"/>
  <c r="AA340" i="1"/>
  <c r="W340" i="1"/>
  <c r="X340" i="1" s="1"/>
  <c r="U340" i="1"/>
  <c r="R340" i="1"/>
  <c r="O340" i="1"/>
  <c r="N340" i="1"/>
  <c r="L340" i="1"/>
  <c r="H340" i="1"/>
  <c r="I340" i="1" s="1"/>
  <c r="F340" i="1"/>
  <c r="C340" i="1"/>
  <c r="AC339" i="1"/>
  <c r="AD339" i="1" s="1"/>
  <c r="AA339" i="1"/>
  <c r="X339" i="1"/>
  <c r="W339" i="1"/>
  <c r="U339" i="1"/>
  <c r="R339" i="1"/>
  <c r="N339" i="1"/>
  <c r="O339" i="1" s="1"/>
  <c r="L339" i="1"/>
  <c r="H339" i="1"/>
  <c r="I339" i="1" s="1"/>
  <c r="F339" i="1"/>
  <c r="C339" i="1"/>
  <c r="AC338" i="1"/>
  <c r="AD338" i="1" s="1"/>
  <c r="AA338" i="1"/>
  <c r="X338" i="1"/>
  <c r="W338" i="1"/>
  <c r="U338" i="1"/>
  <c r="R338" i="1"/>
  <c r="N338" i="1"/>
  <c r="O338" i="1" s="1"/>
  <c r="L338" i="1"/>
  <c r="I338" i="1"/>
  <c r="H338" i="1"/>
  <c r="F338" i="1"/>
  <c r="C338" i="1"/>
  <c r="AC336" i="1"/>
  <c r="AD336" i="1" s="1"/>
  <c r="AA336" i="1"/>
  <c r="W336" i="1"/>
  <c r="X336" i="1" s="1"/>
  <c r="U336" i="1"/>
  <c r="R336" i="1"/>
  <c r="O336" i="1"/>
  <c r="N336" i="1"/>
  <c r="L336" i="1"/>
  <c r="H336" i="1"/>
  <c r="I336" i="1" s="1"/>
  <c r="F336" i="1"/>
  <c r="C336" i="1"/>
  <c r="AC335" i="1"/>
  <c r="AD335" i="1" s="1"/>
  <c r="AA335" i="1"/>
  <c r="W335" i="1"/>
  <c r="X335" i="1" s="1"/>
  <c r="U335" i="1"/>
  <c r="R335" i="1"/>
  <c r="O335" i="1"/>
  <c r="N335" i="1"/>
  <c r="L335" i="1"/>
  <c r="H335" i="1"/>
  <c r="I335" i="1" s="1"/>
  <c r="F335" i="1"/>
  <c r="C335" i="1"/>
  <c r="AC334" i="1"/>
  <c r="AD334" i="1" s="1"/>
  <c r="AA334" i="1"/>
  <c r="X334" i="1"/>
  <c r="W334" i="1"/>
  <c r="U334" i="1"/>
  <c r="R334" i="1"/>
  <c r="N334" i="1"/>
  <c r="O334" i="1" s="1"/>
  <c r="L334" i="1"/>
  <c r="H334" i="1"/>
  <c r="I334" i="1" s="1"/>
  <c r="F334" i="1"/>
  <c r="C334" i="1"/>
  <c r="AC333" i="1"/>
  <c r="AD333" i="1" s="1"/>
  <c r="AA333" i="1"/>
  <c r="X333" i="1"/>
  <c r="W333" i="1"/>
  <c r="U333" i="1"/>
  <c r="R333" i="1"/>
  <c r="N333" i="1"/>
  <c r="O333" i="1" s="1"/>
  <c r="L333" i="1"/>
  <c r="H333" i="1"/>
  <c r="I333" i="1" s="1"/>
  <c r="F333" i="1"/>
  <c r="C333" i="1"/>
  <c r="AC332" i="1"/>
  <c r="AD332" i="1" s="1"/>
  <c r="AA332" i="1"/>
  <c r="W332" i="1"/>
  <c r="X332" i="1" s="1"/>
  <c r="U332" i="1"/>
  <c r="R332" i="1"/>
  <c r="O332" i="1"/>
  <c r="N332" i="1"/>
  <c r="L332" i="1"/>
  <c r="H332" i="1"/>
  <c r="I332" i="1" s="1"/>
  <c r="F332" i="1"/>
  <c r="C332" i="1"/>
  <c r="AC331" i="1"/>
  <c r="AD331" i="1" s="1"/>
  <c r="AA331" i="1"/>
  <c r="W331" i="1"/>
  <c r="X331" i="1" s="1"/>
  <c r="U331" i="1"/>
  <c r="R331" i="1"/>
  <c r="O331" i="1"/>
  <c r="N331" i="1"/>
  <c r="L331" i="1"/>
  <c r="H331" i="1"/>
  <c r="I331" i="1" s="1"/>
  <c r="F331" i="1"/>
  <c r="C331" i="1"/>
  <c r="AC330" i="1"/>
  <c r="AD330" i="1" s="1"/>
  <c r="AA330" i="1"/>
  <c r="X330" i="1"/>
  <c r="W330" i="1"/>
  <c r="U330" i="1"/>
  <c r="R330" i="1"/>
  <c r="N330" i="1"/>
  <c r="O330" i="1" s="1"/>
  <c r="L330" i="1"/>
  <c r="H330" i="1"/>
  <c r="I330" i="1" s="1"/>
  <c r="F330" i="1"/>
  <c r="C330" i="1"/>
  <c r="AC329" i="1"/>
  <c r="AD329" i="1" s="1"/>
  <c r="AA329" i="1"/>
  <c r="X329" i="1"/>
  <c r="W329" i="1"/>
  <c r="U329" i="1"/>
  <c r="R329" i="1"/>
  <c r="N329" i="1"/>
  <c r="O329" i="1" s="1"/>
  <c r="L329" i="1"/>
  <c r="H329" i="1"/>
  <c r="I329" i="1" s="1"/>
  <c r="F329" i="1"/>
  <c r="C329" i="1"/>
  <c r="Z326" i="1"/>
  <c r="AA326" i="1" s="1"/>
  <c r="W326" i="1"/>
  <c r="X326" i="1" s="1"/>
  <c r="T326" i="1"/>
  <c r="U326" i="1" s="1"/>
  <c r="Q326" i="1"/>
  <c r="R326" i="1" s="1"/>
  <c r="K326" i="1"/>
  <c r="L326" i="1" s="1"/>
  <c r="E326" i="1"/>
  <c r="F326" i="1" s="1"/>
  <c r="B326" i="1"/>
  <c r="Z325" i="1"/>
  <c r="AA325" i="1" s="1"/>
  <c r="T325" i="1"/>
  <c r="U325" i="1" s="1"/>
  <c r="Q325" i="1"/>
  <c r="W325" i="1" s="1"/>
  <c r="X325" i="1" s="1"/>
  <c r="K325" i="1"/>
  <c r="L325" i="1" s="1"/>
  <c r="E325" i="1"/>
  <c r="H325" i="1" s="1"/>
  <c r="I325" i="1" s="1"/>
  <c r="B325" i="1"/>
  <c r="C325" i="1" s="1"/>
  <c r="AC324" i="1"/>
  <c r="AD324" i="1" s="1"/>
  <c r="AA324" i="1"/>
  <c r="W324" i="1"/>
  <c r="X324" i="1" s="1"/>
  <c r="U324" i="1"/>
  <c r="R324" i="1"/>
  <c r="O324" i="1"/>
  <c r="N324" i="1"/>
  <c r="L324" i="1"/>
  <c r="H324" i="1"/>
  <c r="I324" i="1" s="1"/>
  <c r="F324" i="1"/>
  <c r="C324" i="1"/>
  <c r="AC323" i="1"/>
  <c r="AD323" i="1" s="1"/>
  <c r="AA323" i="1"/>
  <c r="W323" i="1"/>
  <c r="X323" i="1" s="1"/>
  <c r="U323" i="1"/>
  <c r="R323" i="1"/>
  <c r="O323" i="1"/>
  <c r="N323" i="1"/>
  <c r="L323" i="1"/>
  <c r="H323" i="1"/>
  <c r="I323" i="1" s="1"/>
  <c r="F323" i="1"/>
  <c r="C323" i="1"/>
  <c r="AD322" i="1"/>
  <c r="AC322" i="1"/>
  <c r="AA322" i="1"/>
  <c r="X322" i="1"/>
  <c r="W322" i="1"/>
  <c r="U322" i="1"/>
  <c r="R322" i="1"/>
  <c r="N322" i="1"/>
  <c r="O322" i="1" s="1"/>
  <c r="L322" i="1"/>
  <c r="H322" i="1"/>
  <c r="I322" i="1" s="1"/>
  <c r="F322" i="1"/>
  <c r="C322" i="1"/>
  <c r="AC321" i="1"/>
  <c r="AD321" i="1" s="1"/>
  <c r="AA321" i="1"/>
  <c r="X321" i="1"/>
  <c r="W321" i="1"/>
  <c r="U321" i="1"/>
  <c r="R321" i="1"/>
  <c r="N321" i="1"/>
  <c r="O321" i="1" s="1"/>
  <c r="L321" i="1"/>
  <c r="H321" i="1"/>
  <c r="I321" i="1" s="1"/>
  <c r="F321" i="1"/>
  <c r="C321" i="1"/>
  <c r="AC320" i="1"/>
  <c r="AD320" i="1" s="1"/>
  <c r="AA320" i="1"/>
  <c r="W320" i="1"/>
  <c r="X320" i="1" s="1"/>
  <c r="U320" i="1"/>
  <c r="R320" i="1"/>
  <c r="O320" i="1"/>
  <c r="N320" i="1"/>
  <c r="L320" i="1"/>
  <c r="H320" i="1"/>
  <c r="I320" i="1" s="1"/>
  <c r="F320" i="1"/>
  <c r="C320" i="1"/>
  <c r="AC319" i="1"/>
  <c r="AD319" i="1" s="1"/>
  <c r="AA319" i="1"/>
  <c r="W319" i="1"/>
  <c r="X319" i="1" s="1"/>
  <c r="U319" i="1"/>
  <c r="R319" i="1"/>
  <c r="O319" i="1"/>
  <c r="N319" i="1"/>
  <c r="L319" i="1"/>
  <c r="H319" i="1"/>
  <c r="I319" i="1" s="1"/>
  <c r="F319" i="1"/>
  <c r="C319" i="1"/>
  <c r="AD318" i="1"/>
  <c r="AC318" i="1"/>
  <c r="AA318" i="1"/>
  <c r="X318" i="1"/>
  <c r="W318" i="1"/>
  <c r="U318" i="1"/>
  <c r="R318" i="1"/>
  <c r="N318" i="1"/>
  <c r="O318" i="1" s="1"/>
  <c r="L318" i="1"/>
  <c r="H318" i="1"/>
  <c r="I318" i="1" s="1"/>
  <c r="F318" i="1"/>
  <c r="C318" i="1"/>
  <c r="AC317" i="1"/>
  <c r="AD317" i="1" s="1"/>
  <c r="AA317" i="1"/>
  <c r="X317" i="1"/>
  <c r="W317" i="1"/>
  <c r="U317" i="1"/>
  <c r="R317" i="1"/>
  <c r="N317" i="1"/>
  <c r="O317" i="1" s="1"/>
  <c r="L317" i="1"/>
  <c r="H317" i="1"/>
  <c r="I317" i="1" s="1"/>
  <c r="F317" i="1"/>
  <c r="C317" i="1"/>
  <c r="AC316" i="1"/>
  <c r="AD316" i="1" s="1"/>
  <c r="AA316" i="1"/>
  <c r="W316" i="1"/>
  <c r="X316" i="1" s="1"/>
  <c r="U316" i="1"/>
  <c r="R316" i="1"/>
  <c r="O316" i="1"/>
  <c r="N316" i="1"/>
  <c r="L316" i="1"/>
  <c r="H316" i="1"/>
  <c r="I316" i="1" s="1"/>
  <c r="F316" i="1"/>
  <c r="C316" i="1"/>
  <c r="AC315" i="1"/>
  <c r="AD315" i="1" s="1"/>
  <c r="AA315" i="1"/>
  <c r="W315" i="1"/>
  <c r="X315" i="1" s="1"/>
  <c r="U315" i="1"/>
  <c r="R315" i="1"/>
  <c r="O315" i="1"/>
  <c r="N315" i="1"/>
  <c r="L315" i="1"/>
  <c r="H315" i="1"/>
  <c r="I315" i="1" s="1"/>
  <c r="F315" i="1"/>
  <c r="C315" i="1"/>
  <c r="AC314" i="1"/>
  <c r="AD314" i="1" s="1"/>
  <c r="AA314" i="1"/>
  <c r="X314" i="1"/>
  <c r="W314" i="1"/>
  <c r="U314" i="1"/>
  <c r="R314" i="1"/>
  <c r="N314" i="1"/>
  <c r="O314" i="1" s="1"/>
  <c r="L314" i="1"/>
  <c r="H314" i="1"/>
  <c r="I314" i="1" s="1"/>
  <c r="F314" i="1"/>
  <c r="C314" i="1"/>
  <c r="AC313" i="1"/>
  <c r="AD313" i="1" s="1"/>
  <c r="AA313" i="1"/>
  <c r="X313" i="1"/>
  <c r="W313" i="1"/>
  <c r="U313" i="1"/>
  <c r="R313" i="1"/>
  <c r="N313" i="1"/>
  <c r="O313" i="1" s="1"/>
  <c r="L313" i="1"/>
  <c r="I313" i="1"/>
  <c r="H313" i="1"/>
  <c r="F313" i="1"/>
  <c r="C313" i="1"/>
  <c r="AC312" i="1"/>
  <c r="AD312" i="1" s="1"/>
  <c r="AA312" i="1"/>
  <c r="W312" i="1"/>
  <c r="X312" i="1" s="1"/>
  <c r="U312" i="1"/>
  <c r="R312" i="1"/>
  <c r="O312" i="1"/>
  <c r="N312" i="1"/>
  <c r="L312" i="1"/>
  <c r="H312" i="1"/>
  <c r="I312" i="1" s="1"/>
  <c r="F312" i="1"/>
  <c r="C312" i="1"/>
  <c r="AC311" i="1"/>
  <c r="AD311" i="1" s="1"/>
  <c r="AA311" i="1"/>
  <c r="W311" i="1"/>
  <c r="X311" i="1" s="1"/>
  <c r="U311" i="1"/>
  <c r="R311" i="1"/>
  <c r="O311" i="1"/>
  <c r="N311" i="1"/>
  <c r="L311" i="1"/>
  <c r="H311" i="1"/>
  <c r="I311" i="1" s="1"/>
  <c r="F311" i="1"/>
  <c r="C311" i="1"/>
  <c r="AC310" i="1"/>
  <c r="AD310" i="1" s="1"/>
  <c r="AA310" i="1"/>
  <c r="X310" i="1"/>
  <c r="W310" i="1"/>
  <c r="U310" i="1"/>
  <c r="R310" i="1"/>
  <c r="N310" i="1"/>
  <c r="O310" i="1" s="1"/>
  <c r="L310" i="1"/>
  <c r="H310" i="1"/>
  <c r="I310" i="1" s="1"/>
  <c r="F310" i="1"/>
  <c r="C310" i="1"/>
  <c r="AC309" i="1"/>
  <c r="AD309" i="1" s="1"/>
  <c r="AA309" i="1"/>
  <c r="X309" i="1"/>
  <c r="W309" i="1"/>
  <c r="U309" i="1"/>
  <c r="R309" i="1"/>
  <c r="N309" i="1"/>
  <c r="O309" i="1" s="1"/>
  <c r="L309" i="1"/>
  <c r="I309" i="1"/>
  <c r="H309" i="1"/>
  <c r="F309" i="1"/>
  <c r="C309" i="1"/>
  <c r="AC308" i="1"/>
  <c r="AD308" i="1" s="1"/>
  <c r="AA308" i="1"/>
  <c r="W308" i="1"/>
  <c r="X308" i="1" s="1"/>
  <c r="U308" i="1"/>
  <c r="R308" i="1"/>
  <c r="O308" i="1"/>
  <c r="N308" i="1"/>
  <c r="L308" i="1"/>
  <c r="H308" i="1"/>
  <c r="I308" i="1" s="1"/>
  <c r="F308" i="1"/>
  <c r="C308" i="1"/>
  <c r="AC307" i="1"/>
  <c r="AD307" i="1" s="1"/>
  <c r="AA307" i="1"/>
  <c r="W307" i="1"/>
  <c r="X307" i="1" s="1"/>
  <c r="U307" i="1"/>
  <c r="R307" i="1"/>
  <c r="O307" i="1"/>
  <c r="N307" i="1"/>
  <c r="L307" i="1"/>
  <c r="H307" i="1"/>
  <c r="I307" i="1" s="1"/>
  <c r="F307" i="1"/>
  <c r="C307" i="1"/>
  <c r="AC306" i="1"/>
  <c r="AD306" i="1" s="1"/>
  <c r="AA306" i="1"/>
  <c r="X306" i="1"/>
  <c r="W306" i="1"/>
  <c r="U306" i="1"/>
  <c r="R306" i="1"/>
  <c r="N306" i="1"/>
  <c r="O306" i="1" s="1"/>
  <c r="L306" i="1"/>
  <c r="H306" i="1"/>
  <c r="I306" i="1" s="1"/>
  <c r="F306" i="1"/>
  <c r="C306" i="1"/>
  <c r="AC305" i="1"/>
  <c r="AD305" i="1" s="1"/>
  <c r="AA305" i="1"/>
  <c r="X305" i="1"/>
  <c r="W305" i="1"/>
  <c r="U305" i="1"/>
  <c r="R305" i="1"/>
  <c r="N305" i="1"/>
  <c r="O305" i="1" s="1"/>
  <c r="L305" i="1"/>
  <c r="H305" i="1"/>
  <c r="I305" i="1" s="1"/>
  <c r="F305" i="1"/>
  <c r="C305" i="1"/>
  <c r="AC304" i="1"/>
  <c r="AD304" i="1" s="1"/>
  <c r="AA304" i="1"/>
  <c r="W304" i="1"/>
  <c r="X304" i="1" s="1"/>
  <c r="U304" i="1"/>
  <c r="R304" i="1"/>
  <c r="O304" i="1"/>
  <c r="N304" i="1"/>
  <c r="L304" i="1"/>
  <c r="H304" i="1"/>
  <c r="I304" i="1" s="1"/>
  <c r="F304" i="1"/>
  <c r="C304" i="1"/>
  <c r="AC303" i="1"/>
  <c r="AD303" i="1" s="1"/>
  <c r="AA303" i="1"/>
  <c r="W303" i="1"/>
  <c r="X303" i="1" s="1"/>
  <c r="U303" i="1"/>
  <c r="R303" i="1"/>
  <c r="O303" i="1"/>
  <c r="N303" i="1"/>
  <c r="L303" i="1"/>
  <c r="H303" i="1"/>
  <c r="I303" i="1" s="1"/>
  <c r="F303" i="1"/>
  <c r="C303" i="1"/>
  <c r="AD302" i="1"/>
  <c r="AC302" i="1"/>
  <c r="AA302" i="1"/>
  <c r="X302" i="1"/>
  <c r="W302" i="1"/>
  <c r="U302" i="1"/>
  <c r="R302" i="1"/>
  <c r="N302" i="1"/>
  <c r="O302" i="1" s="1"/>
  <c r="L302" i="1"/>
  <c r="H302" i="1"/>
  <c r="I302" i="1" s="1"/>
  <c r="F302" i="1"/>
  <c r="C302" i="1"/>
  <c r="AC301" i="1"/>
  <c r="AD301" i="1" s="1"/>
  <c r="AA301" i="1"/>
  <c r="X301" i="1"/>
  <c r="W301" i="1"/>
  <c r="U301" i="1"/>
  <c r="R301" i="1"/>
  <c r="N301" i="1"/>
  <c r="O301" i="1" s="1"/>
  <c r="L301" i="1"/>
  <c r="H301" i="1"/>
  <c r="I301" i="1" s="1"/>
  <c r="F301" i="1"/>
  <c r="C301" i="1"/>
  <c r="AC300" i="1"/>
  <c r="AD300" i="1" s="1"/>
  <c r="AA300" i="1"/>
  <c r="W300" i="1"/>
  <c r="X300" i="1" s="1"/>
  <c r="U300" i="1"/>
  <c r="R300" i="1"/>
  <c r="O300" i="1"/>
  <c r="N300" i="1"/>
  <c r="L300" i="1"/>
  <c r="H300" i="1"/>
  <c r="I300" i="1" s="1"/>
  <c r="F300" i="1"/>
  <c r="C300" i="1"/>
  <c r="AC299" i="1"/>
  <c r="AD299" i="1" s="1"/>
  <c r="AA299" i="1"/>
  <c r="W299" i="1"/>
  <c r="X299" i="1" s="1"/>
  <c r="U299" i="1"/>
  <c r="R299" i="1"/>
  <c r="O299" i="1"/>
  <c r="N299" i="1"/>
  <c r="L299" i="1"/>
  <c r="H299" i="1"/>
  <c r="I299" i="1" s="1"/>
  <c r="F299" i="1"/>
  <c r="C299" i="1"/>
  <c r="AC298" i="1"/>
  <c r="AD298" i="1" s="1"/>
  <c r="AA298" i="1"/>
  <c r="X298" i="1"/>
  <c r="W298" i="1"/>
  <c r="U298" i="1"/>
  <c r="R298" i="1"/>
  <c r="N298" i="1"/>
  <c r="O298" i="1" s="1"/>
  <c r="L298" i="1"/>
  <c r="H298" i="1"/>
  <c r="I298" i="1" s="1"/>
  <c r="F298" i="1"/>
  <c r="C298" i="1"/>
  <c r="Z296" i="1"/>
  <c r="AA296" i="1" s="1"/>
  <c r="T296" i="1"/>
  <c r="U296" i="1" s="1"/>
  <c r="Q296" i="1"/>
  <c r="W296" i="1" s="1"/>
  <c r="X296" i="1" s="1"/>
  <c r="N296" i="1"/>
  <c r="O296" i="1" s="1"/>
  <c r="K296" i="1"/>
  <c r="L296" i="1" s="1"/>
  <c r="E296" i="1"/>
  <c r="F296" i="1" s="1"/>
  <c r="B296" i="1"/>
  <c r="H296" i="1" s="1"/>
  <c r="I296" i="1" s="1"/>
  <c r="AC295" i="1"/>
  <c r="AD295" i="1" s="1"/>
  <c r="AA295" i="1"/>
  <c r="W295" i="1"/>
  <c r="X295" i="1" s="1"/>
  <c r="U295" i="1"/>
  <c r="R295" i="1"/>
  <c r="O295" i="1"/>
  <c r="N295" i="1"/>
  <c r="L295" i="1"/>
  <c r="H295" i="1"/>
  <c r="I295" i="1" s="1"/>
  <c r="F295" i="1"/>
  <c r="C295" i="1"/>
  <c r="AC294" i="1"/>
  <c r="AD294" i="1" s="1"/>
  <c r="AA294" i="1"/>
  <c r="X294" i="1"/>
  <c r="W294" i="1"/>
  <c r="U294" i="1"/>
  <c r="R294" i="1"/>
  <c r="N294" i="1"/>
  <c r="O294" i="1" s="1"/>
  <c r="L294" i="1"/>
  <c r="H294" i="1"/>
  <c r="I294" i="1" s="1"/>
  <c r="F294" i="1"/>
  <c r="C294" i="1"/>
  <c r="AC293" i="1"/>
  <c r="AD293" i="1" s="1"/>
  <c r="AA293" i="1"/>
  <c r="X293" i="1"/>
  <c r="W293" i="1"/>
  <c r="U293" i="1"/>
  <c r="R293" i="1"/>
  <c r="N293" i="1"/>
  <c r="O293" i="1" s="1"/>
  <c r="L293" i="1"/>
  <c r="I293" i="1"/>
  <c r="H293" i="1"/>
  <c r="F293" i="1"/>
  <c r="C293" i="1"/>
  <c r="AC292" i="1"/>
  <c r="AD292" i="1" s="1"/>
  <c r="AA292" i="1"/>
  <c r="W292" i="1"/>
  <c r="X292" i="1" s="1"/>
  <c r="U292" i="1"/>
  <c r="R292" i="1"/>
  <c r="O292" i="1"/>
  <c r="N292" i="1"/>
  <c r="L292" i="1"/>
  <c r="H292" i="1"/>
  <c r="I292" i="1" s="1"/>
  <c r="F292" i="1"/>
  <c r="C292" i="1"/>
  <c r="AC291" i="1"/>
  <c r="AD291" i="1" s="1"/>
  <c r="AA291" i="1"/>
  <c r="W291" i="1"/>
  <c r="X291" i="1" s="1"/>
  <c r="U291" i="1"/>
  <c r="R291" i="1"/>
  <c r="O291" i="1"/>
  <c r="N291" i="1"/>
  <c r="L291" i="1"/>
  <c r="H291" i="1"/>
  <c r="I291" i="1" s="1"/>
  <c r="F291" i="1"/>
  <c r="C291" i="1"/>
  <c r="AC290" i="1"/>
  <c r="AD290" i="1" s="1"/>
  <c r="AA290" i="1"/>
  <c r="X290" i="1"/>
  <c r="W290" i="1"/>
  <c r="U290" i="1"/>
  <c r="R290" i="1"/>
  <c r="N290" i="1"/>
  <c r="O290" i="1" s="1"/>
  <c r="L290" i="1"/>
  <c r="H290" i="1"/>
  <c r="I290" i="1" s="1"/>
  <c r="F290" i="1"/>
  <c r="C290" i="1"/>
  <c r="AC289" i="1"/>
  <c r="AD289" i="1" s="1"/>
  <c r="AA289" i="1"/>
  <c r="X289" i="1"/>
  <c r="W289" i="1"/>
  <c r="U289" i="1"/>
  <c r="R289" i="1"/>
  <c r="N289" i="1"/>
  <c r="O289" i="1" s="1"/>
  <c r="L289" i="1"/>
  <c r="I289" i="1"/>
  <c r="H289" i="1"/>
  <c r="F289" i="1"/>
  <c r="C289" i="1"/>
  <c r="AC288" i="1"/>
  <c r="AD288" i="1" s="1"/>
  <c r="AA288" i="1"/>
  <c r="W288" i="1"/>
  <c r="X288" i="1" s="1"/>
  <c r="U288" i="1"/>
  <c r="R288" i="1"/>
  <c r="O288" i="1"/>
  <c r="N288" i="1"/>
  <c r="L288" i="1"/>
  <c r="H288" i="1"/>
  <c r="I288" i="1" s="1"/>
  <c r="F288" i="1"/>
  <c r="C288" i="1"/>
  <c r="AC287" i="1"/>
  <c r="AD287" i="1" s="1"/>
  <c r="AA287" i="1"/>
  <c r="W287" i="1"/>
  <c r="X287" i="1" s="1"/>
  <c r="U287" i="1"/>
  <c r="R287" i="1"/>
  <c r="O287" i="1"/>
  <c r="N287" i="1"/>
  <c r="L287" i="1"/>
  <c r="H287" i="1"/>
  <c r="I287" i="1" s="1"/>
  <c r="F287" i="1"/>
  <c r="C287" i="1"/>
  <c r="Z285" i="1"/>
  <c r="AA285" i="1" s="1"/>
  <c r="T285" i="1"/>
  <c r="U285" i="1" s="1"/>
  <c r="Q285" i="1"/>
  <c r="W285" i="1" s="1"/>
  <c r="X285" i="1" s="1"/>
  <c r="K285" i="1"/>
  <c r="L285" i="1" s="1"/>
  <c r="E285" i="1"/>
  <c r="H285" i="1" s="1"/>
  <c r="I285" i="1" s="1"/>
  <c r="B285" i="1"/>
  <c r="C285" i="1" s="1"/>
  <c r="AC284" i="1"/>
  <c r="AD284" i="1" s="1"/>
  <c r="AA284" i="1"/>
  <c r="W284" i="1"/>
  <c r="X284" i="1" s="1"/>
  <c r="U284" i="1"/>
  <c r="R284" i="1"/>
  <c r="O284" i="1"/>
  <c r="N284" i="1"/>
  <c r="L284" i="1"/>
  <c r="H284" i="1"/>
  <c r="I284" i="1" s="1"/>
  <c r="F284" i="1"/>
  <c r="C284" i="1"/>
  <c r="AC283" i="1"/>
  <c r="AD283" i="1" s="1"/>
  <c r="AA283" i="1"/>
  <c r="W283" i="1"/>
  <c r="X283" i="1" s="1"/>
  <c r="U283" i="1"/>
  <c r="R283" i="1"/>
  <c r="O283" i="1"/>
  <c r="N283" i="1"/>
  <c r="L283" i="1"/>
  <c r="H283" i="1"/>
  <c r="I283" i="1" s="1"/>
  <c r="F283" i="1"/>
  <c r="C283" i="1"/>
  <c r="AC282" i="1"/>
  <c r="AD282" i="1" s="1"/>
  <c r="AA282" i="1"/>
  <c r="X282" i="1"/>
  <c r="W282" i="1"/>
  <c r="U282" i="1"/>
  <c r="R282" i="1"/>
  <c r="N282" i="1"/>
  <c r="O282" i="1" s="1"/>
  <c r="L282" i="1"/>
  <c r="H282" i="1"/>
  <c r="I282" i="1" s="1"/>
  <c r="F282" i="1"/>
  <c r="C282" i="1"/>
  <c r="AC281" i="1"/>
  <c r="AD281" i="1" s="1"/>
  <c r="AA281" i="1"/>
  <c r="X281" i="1"/>
  <c r="W281" i="1"/>
  <c r="U281" i="1"/>
  <c r="R281" i="1"/>
  <c r="N281" i="1"/>
  <c r="O281" i="1" s="1"/>
  <c r="L281" i="1"/>
  <c r="H281" i="1"/>
  <c r="I281" i="1" s="1"/>
  <c r="F281" i="1"/>
  <c r="C281" i="1"/>
  <c r="AC280" i="1"/>
  <c r="AD280" i="1" s="1"/>
  <c r="AA280" i="1"/>
  <c r="W280" i="1"/>
  <c r="X280" i="1" s="1"/>
  <c r="U280" i="1"/>
  <c r="R280" i="1"/>
  <c r="O280" i="1"/>
  <c r="N280" i="1"/>
  <c r="L280" i="1"/>
  <c r="H280" i="1"/>
  <c r="I280" i="1" s="1"/>
  <c r="F280" i="1"/>
  <c r="C280" i="1"/>
  <c r="AC279" i="1"/>
  <c r="AD279" i="1" s="1"/>
  <c r="AA279" i="1"/>
  <c r="W279" i="1"/>
  <c r="X279" i="1" s="1"/>
  <c r="U279" i="1"/>
  <c r="R279" i="1"/>
  <c r="O279" i="1"/>
  <c r="N279" i="1"/>
  <c r="L279" i="1"/>
  <c r="H279" i="1"/>
  <c r="I279" i="1" s="1"/>
  <c r="F279" i="1"/>
  <c r="C279" i="1"/>
  <c r="AD278" i="1"/>
  <c r="AC278" i="1"/>
  <c r="AA278" i="1"/>
  <c r="X278" i="1"/>
  <c r="W278" i="1"/>
  <c r="U278" i="1"/>
  <c r="R278" i="1"/>
  <c r="N278" i="1"/>
  <c r="O278" i="1" s="1"/>
  <c r="L278" i="1"/>
  <c r="H278" i="1"/>
  <c r="I278" i="1" s="1"/>
  <c r="F278" i="1"/>
  <c r="C278" i="1"/>
  <c r="AC277" i="1"/>
  <c r="AD277" i="1" s="1"/>
  <c r="AA277" i="1"/>
  <c r="X277" i="1"/>
  <c r="W277" i="1"/>
  <c r="U277" i="1"/>
  <c r="R277" i="1"/>
  <c r="N277" i="1"/>
  <c r="O277" i="1" s="1"/>
  <c r="L277" i="1"/>
  <c r="H277" i="1"/>
  <c r="I277" i="1" s="1"/>
  <c r="F277" i="1"/>
  <c r="C277" i="1"/>
  <c r="AC276" i="1"/>
  <c r="AD276" i="1" s="1"/>
  <c r="AA276" i="1"/>
  <c r="W276" i="1"/>
  <c r="X276" i="1" s="1"/>
  <c r="U276" i="1"/>
  <c r="R276" i="1"/>
  <c r="O276" i="1"/>
  <c r="N276" i="1"/>
  <c r="L276" i="1"/>
  <c r="H276" i="1"/>
  <c r="I276" i="1" s="1"/>
  <c r="F276" i="1"/>
  <c r="C276" i="1"/>
  <c r="Z274" i="1"/>
  <c r="AA274" i="1" s="1"/>
  <c r="T274" i="1"/>
  <c r="W274" i="1" s="1"/>
  <c r="X274" i="1" s="1"/>
  <c r="Q274" i="1"/>
  <c r="R274" i="1" s="1"/>
  <c r="K274" i="1"/>
  <c r="L274" i="1" s="1"/>
  <c r="I274" i="1"/>
  <c r="H274" i="1"/>
  <c r="E274" i="1"/>
  <c r="F274" i="1" s="1"/>
  <c r="B274" i="1"/>
  <c r="C274" i="1" s="1"/>
  <c r="AC273" i="1"/>
  <c r="AD273" i="1" s="1"/>
  <c r="AA273" i="1"/>
  <c r="X273" i="1"/>
  <c r="W273" i="1"/>
  <c r="U273" i="1"/>
  <c r="R273" i="1"/>
  <c r="N273" i="1"/>
  <c r="O273" i="1" s="1"/>
  <c r="L273" i="1"/>
  <c r="H273" i="1"/>
  <c r="I273" i="1" s="1"/>
  <c r="F273" i="1"/>
  <c r="C273" i="1"/>
  <c r="AC272" i="1"/>
  <c r="AD272" i="1" s="1"/>
  <c r="AA272" i="1"/>
  <c r="W272" i="1"/>
  <c r="X272" i="1" s="1"/>
  <c r="U272" i="1"/>
  <c r="R272" i="1"/>
  <c r="O272" i="1"/>
  <c r="N272" i="1"/>
  <c r="L272" i="1"/>
  <c r="H272" i="1"/>
  <c r="I272" i="1" s="1"/>
  <c r="F272" i="1"/>
  <c r="C272" i="1"/>
  <c r="AC271" i="1"/>
  <c r="AD271" i="1" s="1"/>
  <c r="AA271" i="1"/>
  <c r="W271" i="1"/>
  <c r="X271" i="1" s="1"/>
  <c r="U271" i="1"/>
  <c r="R271" i="1"/>
  <c r="O271" i="1"/>
  <c r="N271" i="1"/>
  <c r="L271" i="1"/>
  <c r="H271" i="1"/>
  <c r="I271" i="1" s="1"/>
  <c r="F271" i="1"/>
  <c r="C271" i="1"/>
  <c r="AC270" i="1"/>
  <c r="AD270" i="1" s="1"/>
  <c r="AA270" i="1"/>
  <c r="X270" i="1"/>
  <c r="W270" i="1"/>
  <c r="U270" i="1"/>
  <c r="R270" i="1"/>
  <c r="N270" i="1"/>
  <c r="O270" i="1" s="1"/>
  <c r="L270" i="1"/>
  <c r="H270" i="1"/>
  <c r="I270" i="1" s="1"/>
  <c r="F270" i="1"/>
  <c r="C270" i="1"/>
  <c r="AA268" i="1"/>
  <c r="Z268" i="1"/>
  <c r="T268" i="1"/>
  <c r="U268" i="1" s="1"/>
  <c r="Q268" i="1"/>
  <c r="R268" i="1" s="1"/>
  <c r="N268" i="1"/>
  <c r="O268" i="1" s="1"/>
  <c r="K268" i="1"/>
  <c r="L268" i="1" s="1"/>
  <c r="E268" i="1"/>
  <c r="F268" i="1" s="1"/>
  <c r="C268" i="1"/>
  <c r="B268" i="1"/>
  <c r="H268" i="1" s="1"/>
  <c r="I268" i="1" s="1"/>
  <c r="AC267" i="1"/>
  <c r="AD267" i="1" s="1"/>
  <c r="AA267" i="1"/>
  <c r="W267" i="1"/>
  <c r="X267" i="1" s="1"/>
  <c r="U267" i="1"/>
  <c r="R267" i="1"/>
  <c r="O267" i="1"/>
  <c r="N267" i="1"/>
  <c r="L267" i="1"/>
  <c r="H267" i="1"/>
  <c r="I267" i="1" s="1"/>
  <c r="F267" i="1"/>
  <c r="C267" i="1"/>
  <c r="AD266" i="1"/>
  <c r="AC266" i="1"/>
  <c r="AA266" i="1"/>
  <c r="X266" i="1"/>
  <c r="W266" i="1"/>
  <c r="U266" i="1"/>
  <c r="R266" i="1"/>
  <c r="N266" i="1"/>
  <c r="O266" i="1" s="1"/>
  <c r="L266" i="1"/>
  <c r="H266" i="1"/>
  <c r="I266" i="1" s="1"/>
  <c r="F266" i="1"/>
  <c r="C266" i="1"/>
  <c r="Z264" i="1"/>
  <c r="AA264" i="1" s="1"/>
  <c r="T264" i="1"/>
  <c r="U264" i="1" s="1"/>
  <c r="Q264" i="1"/>
  <c r="W264" i="1" s="1"/>
  <c r="X264" i="1" s="1"/>
  <c r="K264" i="1"/>
  <c r="L264" i="1" s="1"/>
  <c r="E264" i="1"/>
  <c r="F264" i="1" s="1"/>
  <c r="B264" i="1"/>
  <c r="H264" i="1" s="1"/>
  <c r="I264" i="1" s="1"/>
  <c r="Z263" i="1"/>
  <c r="AA263" i="1" s="1"/>
  <c r="T263" i="1"/>
  <c r="W263" i="1" s="1"/>
  <c r="X263" i="1" s="1"/>
  <c r="Q263" i="1"/>
  <c r="R263" i="1" s="1"/>
  <c r="K263" i="1"/>
  <c r="L263" i="1" s="1"/>
  <c r="I263" i="1"/>
  <c r="H263" i="1"/>
  <c r="E263" i="1"/>
  <c r="F263" i="1" s="1"/>
  <c r="B263" i="1"/>
  <c r="C263" i="1" s="1"/>
  <c r="AC262" i="1"/>
  <c r="AD262" i="1" s="1"/>
  <c r="AA262" i="1"/>
  <c r="X262" i="1"/>
  <c r="W262" i="1"/>
  <c r="U262" i="1"/>
  <c r="R262" i="1"/>
  <c r="N262" i="1"/>
  <c r="O262" i="1" s="1"/>
  <c r="L262" i="1"/>
  <c r="H262" i="1"/>
  <c r="I262" i="1" s="1"/>
  <c r="F262" i="1"/>
  <c r="C262" i="1"/>
  <c r="AC261" i="1"/>
  <c r="AD261" i="1" s="1"/>
  <c r="AA261" i="1"/>
  <c r="W261" i="1"/>
  <c r="X261" i="1" s="1"/>
  <c r="U261" i="1"/>
  <c r="R261" i="1"/>
  <c r="O261" i="1"/>
  <c r="N261" i="1"/>
  <c r="L261" i="1"/>
  <c r="H261" i="1"/>
  <c r="I261" i="1" s="1"/>
  <c r="F261" i="1"/>
  <c r="C261" i="1"/>
  <c r="AC260" i="1"/>
  <c r="AD260" i="1" s="1"/>
  <c r="AA260" i="1"/>
  <c r="W260" i="1"/>
  <c r="X260" i="1" s="1"/>
  <c r="U260" i="1"/>
  <c r="R260" i="1"/>
  <c r="O260" i="1"/>
  <c r="N260" i="1"/>
  <c r="L260" i="1"/>
  <c r="H260" i="1"/>
  <c r="I260" i="1" s="1"/>
  <c r="F260" i="1"/>
  <c r="C260" i="1"/>
  <c r="AD259" i="1"/>
  <c r="AC259" i="1"/>
  <c r="AA259" i="1"/>
  <c r="X259" i="1"/>
  <c r="W259" i="1"/>
  <c r="U259" i="1"/>
  <c r="R259" i="1"/>
  <c r="N259" i="1"/>
  <c r="O259" i="1" s="1"/>
  <c r="L259" i="1"/>
  <c r="H259" i="1"/>
  <c r="I259" i="1" s="1"/>
  <c r="F259" i="1"/>
  <c r="C259" i="1"/>
  <c r="AC258" i="1"/>
  <c r="AD258" i="1" s="1"/>
  <c r="AA258" i="1"/>
  <c r="X258" i="1"/>
  <c r="W258" i="1"/>
  <c r="U258" i="1"/>
  <c r="R258" i="1"/>
  <c r="N258" i="1"/>
  <c r="O258" i="1" s="1"/>
  <c r="L258" i="1"/>
  <c r="H258" i="1"/>
  <c r="I258" i="1" s="1"/>
  <c r="F258" i="1"/>
  <c r="C258" i="1"/>
  <c r="AC257" i="1"/>
  <c r="AD257" i="1" s="1"/>
  <c r="AA257" i="1"/>
  <c r="W257" i="1"/>
  <c r="X257" i="1" s="1"/>
  <c r="U257" i="1"/>
  <c r="R257" i="1"/>
  <c r="O257" i="1"/>
  <c r="N257" i="1"/>
  <c r="L257" i="1"/>
  <c r="H257" i="1"/>
  <c r="I257" i="1" s="1"/>
  <c r="F257" i="1"/>
  <c r="C257" i="1"/>
  <c r="AC256" i="1"/>
  <c r="AD256" i="1" s="1"/>
  <c r="AA256" i="1"/>
  <c r="W256" i="1"/>
  <c r="X256" i="1" s="1"/>
  <c r="U256" i="1"/>
  <c r="R256" i="1"/>
  <c r="O256" i="1"/>
  <c r="N256" i="1"/>
  <c r="L256" i="1"/>
  <c r="H256" i="1"/>
  <c r="I256" i="1" s="1"/>
  <c r="F256" i="1"/>
  <c r="C256" i="1"/>
  <c r="AC255" i="1"/>
  <c r="AD255" i="1" s="1"/>
  <c r="AA255" i="1"/>
  <c r="X255" i="1"/>
  <c r="W255" i="1"/>
  <c r="U255" i="1"/>
  <c r="R255" i="1"/>
  <c r="N255" i="1"/>
  <c r="O255" i="1" s="1"/>
  <c r="L255" i="1"/>
  <c r="H255" i="1"/>
  <c r="I255" i="1" s="1"/>
  <c r="F255" i="1"/>
  <c r="C255" i="1"/>
  <c r="AC254" i="1"/>
  <c r="AD254" i="1" s="1"/>
  <c r="AA254" i="1"/>
  <c r="X254" i="1"/>
  <c r="W254" i="1"/>
  <c r="U254" i="1"/>
  <c r="R254" i="1"/>
  <c r="N254" i="1"/>
  <c r="O254" i="1" s="1"/>
  <c r="L254" i="1"/>
  <c r="I254" i="1"/>
  <c r="H254" i="1"/>
  <c r="F254" i="1"/>
  <c r="C254" i="1"/>
  <c r="AC253" i="1"/>
  <c r="AD253" i="1" s="1"/>
  <c r="AA253" i="1"/>
  <c r="W253" i="1"/>
  <c r="X253" i="1" s="1"/>
  <c r="U253" i="1"/>
  <c r="R253" i="1"/>
  <c r="O253" i="1"/>
  <c r="N253" i="1"/>
  <c r="L253" i="1"/>
  <c r="H253" i="1"/>
  <c r="I253" i="1" s="1"/>
  <c r="F253" i="1"/>
  <c r="C253" i="1"/>
  <c r="AC252" i="1"/>
  <c r="AD252" i="1" s="1"/>
  <c r="AA252" i="1"/>
  <c r="W252" i="1"/>
  <c r="X252" i="1" s="1"/>
  <c r="U252" i="1"/>
  <c r="R252" i="1"/>
  <c r="O252" i="1"/>
  <c r="N252" i="1"/>
  <c r="L252" i="1"/>
  <c r="H252" i="1"/>
  <c r="I252" i="1" s="1"/>
  <c r="F252" i="1"/>
  <c r="C252" i="1"/>
  <c r="AC251" i="1"/>
  <c r="AD251" i="1" s="1"/>
  <c r="AA251" i="1"/>
  <c r="X251" i="1"/>
  <c r="W251" i="1"/>
  <c r="U251" i="1"/>
  <c r="R251" i="1"/>
  <c r="N251" i="1"/>
  <c r="O251" i="1" s="1"/>
  <c r="L251" i="1"/>
  <c r="H251" i="1"/>
  <c r="I251" i="1" s="1"/>
  <c r="F251" i="1"/>
  <c r="C251" i="1"/>
  <c r="AC250" i="1"/>
  <c r="AD250" i="1" s="1"/>
  <c r="AA250" i="1"/>
  <c r="X250" i="1"/>
  <c r="W250" i="1"/>
  <c r="U250" i="1"/>
  <c r="R250" i="1"/>
  <c r="N250" i="1"/>
  <c r="O250" i="1" s="1"/>
  <c r="L250" i="1"/>
  <c r="I250" i="1"/>
  <c r="H250" i="1"/>
  <c r="F250" i="1"/>
  <c r="C250" i="1"/>
  <c r="AC249" i="1"/>
  <c r="AD249" i="1" s="1"/>
  <c r="AA249" i="1"/>
  <c r="W249" i="1"/>
  <c r="X249" i="1" s="1"/>
  <c r="U249" i="1"/>
  <c r="R249" i="1"/>
  <c r="O249" i="1"/>
  <c r="N249" i="1"/>
  <c r="L249" i="1"/>
  <c r="H249" i="1"/>
  <c r="I249" i="1" s="1"/>
  <c r="F249" i="1"/>
  <c r="C249" i="1"/>
  <c r="AC248" i="1"/>
  <c r="AD248" i="1" s="1"/>
  <c r="AA248" i="1"/>
  <c r="W248" i="1"/>
  <c r="X248" i="1" s="1"/>
  <c r="U248" i="1"/>
  <c r="R248" i="1"/>
  <c r="O248" i="1"/>
  <c r="N248" i="1"/>
  <c r="L248" i="1"/>
  <c r="H248" i="1"/>
  <c r="I248" i="1" s="1"/>
  <c r="F248" i="1"/>
  <c r="C248" i="1"/>
  <c r="AC247" i="1"/>
  <c r="AD247" i="1" s="1"/>
  <c r="AA247" i="1"/>
  <c r="X247" i="1"/>
  <c r="W247" i="1"/>
  <c r="U247" i="1"/>
  <c r="R247" i="1"/>
  <c r="N247" i="1"/>
  <c r="O247" i="1" s="1"/>
  <c r="L247" i="1"/>
  <c r="H247" i="1"/>
  <c r="I247" i="1" s="1"/>
  <c r="F247" i="1"/>
  <c r="C247" i="1"/>
  <c r="AC246" i="1"/>
  <c r="AD246" i="1" s="1"/>
  <c r="AA246" i="1"/>
  <c r="X246" i="1"/>
  <c r="W246" i="1"/>
  <c r="U246" i="1"/>
  <c r="R246" i="1"/>
  <c r="N246" i="1"/>
  <c r="O246" i="1" s="1"/>
  <c r="L246" i="1"/>
  <c r="H246" i="1"/>
  <c r="I246" i="1" s="1"/>
  <c r="F246" i="1"/>
  <c r="C246" i="1"/>
  <c r="AC245" i="1"/>
  <c r="AD245" i="1" s="1"/>
  <c r="AA245" i="1"/>
  <c r="W245" i="1"/>
  <c r="X245" i="1" s="1"/>
  <c r="U245" i="1"/>
  <c r="R245" i="1"/>
  <c r="O245" i="1"/>
  <c r="N245" i="1"/>
  <c r="L245" i="1"/>
  <c r="H245" i="1"/>
  <c r="I245" i="1" s="1"/>
  <c r="F245" i="1"/>
  <c r="C245" i="1"/>
  <c r="AC244" i="1"/>
  <c r="AD244" i="1" s="1"/>
  <c r="AA244" i="1"/>
  <c r="W244" i="1"/>
  <c r="X244" i="1" s="1"/>
  <c r="U244" i="1"/>
  <c r="R244" i="1"/>
  <c r="O244" i="1"/>
  <c r="N244" i="1"/>
  <c r="L244" i="1"/>
  <c r="H244" i="1"/>
  <c r="I244" i="1" s="1"/>
  <c r="F244" i="1"/>
  <c r="C244" i="1"/>
  <c r="AD243" i="1"/>
  <c r="AC243" i="1"/>
  <c r="AA243" i="1"/>
  <c r="X243" i="1"/>
  <c r="W243" i="1"/>
  <c r="U243" i="1"/>
  <c r="R243" i="1"/>
  <c r="N243" i="1"/>
  <c r="O243" i="1" s="1"/>
  <c r="L243" i="1"/>
  <c r="H243" i="1"/>
  <c r="I243" i="1" s="1"/>
  <c r="F243" i="1"/>
  <c r="C243" i="1"/>
  <c r="AC242" i="1"/>
  <c r="AD242" i="1" s="1"/>
  <c r="AA242" i="1"/>
  <c r="X242" i="1"/>
  <c r="W242" i="1"/>
  <c r="U242" i="1"/>
  <c r="R242" i="1"/>
  <c r="N242" i="1"/>
  <c r="O242" i="1" s="1"/>
  <c r="L242" i="1"/>
  <c r="H242" i="1"/>
  <c r="I242" i="1" s="1"/>
  <c r="F242" i="1"/>
  <c r="C242" i="1"/>
  <c r="AC241" i="1"/>
  <c r="AD241" i="1" s="1"/>
  <c r="AA241" i="1"/>
  <c r="W241" i="1"/>
  <c r="X241" i="1" s="1"/>
  <c r="U241" i="1"/>
  <c r="R241" i="1"/>
  <c r="O241" i="1"/>
  <c r="N241" i="1"/>
  <c r="L241" i="1"/>
  <c r="H241" i="1"/>
  <c r="I241" i="1" s="1"/>
  <c r="F241" i="1"/>
  <c r="C241" i="1"/>
  <c r="AC240" i="1"/>
  <c r="AD240" i="1" s="1"/>
  <c r="AA240" i="1"/>
  <c r="W240" i="1"/>
  <c r="X240" i="1" s="1"/>
  <c r="U240" i="1"/>
  <c r="R240" i="1"/>
  <c r="O240" i="1"/>
  <c r="N240" i="1"/>
  <c r="L240" i="1"/>
  <c r="H240" i="1"/>
  <c r="I240" i="1" s="1"/>
  <c r="F240" i="1"/>
  <c r="C240" i="1"/>
  <c r="AC238" i="1"/>
  <c r="AD238" i="1" s="1"/>
  <c r="AA238" i="1"/>
  <c r="X238" i="1"/>
  <c r="W238" i="1"/>
  <c r="U238" i="1"/>
  <c r="R238" i="1"/>
  <c r="N238" i="1"/>
  <c r="O238" i="1" s="1"/>
  <c r="L238" i="1"/>
  <c r="H238" i="1"/>
  <c r="I238" i="1" s="1"/>
  <c r="F238" i="1"/>
  <c r="C238" i="1"/>
  <c r="Z236" i="1"/>
  <c r="AA236" i="1" s="1"/>
  <c r="T236" i="1"/>
  <c r="U236" i="1" s="1"/>
  <c r="Q236" i="1"/>
  <c r="AC236" i="1" s="1"/>
  <c r="AD236" i="1" s="1"/>
  <c r="N236" i="1"/>
  <c r="O236" i="1" s="1"/>
  <c r="K236" i="1"/>
  <c r="L236" i="1" s="1"/>
  <c r="E236" i="1"/>
  <c r="F236" i="1" s="1"/>
  <c r="B236" i="1"/>
  <c r="H236" i="1" s="1"/>
  <c r="I236" i="1" s="1"/>
  <c r="AC235" i="1"/>
  <c r="AD235" i="1" s="1"/>
  <c r="AA235" i="1"/>
  <c r="W235" i="1"/>
  <c r="X235" i="1" s="1"/>
  <c r="U235" i="1"/>
  <c r="R235" i="1"/>
  <c r="O235" i="1"/>
  <c r="N235" i="1"/>
  <c r="L235" i="1"/>
  <c r="H235" i="1"/>
  <c r="I235" i="1" s="1"/>
  <c r="F235" i="1"/>
  <c r="C235" i="1"/>
  <c r="AD234" i="1"/>
  <c r="AC234" i="1"/>
  <c r="AA234" i="1"/>
  <c r="X234" i="1"/>
  <c r="W234" i="1"/>
  <c r="U234" i="1"/>
  <c r="R234" i="1"/>
  <c r="N234" i="1"/>
  <c r="O234" i="1" s="1"/>
  <c r="L234" i="1"/>
  <c r="H234" i="1"/>
  <c r="I234" i="1" s="1"/>
  <c r="F234" i="1"/>
  <c r="C234" i="1"/>
  <c r="AC233" i="1"/>
  <c r="AD233" i="1" s="1"/>
  <c r="AA233" i="1"/>
  <c r="X233" i="1"/>
  <c r="W233" i="1"/>
  <c r="U233" i="1"/>
  <c r="R233" i="1"/>
  <c r="N233" i="1"/>
  <c r="O233" i="1" s="1"/>
  <c r="L233" i="1"/>
  <c r="H233" i="1"/>
  <c r="I233" i="1" s="1"/>
  <c r="F233" i="1"/>
  <c r="C233" i="1"/>
  <c r="AC232" i="1"/>
  <c r="AD232" i="1" s="1"/>
  <c r="AA232" i="1"/>
  <c r="W232" i="1"/>
  <c r="X232" i="1" s="1"/>
  <c r="U232" i="1"/>
  <c r="R232" i="1"/>
  <c r="O232" i="1"/>
  <c r="N232" i="1"/>
  <c r="L232" i="1"/>
  <c r="H232" i="1"/>
  <c r="I232" i="1" s="1"/>
  <c r="F232" i="1"/>
  <c r="C232" i="1"/>
  <c r="AC231" i="1"/>
  <c r="AD231" i="1" s="1"/>
  <c r="AA231" i="1"/>
  <c r="W231" i="1"/>
  <c r="X231" i="1" s="1"/>
  <c r="U231" i="1"/>
  <c r="R231" i="1"/>
  <c r="O231" i="1"/>
  <c r="N231" i="1"/>
  <c r="L231" i="1"/>
  <c r="H231" i="1"/>
  <c r="I231" i="1" s="1"/>
  <c r="F231" i="1"/>
  <c r="C231" i="1"/>
  <c r="AC230" i="1"/>
  <c r="AD230" i="1" s="1"/>
  <c r="AA230" i="1"/>
  <c r="X230" i="1"/>
  <c r="W230" i="1"/>
  <c r="U230" i="1"/>
  <c r="R230" i="1"/>
  <c r="N230" i="1"/>
  <c r="O230" i="1" s="1"/>
  <c r="L230" i="1"/>
  <c r="H230" i="1"/>
  <c r="I230" i="1" s="1"/>
  <c r="F230" i="1"/>
  <c r="C230" i="1"/>
  <c r="AC229" i="1"/>
  <c r="AD229" i="1" s="1"/>
  <c r="AA229" i="1"/>
  <c r="X229" i="1"/>
  <c r="W229" i="1"/>
  <c r="U229" i="1"/>
  <c r="R229" i="1"/>
  <c r="N229" i="1"/>
  <c r="O229" i="1" s="1"/>
  <c r="L229" i="1"/>
  <c r="H229" i="1"/>
  <c r="I229" i="1" s="1"/>
  <c r="F229" i="1"/>
  <c r="C229" i="1"/>
  <c r="Z227" i="1"/>
  <c r="AA227" i="1" s="1"/>
  <c r="W227" i="1"/>
  <c r="X227" i="1" s="1"/>
  <c r="T227" i="1"/>
  <c r="U227" i="1" s="1"/>
  <c r="Q227" i="1"/>
  <c r="R227" i="1" s="1"/>
  <c r="K227" i="1"/>
  <c r="L227" i="1" s="1"/>
  <c r="E227" i="1"/>
  <c r="F227" i="1" s="1"/>
  <c r="B227" i="1"/>
  <c r="N227" i="1" s="1"/>
  <c r="O227" i="1" s="1"/>
  <c r="AC226" i="1"/>
  <c r="AD226" i="1" s="1"/>
  <c r="AA226" i="1"/>
  <c r="X226" i="1"/>
  <c r="W226" i="1"/>
  <c r="U226" i="1"/>
  <c r="R226" i="1"/>
  <c r="N226" i="1"/>
  <c r="O226" i="1" s="1"/>
  <c r="L226" i="1"/>
  <c r="H226" i="1"/>
  <c r="I226" i="1" s="1"/>
  <c r="F226" i="1"/>
  <c r="C226" i="1"/>
  <c r="AC225" i="1"/>
  <c r="AD225" i="1" s="1"/>
  <c r="AA225" i="1"/>
  <c r="X225" i="1"/>
  <c r="W225" i="1"/>
  <c r="U225" i="1"/>
  <c r="R225" i="1"/>
  <c r="N225" i="1"/>
  <c r="O225" i="1" s="1"/>
  <c r="L225" i="1"/>
  <c r="H225" i="1"/>
  <c r="I225" i="1" s="1"/>
  <c r="F225" i="1"/>
  <c r="C225" i="1"/>
  <c r="AC224" i="1"/>
  <c r="AD224" i="1" s="1"/>
  <c r="AA224" i="1"/>
  <c r="W224" i="1"/>
  <c r="X224" i="1" s="1"/>
  <c r="U224" i="1"/>
  <c r="R224" i="1"/>
  <c r="O224" i="1"/>
  <c r="N224" i="1"/>
  <c r="L224" i="1"/>
  <c r="H224" i="1"/>
  <c r="I224" i="1" s="1"/>
  <c r="F224" i="1"/>
  <c r="C224" i="1"/>
  <c r="AC223" i="1"/>
  <c r="AD223" i="1" s="1"/>
  <c r="AA223" i="1"/>
  <c r="W223" i="1"/>
  <c r="X223" i="1" s="1"/>
  <c r="U223" i="1"/>
  <c r="R223" i="1"/>
  <c r="O223" i="1"/>
  <c r="N223" i="1"/>
  <c r="L223" i="1"/>
  <c r="H223" i="1"/>
  <c r="I223" i="1" s="1"/>
  <c r="F223" i="1"/>
  <c r="C223" i="1"/>
  <c r="AC222" i="1"/>
  <c r="AD222" i="1" s="1"/>
  <c r="AA222" i="1"/>
  <c r="X222" i="1"/>
  <c r="W222" i="1"/>
  <c r="U222" i="1"/>
  <c r="R222" i="1"/>
  <c r="N222" i="1"/>
  <c r="O222" i="1" s="1"/>
  <c r="L222" i="1"/>
  <c r="H222" i="1"/>
  <c r="I222" i="1" s="1"/>
  <c r="F222" i="1"/>
  <c r="C222" i="1"/>
  <c r="AC221" i="1"/>
  <c r="AD221" i="1" s="1"/>
  <c r="AA221" i="1"/>
  <c r="X221" i="1"/>
  <c r="W221" i="1"/>
  <c r="U221" i="1"/>
  <c r="R221" i="1"/>
  <c r="N221" i="1"/>
  <c r="O221" i="1" s="1"/>
  <c r="L221" i="1"/>
  <c r="I221" i="1"/>
  <c r="H221" i="1"/>
  <c r="F221" i="1"/>
  <c r="C221" i="1"/>
  <c r="AC220" i="1"/>
  <c r="AD220" i="1" s="1"/>
  <c r="AA220" i="1"/>
  <c r="W220" i="1"/>
  <c r="X220" i="1" s="1"/>
  <c r="U220" i="1"/>
  <c r="R220" i="1"/>
  <c r="O220" i="1"/>
  <c r="N220" i="1"/>
  <c r="L220" i="1"/>
  <c r="H220" i="1"/>
  <c r="I220" i="1" s="1"/>
  <c r="F220" i="1"/>
  <c r="C220" i="1"/>
  <c r="AC219" i="1"/>
  <c r="AD219" i="1" s="1"/>
  <c r="AA219" i="1"/>
  <c r="W219" i="1"/>
  <c r="X219" i="1" s="1"/>
  <c r="U219" i="1"/>
  <c r="R219" i="1"/>
  <c r="O219" i="1"/>
  <c r="N219" i="1"/>
  <c r="L219" i="1"/>
  <c r="H219" i="1"/>
  <c r="I219" i="1" s="1"/>
  <c r="F219" i="1"/>
  <c r="C219" i="1"/>
  <c r="Z218" i="1"/>
  <c r="AA218" i="1" s="1"/>
  <c r="T218" i="1"/>
  <c r="U218" i="1" s="1"/>
  <c r="Q218" i="1"/>
  <c r="W218" i="1" s="1"/>
  <c r="X218" i="1" s="1"/>
  <c r="K218" i="1"/>
  <c r="L218" i="1" s="1"/>
  <c r="E218" i="1"/>
  <c r="H218" i="1" s="1"/>
  <c r="I218" i="1" s="1"/>
  <c r="B218" i="1"/>
  <c r="C218" i="1" s="1"/>
  <c r="AC217" i="1"/>
  <c r="AD217" i="1" s="1"/>
  <c r="AA217" i="1"/>
  <c r="W217" i="1"/>
  <c r="X217" i="1" s="1"/>
  <c r="U217" i="1"/>
  <c r="R217" i="1"/>
  <c r="O217" i="1"/>
  <c r="N217" i="1"/>
  <c r="L217" i="1"/>
  <c r="H217" i="1"/>
  <c r="I217" i="1" s="1"/>
  <c r="F217" i="1"/>
  <c r="C217" i="1"/>
  <c r="AC216" i="1"/>
  <c r="AD216" i="1" s="1"/>
  <c r="AA216" i="1"/>
  <c r="W216" i="1"/>
  <c r="X216" i="1" s="1"/>
  <c r="U216" i="1"/>
  <c r="R216" i="1"/>
  <c r="O216" i="1"/>
  <c r="N216" i="1"/>
  <c r="L216" i="1"/>
  <c r="H216" i="1"/>
  <c r="I216" i="1" s="1"/>
  <c r="F216" i="1"/>
  <c r="C216" i="1"/>
  <c r="AC215" i="1"/>
  <c r="AD215" i="1" s="1"/>
  <c r="AA215" i="1"/>
  <c r="X215" i="1"/>
  <c r="W215" i="1"/>
  <c r="U215" i="1"/>
  <c r="R215" i="1"/>
  <c r="N215" i="1"/>
  <c r="O215" i="1" s="1"/>
  <c r="L215" i="1"/>
  <c r="H215" i="1"/>
  <c r="I215" i="1" s="1"/>
  <c r="F215" i="1"/>
  <c r="C215" i="1"/>
  <c r="AC214" i="1"/>
  <c r="AD214" i="1" s="1"/>
  <c r="AA214" i="1"/>
  <c r="X214" i="1"/>
  <c r="W214" i="1"/>
  <c r="U214" i="1"/>
  <c r="R214" i="1"/>
  <c r="N214" i="1"/>
  <c r="O214" i="1" s="1"/>
  <c r="L214" i="1"/>
  <c r="H214" i="1"/>
  <c r="I214" i="1" s="1"/>
  <c r="F214" i="1"/>
  <c r="C214" i="1"/>
  <c r="AC213" i="1"/>
  <c r="AD213" i="1" s="1"/>
  <c r="AA213" i="1"/>
  <c r="W213" i="1"/>
  <c r="X213" i="1" s="1"/>
  <c r="U213" i="1"/>
  <c r="R213" i="1"/>
  <c r="O213" i="1"/>
  <c r="N213" i="1"/>
  <c r="L213" i="1"/>
  <c r="H213" i="1"/>
  <c r="I213" i="1" s="1"/>
  <c r="F213" i="1"/>
  <c r="C213" i="1"/>
  <c r="AC211" i="1"/>
  <c r="AD211" i="1" s="1"/>
  <c r="AA211" i="1"/>
  <c r="W211" i="1"/>
  <c r="X211" i="1" s="1"/>
  <c r="U211" i="1"/>
  <c r="R211" i="1"/>
  <c r="O211" i="1"/>
  <c r="N211" i="1"/>
  <c r="L211" i="1"/>
  <c r="H211" i="1"/>
  <c r="I211" i="1" s="1"/>
  <c r="F211" i="1"/>
  <c r="C211" i="1"/>
  <c r="Z209" i="1"/>
  <c r="AA209" i="1" s="1"/>
  <c r="T209" i="1"/>
  <c r="U209" i="1" s="1"/>
  <c r="Q209" i="1"/>
  <c r="W209" i="1" s="1"/>
  <c r="X209" i="1" s="1"/>
  <c r="K209" i="1"/>
  <c r="L209" i="1" s="1"/>
  <c r="F209" i="1"/>
  <c r="E209" i="1"/>
  <c r="H209" i="1" s="1"/>
  <c r="I209" i="1" s="1"/>
  <c r="B209" i="1"/>
  <c r="C209" i="1" s="1"/>
  <c r="AC208" i="1"/>
  <c r="AD208" i="1" s="1"/>
  <c r="AA208" i="1"/>
  <c r="W208" i="1"/>
  <c r="X208" i="1" s="1"/>
  <c r="U208" i="1"/>
  <c r="R208" i="1"/>
  <c r="O208" i="1"/>
  <c r="N208" i="1"/>
  <c r="L208" i="1"/>
  <c r="H208" i="1"/>
  <c r="I208" i="1" s="1"/>
  <c r="F208" i="1"/>
  <c r="C208" i="1"/>
  <c r="AC207" i="1"/>
  <c r="AD207" i="1" s="1"/>
  <c r="AA207" i="1"/>
  <c r="W207" i="1"/>
  <c r="X207" i="1" s="1"/>
  <c r="U207" i="1"/>
  <c r="R207" i="1"/>
  <c r="O207" i="1"/>
  <c r="N207" i="1"/>
  <c r="L207" i="1"/>
  <c r="H207" i="1"/>
  <c r="I207" i="1" s="1"/>
  <c r="F207" i="1"/>
  <c r="C207" i="1"/>
  <c r="AD206" i="1"/>
  <c r="AC206" i="1"/>
  <c r="AA206" i="1"/>
  <c r="X206" i="1"/>
  <c r="W206" i="1"/>
  <c r="U206" i="1"/>
  <c r="R206" i="1"/>
  <c r="N206" i="1"/>
  <c r="O206" i="1" s="1"/>
  <c r="L206" i="1"/>
  <c r="H206" i="1"/>
  <c r="I206" i="1" s="1"/>
  <c r="F206" i="1"/>
  <c r="C206" i="1"/>
  <c r="AC205" i="1"/>
  <c r="AD205" i="1" s="1"/>
  <c r="AA205" i="1"/>
  <c r="X205" i="1"/>
  <c r="W205" i="1"/>
  <c r="U205" i="1"/>
  <c r="R205" i="1"/>
  <c r="N205" i="1"/>
  <c r="O205" i="1" s="1"/>
  <c r="L205" i="1"/>
  <c r="H205" i="1"/>
  <c r="I205" i="1" s="1"/>
  <c r="F205" i="1"/>
  <c r="C205" i="1"/>
  <c r="AC204" i="1"/>
  <c r="AD204" i="1" s="1"/>
  <c r="AA204" i="1"/>
  <c r="W204" i="1"/>
  <c r="X204" i="1" s="1"/>
  <c r="U204" i="1"/>
  <c r="R204" i="1"/>
  <c r="O204" i="1"/>
  <c r="N204" i="1"/>
  <c r="L204" i="1"/>
  <c r="H204" i="1"/>
  <c r="I204" i="1" s="1"/>
  <c r="F204" i="1"/>
  <c r="C204" i="1"/>
  <c r="AC203" i="1"/>
  <c r="AD203" i="1" s="1"/>
  <c r="AA203" i="1"/>
  <c r="W203" i="1"/>
  <c r="X203" i="1" s="1"/>
  <c r="U203" i="1"/>
  <c r="R203" i="1"/>
  <c r="O203" i="1"/>
  <c r="N203" i="1"/>
  <c r="L203" i="1"/>
  <c r="H203" i="1"/>
  <c r="I203" i="1" s="1"/>
  <c r="F203" i="1"/>
  <c r="C203" i="1"/>
  <c r="AC202" i="1"/>
  <c r="AD202" i="1" s="1"/>
  <c r="AA202" i="1"/>
  <c r="X202" i="1"/>
  <c r="W202" i="1"/>
  <c r="U202" i="1"/>
  <c r="R202" i="1"/>
  <c r="N202" i="1"/>
  <c r="O202" i="1" s="1"/>
  <c r="L202" i="1"/>
  <c r="H202" i="1"/>
  <c r="I202" i="1" s="1"/>
  <c r="F202" i="1"/>
  <c r="C202" i="1"/>
  <c r="AC201" i="1"/>
  <c r="AD201" i="1" s="1"/>
  <c r="AA201" i="1"/>
  <c r="X201" i="1"/>
  <c r="W201" i="1"/>
  <c r="U201" i="1"/>
  <c r="R201" i="1"/>
  <c r="N201" i="1"/>
  <c r="O201" i="1" s="1"/>
  <c r="L201" i="1"/>
  <c r="H201" i="1"/>
  <c r="I201" i="1" s="1"/>
  <c r="F201" i="1"/>
  <c r="C201" i="1"/>
  <c r="Z197" i="1"/>
  <c r="AA197" i="1" s="1"/>
  <c r="T197" i="1"/>
  <c r="U197" i="1" s="1"/>
  <c r="Q197" i="1"/>
  <c r="W197" i="1" s="1"/>
  <c r="X197" i="1" s="1"/>
  <c r="K197" i="1"/>
  <c r="L197" i="1" s="1"/>
  <c r="E197" i="1"/>
  <c r="H197" i="1" s="1"/>
  <c r="I197" i="1" s="1"/>
  <c r="B197" i="1"/>
  <c r="C197" i="1" s="1"/>
  <c r="Z196" i="1"/>
  <c r="AA196" i="1" s="1"/>
  <c r="W196" i="1"/>
  <c r="X196" i="1" s="1"/>
  <c r="T196" i="1"/>
  <c r="U196" i="1" s="1"/>
  <c r="Q196" i="1"/>
  <c r="R196" i="1" s="1"/>
  <c r="K196" i="1"/>
  <c r="L196" i="1" s="1"/>
  <c r="E196" i="1"/>
  <c r="F196" i="1" s="1"/>
  <c r="B196" i="1"/>
  <c r="N196" i="1" s="1"/>
  <c r="O196" i="1" s="1"/>
  <c r="AC195" i="1"/>
  <c r="AD195" i="1" s="1"/>
  <c r="AA195" i="1"/>
  <c r="X195" i="1"/>
  <c r="W195" i="1"/>
  <c r="U195" i="1"/>
  <c r="R195" i="1"/>
  <c r="N195" i="1"/>
  <c r="O195" i="1" s="1"/>
  <c r="L195" i="1"/>
  <c r="H195" i="1"/>
  <c r="I195" i="1" s="1"/>
  <c r="F195" i="1"/>
  <c r="C195" i="1"/>
  <c r="AC194" i="1"/>
  <c r="AD194" i="1" s="1"/>
  <c r="AA194" i="1"/>
  <c r="X194" i="1"/>
  <c r="W194" i="1"/>
  <c r="U194" i="1"/>
  <c r="R194" i="1"/>
  <c r="N194" i="1"/>
  <c r="O194" i="1" s="1"/>
  <c r="L194" i="1"/>
  <c r="H194" i="1"/>
  <c r="I194" i="1" s="1"/>
  <c r="F194" i="1"/>
  <c r="C194" i="1"/>
  <c r="Z193" i="1"/>
  <c r="AA193" i="1" s="1"/>
  <c r="W193" i="1"/>
  <c r="X193" i="1" s="1"/>
  <c r="T193" i="1"/>
  <c r="U193" i="1" s="1"/>
  <c r="Q193" i="1"/>
  <c r="R193" i="1" s="1"/>
  <c r="L193" i="1"/>
  <c r="K193" i="1"/>
  <c r="E193" i="1"/>
  <c r="F193" i="1" s="1"/>
  <c r="B193" i="1"/>
  <c r="C193" i="1" s="1"/>
  <c r="AC192" i="1"/>
  <c r="AD192" i="1" s="1"/>
  <c r="AA192" i="1"/>
  <c r="X192" i="1"/>
  <c r="W192" i="1"/>
  <c r="U192" i="1"/>
  <c r="R192" i="1"/>
  <c r="N192" i="1"/>
  <c r="O192" i="1" s="1"/>
  <c r="L192" i="1"/>
  <c r="H192" i="1"/>
  <c r="I192" i="1" s="1"/>
  <c r="F192" i="1"/>
  <c r="C192" i="1"/>
  <c r="AC191" i="1"/>
  <c r="AD191" i="1" s="1"/>
  <c r="AA191" i="1"/>
  <c r="X191" i="1"/>
  <c r="W191" i="1"/>
  <c r="U191" i="1"/>
  <c r="R191" i="1"/>
  <c r="N191" i="1"/>
  <c r="O191" i="1" s="1"/>
  <c r="L191" i="1"/>
  <c r="I191" i="1"/>
  <c r="H191" i="1"/>
  <c r="F191" i="1"/>
  <c r="C191" i="1"/>
  <c r="AC190" i="1"/>
  <c r="AD190" i="1" s="1"/>
  <c r="AA190" i="1"/>
  <c r="W190" i="1"/>
  <c r="X190" i="1" s="1"/>
  <c r="U190" i="1"/>
  <c r="R190" i="1"/>
  <c r="O190" i="1"/>
  <c r="N190" i="1"/>
  <c r="L190" i="1"/>
  <c r="H190" i="1"/>
  <c r="I190" i="1" s="1"/>
  <c r="F190" i="1"/>
  <c r="C190" i="1"/>
  <c r="AC189" i="1"/>
  <c r="AD189" i="1" s="1"/>
  <c r="AA189" i="1"/>
  <c r="W189" i="1"/>
  <c r="X189" i="1" s="1"/>
  <c r="U189" i="1"/>
  <c r="R189" i="1"/>
  <c r="O189" i="1"/>
  <c r="N189" i="1"/>
  <c r="L189" i="1"/>
  <c r="H189" i="1"/>
  <c r="I189" i="1" s="1"/>
  <c r="F189" i="1"/>
  <c r="C189" i="1"/>
  <c r="AC188" i="1"/>
  <c r="AD188" i="1" s="1"/>
  <c r="AA188" i="1"/>
  <c r="X188" i="1"/>
  <c r="W188" i="1"/>
  <c r="U188" i="1"/>
  <c r="R188" i="1"/>
  <c r="N188" i="1"/>
  <c r="O188" i="1" s="1"/>
  <c r="L188" i="1"/>
  <c r="H188" i="1"/>
  <c r="I188" i="1" s="1"/>
  <c r="F188" i="1"/>
  <c r="C188" i="1"/>
  <c r="AC187" i="1"/>
  <c r="AD187" i="1" s="1"/>
  <c r="AA187" i="1"/>
  <c r="X187" i="1"/>
  <c r="W187" i="1"/>
  <c r="U187" i="1"/>
  <c r="R187" i="1"/>
  <c r="N187" i="1"/>
  <c r="O187" i="1" s="1"/>
  <c r="L187" i="1"/>
  <c r="I187" i="1"/>
  <c r="H187" i="1"/>
  <c r="F187" i="1"/>
  <c r="C187" i="1"/>
  <c r="AC186" i="1"/>
  <c r="AD186" i="1" s="1"/>
  <c r="AA186" i="1"/>
  <c r="W186" i="1"/>
  <c r="X186" i="1" s="1"/>
  <c r="U186" i="1"/>
  <c r="R186" i="1"/>
  <c r="O186" i="1"/>
  <c r="N186" i="1"/>
  <c r="L186" i="1"/>
  <c r="H186" i="1"/>
  <c r="I186" i="1" s="1"/>
  <c r="F186" i="1"/>
  <c r="C186" i="1"/>
  <c r="AC184" i="1"/>
  <c r="AD184" i="1" s="1"/>
  <c r="AA184" i="1"/>
  <c r="W184" i="1"/>
  <c r="X184" i="1" s="1"/>
  <c r="U184" i="1"/>
  <c r="R184" i="1"/>
  <c r="O184" i="1"/>
  <c r="N184" i="1"/>
  <c r="L184" i="1"/>
  <c r="H184" i="1"/>
  <c r="I184" i="1" s="1"/>
  <c r="F184" i="1"/>
  <c r="C184" i="1"/>
  <c r="AD183" i="1"/>
  <c r="AC183" i="1"/>
  <c r="AA183" i="1"/>
  <c r="X183" i="1"/>
  <c r="W183" i="1"/>
  <c r="U183" i="1"/>
  <c r="R183" i="1"/>
  <c r="N183" i="1"/>
  <c r="O183" i="1" s="1"/>
  <c r="L183" i="1"/>
  <c r="H183" i="1"/>
  <c r="I183" i="1" s="1"/>
  <c r="F183" i="1"/>
  <c r="C183" i="1"/>
  <c r="Z182" i="1"/>
  <c r="AA182" i="1" s="1"/>
  <c r="T182" i="1"/>
  <c r="U182" i="1" s="1"/>
  <c r="Q182" i="1"/>
  <c r="R182" i="1" s="1"/>
  <c r="K182" i="1"/>
  <c r="L182" i="1" s="1"/>
  <c r="E182" i="1"/>
  <c r="F182" i="1" s="1"/>
  <c r="B182" i="1"/>
  <c r="H182" i="1" s="1"/>
  <c r="I182" i="1" s="1"/>
  <c r="AC181" i="1"/>
  <c r="AD181" i="1" s="1"/>
  <c r="AA181" i="1"/>
  <c r="W181" i="1"/>
  <c r="X181" i="1" s="1"/>
  <c r="U181" i="1"/>
  <c r="R181" i="1"/>
  <c r="O181" i="1"/>
  <c r="N181" i="1"/>
  <c r="L181" i="1"/>
  <c r="H181" i="1"/>
  <c r="I181" i="1" s="1"/>
  <c r="F181" i="1"/>
  <c r="C181" i="1"/>
  <c r="AC180" i="1"/>
  <c r="AD180" i="1" s="1"/>
  <c r="AA180" i="1"/>
  <c r="X180" i="1"/>
  <c r="W180" i="1"/>
  <c r="U180" i="1"/>
  <c r="R180" i="1"/>
  <c r="N180" i="1"/>
  <c r="O180" i="1" s="1"/>
  <c r="L180" i="1"/>
  <c r="H180" i="1"/>
  <c r="I180" i="1" s="1"/>
  <c r="F180" i="1"/>
  <c r="C180" i="1"/>
  <c r="AC179" i="1"/>
  <c r="AD179" i="1" s="1"/>
  <c r="AA179" i="1"/>
  <c r="X179" i="1"/>
  <c r="W179" i="1"/>
  <c r="U179" i="1"/>
  <c r="R179" i="1"/>
  <c r="N179" i="1"/>
  <c r="O179" i="1" s="1"/>
  <c r="L179" i="1"/>
  <c r="I179" i="1"/>
  <c r="H179" i="1"/>
  <c r="F179" i="1"/>
  <c r="C179" i="1"/>
  <c r="AC178" i="1"/>
  <c r="AD178" i="1" s="1"/>
  <c r="AA178" i="1"/>
  <c r="W178" i="1"/>
  <c r="X178" i="1" s="1"/>
  <c r="U178" i="1"/>
  <c r="R178" i="1"/>
  <c r="O178" i="1"/>
  <c r="N178" i="1"/>
  <c r="L178" i="1"/>
  <c r="H178" i="1"/>
  <c r="I178" i="1" s="1"/>
  <c r="F178" i="1"/>
  <c r="C178" i="1"/>
  <c r="AC177" i="1"/>
  <c r="AD177" i="1" s="1"/>
  <c r="AA177" i="1"/>
  <c r="W177" i="1"/>
  <c r="X177" i="1" s="1"/>
  <c r="U177" i="1"/>
  <c r="R177" i="1"/>
  <c r="O177" i="1"/>
  <c r="N177" i="1"/>
  <c r="L177" i="1"/>
  <c r="H177" i="1"/>
  <c r="I177" i="1" s="1"/>
  <c r="F177" i="1"/>
  <c r="C177" i="1"/>
  <c r="AC175" i="1"/>
  <c r="AD175" i="1" s="1"/>
  <c r="AA175" i="1"/>
  <c r="X175" i="1"/>
  <c r="W175" i="1"/>
  <c r="U175" i="1"/>
  <c r="R175" i="1"/>
  <c r="N175" i="1"/>
  <c r="O175" i="1" s="1"/>
  <c r="L175" i="1"/>
  <c r="H175" i="1"/>
  <c r="I175" i="1" s="1"/>
  <c r="F175" i="1"/>
  <c r="C175" i="1"/>
  <c r="Z172" i="1"/>
  <c r="Z198" i="1" s="1"/>
  <c r="AA198" i="1" s="1"/>
  <c r="Q172" i="1"/>
  <c r="R172" i="1" s="1"/>
  <c r="E172" i="1"/>
  <c r="F172" i="1" s="1"/>
  <c r="B172" i="1"/>
  <c r="Z171" i="1"/>
  <c r="AA171" i="1" s="1"/>
  <c r="T171" i="1"/>
  <c r="W171" i="1" s="1"/>
  <c r="X171" i="1" s="1"/>
  <c r="Q171" i="1"/>
  <c r="R171" i="1" s="1"/>
  <c r="K171" i="1"/>
  <c r="L171" i="1" s="1"/>
  <c r="I171" i="1"/>
  <c r="H171" i="1"/>
  <c r="E171" i="1"/>
  <c r="F171" i="1" s="1"/>
  <c r="B171" i="1"/>
  <c r="C171" i="1" s="1"/>
  <c r="Z170" i="1"/>
  <c r="AA170" i="1" s="1"/>
  <c r="T170" i="1"/>
  <c r="U170" i="1" s="1"/>
  <c r="Q170" i="1"/>
  <c r="R170" i="1" s="1"/>
  <c r="K170" i="1"/>
  <c r="L170" i="1" s="1"/>
  <c r="E170" i="1"/>
  <c r="F170" i="1" s="1"/>
  <c r="B170" i="1"/>
  <c r="H170" i="1" s="1"/>
  <c r="I170" i="1" s="1"/>
  <c r="AC169" i="1"/>
  <c r="AD169" i="1" s="1"/>
  <c r="AA169" i="1"/>
  <c r="W169" i="1"/>
  <c r="X169" i="1" s="1"/>
  <c r="U169" i="1"/>
  <c r="R169" i="1"/>
  <c r="O169" i="1"/>
  <c r="N169" i="1"/>
  <c r="L169" i="1"/>
  <c r="H169" i="1"/>
  <c r="I169" i="1" s="1"/>
  <c r="F169" i="1"/>
  <c r="C169" i="1"/>
  <c r="AC168" i="1"/>
  <c r="AD168" i="1" s="1"/>
  <c r="AA168" i="1"/>
  <c r="X168" i="1"/>
  <c r="W168" i="1"/>
  <c r="U168" i="1"/>
  <c r="R168" i="1"/>
  <c r="N168" i="1"/>
  <c r="O168" i="1" s="1"/>
  <c r="L168" i="1"/>
  <c r="H168" i="1"/>
  <c r="I168" i="1" s="1"/>
  <c r="F168" i="1"/>
  <c r="C168" i="1"/>
  <c r="AC167" i="1"/>
  <c r="AD167" i="1" s="1"/>
  <c r="AA167" i="1"/>
  <c r="X167" i="1"/>
  <c r="W167" i="1"/>
  <c r="U167" i="1"/>
  <c r="R167" i="1"/>
  <c r="N167" i="1"/>
  <c r="O167" i="1" s="1"/>
  <c r="L167" i="1"/>
  <c r="I167" i="1"/>
  <c r="H167" i="1"/>
  <c r="F167" i="1"/>
  <c r="C167" i="1"/>
  <c r="Z166" i="1"/>
  <c r="AA166" i="1" s="1"/>
  <c r="W166" i="1"/>
  <c r="X166" i="1" s="1"/>
  <c r="T166" i="1"/>
  <c r="U166" i="1" s="1"/>
  <c r="Q166" i="1"/>
  <c r="R166" i="1" s="1"/>
  <c r="L166" i="1"/>
  <c r="K166" i="1"/>
  <c r="E166" i="1"/>
  <c r="F166" i="1" s="1"/>
  <c r="B166" i="1"/>
  <c r="H166" i="1" s="1"/>
  <c r="I166" i="1" s="1"/>
  <c r="AC165" i="1"/>
  <c r="AD165" i="1" s="1"/>
  <c r="AA165" i="1"/>
  <c r="X165" i="1"/>
  <c r="W165" i="1"/>
  <c r="U165" i="1"/>
  <c r="R165" i="1"/>
  <c r="N165" i="1"/>
  <c r="O165" i="1" s="1"/>
  <c r="L165" i="1"/>
  <c r="H165" i="1"/>
  <c r="I165" i="1" s="1"/>
  <c r="F165" i="1"/>
  <c r="C165" i="1"/>
  <c r="AC164" i="1"/>
  <c r="AD164" i="1" s="1"/>
  <c r="AA164" i="1"/>
  <c r="X164" i="1"/>
  <c r="W164" i="1"/>
  <c r="U164" i="1"/>
  <c r="R164" i="1"/>
  <c r="N164" i="1"/>
  <c r="O164" i="1" s="1"/>
  <c r="L164" i="1"/>
  <c r="I164" i="1"/>
  <c r="H164" i="1"/>
  <c r="F164" i="1"/>
  <c r="C164" i="1"/>
  <c r="AC163" i="1"/>
  <c r="AD163" i="1" s="1"/>
  <c r="AA163" i="1"/>
  <c r="W163" i="1"/>
  <c r="X163" i="1" s="1"/>
  <c r="U163" i="1"/>
  <c r="R163" i="1"/>
  <c r="O163" i="1"/>
  <c r="N163" i="1"/>
  <c r="L163" i="1"/>
  <c r="H163" i="1"/>
  <c r="I163" i="1" s="1"/>
  <c r="F163" i="1"/>
  <c r="C163" i="1"/>
  <c r="AC162" i="1"/>
  <c r="AD162" i="1" s="1"/>
  <c r="AA162" i="1"/>
  <c r="W162" i="1"/>
  <c r="X162" i="1" s="1"/>
  <c r="U162" i="1"/>
  <c r="R162" i="1"/>
  <c r="O162" i="1"/>
  <c r="N162" i="1"/>
  <c r="L162" i="1"/>
  <c r="H162" i="1"/>
  <c r="I162" i="1" s="1"/>
  <c r="F162" i="1"/>
  <c r="C162" i="1"/>
  <c r="AD161" i="1"/>
  <c r="AC161" i="1"/>
  <c r="AA161" i="1"/>
  <c r="X161" i="1"/>
  <c r="W161" i="1"/>
  <c r="U161" i="1"/>
  <c r="R161" i="1"/>
  <c r="N161" i="1"/>
  <c r="O161" i="1" s="1"/>
  <c r="L161" i="1"/>
  <c r="H161" i="1"/>
  <c r="I161" i="1" s="1"/>
  <c r="F161" i="1"/>
  <c r="C161" i="1"/>
  <c r="AC160" i="1"/>
  <c r="AD160" i="1" s="1"/>
  <c r="AA160" i="1"/>
  <c r="X160" i="1"/>
  <c r="W160" i="1"/>
  <c r="U160" i="1"/>
  <c r="R160" i="1"/>
  <c r="N160" i="1"/>
  <c r="O160" i="1" s="1"/>
  <c r="L160" i="1"/>
  <c r="H160" i="1"/>
  <c r="I160" i="1" s="1"/>
  <c r="F160" i="1"/>
  <c r="C160" i="1"/>
  <c r="Z158" i="1"/>
  <c r="AA158" i="1" s="1"/>
  <c r="W158" i="1"/>
  <c r="X158" i="1" s="1"/>
  <c r="T158" i="1"/>
  <c r="U158" i="1" s="1"/>
  <c r="Q158" i="1"/>
  <c r="R158" i="1" s="1"/>
  <c r="L158" i="1"/>
  <c r="K158" i="1"/>
  <c r="E158" i="1"/>
  <c r="F158" i="1" s="1"/>
  <c r="B158" i="1"/>
  <c r="H158" i="1" s="1"/>
  <c r="I158" i="1" s="1"/>
  <c r="AC157" i="1"/>
  <c r="AD157" i="1" s="1"/>
  <c r="AA157" i="1"/>
  <c r="X157" i="1"/>
  <c r="W157" i="1"/>
  <c r="U157" i="1"/>
  <c r="R157" i="1"/>
  <c r="N157" i="1"/>
  <c r="O157" i="1" s="1"/>
  <c r="L157" i="1"/>
  <c r="H157" i="1"/>
  <c r="I157" i="1" s="1"/>
  <c r="F157" i="1"/>
  <c r="C157" i="1"/>
  <c r="AC156" i="1"/>
  <c r="AD156" i="1" s="1"/>
  <c r="AA156" i="1"/>
  <c r="X156" i="1"/>
  <c r="W156" i="1"/>
  <c r="U156" i="1"/>
  <c r="R156" i="1"/>
  <c r="N156" i="1"/>
  <c r="O156" i="1" s="1"/>
  <c r="L156" i="1"/>
  <c r="I156" i="1"/>
  <c r="H156" i="1"/>
  <c r="F156" i="1"/>
  <c r="C156" i="1"/>
  <c r="AC155" i="1"/>
  <c r="AD155" i="1" s="1"/>
  <c r="AA155" i="1"/>
  <c r="W155" i="1"/>
  <c r="X155" i="1" s="1"/>
  <c r="U155" i="1"/>
  <c r="R155" i="1"/>
  <c r="O155" i="1"/>
  <c r="N155" i="1"/>
  <c r="L155" i="1"/>
  <c r="H155" i="1"/>
  <c r="I155" i="1" s="1"/>
  <c r="F155" i="1"/>
  <c r="C155" i="1"/>
  <c r="AC154" i="1"/>
  <c r="AD154" i="1" s="1"/>
  <c r="AA154" i="1"/>
  <c r="W154" i="1"/>
  <c r="X154" i="1" s="1"/>
  <c r="U154" i="1"/>
  <c r="R154" i="1"/>
  <c r="O154" i="1"/>
  <c r="N154" i="1"/>
  <c r="L154" i="1"/>
  <c r="H154" i="1"/>
  <c r="I154" i="1" s="1"/>
  <c r="F154" i="1"/>
  <c r="C154" i="1"/>
  <c r="AC153" i="1"/>
  <c r="AD153" i="1" s="1"/>
  <c r="AA153" i="1"/>
  <c r="X153" i="1"/>
  <c r="W153" i="1"/>
  <c r="U153" i="1"/>
  <c r="R153" i="1"/>
  <c r="N153" i="1"/>
  <c r="O153" i="1" s="1"/>
  <c r="L153" i="1"/>
  <c r="H153" i="1"/>
  <c r="I153" i="1" s="1"/>
  <c r="F153" i="1"/>
  <c r="C153" i="1"/>
  <c r="AC151" i="1"/>
  <c r="AD151" i="1" s="1"/>
  <c r="AA151" i="1"/>
  <c r="X151" i="1"/>
  <c r="W151" i="1"/>
  <c r="U151" i="1"/>
  <c r="R151" i="1"/>
  <c r="N151" i="1"/>
  <c r="O151" i="1" s="1"/>
  <c r="L151" i="1"/>
  <c r="H151" i="1"/>
  <c r="I151" i="1" s="1"/>
  <c r="F151" i="1"/>
  <c r="C151" i="1"/>
  <c r="Z149" i="1"/>
  <c r="AA149" i="1" s="1"/>
  <c r="X149" i="1"/>
  <c r="W149" i="1"/>
  <c r="T149" i="1"/>
  <c r="U149" i="1" s="1"/>
  <c r="Q149" i="1"/>
  <c r="R149" i="1" s="1"/>
  <c r="K149" i="1"/>
  <c r="L149" i="1" s="1"/>
  <c r="E149" i="1"/>
  <c r="F149" i="1" s="1"/>
  <c r="B149" i="1"/>
  <c r="C149" i="1" s="1"/>
  <c r="Z148" i="1"/>
  <c r="AA148" i="1" s="1"/>
  <c r="T148" i="1"/>
  <c r="U148" i="1" s="1"/>
  <c r="Q148" i="1"/>
  <c r="W148" i="1" s="1"/>
  <c r="X148" i="1" s="1"/>
  <c r="K148" i="1"/>
  <c r="L148" i="1" s="1"/>
  <c r="E148" i="1"/>
  <c r="H148" i="1" s="1"/>
  <c r="I148" i="1" s="1"/>
  <c r="B148" i="1"/>
  <c r="C148" i="1" s="1"/>
  <c r="AC147" i="1"/>
  <c r="AD147" i="1" s="1"/>
  <c r="AA147" i="1"/>
  <c r="W147" i="1"/>
  <c r="X147" i="1" s="1"/>
  <c r="U147" i="1"/>
  <c r="R147" i="1"/>
  <c r="O147" i="1"/>
  <c r="N147" i="1"/>
  <c r="L147" i="1"/>
  <c r="H147" i="1"/>
  <c r="I147" i="1" s="1"/>
  <c r="F147" i="1"/>
  <c r="C147" i="1"/>
  <c r="AC146" i="1"/>
  <c r="AD146" i="1" s="1"/>
  <c r="AA146" i="1"/>
  <c r="W146" i="1"/>
  <c r="X146" i="1" s="1"/>
  <c r="U146" i="1"/>
  <c r="R146" i="1"/>
  <c r="O146" i="1"/>
  <c r="N146" i="1"/>
  <c r="L146" i="1"/>
  <c r="H146" i="1"/>
  <c r="I146" i="1" s="1"/>
  <c r="F146" i="1"/>
  <c r="C146" i="1"/>
  <c r="AD145" i="1"/>
  <c r="AC145" i="1"/>
  <c r="AA145" i="1"/>
  <c r="X145" i="1"/>
  <c r="W145" i="1"/>
  <c r="U145" i="1"/>
  <c r="R145" i="1"/>
  <c r="N145" i="1"/>
  <c r="O145" i="1" s="1"/>
  <c r="L145" i="1"/>
  <c r="H145" i="1"/>
  <c r="I145" i="1" s="1"/>
  <c r="F145" i="1"/>
  <c r="C145" i="1"/>
  <c r="AC144" i="1"/>
  <c r="AD144" i="1" s="1"/>
  <c r="AA144" i="1"/>
  <c r="X144" i="1"/>
  <c r="W144" i="1"/>
  <c r="U144" i="1"/>
  <c r="R144" i="1"/>
  <c r="N144" i="1"/>
  <c r="O144" i="1" s="1"/>
  <c r="L144" i="1"/>
  <c r="H144" i="1"/>
  <c r="I144" i="1" s="1"/>
  <c r="F144" i="1"/>
  <c r="C144" i="1"/>
  <c r="AC143" i="1"/>
  <c r="AD143" i="1" s="1"/>
  <c r="AA143" i="1"/>
  <c r="W143" i="1"/>
  <c r="X143" i="1" s="1"/>
  <c r="U143" i="1"/>
  <c r="R143" i="1"/>
  <c r="O143" i="1"/>
  <c r="N143" i="1"/>
  <c r="L143" i="1"/>
  <c r="H143" i="1"/>
  <c r="I143" i="1" s="1"/>
  <c r="F143" i="1"/>
  <c r="C143" i="1"/>
  <c r="Z141" i="1"/>
  <c r="AA141" i="1" s="1"/>
  <c r="T141" i="1"/>
  <c r="W141" i="1" s="1"/>
  <c r="X141" i="1" s="1"/>
  <c r="Q141" i="1"/>
  <c r="R141" i="1" s="1"/>
  <c r="K141" i="1"/>
  <c r="L141" i="1" s="1"/>
  <c r="I141" i="1"/>
  <c r="H141" i="1"/>
  <c r="E141" i="1"/>
  <c r="F141" i="1" s="1"/>
  <c r="B141" i="1"/>
  <c r="C141" i="1" s="1"/>
  <c r="AC140" i="1"/>
  <c r="AD140" i="1" s="1"/>
  <c r="AA140" i="1"/>
  <c r="X140" i="1"/>
  <c r="W140" i="1"/>
  <c r="U140" i="1"/>
  <c r="R140" i="1"/>
  <c r="N140" i="1"/>
  <c r="O140" i="1" s="1"/>
  <c r="L140" i="1"/>
  <c r="H140" i="1"/>
  <c r="I140" i="1" s="1"/>
  <c r="F140" i="1"/>
  <c r="C140" i="1"/>
  <c r="AC139" i="1"/>
  <c r="AD139" i="1" s="1"/>
  <c r="AA139" i="1"/>
  <c r="W139" i="1"/>
  <c r="X139" i="1" s="1"/>
  <c r="U139" i="1"/>
  <c r="R139" i="1"/>
  <c r="O139" i="1"/>
  <c r="N139" i="1"/>
  <c r="L139" i="1"/>
  <c r="H139" i="1"/>
  <c r="I139" i="1" s="1"/>
  <c r="F139" i="1"/>
  <c r="C139" i="1"/>
  <c r="AC138" i="1"/>
  <c r="AD138" i="1" s="1"/>
  <c r="AA138" i="1"/>
  <c r="W138" i="1"/>
  <c r="X138" i="1" s="1"/>
  <c r="U138" i="1"/>
  <c r="R138" i="1"/>
  <c r="O138" i="1"/>
  <c r="N138" i="1"/>
  <c r="L138" i="1"/>
  <c r="H138" i="1"/>
  <c r="I138" i="1" s="1"/>
  <c r="F138" i="1"/>
  <c r="C138" i="1"/>
  <c r="AD137" i="1"/>
  <c r="AC137" i="1"/>
  <c r="AA137" i="1"/>
  <c r="X137" i="1"/>
  <c r="W137" i="1"/>
  <c r="U137" i="1"/>
  <c r="R137" i="1"/>
  <c r="N137" i="1"/>
  <c r="O137" i="1" s="1"/>
  <c r="L137" i="1"/>
  <c r="H137" i="1"/>
  <c r="I137" i="1" s="1"/>
  <c r="F137" i="1"/>
  <c r="C137" i="1"/>
  <c r="AC136" i="1"/>
  <c r="AD136" i="1" s="1"/>
  <c r="AA136" i="1"/>
  <c r="X136" i="1"/>
  <c r="W136" i="1"/>
  <c r="U136" i="1"/>
  <c r="R136" i="1"/>
  <c r="N136" i="1"/>
  <c r="O136" i="1" s="1"/>
  <c r="L136" i="1"/>
  <c r="H136" i="1"/>
  <c r="I136" i="1" s="1"/>
  <c r="F136" i="1"/>
  <c r="C136" i="1"/>
  <c r="AC135" i="1"/>
  <c r="AD135" i="1" s="1"/>
  <c r="AA135" i="1"/>
  <c r="W135" i="1"/>
  <c r="X135" i="1" s="1"/>
  <c r="U135" i="1"/>
  <c r="R135" i="1"/>
  <c r="O135" i="1"/>
  <c r="N135" i="1"/>
  <c r="L135" i="1"/>
  <c r="H135" i="1"/>
  <c r="I135" i="1" s="1"/>
  <c r="F135" i="1"/>
  <c r="C135" i="1"/>
  <c r="AC134" i="1"/>
  <c r="AD134" i="1" s="1"/>
  <c r="AA134" i="1"/>
  <c r="W134" i="1"/>
  <c r="X134" i="1" s="1"/>
  <c r="U134" i="1"/>
  <c r="R134" i="1"/>
  <c r="O134" i="1"/>
  <c r="N134" i="1"/>
  <c r="L134" i="1"/>
  <c r="H134" i="1"/>
  <c r="I134" i="1" s="1"/>
  <c r="F134" i="1"/>
  <c r="C134" i="1"/>
  <c r="AC133" i="1"/>
  <c r="AD133" i="1" s="1"/>
  <c r="AA133" i="1"/>
  <c r="X133" i="1"/>
  <c r="W133" i="1"/>
  <c r="U133" i="1"/>
  <c r="R133" i="1"/>
  <c r="N133" i="1"/>
  <c r="O133" i="1" s="1"/>
  <c r="L133" i="1"/>
  <c r="H133" i="1"/>
  <c r="I133" i="1" s="1"/>
  <c r="F133" i="1"/>
  <c r="C133" i="1"/>
  <c r="AC132" i="1"/>
  <c r="AD132" i="1" s="1"/>
  <c r="AA132" i="1"/>
  <c r="X132" i="1"/>
  <c r="W132" i="1"/>
  <c r="U132" i="1"/>
  <c r="R132" i="1"/>
  <c r="N132" i="1"/>
  <c r="O132" i="1" s="1"/>
  <c r="L132" i="1"/>
  <c r="I132" i="1"/>
  <c r="H132" i="1"/>
  <c r="F132" i="1"/>
  <c r="C132" i="1"/>
  <c r="AC131" i="1"/>
  <c r="AD131" i="1" s="1"/>
  <c r="AA131" i="1"/>
  <c r="W131" i="1"/>
  <c r="X131" i="1" s="1"/>
  <c r="U131" i="1"/>
  <c r="R131" i="1"/>
  <c r="O131" i="1"/>
  <c r="N131" i="1"/>
  <c r="L131" i="1"/>
  <c r="H131" i="1"/>
  <c r="I131" i="1" s="1"/>
  <c r="F131" i="1"/>
  <c r="C131" i="1"/>
  <c r="AC130" i="1"/>
  <c r="AD130" i="1" s="1"/>
  <c r="AA130" i="1"/>
  <c r="W130" i="1"/>
  <c r="X130" i="1" s="1"/>
  <c r="U130" i="1"/>
  <c r="R130" i="1"/>
  <c r="O130" i="1"/>
  <c r="N130" i="1"/>
  <c r="L130" i="1"/>
  <c r="H130" i="1"/>
  <c r="I130" i="1" s="1"/>
  <c r="F130" i="1"/>
  <c r="C130" i="1"/>
  <c r="AC129" i="1"/>
  <c r="AD129" i="1" s="1"/>
  <c r="AA129" i="1"/>
  <c r="X129" i="1"/>
  <c r="W129" i="1"/>
  <c r="U129" i="1"/>
  <c r="R129" i="1"/>
  <c r="N129" i="1"/>
  <c r="O129" i="1" s="1"/>
  <c r="L129" i="1"/>
  <c r="H129" i="1"/>
  <c r="I129" i="1" s="1"/>
  <c r="F129" i="1"/>
  <c r="C129" i="1"/>
  <c r="AC127" i="1"/>
  <c r="AD127" i="1" s="1"/>
  <c r="AA127" i="1"/>
  <c r="X127" i="1"/>
  <c r="W127" i="1"/>
  <c r="U127" i="1"/>
  <c r="R127" i="1"/>
  <c r="N127" i="1"/>
  <c r="O127" i="1" s="1"/>
  <c r="L127" i="1"/>
  <c r="H127" i="1"/>
  <c r="I127" i="1" s="1"/>
  <c r="F127" i="1"/>
  <c r="C127" i="1"/>
  <c r="Z124" i="1"/>
  <c r="AA124" i="1" s="1"/>
  <c r="W124" i="1"/>
  <c r="X124" i="1" s="1"/>
  <c r="T124" i="1"/>
  <c r="U124" i="1" s="1"/>
  <c r="Q124" i="1"/>
  <c r="R124" i="1" s="1"/>
  <c r="K124" i="1"/>
  <c r="K172" i="1" s="1"/>
  <c r="L172" i="1" s="1"/>
  <c r="E124" i="1"/>
  <c r="F124" i="1" s="1"/>
  <c r="B124" i="1"/>
  <c r="C124" i="1" s="1"/>
  <c r="AC123" i="1"/>
  <c r="AD123" i="1" s="1"/>
  <c r="AA123" i="1"/>
  <c r="X123" i="1"/>
  <c r="W123" i="1"/>
  <c r="U123" i="1"/>
  <c r="R123" i="1"/>
  <c r="N123" i="1"/>
  <c r="O123" i="1" s="1"/>
  <c r="L123" i="1"/>
  <c r="H123" i="1"/>
  <c r="I123" i="1" s="1"/>
  <c r="F123" i="1"/>
  <c r="C123" i="1"/>
  <c r="Z122" i="1"/>
  <c r="AA122" i="1" s="1"/>
  <c r="T122" i="1"/>
  <c r="U122" i="1" s="1"/>
  <c r="Q122" i="1"/>
  <c r="R122" i="1" s="1"/>
  <c r="N122" i="1"/>
  <c r="O122" i="1" s="1"/>
  <c r="K122" i="1"/>
  <c r="L122" i="1" s="1"/>
  <c r="E122" i="1"/>
  <c r="F122" i="1" s="1"/>
  <c r="B122" i="1"/>
  <c r="H122" i="1" s="1"/>
  <c r="I122" i="1" s="1"/>
  <c r="AC121" i="1"/>
  <c r="AD121" i="1" s="1"/>
  <c r="AA121" i="1"/>
  <c r="W121" i="1"/>
  <c r="X121" i="1" s="1"/>
  <c r="U121" i="1"/>
  <c r="R121" i="1"/>
  <c r="O121" i="1"/>
  <c r="N121" i="1"/>
  <c r="L121" i="1"/>
  <c r="H121" i="1"/>
  <c r="I121" i="1" s="1"/>
  <c r="F121" i="1"/>
  <c r="C121" i="1"/>
  <c r="AC120" i="1"/>
  <c r="AD120" i="1" s="1"/>
  <c r="AA120" i="1"/>
  <c r="X120" i="1"/>
  <c r="W120" i="1"/>
  <c r="U120" i="1"/>
  <c r="R120" i="1"/>
  <c r="N120" i="1"/>
  <c r="O120" i="1" s="1"/>
  <c r="L120" i="1"/>
  <c r="H120" i="1"/>
  <c r="I120" i="1" s="1"/>
  <c r="F120" i="1"/>
  <c r="C120" i="1"/>
  <c r="AC119" i="1"/>
  <c r="AD119" i="1" s="1"/>
  <c r="AA119" i="1"/>
  <c r="X119" i="1"/>
  <c r="W119" i="1"/>
  <c r="U119" i="1"/>
  <c r="R119" i="1"/>
  <c r="N119" i="1"/>
  <c r="O119" i="1" s="1"/>
  <c r="L119" i="1"/>
  <c r="I119" i="1"/>
  <c r="H119" i="1"/>
  <c r="F119" i="1"/>
  <c r="C119" i="1"/>
  <c r="Z118" i="1"/>
  <c r="AA118" i="1" s="1"/>
  <c r="X118" i="1"/>
  <c r="W118" i="1"/>
  <c r="T118" i="1"/>
  <c r="U118" i="1" s="1"/>
  <c r="Q118" i="1"/>
  <c r="R118" i="1" s="1"/>
  <c r="K118" i="1"/>
  <c r="L118" i="1" s="1"/>
  <c r="E118" i="1"/>
  <c r="F118" i="1" s="1"/>
  <c r="B118" i="1"/>
  <c r="H118" i="1" s="1"/>
  <c r="I118" i="1" s="1"/>
  <c r="AD117" i="1"/>
  <c r="AC117" i="1"/>
  <c r="AA117" i="1"/>
  <c r="X117" i="1"/>
  <c r="W117" i="1"/>
  <c r="U117" i="1"/>
  <c r="R117" i="1"/>
  <c r="N117" i="1"/>
  <c r="O117" i="1" s="1"/>
  <c r="L117" i="1"/>
  <c r="H117" i="1"/>
  <c r="I117" i="1" s="1"/>
  <c r="F117" i="1"/>
  <c r="C117" i="1"/>
  <c r="AC116" i="1"/>
  <c r="AD116" i="1" s="1"/>
  <c r="AA116" i="1"/>
  <c r="X116" i="1"/>
  <c r="W116" i="1"/>
  <c r="U116" i="1"/>
  <c r="R116" i="1"/>
  <c r="N116" i="1"/>
  <c r="O116" i="1" s="1"/>
  <c r="L116" i="1"/>
  <c r="H116" i="1"/>
  <c r="I116" i="1" s="1"/>
  <c r="F116" i="1"/>
  <c r="C116" i="1"/>
  <c r="AC115" i="1"/>
  <c r="AD115" i="1" s="1"/>
  <c r="AA115" i="1"/>
  <c r="W115" i="1"/>
  <c r="X115" i="1" s="1"/>
  <c r="U115" i="1"/>
  <c r="R115" i="1"/>
  <c r="O115" i="1"/>
  <c r="N115" i="1"/>
  <c r="L115" i="1"/>
  <c r="H115" i="1"/>
  <c r="I115" i="1" s="1"/>
  <c r="F115" i="1"/>
  <c r="C115" i="1"/>
  <c r="AC114" i="1"/>
  <c r="AD114" i="1" s="1"/>
  <c r="AA114" i="1"/>
  <c r="W114" i="1"/>
  <c r="X114" i="1" s="1"/>
  <c r="U114" i="1"/>
  <c r="R114" i="1"/>
  <c r="O114" i="1"/>
  <c r="N114" i="1"/>
  <c r="L114" i="1"/>
  <c r="H114" i="1"/>
  <c r="I114" i="1" s="1"/>
  <c r="F114" i="1"/>
  <c r="C114" i="1"/>
  <c r="AC113" i="1"/>
  <c r="AD113" i="1" s="1"/>
  <c r="AA113" i="1"/>
  <c r="X113" i="1"/>
  <c r="W113" i="1"/>
  <c r="U113" i="1"/>
  <c r="R113" i="1"/>
  <c r="N113" i="1"/>
  <c r="O113" i="1" s="1"/>
  <c r="L113" i="1"/>
  <c r="H113" i="1"/>
  <c r="I113" i="1" s="1"/>
  <c r="F113" i="1"/>
  <c r="C113" i="1"/>
  <c r="AC112" i="1"/>
  <c r="AD112" i="1" s="1"/>
  <c r="AA112" i="1"/>
  <c r="X112" i="1"/>
  <c r="W112" i="1"/>
  <c r="U112" i="1"/>
  <c r="R112" i="1"/>
  <c r="N112" i="1"/>
  <c r="O112" i="1" s="1"/>
  <c r="L112" i="1"/>
  <c r="H112" i="1"/>
  <c r="I112" i="1" s="1"/>
  <c r="F112" i="1"/>
  <c r="C112" i="1"/>
  <c r="AC111" i="1"/>
  <c r="AD111" i="1" s="1"/>
  <c r="AA111" i="1"/>
  <c r="W111" i="1"/>
  <c r="X111" i="1" s="1"/>
  <c r="U111" i="1"/>
  <c r="R111" i="1"/>
  <c r="O111" i="1"/>
  <c r="N111" i="1"/>
  <c r="L111" i="1"/>
  <c r="H111" i="1"/>
  <c r="I111" i="1" s="1"/>
  <c r="F111" i="1"/>
  <c r="C111" i="1"/>
  <c r="AC110" i="1"/>
  <c r="AD110" i="1" s="1"/>
  <c r="AA110" i="1"/>
  <c r="W110" i="1"/>
  <c r="X110" i="1" s="1"/>
  <c r="U110" i="1"/>
  <c r="R110" i="1"/>
  <c r="O110" i="1"/>
  <c r="N110" i="1"/>
  <c r="L110" i="1"/>
  <c r="H110" i="1"/>
  <c r="I110" i="1" s="1"/>
  <c r="F110" i="1"/>
  <c r="C110" i="1"/>
  <c r="AC109" i="1"/>
  <c r="AD109" i="1" s="1"/>
  <c r="AA109" i="1"/>
  <c r="X109" i="1"/>
  <c r="W109" i="1"/>
  <c r="U109" i="1"/>
  <c r="R109" i="1"/>
  <c r="N109" i="1"/>
  <c r="O109" i="1" s="1"/>
  <c r="L109" i="1"/>
  <c r="H109" i="1"/>
  <c r="I109" i="1" s="1"/>
  <c r="F109" i="1"/>
  <c r="C109" i="1"/>
  <c r="AC108" i="1"/>
  <c r="AD108" i="1" s="1"/>
  <c r="AA108" i="1"/>
  <c r="X108" i="1"/>
  <c r="W108" i="1"/>
  <c r="U108" i="1"/>
  <c r="R108" i="1"/>
  <c r="N108" i="1"/>
  <c r="O108" i="1" s="1"/>
  <c r="L108" i="1"/>
  <c r="I108" i="1"/>
  <c r="H108" i="1"/>
  <c r="F108" i="1"/>
  <c r="C108" i="1"/>
  <c r="AC107" i="1"/>
  <c r="AD107" i="1" s="1"/>
  <c r="AA107" i="1"/>
  <c r="W107" i="1"/>
  <c r="X107" i="1" s="1"/>
  <c r="U107" i="1"/>
  <c r="R107" i="1"/>
  <c r="O107" i="1"/>
  <c r="N107" i="1"/>
  <c r="L107" i="1"/>
  <c r="H107" i="1"/>
  <c r="I107" i="1" s="1"/>
  <c r="F107" i="1"/>
  <c r="C107" i="1"/>
  <c r="AC106" i="1"/>
  <c r="AD106" i="1" s="1"/>
  <c r="AA106" i="1"/>
  <c r="W106" i="1"/>
  <c r="X106" i="1" s="1"/>
  <c r="U106" i="1"/>
  <c r="R106" i="1"/>
  <c r="O106" i="1"/>
  <c r="N106" i="1"/>
  <c r="L106" i="1"/>
  <c r="H106" i="1"/>
  <c r="I106" i="1" s="1"/>
  <c r="F106" i="1"/>
  <c r="C106" i="1"/>
  <c r="AC105" i="1"/>
  <c r="AD105" i="1" s="1"/>
  <c r="AA105" i="1"/>
  <c r="X105" i="1"/>
  <c r="W105" i="1"/>
  <c r="U105" i="1"/>
  <c r="R105" i="1"/>
  <c r="N105" i="1"/>
  <c r="O105" i="1" s="1"/>
  <c r="L105" i="1"/>
  <c r="H105" i="1"/>
  <c r="I105" i="1" s="1"/>
  <c r="F105" i="1"/>
  <c r="C105" i="1"/>
  <c r="AC104" i="1"/>
  <c r="AD104" i="1" s="1"/>
  <c r="AA104" i="1"/>
  <c r="X104" i="1"/>
  <c r="W104" i="1"/>
  <c r="U104" i="1"/>
  <c r="R104" i="1"/>
  <c r="N104" i="1"/>
  <c r="O104" i="1" s="1"/>
  <c r="L104" i="1"/>
  <c r="H104" i="1"/>
  <c r="I104" i="1" s="1"/>
  <c r="F104" i="1"/>
  <c r="C104" i="1"/>
  <c r="AC103" i="1"/>
  <c r="AD103" i="1" s="1"/>
  <c r="AA103" i="1"/>
  <c r="W103" i="1"/>
  <c r="X103" i="1" s="1"/>
  <c r="U103" i="1"/>
  <c r="R103" i="1"/>
  <c r="O103" i="1"/>
  <c r="N103" i="1"/>
  <c r="L103" i="1"/>
  <c r="H103" i="1"/>
  <c r="I103" i="1" s="1"/>
  <c r="F103" i="1"/>
  <c r="C103" i="1"/>
  <c r="AC102" i="1"/>
  <c r="AD102" i="1" s="1"/>
  <c r="AA102" i="1"/>
  <c r="W102" i="1"/>
  <c r="X102" i="1" s="1"/>
  <c r="U102" i="1"/>
  <c r="R102" i="1"/>
  <c r="O102" i="1"/>
  <c r="N102" i="1"/>
  <c r="L102" i="1"/>
  <c r="H102" i="1"/>
  <c r="I102" i="1" s="1"/>
  <c r="F102" i="1"/>
  <c r="C102" i="1"/>
  <c r="AD101" i="1"/>
  <c r="AC101" i="1"/>
  <c r="AA101" i="1"/>
  <c r="X101" i="1"/>
  <c r="W101" i="1"/>
  <c r="U101" i="1"/>
  <c r="R101" i="1"/>
  <c r="N101" i="1"/>
  <c r="O101" i="1" s="1"/>
  <c r="L101" i="1"/>
  <c r="H101" i="1"/>
  <c r="I101" i="1" s="1"/>
  <c r="F101" i="1"/>
  <c r="C101" i="1"/>
  <c r="AC100" i="1"/>
  <c r="AD100" i="1" s="1"/>
  <c r="AA100" i="1"/>
  <c r="X100" i="1"/>
  <c r="W100" i="1"/>
  <c r="U100" i="1"/>
  <c r="R100" i="1"/>
  <c r="N100" i="1"/>
  <c r="O100" i="1" s="1"/>
  <c r="L100" i="1"/>
  <c r="H100" i="1"/>
  <c r="I100" i="1" s="1"/>
  <c r="F100" i="1"/>
  <c r="C100" i="1"/>
  <c r="AC99" i="1"/>
  <c r="AD99" i="1" s="1"/>
  <c r="AA99" i="1"/>
  <c r="W99" i="1"/>
  <c r="X99" i="1" s="1"/>
  <c r="U99" i="1"/>
  <c r="R99" i="1"/>
  <c r="O99" i="1"/>
  <c r="N99" i="1"/>
  <c r="L99" i="1"/>
  <c r="H99" i="1"/>
  <c r="I99" i="1" s="1"/>
  <c r="F99" i="1"/>
  <c r="C99" i="1"/>
  <c r="AC98" i="1"/>
  <c r="AD98" i="1" s="1"/>
  <c r="AA98" i="1"/>
  <c r="W98" i="1"/>
  <c r="X98" i="1" s="1"/>
  <c r="U98" i="1"/>
  <c r="R98" i="1"/>
  <c r="O98" i="1"/>
  <c r="N98" i="1"/>
  <c r="L98" i="1"/>
  <c r="H98" i="1"/>
  <c r="I98" i="1" s="1"/>
  <c r="F98" i="1"/>
  <c r="C98" i="1"/>
  <c r="AC97" i="1"/>
  <c r="AD97" i="1" s="1"/>
  <c r="AA97" i="1"/>
  <c r="X97" i="1"/>
  <c r="W97" i="1"/>
  <c r="U97" i="1"/>
  <c r="R97" i="1"/>
  <c r="N97" i="1"/>
  <c r="O97" i="1" s="1"/>
  <c r="L97" i="1"/>
  <c r="H97" i="1"/>
  <c r="I97" i="1" s="1"/>
  <c r="F97" i="1"/>
  <c r="C97" i="1"/>
  <c r="AC96" i="1"/>
  <c r="AD96" i="1" s="1"/>
  <c r="AA96" i="1"/>
  <c r="X96" i="1"/>
  <c r="W96" i="1"/>
  <c r="U96" i="1"/>
  <c r="R96" i="1"/>
  <c r="N96" i="1"/>
  <c r="O96" i="1" s="1"/>
  <c r="L96" i="1"/>
  <c r="H96" i="1"/>
  <c r="I96" i="1" s="1"/>
  <c r="F96" i="1"/>
  <c r="C96" i="1"/>
  <c r="AC95" i="1"/>
  <c r="AD95" i="1" s="1"/>
  <c r="AA95" i="1"/>
  <c r="W95" i="1"/>
  <c r="X95" i="1" s="1"/>
  <c r="U95" i="1"/>
  <c r="R95" i="1"/>
  <c r="O95" i="1"/>
  <c r="N95" i="1"/>
  <c r="L95" i="1"/>
  <c r="H95" i="1"/>
  <c r="I95" i="1" s="1"/>
  <c r="F95" i="1"/>
  <c r="C95" i="1"/>
  <c r="AC94" i="1"/>
  <c r="AD94" i="1" s="1"/>
  <c r="AA94" i="1"/>
  <c r="W94" i="1"/>
  <c r="X94" i="1" s="1"/>
  <c r="U94" i="1"/>
  <c r="R94" i="1"/>
  <c r="O94" i="1"/>
  <c r="N94" i="1"/>
  <c r="L94" i="1"/>
  <c r="H94" i="1"/>
  <c r="I94" i="1" s="1"/>
  <c r="F94" i="1"/>
  <c r="C94" i="1"/>
  <c r="AC92" i="1"/>
  <c r="AD92" i="1" s="1"/>
  <c r="AA92" i="1"/>
  <c r="X92" i="1"/>
  <c r="W92" i="1"/>
  <c r="U92" i="1"/>
  <c r="R92" i="1"/>
  <c r="N92" i="1"/>
  <c r="O92" i="1" s="1"/>
  <c r="L92" i="1"/>
  <c r="H92" i="1"/>
  <c r="I92" i="1" s="1"/>
  <c r="F92" i="1"/>
  <c r="C92" i="1"/>
  <c r="AC91" i="1"/>
  <c r="AD91" i="1" s="1"/>
  <c r="AA91" i="1"/>
  <c r="X91" i="1"/>
  <c r="W91" i="1"/>
  <c r="U91" i="1"/>
  <c r="R91" i="1"/>
  <c r="N91" i="1"/>
  <c r="O91" i="1" s="1"/>
  <c r="L91" i="1"/>
  <c r="I91" i="1"/>
  <c r="H91" i="1"/>
  <c r="F91" i="1"/>
  <c r="C91" i="1"/>
  <c r="AC90" i="1"/>
  <c r="AD90" i="1" s="1"/>
  <c r="AA90" i="1"/>
  <c r="W90" i="1"/>
  <c r="X90" i="1" s="1"/>
  <c r="U90" i="1"/>
  <c r="R90" i="1"/>
  <c r="O90" i="1"/>
  <c r="N90" i="1"/>
  <c r="L90" i="1"/>
  <c r="H90" i="1"/>
  <c r="I90" i="1" s="1"/>
  <c r="F90" i="1"/>
  <c r="C90" i="1"/>
  <c r="AC89" i="1"/>
  <c r="AD89" i="1" s="1"/>
  <c r="AA89" i="1"/>
  <c r="W89" i="1"/>
  <c r="X89" i="1" s="1"/>
  <c r="U89" i="1"/>
  <c r="R89" i="1"/>
  <c r="O89" i="1"/>
  <c r="N89" i="1"/>
  <c r="L89" i="1"/>
  <c r="H89" i="1"/>
  <c r="I89" i="1" s="1"/>
  <c r="F89" i="1"/>
  <c r="C89" i="1"/>
  <c r="Z88" i="1"/>
  <c r="AA88" i="1" s="1"/>
  <c r="T88" i="1"/>
  <c r="U88" i="1" s="1"/>
  <c r="Q88" i="1"/>
  <c r="W88" i="1" s="1"/>
  <c r="X88" i="1" s="1"/>
  <c r="K88" i="1"/>
  <c r="L88" i="1" s="1"/>
  <c r="E88" i="1"/>
  <c r="H88" i="1" s="1"/>
  <c r="I88" i="1" s="1"/>
  <c r="B88" i="1"/>
  <c r="C88" i="1" s="1"/>
  <c r="AC87" i="1"/>
  <c r="AD87" i="1" s="1"/>
  <c r="AA87" i="1"/>
  <c r="W87" i="1"/>
  <c r="X87" i="1" s="1"/>
  <c r="U87" i="1"/>
  <c r="R87" i="1"/>
  <c r="O87" i="1"/>
  <c r="N87" i="1"/>
  <c r="L87" i="1"/>
  <c r="H87" i="1"/>
  <c r="I87" i="1" s="1"/>
  <c r="F87" i="1"/>
  <c r="C87" i="1"/>
  <c r="AC86" i="1"/>
  <c r="AD86" i="1" s="1"/>
  <c r="AA86" i="1"/>
  <c r="W86" i="1"/>
  <c r="X86" i="1" s="1"/>
  <c r="U86" i="1"/>
  <c r="R86" i="1"/>
  <c r="O86" i="1"/>
  <c r="N86" i="1"/>
  <c r="L86" i="1"/>
  <c r="H86" i="1"/>
  <c r="I86" i="1" s="1"/>
  <c r="F86" i="1"/>
  <c r="C86" i="1"/>
  <c r="AC85" i="1"/>
  <c r="AD85" i="1" s="1"/>
  <c r="AA85" i="1"/>
  <c r="X85" i="1"/>
  <c r="W85" i="1"/>
  <c r="U85" i="1"/>
  <c r="R85" i="1"/>
  <c r="N85" i="1"/>
  <c r="O85" i="1" s="1"/>
  <c r="L85" i="1"/>
  <c r="H85" i="1"/>
  <c r="I85" i="1" s="1"/>
  <c r="F85" i="1"/>
  <c r="C85" i="1"/>
  <c r="AC84" i="1"/>
  <c r="AD84" i="1" s="1"/>
  <c r="AA84" i="1"/>
  <c r="X84" i="1"/>
  <c r="W84" i="1"/>
  <c r="U84" i="1"/>
  <c r="R84" i="1"/>
  <c r="N84" i="1"/>
  <c r="O84" i="1" s="1"/>
  <c r="L84" i="1"/>
  <c r="H84" i="1"/>
  <c r="I84" i="1" s="1"/>
  <c r="F84" i="1"/>
  <c r="C84" i="1"/>
  <c r="AC83" i="1"/>
  <c r="AD83" i="1" s="1"/>
  <c r="AA83" i="1"/>
  <c r="W83" i="1"/>
  <c r="X83" i="1" s="1"/>
  <c r="U83" i="1"/>
  <c r="R83" i="1"/>
  <c r="O83" i="1"/>
  <c r="N83" i="1"/>
  <c r="L83" i="1"/>
  <c r="H83" i="1"/>
  <c r="I83" i="1" s="1"/>
  <c r="F83" i="1"/>
  <c r="C83" i="1"/>
  <c r="AC82" i="1"/>
  <c r="AD82" i="1" s="1"/>
  <c r="AA82" i="1"/>
  <c r="W82" i="1"/>
  <c r="X82" i="1" s="1"/>
  <c r="U82" i="1"/>
  <c r="R82" i="1"/>
  <c r="O82" i="1"/>
  <c r="N82" i="1"/>
  <c r="L82" i="1"/>
  <c r="H82" i="1"/>
  <c r="I82" i="1" s="1"/>
  <c r="F82" i="1"/>
  <c r="C82" i="1"/>
  <c r="AD81" i="1"/>
  <c r="AC81" i="1"/>
  <c r="AA81" i="1"/>
  <c r="X81" i="1"/>
  <c r="W81" i="1"/>
  <c r="U81" i="1"/>
  <c r="R81" i="1"/>
  <c r="N81" i="1"/>
  <c r="O81" i="1" s="1"/>
  <c r="L81" i="1"/>
  <c r="H81" i="1"/>
  <c r="I81" i="1" s="1"/>
  <c r="F81" i="1"/>
  <c r="C81" i="1"/>
  <c r="AC80" i="1"/>
  <c r="AD80" i="1" s="1"/>
  <c r="AA80" i="1"/>
  <c r="X80" i="1"/>
  <c r="W80" i="1"/>
  <c r="U80" i="1"/>
  <c r="R80" i="1"/>
  <c r="N80" i="1"/>
  <c r="O80" i="1" s="1"/>
  <c r="L80" i="1"/>
  <c r="H80" i="1"/>
  <c r="I80" i="1" s="1"/>
  <c r="F80" i="1"/>
  <c r="C80" i="1"/>
  <c r="AC79" i="1"/>
  <c r="AD79" i="1" s="1"/>
  <c r="AA79" i="1"/>
  <c r="W79" i="1"/>
  <c r="X79" i="1" s="1"/>
  <c r="U79" i="1"/>
  <c r="R79" i="1"/>
  <c r="O79" i="1"/>
  <c r="N79" i="1"/>
  <c r="L79" i="1"/>
  <c r="H79" i="1"/>
  <c r="I79" i="1" s="1"/>
  <c r="F79" i="1"/>
  <c r="C79" i="1"/>
  <c r="AC78" i="1"/>
  <c r="AD78" i="1" s="1"/>
  <c r="AA78" i="1"/>
  <c r="W78" i="1"/>
  <c r="X78" i="1" s="1"/>
  <c r="U78" i="1"/>
  <c r="R78" i="1"/>
  <c r="O78" i="1"/>
  <c r="N78" i="1"/>
  <c r="L78" i="1"/>
  <c r="H78" i="1"/>
  <c r="I78" i="1" s="1"/>
  <c r="F78" i="1"/>
  <c r="C78" i="1"/>
  <c r="AC77" i="1"/>
  <c r="AD77" i="1" s="1"/>
  <c r="AA77" i="1"/>
  <c r="X77" i="1"/>
  <c r="W77" i="1"/>
  <c r="U77" i="1"/>
  <c r="R77" i="1"/>
  <c r="N77" i="1"/>
  <c r="O77" i="1" s="1"/>
  <c r="L77" i="1"/>
  <c r="H77" i="1"/>
  <c r="I77" i="1" s="1"/>
  <c r="F77" i="1"/>
  <c r="C77" i="1"/>
  <c r="AC76" i="1"/>
  <c r="AD76" i="1" s="1"/>
  <c r="AA76" i="1"/>
  <c r="X76" i="1"/>
  <c r="W76" i="1"/>
  <c r="U76" i="1"/>
  <c r="R76" i="1"/>
  <c r="N76" i="1"/>
  <c r="O76" i="1" s="1"/>
  <c r="L76" i="1"/>
  <c r="H76" i="1"/>
  <c r="I76" i="1" s="1"/>
  <c r="F76" i="1"/>
  <c r="C76" i="1"/>
  <c r="AC75" i="1"/>
  <c r="AD75" i="1" s="1"/>
  <c r="AA75" i="1"/>
  <c r="W75" i="1"/>
  <c r="X75" i="1" s="1"/>
  <c r="U75" i="1"/>
  <c r="R75" i="1"/>
  <c r="O75" i="1"/>
  <c r="N75" i="1"/>
  <c r="L75" i="1"/>
  <c r="H75" i="1"/>
  <c r="I75" i="1" s="1"/>
  <c r="F75" i="1"/>
  <c r="C75" i="1"/>
  <c r="Z73" i="1"/>
  <c r="AA73" i="1" s="1"/>
  <c r="T73" i="1"/>
  <c r="W73" i="1" s="1"/>
  <c r="X73" i="1" s="1"/>
  <c r="Q73" i="1"/>
  <c r="R73" i="1" s="1"/>
  <c r="K73" i="1"/>
  <c r="L73" i="1" s="1"/>
  <c r="H73" i="1"/>
  <c r="I73" i="1" s="1"/>
  <c r="E73" i="1"/>
  <c r="F73" i="1" s="1"/>
  <c r="B73" i="1"/>
  <c r="C73" i="1" s="1"/>
  <c r="AC72" i="1"/>
  <c r="AD72" i="1" s="1"/>
  <c r="AA72" i="1"/>
  <c r="X72" i="1"/>
  <c r="W72" i="1"/>
  <c r="U72" i="1"/>
  <c r="R72" i="1"/>
  <c r="N72" i="1"/>
  <c r="O72" i="1" s="1"/>
  <c r="L72" i="1"/>
  <c r="H72" i="1"/>
  <c r="I72" i="1" s="1"/>
  <c r="F72" i="1"/>
  <c r="C72" i="1"/>
  <c r="AC71" i="1"/>
  <c r="AD71" i="1" s="1"/>
  <c r="AA71" i="1"/>
  <c r="W71" i="1"/>
  <c r="X71" i="1" s="1"/>
  <c r="U71" i="1"/>
  <c r="R71" i="1"/>
  <c r="O71" i="1"/>
  <c r="N71" i="1"/>
  <c r="L71" i="1"/>
  <c r="H71" i="1"/>
  <c r="I71" i="1" s="1"/>
  <c r="F71" i="1"/>
  <c r="C71" i="1"/>
  <c r="AC70" i="1"/>
  <c r="AD70" i="1" s="1"/>
  <c r="AA70" i="1"/>
  <c r="W70" i="1"/>
  <c r="X70" i="1" s="1"/>
  <c r="U70" i="1"/>
  <c r="R70" i="1"/>
  <c r="O70" i="1"/>
  <c r="N70" i="1"/>
  <c r="L70" i="1"/>
  <c r="H70" i="1"/>
  <c r="I70" i="1" s="1"/>
  <c r="F70" i="1"/>
  <c r="C70" i="1"/>
  <c r="AC69" i="1"/>
  <c r="AD69" i="1" s="1"/>
  <c r="AA69" i="1"/>
  <c r="X69" i="1"/>
  <c r="W69" i="1"/>
  <c r="U69" i="1"/>
  <c r="R69" i="1"/>
  <c r="N69" i="1"/>
  <c r="O69" i="1" s="1"/>
  <c r="L69" i="1"/>
  <c r="H69" i="1"/>
  <c r="I69" i="1" s="1"/>
  <c r="F69" i="1"/>
  <c r="C69" i="1"/>
  <c r="AC68" i="1"/>
  <c r="AD68" i="1" s="1"/>
  <c r="AA68" i="1"/>
  <c r="X68" i="1"/>
  <c r="W68" i="1"/>
  <c r="U68" i="1"/>
  <c r="R68" i="1"/>
  <c r="N68" i="1"/>
  <c r="O68" i="1" s="1"/>
  <c r="L68" i="1"/>
  <c r="I68" i="1"/>
  <c r="H68" i="1"/>
  <c r="F68" i="1"/>
  <c r="C68" i="1"/>
  <c r="AC67" i="1"/>
  <c r="AD67" i="1" s="1"/>
  <c r="AA67" i="1"/>
  <c r="W67" i="1"/>
  <c r="X67" i="1" s="1"/>
  <c r="U67" i="1"/>
  <c r="R67" i="1"/>
  <c r="O67" i="1"/>
  <c r="N67" i="1"/>
  <c r="L67" i="1"/>
  <c r="H67" i="1"/>
  <c r="I67" i="1" s="1"/>
  <c r="F67" i="1"/>
  <c r="C67" i="1"/>
  <c r="AC66" i="1"/>
  <c r="AD66" i="1" s="1"/>
  <c r="AA66" i="1"/>
  <c r="W66" i="1"/>
  <c r="X66" i="1" s="1"/>
  <c r="U66" i="1"/>
  <c r="R66" i="1"/>
  <c r="O66" i="1"/>
  <c r="N66" i="1"/>
  <c r="L66" i="1"/>
  <c r="H66" i="1"/>
  <c r="I66" i="1" s="1"/>
  <c r="F66" i="1"/>
  <c r="C66" i="1"/>
  <c r="AC65" i="1"/>
  <c r="AD65" i="1" s="1"/>
  <c r="AA65" i="1"/>
  <c r="X65" i="1"/>
  <c r="W65" i="1"/>
  <c r="U65" i="1"/>
  <c r="R65" i="1"/>
  <c r="N65" i="1"/>
  <c r="O65" i="1" s="1"/>
  <c r="L65" i="1"/>
  <c r="H65" i="1"/>
  <c r="I65" i="1" s="1"/>
  <c r="F65" i="1"/>
  <c r="C65" i="1"/>
  <c r="AC64" i="1"/>
  <c r="AD64" i="1" s="1"/>
  <c r="AA64" i="1"/>
  <c r="X64" i="1"/>
  <c r="W64" i="1"/>
  <c r="U64" i="1"/>
  <c r="R64" i="1"/>
  <c r="N64" i="1"/>
  <c r="O64" i="1" s="1"/>
  <c r="L64" i="1"/>
  <c r="H64" i="1"/>
  <c r="I64" i="1" s="1"/>
  <c r="F64" i="1"/>
  <c r="C64" i="1"/>
  <c r="Z62" i="1"/>
  <c r="AA62" i="1" s="1"/>
  <c r="W62" i="1"/>
  <c r="X62" i="1" s="1"/>
  <c r="T62" i="1"/>
  <c r="U62" i="1" s="1"/>
  <c r="Q62" i="1"/>
  <c r="R62" i="1" s="1"/>
  <c r="K62" i="1"/>
  <c r="L62" i="1" s="1"/>
  <c r="E62" i="1"/>
  <c r="F62" i="1" s="1"/>
  <c r="B62" i="1"/>
  <c r="H62" i="1" s="1"/>
  <c r="I62" i="1" s="1"/>
  <c r="Z61" i="1"/>
  <c r="AA61" i="1" s="1"/>
  <c r="T61" i="1"/>
  <c r="U61" i="1" s="1"/>
  <c r="Q61" i="1"/>
  <c r="W61" i="1" s="1"/>
  <c r="X61" i="1" s="1"/>
  <c r="K61" i="1"/>
  <c r="L61" i="1" s="1"/>
  <c r="E61" i="1"/>
  <c r="H61" i="1" s="1"/>
  <c r="I61" i="1" s="1"/>
  <c r="B61" i="1"/>
  <c r="C61" i="1" s="1"/>
  <c r="AC60" i="1"/>
  <c r="AD60" i="1" s="1"/>
  <c r="AA60" i="1"/>
  <c r="W60" i="1"/>
  <c r="X60" i="1" s="1"/>
  <c r="U60" i="1"/>
  <c r="R60" i="1"/>
  <c r="O60" i="1"/>
  <c r="N60" i="1"/>
  <c r="L60" i="1"/>
  <c r="H60" i="1"/>
  <c r="I60" i="1" s="1"/>
  <c r="F60" i="1"/>
  <c r="C60" i="1"/>
  <c r="AC59" i="1"/>
  <c r="AD59" i="1" s="1"/>
  <c r="AA59" i="1"/>
  <c r="W59" i="1"/>
  <c r="X59" i="1" s="1"/>
  <c r="U59" i="1"/>
  <c r="R59" i="1"/>
  <c r="O59" i="1"/>
  <c r="N59" i="1"/>
  <c r="L59" i="1"/>
  <c r="H59" i="1"/>
  <c r="I59" i="1" s="1"/>
  <c r="F59" i="1"/>
  <c r="C59" i="1"/>
  <c r="AD58" i="1"/>
  <c r="AC58" i="1"/>
  <c r="AA58" i="1"/>
  <c r="X58" i="1"/>
  <c r="W58" i="1"/>
  <c r="U58" i="1"/>
  <c r="R58" i="1"/>
  <c r="N58" i="1"/>
  <c r="O58" i="1" s="1"/>
  <c r="L58" i="1"/>
  <c r="H58" i="1"/>
  <c r="I58" i="1" s="1"/>
  <c r="F58" i="1"/>
  <c r="C58" i="1"/>
  <c r="AC57" i="1"/>
  <c r="AD57" i="1" s="1"/>
  <c r="AA57" i="1"/>
  <c r="X57" i="1"/>
  <c r="W57" i="1"/>
  <c r="U57" i="1"/>
  <c r="R57" i="1"/>
  <c r="N57" i="1"/>
  <c r="O57" i="1" s="1"/>
  <c r="L57" i="1"/>
  <c r="H57" i="1"/>
  <c r="I57" i="1" s="1"/>
  <c r="F57" i="1"/>
  <c r="C57" i="1"/>
  <c r="AC56" i="1"/>
  <c r="AD56" i="1" s="1"/>
  <c r="AA56" i="1"/>
  <c r="W56" i="1"/>
  <c r="X56" i="1" s="1"/>
  <c r="U56" i="1"/>
  <c r="R56" i="1"/>
  <c r="O56" i="1"/>
  <c r="N56" i="1"/>
  <c r="L56" i="1"/>
  <c r="H56" i="1"/>
  <c r="I56" i="1" s="1"/>
  <c r="F56" i="1"/>
  <c r="C56" i="1"/>
  <c r="AC55" i="1"/>
  <c r="AD55" i="1" s="1"/>
  <c r="AA55" i="1"/>
  <c r="W55" i="1"/>
  <c r="X55" i="1" s="1"/>
  <c r="U55" i="1"/>
  <c r="R55" i="1"/>
  <c r="O55" i="1"/>
  <c r="N55" i="1"/>
  <c r="L55" i="1"/>
  <c r="H55" i="1"/>
  <c r="I55" i="1" s="1"/>
  <c r="F55" i="1"/>
  <c r="C55" i="1"/>
  <c r="AC54" i="1"/>
  <c r="AD54" i="1" s="1"/>
  <c r="AA54" i="1"/>
  <c r="X54" i="1"/>
  <c r="W54" i="1"/>
  <c r="U54" i="1"/>
  <c r="R54" i="1"/>
  <c r="N54" i="1"/>
  <c r="O54" i="1" s="1"/>
  <c r="L54" i="1"/>
  <c r="H54" i="1"/>
  <c r="I54" i="1" s="1"/>
  <c r="F54" i="1"/>
  <c r="C54" i="1"/>
  <c r="AC53" i="1"/>
  <c r="AD53" i="1" s="1"/>
  <c r="AA53" i="1"/>
  <c r="X53" i="1"/>
  <c r="W53" i="1"/>
  <c r="U53" i="1"/>
  <c r="R53" i="1"/>
  <c r="N53" i="1"/>
  <c r="O53" i="1" s="1"/>
  <c r="L53" i="1"/>
  <c r="H53" i="1"/>
  <c r="I53" i="1" s="1"/>
  <c r="F53" i="1"/>
  <c r="C53" i="1"/>
  <c r="AC52" i="1"/>
  <c r="AD52" i="1" s="1"/>
  <c r="AA52" i="1"/>
  <c r="W52" i="1"/>
  <c r="X52" i="1" s="1"/>
  <c r="U52" i="1"/>
  <c r="R52" i="1"/>
  <c r="O52" i="1"/>
  <c r="N52" i="1"/>
  <c r="L52" i="1"/>
  <c r="H52" i="1"/>
  <c r="I52" i="1" s="1"/>
  <c r="F52" i="1"/>
  <c r="C52" i="1"/>
  <c r="AC51" i="1"/>
  <c r="AD51" i="1" s="1"/>
  <c r="AA51" i="1"/>
  <c r="W51" i="1"/>
  <c r="X51" i="1" s="1"/>
  <c r="U51" i="1"/>
  <c r="R51" i="1"/>
  <c r="O51" i="1"/>
  <c r="N51" i="1"/>
  <c r="L51" i="1"/>
  <c r="H51" i="1"/>
  <c r="I51" i="1" s="1"/>
  <c r="F51" i="1"/>
  <c r="C51" i="1"/>
  <c r="AC50" i="1"/>
  <c r="AD50" i="1" s="1"/>
  <c r="AA50" i="1"/>
  <c r="X50" i="1"/>
  <c r="W50" i="1"/>
  <c r="U50" i="1"/>
  <c r="R50" i="1"/>
  <c r="N50" i="1"/>
  <c r="O50" i="1" s="1"/>
  <c r="L50" i="1"/>
  <c r="H50" i="1"/>
  <c r="I50" i="1" s="1"/>
  <c r="F50" i="1"/>
  <c r="C50" i="1"/>
  <c r="AC49" i="1"/>
  <c r="AD49" i="1" s="1"/>
  <c r="AA49" i="1"/>
  <c r="X49" i="1"/>
  <c r="W49" i="1"/>
  <c r="U49" i="1"/>
  <c r="R49" i="1"/>
  <c r="N49" i="1"/>
  <c r="O49" i="1" s="1"/>
  <c r="L49" i="1"/>
  <c r="I49" i="1"/>
  <c r="H49" i="1"/>
  <c r="F49" i="1"/>
  <c r="C49" i="1"/>
  <c r="AC48" i="1"/>
  <c r="AD48" i="1" s="1"/>
  <c r="AA48" i="1"/>
  <c r="W48" i="1"/>
  <c r="X48" i="1" s="1"/>
  <c r="U48" i="1"/>
  <c r="R48" i="1"/>
  <c r="O48" i="1"/>
  <c r="N48" i="1"/>
  <c r="L48" i="1"/>
  <c r="H48" i="1"/>
  <c r="I48" i="1" s="1"/>
  <c r="F48" i="1"/>
  <c r="C48" i="1"/>
  <c r="AC47" i="1"/>
  <c r="AD47" i="1" s="1"/>
  <c r="AA47" i="1"/>
  <c r="W47" i="1"/>
  <c r="X47" i="1" s="1"/>
  <c r="U47" i="1"/>
  <c r="R47" i="1"/>
  <c r="O47" i="1"/>
  <c r="N47" i="1"/>
  <c r="L47" i="1"/>
  <c r="H47" i="1"/>
  <c r="I47" i="1" s="1"/>
  <c r="F47" i="1"/>
  <c r="C47" i="1"/>
  <c r="AC46" i="1"/>
  <c r="AD46" i="1" s="1"/>
  <c r="AA46" i="1"/>
  <c r="X46" i="1"/>
  <c r="W46" i="1"/>
  <c r="U46" i="1"/>
  <c r="R46" i="1"/>
  <c r="N46" i="1"/>
  <c r="O46" i="1" s="1"/>
  <c r="L46" i="1"/>
  <c r="H46" i="1"/>
  <c r="I46" i="1" s="1"/>
  <c r="F46" i="1"/>
  <c r="C46" i="1"/>
  <c r="AC44" i="1"/>
  <c r="AD44" i="1" s="1"/>
  <c r="AA44" i="1"/>
  <c r="X44" i="1"/>
  <c r="W44" i="1"/>
  <c r="U44" i="1"/>
  <c r="R44" i="1"/>
  <c r="N44" i="1"/>
  <c r="O44" i="1" s="1"/>
  <c r="L44" i="1"/>
  <c r="H44" i="1"/>
  <c r="I44" i="1" s="1"/>
  <c r="F44" i="1"/>
  <c r="C44" i="1"/>
  <c r="AC43" i="1"/>
  <c r="AD43" i="1" s="1"/>
  <c r="AA43" i="1"/>
  <c r="W43" i="1"/>
  <c r="X43" i="1" s="1"/>
  <c r="U43" i="1"/>
  <c r="R43" i="1"/>
  <c r="O43" i="1"/>
  <c r="N43" i="1"/>
  <c r="L43" i="1"/>
  <c r="H43" i="1"/>
  <c r="I43" i="1" s="1"/>
  <c r="F43" i="1"/>
  <c r="C43" i="1"/>
  <c r="AC42" i="1"/>
  <c r="AD42" i="1" s="1"/>
  <c r="AA42" i="1"/>
  <c r="W42" i="1"/>
  <c r="X42" i="1" s="1"/>
  <c r="U42" i="1"/>
  <c r="R42" i="1"/>
  <c r="O42" i="1"/>
  <c r="N42" i="1"/>
  <c r="L42" i="1"/>
  <c r="H42" i="1"/>
  <c r="I42" i="1" s="1"/>
  <c r="F42" i="1"/>
  <c r="C42" i="1"/>
  <c r="Z40" i="1"/>
  <c r="AA40" i="1" s="1"/>
  <c r="T40" i="1"/>
  <c r="U40" i="1" s="1"/>
  <c r="Q40" i="1"/>
  <c r="W40" i="1" s="1"/>
  <c r="X40" i="1" s="1"/>
  <c r="K40" i="1"/>
  <c r="L40" i="1" s="1"/>
  <c r="F40" i="1"/>
  <c r="E40" i="1"/>
  <c r="H40" i="1" s="1"/>
  <c r="I40" i="1" s="1"/>
  <c r="B40" i="1"/>
  <c r="C40" i="1" s="1"/>
  <c r="AC39" i="1"/>
  <c r="AD39" i="1" s="1"/>
  <c r="AA39" i="1"/>
  <c r="W39" i="1"/>
  <c r="X39" i="1" s="1"/>
  <c r="U39" i="1"/>
  <c r="R39" i="1"/>
  <c r="O39" i="1"/>
  <c r="N39" i="1"/>
  <c r="L39" i="1"/>
  <c r="H39" i="1"/>
  <c r="I39" i="1" s="1"/>
  <c r="F39" i="1"/>
  <c r="C39" i="1"/>
  <c r="AC38" i="1"/>
  <c r="AD38" i="1" s="1"/>
  <c r="AA38" i="1"/>
  <c r="W38" i="1"/>
  <c r="X38" i="1" s="1"/>
  <c r="U38" i="1"/>
  <c r="R38" i="1"/>
  <c r="O38" i="1"/>
  <c r="N38" i="1"/>
  <c r="L38" i="1"/>
  <c r="H38" i="1"/>
  <c r="I38" i="1" s="1"/>
  <c r="F38" i="1"/>
  <c r="C38" i="1"/>
  <c r="AC37" i="1"/>
  <c r="AD37" i="1" s="1"/>
  <c r="AA37" i="1"/>
  <c r="X37" i="1"/>
  <c r="W37" i="1"/>
  <c r="U37" i="1"/>
  <c r="R37" i="1"/>
  <c r="N37" i="1"/>
  <c r="O37" i="1" s="1"/>
  <c r="L37" i="1"/>
  <c r="H37" i="1"/>
  <c r="I37" i="1" s="1"/>
  <c r="F37" i="1"/>
  <c r="C37" i="1"/>
  <c r="AC36" i="1"/>
  <c r="AD36" i="1" s="1"/>
  <c r="AA36" i="1"/>
  <c r="X36" i="1"/>
  <c r="W36" i="1"/>
  <c r="U36" i="1"/>
  <c r="R36" i="1"/>
  <c r="N36" i="1"/>
  <c r="O36" i="1" s="1"/>
  <c r="L36" i="1"/>
  <c r="H36" i="1"/>
  <c r="I36" i="1" s="1"/>
  <c r="F36" i="1"/>
  <c r="C36" i="1"/>
  <c r="AC35" i="1"/>
  <c r="AD35" i="1" s="1"/>
  <c r="AA35" i="1"/>
  <c r="W35" i="1"/>
  <c r="X35" i="1" s="1"/>
  <c r="U35" i="1"/>
  <c r="R35" i="1"/>
  <c r="O35" i="1"/>
  <c r="N35" i="1"/>
  <c r="L35" i="1"/>
  <c r="H35" i="1"/>
  <c r="I35" i="1" s="1"/>
  <c r="F35" i="1"/>
  <c r="C35" i="1"/>
  <c r="AC34" i="1"/>
  <c r="AD34" i="1" s="1"/>
  <c r="AA34" i="1"/>
  <c r="W34" i="1"/>
  <c r="X34" i="1" s="1"/>
  <c r="U34" i="1"/>
  <c r="R34" i="1"/>
  <c r="O34" i="1"/>
  <c r="N34" i="1"/>
  <c r="L34" i="1"/>
  <c r="H34" i="1"/>
  <c r="I34" i="1" s="1"/>
  <c r="F34" i="1"/>
  <c r="C34" i="1"/>
  <c r="AC33" i="1"/>
  <c r="AD33" i="1" s="1"/>
  <c r="AA33" i="1"/>
  <c r="X33" i="1"/>
  <c r="W33" i="1"/>
  <c r="U33" i="1"/>
  <c r="R33" i="1"/>
  <c r="N33" i="1"/>
  <c r="O33" i="1" s="1"/>
  <c r="L33" i="1"/>
  <c r="H33" i="1"/>
  <c r="I33" i="1" s="1"/>
  <c r="F33" i="1"/>
  <c r="C33" i="1"/>
  <c r="AC32" i="1"/>
  <c r="AD32" i="1" s="1"/>
  <c r="AA32" i="1"/>
  <c r="X32" i="1"/>
  <c r="W32" i="1"/>
  <c r="U32" i="1"/>
  <c r="R32" i="1"/>
  <c r="N32" i="1"/>
  <c r="O32" i="1" s="1"/>
  <c r="L32" i="1"/>
  <c r="H32" i="1"/>
  <c r="I32" i="1" s="1"/>
  <c r="F32" i="1"/>
  <c r="C32" i="1"/>
  <c r="AC31" i="1"/>
  <c r="AD31" i="1" s="1"/>
  <c r="AA31" i="1"/>
  <c r="W31" i="1"/>
  <c r="X31" i="1" s="1"/>
  <c r="U31" i="1"/>
  <c r="R31" i="1"/>
  <c r="O31" i="1"/>
  <c r="N31" i="1"/>
  <c r="L31" i="1"/>
  <c r="H31" i="1"/>
  <c r="I31" i="1" s="1"/>
  <c r="F31" i="1"/>
  <c r="C31" i="1"/>
  <c r="Z29" i="1"/>
  <c r="AA29" i="1" s="1"/>
  <c r="T29" i="1"/>
  <c r="W29" i="1" s="1"/>
  <c r="X29" i="1" s="1"/>
  <c r="Q29" i="1"/>
  <c r="R29" i="1" s="1"/>
  <c r="K29" i="1"/>
  <c r="L29" i="1" s="1"/>
  <c r="H29" i="1"/>
  <c r="I29" i="1" s="1"/>
  <c r="E29" i="1"/>
  <c r="F29" i="1" s="1"/>
  <c r="B29" i="1"/>
  <c r="C29" i="1" s="1"/>
  <c r="AC28" i="1"/>
  <c r="AD28" i="1" s="1"/>
  <c r="AA28" i="1"/>
  <c r="X28" i="1"/>
  <c r="W28" i="1"/>
  <c r="U28" i="1"/>
  <c r="R28" i="1"/>
  <c r="N28" i="1"/>
  <c r="O28" i="1" s="1"/>
  <c r="L28" i="1"/>
  <c r="H28" i="1"/>
  <c r="I28" i="1" s="1"/>
  <c r="F28" i="1"/>
  <c r="C28" i="1"/>
  <c r="AC27" i="1"/>
  <c r="AD27" i="1" s="1"/>
  <c r="AA27" i="1"/>
  <c r="W27" i="1"/>
  <c r="X27" i="1" s="1"/>
  <c r="U27" i="1"/>
  <c r="R27" i="1"/>
  <c r="O27" i="1"/>
  <c r="N27" i="1"/>
  <c r="L27" i="1"/>
  <c r="H27" i="1"/>
  <c r="I27" i="1" s="1"/>
  <c r="F27" i="1"/>
  <c r="C27" i="1"/>
  <c r="AC26" i="1"/>
  <c r="AD26" i="1" s="1"/>
  <c r="AA26" i="1"/>
  <c r="W26" i="1"/>
  <c r="X26" i="1" s="1"/>
  <c r="U26" i="1"/>
  <c r="R26" i="1"/>
  <c r="O26" i="1"/>
  <c r="N26" i="1"/>
  <c r="L26" i="1"/>
  <c r="H26" i="1"/>
  <c r="I26" i="1" s="1"/>
  <c r="F26" i="1"/>
  <c r="C26" i="1"/>
  <c r="AD25" i="1"/>
  <c r="AC25" i="1"/>
  <c r="AA25" i="1"/>
  <c r="X25" i="1"/>
  <c r="W25" i="1"/>
  <c r="U25" i="1"/>
  <c r="R25" i="1"/>
  <c r="N25" i="1"/>
  <c r="O25" i="1" s="1"/>
  <c r="L25" i="1"/>
  <c r="H25" i="1"/>
  <c r="I25" i="1" s="1"/>
  <c r="F25" i="1"/>
  <c r="C25" i="1"/>
  <c r="AC24" i="1"/>
  <c r="AD24" i="1" s="1"/>
  <c r="AA24" i="1"/>
  <c r="X24" i="1"/>
  <c r="W24" i="1"/>
  <c r="U24" i="1"/>
  <c r="R24" i="1"/>
  <c r="N24" i="1"/>
  <c r="O24" i="1" s="1"/>
  <c r="L24" i="1"/>
  <c r="H24" i="1"/>
  <c r="I24" i="1" s="1"/>
  <c r="F24" i="1"/>
  <c r="C24" i="1"/>
  <c r="AC23" i="1"/>
  <c r="AD23" i="1" s="1"/>
  <c r="AA23" i="1"/>
  <c r="W23" i="1"/>
  <c r="X23" i="1" s="1"/>
  <c r="U23" i="1"/>
  <c r="R23" i="1"/>
  <c r="O23" i="1"/>
  <c r="N23" i="1"/>
  <c r="L23" i="1"/>
  <c r="H23" i="1"/>
  <c r="I23" i="1" s="1"/>
  <c r="F23" i="1"/>
  <c r="C23" i="1"/>
  <c r="AC22" i="1"/>
  <c r="AD22" i="1" s="1"/>
  <c r="AA22" i="1"/>
  <c r="W22" i="1"/>
  <c r="X22" i="1" s="1"/>
  <c r="U22" i="1"/>
  <c r="R22" i="1"/>
  <c r="O22" i="1"/>
  <c r="N22" i="1"/>
  <c r="L22" i="1"/>
  <c r="H22" i="1"/>
  <c r="I22" i="1" s="1"/>
  <c r="F22" i="1"/>
  <c r="C22" i="1"/>
  <c r="AD21" i="1"/>
  <c r="AC21" i="1"/>
  <c r="AA21" i="1"/>
  <c r="X21" i="1"/>
  <c r="W21" i="1"/>
  <c r="U21" i="1"/>
  <c r="R21" i="1"/>
  <c r="N21" i="1"/>
  <c r="O21" i="1" s="1"/>
  <c r="L21" i="1"/>
  <c r="H21" i="1"/>
  <c r="I21" i="1" s="1"/>
  <c r="F21" i="1"/>
  <c r="C21" i="1"/>
  <c r="AC19" i="1"/>
  <c r="AD19" i="1" s="1"/>
  <c r="AA19" i="1"/>
  <c r="X19" i="1"/>
  <c r="W19" i="1"/>
  <c r="U19" i="1"/>
  <c r="R19" i="1"/>
  <c r="N19" i="1"/>
  <c r="O19" i="1" s="1"/>
  <c r="L19" i="1"/>
  <c r="H19" i="1"/>
  <c r="I19" i="1" s="1"/>
  <c r="F19" i="1"/>
  <c r="C19" i="1"/>
  <c r="Z18" i="1"/>
  <c r="AA18" i="1" s="1"/>
  <c r="W18" i="1"/>
  <c r="X18" i="1" s="1"/>
  <c r="T18" i="1"/>
  <c r="U18" i="1" s="1"/>
  <c r="Q18" i="1"/>
  <c r="R18" i="1" s="1"/>
  <c r="K18" i="1"/>
  <c r="N18" i="1" s="1"/>
  <c r="O18" i="1" s="1"/>
  <c r="E18" i="1"/>
  <c r="F18" i="1" s="1"/>
  <c r="B18" i="1"/>
  <c r="AD17" i="1"/>
  <c r="AC17" i="1"/>
  <c r="AA17" i="1"/>
  <c r="X17" i="1"/>
  <c r="W17" i="1"/>
  <c r="U17" i="1"/>
  <c r="R17" i="1"/>
  <c r="O17" i="1"/>
  <c r="N17" i="1"/>
  <c r="L17" i="1"/>
  <c r="H17" i="1"/>
  <c r="I17" i="1" s="1"/>
  <c r="F17" i="1"/>
  <c r="C17" i="1"/>
  <c r="AC16" i="1"/>
  <c r="AD16" i="1" s="1"/>
  <c r="AA16" i="1"/>
  <c r="X16" i="1"/>
  <c r="W16" i="1"/>
  <c r="U16" i="1"/>
  <c r="R16" i="1"/>
  <c r="N16" i="1"/>
  <c r="O16" i="1" s="1"/>
  <c r="L16" i="1"/>
  <c r="I16" i="1"/>
  <c r="H16" i="1"/>
  <c r="F16" i="1"/>
  <c r="C16" i="1"/>
  <c r="AC15" i="1"/>
  <c r="AD15" i="1" s="1"/>
  <c r="AA15" i="1"/>
  <c r="W15" i="1"/>
  <c r="X15" i="1" s="1"/>
  <c r="U15" i="1"/>
  <c r="R15" i="1"/>
  <c r="O15" i="1"/>
  <c r="N15" i="1"/>
  <c r="L15" i="1"/>
  <c r="H15" i="1"/>
  <c r="I15" i="1" s="1"/>
  <c r="F15" i="1"/>
  <c r="C15" i="1"/>
  <c r="AC14" i="1"/>
  <c r="AD14" i="1" s="1"/>
  <c r="AA14" i="1"/>
  <c r="W14" i="1"/>
  <c r="X14" i="1" s="1"/>
  <c r="U14" i="1"/>
  <c r="R14" i="1"/>
  <c r="O14" i="1"/>
  <c r="N14" i="1"/>
  <c r="L14" i="1"/>
  <c r="H14" i="1"/>
  <c r="I14" i="1" s="1"/>
  <c r="F14" i="1"/>
  <c r="C14" i="1"/>
  <c r="AC13" i="1"/>
  <c r="AD13" i="1" s="1"/>
  <c r="AA13" i="1"/>
  <c r="X13" i="1"/>
  <c r="W13" i="1"/>
  <c r="U13" i="1"/>
  <c r="R13" i="1"/>
  <c r="O13" i="1"/>
  <c r="N13" i="1"/>
  <c r="L13" i="1"/>
  <c r="H13" i="1"/>
  <c r="I13" i="1" s="1"/>
  <c r="F13" i="1"/>
  <c r="C13" i="1"/>
  <c r="AC12" i="1"/>
  <c r="AD12" i="1" s="1"/>
  <c r="AA12" i="1"/>
  <c r="X12" i="1"/>
  <c r="W12" i="1"/>
  <c r="U12" i="1"/>
  <c r="R12" i="1"/>
  <c r="N12" i="1"/>
  <c r="O12" i="1" s="1"/>
  <c r="L12" i="1"/>
  <c r="I12" i="1"/>
  <c r="H12" i="1"/>
  <c r="F12" i="1"/>
  <c r="C12" i="1"/>
  <c r="AC11" i="1"/>
  <c r="AD11" i="1" s="1"/>
  <c r="AA11" i="1"/>
  <c r="W11" i="1"/>
  <c r="X11" i="1" s="1"/>
  <c r="U11" i="1"/>
  <c r="R11" i="1"/>
  <c r="O11" i="1"/>
  <c r="N11" i="1"/>
  <c r="L11" i="1"/>
  <c r="H11" i="1"/>
  <c r="I11" i="1" s="1"/>
  <c r="F11" i="1"/>
  <c r="C11" i="1"/>
  <c r="AC10" i="1"/>
  <c r="AD10" i="1" s="1"/>
  <c r="AA10" i="1"/>
  <c r="W10" i="1"/>
  <c r="X10" i="1" s="1"/>
  <c r="U10" i="1"/>
  <c r="R10" i="1"/>
  <c r="O10" i="1"/>
  <c r="N10" i="1"/>
  <c r="L10" i="1"/>
  <c r="H10" i="1"/>
  <c r="I10" i="1" s="1"/>
  <c r="F10" i="1"/>
  <c r="C10" i="1"/>
  <c r="AC8" i="1"/>
  <c r="AD8" i="1" s="1"/>
  <c r="AA8" i="1"/>
  <c r="X8" i="1"/>
  <c r="W8" i="1"/>
  <c r="U8" i="1"/>
  <c r="R8" i="1"/>
  <c r="O8" i="1"/>
  <c r="N8" i="1"/>
  <c r="L8" i="1"/>
  <c r="H8" i="1"/>
  <c r="I8" i="1" s="1"/>
  <c r="F8" i="1"/>
  <c r="C8" i="1"/>
  <c r="R61" i="1" l="1"/>
  <c r="R218" i="1"/>
  <c r="R285" i="1"/>
  <c r="H196" i="2"/>
  <c r="I196" i="2" s="1"/>
  <c r="C196" i="2"/>
  <c r="N196" i="2"/>
  <c r="O196" i="2" s="1"/>
  <c r="U29" i="1"/>
  <c r="B198" i="1"/>
  <c r="H172" i="1"/>
  <c r="I172" i="1" s="1"/>
  <c r="AC40" i="1"/>
  <c r="AD40" i="1" s="1"/>
  <c r="AC61" i="1"/>
  <c r="AD61" i="1" s="1"/>
  <c r="AC148" i="1"/>
  <c r="AD148" i="1" s="1"/>
  <c r="N170" i="1"/>
  <c r="O170" i="1" s="1"/>
  <c r="C172" i="1"/>
  <c r="N182" i="1"/>
  <c r="O182" i="1" s="1"/>
  <c r="AC197" i="1"/>
  <c r="AD197" i="1" s="1"/>
  <c r="AC218" i="1"/>
  <c r="AD218" i="1" s="1"/>
  <c r="C264" i="1"/>
  <c r="AC285" i="1"/>
  <c r="AD285" i="1" s="1"/>
  <c r="C359" i="1"/>
  <c r="U404" i="1"/>
  <c r="R430" i="1"/>
  <c r="W62" i="2"/>
  <c r="X62" i="2" s="1"/>
  <c r="U197" i="2"/>
  <c r="AA218" i="2"/>
  <c r="AC218" i="2"/>
  <c r="AD218" i="2" s="1"/>
  <c r="H369" i="3"/>
  <c r="I369" i="3" s="1"/>
  <c r="N369" i="3"/>
  <c r="O369" i="3" s="1"/>
  <c r="AA198" i="4"/>
  <c r="Z346" i="4"/>
  <c r="W18" i="2"/>
  <c r="X18" i="2" s="1"/>
  <c r="R18" i="2"/>
  <c r="AC274" i="3"/>
  <c r="AD274" i="3" s="1"/>
  <c r="AA274" i="3"/>
  <c r="L18" i="1"/>
  <c r="R40" i="1"/>
  <c r="U141" i="1"/>
  <c r="R148" i="1"/>
  <c r="F430" i="1"/>
  <c r="W263" i="3"/>
  <c r="X263" i="3" s="1"/>
  <c r="AC263" i="3"/>
  <c r="AD263" i="3" s="1"/>
  <c r="R263" i="3"/>
  <c r="N443" i="1"/>
  <c r="O443" i="1" s="1"/>
  <c r="H443" i="1"/>
  <c r="I443" i="1" s="1"/>
  <c r="H218" i="3"/>
  <c r="I218" i="3" s="1"/>
  <c r="N218" i="3"/>
  <c r="O218" i="3" s="1"/>
  <c r="C218" i="3"/>
  <c r="N430" i="3"/>
  <c r="O430" i="3" s="1"/>
  <c r="L430" i="3"/>
  <c r="C443" i="1"/>
  <c r="AC88" i="1"/>
  <c r="AD88" i="1" s="1"/>
  <c r="C236" i="1"/>
  <c r="AC325" i="1"/>
  <c r="AD325" i="1" s="1"/>
  <c r="U343" i="1"/>
  <c r="E198" i="2"/>
  <c r="F172" i="2"/>
  <c r="H218" i="2"/>
  <c r="I218" i="2" s="1"/>
  <c r="N218" i="2"/>
  <c r="O218" i="2" s="1"/>
  <c r="W118" i="3"/>
  <c r="X118" i="3" s="1"/>
  <c r="AC118" i="3"/>
  <c r="AD118" i="3" s="1"/>
  <c r="H141" i="3"/>
  <c r="I141" i="3" s="1"/>
  <c r="N141" i="3"/>
  <c r="O141" i="3" s="1"/>
  <c r="C141" i="3"/>
  <c r="C369" i="3"/>
  <c r="T172" i="6"/>
  <c r="W124" i="6"/>
  <c r="X124" i="6" s="1"/>
  <c r="U124" i="6"/>
  <c r="W88" i="2"/>
  <c r="X88" i="2" s="1"/>
  <c r="AC88" i="2"/>
  <c r="AD88" i="2" s="1"/>
  <c r="U171" i="1"/>
  <c r="R197" i="1"/>
  <c r="U263" i="1"/>
  <c r="AA268" i="2"/>
  <c r="AA172" i="1"/>
  <c r="W209" i="2"/>
  <c r="X209" i="2" s="1"/>
  <c r="AC209" i="2"/>
  <c r="AD209" i="2" s="1"/>
  <c r="R209" i="2"/>
  <c r="W345" i="3"/>
  <c r="X345" i="3" s="1"/>
  <c r="R345" i="3"/>
  <c r="AC345" i="3"/>
  <c r="AD345" i="3" s="1"/>
  <c r="U274" i="1"/>
  <c r="T346" i="2"/>
  <c r="U198" i="2"/>
  <c r="H394" i="4"/>
  <c r="I394" i="4" s="1"/>
  <c r="C394" i="4"/>
  <c r="N394" i="4"/>
  <c r="O394" i="4" s="1"/>
  <c r="H18" i="1"/>
  <c r="I18" i="1" s="1"/>
  <c r="C18" i="1"/>
  <c r="F61" i="1"/>
  <c r="U73" i="1"/>
  <c r="C122" i="1"/>
  <c r="L124" i="1"/>
  <c r="F148" i="1"/>
  <c r="N172" i="1"/>
  <c r="O172" i="1" s="1"/>
  <c r="F197" i="1"/>
  <c r="K198" i="1"/>
  <c r="AC209" i="1"/>
  <c r="AD209" i="1" s="1"/>
  <c r="F218" i="1"/>
  <c r="F285" i="1"/>
  <c r="C296" i="1"/>
  <c r="Z346" i="1"/>
  <c r="U394" i="1"/>
  <c r="U397" i="1"/>
  <c r="R442" i="1"/>
  <c r="AC442" i="1"/>
  <c r="AD442" i="1" s="1"/>
  <c r="W442" i="1"/>
  <c r="X442" i="1" s="1"/>
  <c r="C218" i="2"/>
  <c r="W397" i="2"/>
  <c r="X397" i="2" s="1"/>
  <c r="U397" i="2"/>
  <c r="H149" i="3"/>
  <c r="I149" i="3" s="1"/>
  <c r="F149" i="3"/>
  <c r="H40" i="4"/>
  <c r="I40" i="4" s="1"/>
  <c r="F40" i="4"/>
  <c r="W264" i="4"/>
  <c r="X264" i="4" s="1"/>
  <c r="AC264" i="4"/>
  <c r="AD264" i="4" s="1"/>
  <c r="U118" i="5"/>
  <c r="W118" i="5"/>
  <c r="X118" i="5" s="1"/>
  <c r="C218" i="5"/>
  <c r="H218" i="5"/>
  <c r="I218" i="5" s="1"/>
  <c r="N218" i="5"/>
  <c r="O218" i="5" s="1"/>
  <c r="C170" i="1"/>
  <c r="C182" i="1"/>
  <c r="E172" i="3"/>
  <c r="H124" i="3"/>
  <c r="I124" i="3" s="1"/>
  <c r="R88" i="1"/>
  <c r="R325" i="1"/>
  <c r="N18" i="2"/>
  <c r="O18" i="2" s="1"/>
  <c r="H18" i="2"/>
  <c r="I18" i="2" s="1"/>
  <c r="B198" i="4"/>
  <c r="C172" i="4"/>
  <c r="N172" i="4"/>
  <c r="O172" i="4" s="1"/>
  <c r="R209" i="1"/>
  <c r="F442" i="1"/>
  <c r="H442" i="1"/>
  <c r="I442" i="1" s="1"/>
  <c r="AC18" i="2"/>
  <c r="AD18" i="2" s="1"/>
  <c r="W29" i="3"/>
  <c r="X29" i="3" s="1"/>
  <c r="AC29" i="3"/>
  <c r="AD29" i="3" s="1"/>
  <c r="K198" i="4"/>
  <c r="L172" i="4"/>
  <c r="F88" i="1"/>
  <c r="N264" i="1"/>
  <c r="O264" i="1" s="1"/>
  <c r="F325" i="1"/>
  <c r="N326" i="1"/>
  <c r="O326" i="1" s="1"/>
  <c r="N359" i="1"/>
  <c r="O359" i="1" s="1"/>
  <c r="AC430" i="1"/>
  <c r="AD430" i="1" s="1"/>
  <c r="W443" i="1"/>
  <c r="X443" i="1" s="1"/>
  <c r="R443" i="1"/>
  <c r="K198" i="2"/>
  <c r="L172" i="2"/>
  <c r="F197" i="2"/>
  <c r="H236" i="2"/>
  <c r="I236" i="2" s="1"/>
  <c r="N236" i="2"/>
  <c r="O236" i="2" s="1"/>
  <c r="C236" i="2"/>
  <c r="T346" i="3"/>
  <c r="U198" i="3"/>
  <c r="R264" i="4"/>
  <c r="AC122" i="1"/>
  <c r="AD122" i="1" s="1"/>
  <c r="N124" i="1"/>
  <c r="O124" i="1" s="1"/>
  <c r="N149" i="1"/>
  <c r="O149" i="1" s="1"/>
  <c r="N158" i="1"/>
  <c r="O158" i="1" s="1"/>
  <c r="AC170" i="1"/>
  <c r="AD170" i="1" s="1"/>
  <c r="AC359" i="1"/>
  <c r="AD359" i="1" s="1"/>
  <c r="N193" i="2"/>
  <c r="O193" i="2" s="1"/>
  <c r="H29" i="3"/>
  <c r="I29" i="3" s="1"/>
  <c r="N29" i="3"/>
  <c r="O29" i="3" s="1"/>
  <c r="H197" i="3"/>
  <c r="I197" i="3" s="1"/>
  <c r="N197" i="3"/>
  <c r="O197" i="3" s="1"/>
  <c r="C118" i="1"/>
  <c r="R296" i="1"/>
  <c r="R359" i="1"/>
  <c r="Z172" i="2"/>
  <c r="U263" i="2"/>
  <c r="L326" i="2"/>
  <c r="W73" i="3"/>
  <c r="X73" i="3" s="1"/>
  <c r="AC73" i="3"/>
  <c r="AD73" i="3" s="1"/>
  <c r="F88" i="4"/>
  <c r="AC18" i="1"/>
  <c r="AD18" i="1" s="1"/>
  <c r="N29" i="1"/>
  <c r="O29" i="1" s="1"/>
  <c r="AC62" i="1"/>
  <c r="AD62" i="1" s="1"/>
  <c r="N73" i="1"/>
  <c r="O73" i="1" s="1"/>
  <c r="AC118" i="1"/>
  <c r="AD118" i="1" s="1"/>
  <c r="AC124" i="1"/>
  <c r="AD124" i="1" s="1"/>
  <c r="N141" i="1"/>
  <c r="O141" i="1" s="1"/>
  <c r="AC149" i="1"/>
  <c r="AD149" i="1" s="1"/>
  <c r="AC158" i="1"/>
  <c r="AD158" i="1" s="1"/>
  <c r="AC166" i="1"/>
  <c r="AD166" i="1" s="1"/>
  <c r="N171" i="1"/>
  <c r="O171" i="1" s="1"/>
  <c r="T172" i="1"/>
  <c r="AC193" i="1"/>
  <c r="AD193" i="1" s="1"/>
  <c r="AC196" i="1"/>
  <c r="AD196" i="1" s="1"/>
  <c r="E198" i="1"/>
  <c r="Q198" i="1"/>
  <c r="AC227" i="1"/>
  <c r="AD227" i="1" s="1"/>
  <c r="N263" i="1"/>
  <c r="O263" i="1" s="1"/>
  <c r="N274" i="1"/>
  <c r="O274" i="1" s="1"/>
  <c r="AC326" i="1"/>
  <c r="AD326" i="1" s="1"/>
  <c r="N343" i="1"/>
  <c r="O343" i="1" s="1"/>
  <c r="N345" i="1"/>
  <c r="O345" i="1" s="1"/>
  <c r="N369" i="1"/>
  <c r="O369" i="1" s="1"/>
  <c r="N394" i="1"/>
  <c r="O394" i="1" s="1"/>
  <c r="N397" i="1"/>
  <c r="O397" i="1" s="1"/>
  <c r="N404" i="1"/>
  <c r="O404" i="1" s="1"/>
  <c r="AC429" i="1"/>
  <c r="AD429" i="1" s="1"/>
  <c r="N29" i="2"/>
  <c r="O29" i="2" s="1"/>
  <c r="AC29" i="2"/>
  <c r="AD29" i="2" s="1"/>
  <c r="AA40" i="2"/>
  <c r="N62" i="2"/>
  <c r="O62" i="2" s="1"/>
  <c r="H88" i="2"/>
  <c r="I88" i="2" s="1"/>
  <c r="W118" i="2"/>
  <c r="X118" i="2" s="1"/>
  <c r="U149" i="2"/>
  <c r="U193" i="2"/>
  <c r="F209" i="2"/>
  <c r="AC227" i="2"/>
  <c r="AD227" i="2" s="1"/>
  <c r="AC344" i="2"/>
  <c r="AD344" i="2" s="1"/>
  <c r="N369" i="2"/>
  <c r="O369" i="2" s="1"/>
  <c r="W394" i="2"/>
  <c r="X394" i="2" s="1"/>
  <c r="W404" i="2"/>
  <c r="X404" i="2" s="1"/>
  <c r="W442" i="2"/>
  <c r="X442" i="2" s="1"/>
  <c r="AC442" i="2"/>
  <c r="AD442" i="2" s="1"/>
  <c r="X27" i="3"/>
  <c r="X31" i="3"/>
  <c r="X33" i="3"/>
  <c r="X43" i="3"/>
  <c r="R73" i="3"/>
  <c r="X79" i="3"/>
  <c r="X81" i="3"/>
  <c r="X99" i="3"/>
  <c r="X101" i="3"/>
  <c r="X123" i="3"/>
  <c r="X146" i="3"/>
  <c r="W166" i="3"/>
  <c r="X166" i="3" s="1"/>
  <c r="R166" i="3"/>
  <c r="X195" i="3"/>
  <c r="X197" i="3"/>
  <c r="X214" i="3"/>
  <c r="X223" i="3"/>
  <c r="N236" i="3"/>
  <c r="O236" i="3" s="1"/>
  <c r="W236" i="3"/>
  <c r="X236" i="3" s="1"/>
  <c r="U236" i="3"/>
  <c r="X271" i="3"/>
  <c r="H285" i="3"/>
  <c r="I285" i="3" s="1"/>
  <c r="N285" i="3"/>
  <c r="O285" i="3" s="1"/>
  <c r="X356" i="3"/>
  <c r="H394" i="3"/>
  <c r="I394" i="3" s="1"/>
  <c r="N394" i="3"/>
  <c r="O394" i="3" s="1"/>
  <c r="X399" i="3"/>
  <c r="X415" i="3"/>
  <c r="X420" i="3"/>
  <c r="H429" i="3"/>
  <c r="I429" i="3" s="1"/>
  <c r="AD80" i="3"/>
  <c r="AD76" i="3"/>
  <c r="AD72" i="3"/>
  <c r="AD68" i="3"/>
  <c r="AD64" i="3"/>
  <c r="AD57" i="3"/>
  <c r="AD53" i="3"/>
  <c r="AD49" i="3"/>
  <c r="AD44" i="3"/>
  <c r="AD36" i="3"/>
  <c r="AD32" i="3"/>
  <c r="AD28" i="3"/>
  <c r="AD24" i="3"/>
  <c r="AD19" i="3"/>
  <c r="AD16" i="3"/>
  <c r="AD12" i="3"/>
  <c r="AD440" i="3"/>
  <c r="AD436" i="3"/>
  <c r="AD428" i="3"/>
  <c r="AD424" i="3"/>
  <c r="AD420" i="3"/>
  <c r="AD416" i="3"/>
  <c r="AD412" i="3"/>
  <c r="AD408" i="3"/>
  <c r="AD400" i="3"/>
  <c r="AD390" i="3"/>
  <c r="AD384" i="3"/>
  <c r="AD380" i="3"/>
  <c r="AD376" i="3"/>
  <c r="AD372" i="3"/>
  <c r="AD365" i="3"/>
  <c r="AD361" i="3"/>
  <c r="AD357" i="3"/>
  <c r="AD353" i="3"/>
  <c r="AD348" i="3"/>
  <c r="AD339" i="3"/>
  <c r="AD334" i="3"/>
  <c r="AD330" i="3"/>
  <c r="AD322" i="3"/>
  <c r="AD318" i="3"/>
  <c r="AD314" i="3"/>
  <c r="AD310" i="3"/>
  <c r="AD306" i="3"/>
  <c r="AD302" i="3"/>
  <c r="AD298" i="3"/>
  <c r="AD294" i="3"/>
  <c r="AD290" i="3"/>
  <c r="AD282" i="3"/>
  <c r="AD278" i="3"/>
  <c r="AD270" i="3"/>
  <c r="AD266" i="3"/>
  <c r="AD259" i="3"/>
  <c r="AD255" i="3"/>
  <c r="AD251" i="3"/>
  <c r="AD247" i="3"/>
  <c r="AD243" i="3"/>
  <c r="AD238" i="3"/>
  <c r="AD234" i="3"/>
  <c r="AD230" i="3"/>
  <c r="AD226" i="3"/>
  <c r="AD222" i="3"/>
  <c r="AD215" i="3"/>
  <c r="AD206" i="3"/>
  <c r="AD202" i="3"/>
  <c r="AD195" i="3"/>
  <c r="AD192" i="3"/>
  <c r="AD188" i="3"/>
  <c r="AD183" i="3"/>
  <c r="AD180" i="3"/>
  <c r="AD175" i="3"/>
  <c r="AD168" i="3"/>
  <c r="AD165" i="3"/>
  <c r="AD161" i="3"/>
  <c r="AD157" i="3"/>
  <c r="AD153" i="3"/>
  <c r="AD145" i="3"/>
  <c r="AD137" i="3"/>
  <c r="AD133" i="3"/>
  <c r="AD129" i="3"/>
  <c r="AD123" i="3"/>
  <c r="AD120" i="3"/>
  <c r="AD117" i="3"/>
  <c r="AD113" i="3"/>
  <c r="AD109" i="3"/>
  <c r="AD105" i="3"/>
  <c r="AD101" i="3"/>
  <c r="AD97" i="3"/>
  <c r="AD92" i="3"/>
  <c r="AD85" i="3"/>
  <c r="AD81" i="3"/>
  <c r="AD77" i="3"/>
  <c r="AD69" i="3"/>
  <c r="AD65" i="3"/>
  <c r="AD58" i="3"/>
  <c r="AD54" i="3"/>
  <c r="AD50" i="3"/>
  <c r="AD46" i="3"/>
  <c r="AD37" i="3"/>
  <c r="AD33" i="3"/>
  <c r="AD25" i="3"/>
  <c r="AD21" i="3"/>
  <c r="AD17" i="3"/>
  <c r="AD13" i="3"/>
  <c r="AD8" i="3"/>
  <c r="AD292" i="3"/>
  <c r="AD288" i="3"/>
  <c r="AD284" i="3"/>
  <c r="AD280" i="3"/>
  <c r="AD276" i="3"/>
  <c r="AD178" i="3"/>
  <c r="AD155" i="3"/>
  <c r="AD367" i="3"/>
  <c r="AD363" i="3"/>
  <c r="AD324" i="3"/>
  <c r="AD320" i="3"/>
  <c r="AD316" i="3"/>
  <c r="AD312" i="3"/>
  <c r="AD308" i="3"/>
  <c r="AD304" i="3"/>
  <c r="AD300" i="3"/>
  <c r="AD267" i="3"/>
  <c r="AD232" i="3"/>
  <c r="AD190" i="3"/>
  <c r="AD186" i="3"/>
  <c r="AD146" i="3"/>
  <c r="AD271" i="3"/>
  <c r="AD261" i="3"/>
  <c r="AD257" i="3"/>
  <c r="AD253" i="3"/>
  <c r="AD249" i="3"/>
  <c r="AD245" i="3"/>
  <c r="AD241" i="3"/>
  <c r="AD223" i="3"/>
  <c r="AD219" i="3"/>
  <c r="W29" i="4"/>
  <c r="X29" i="4" s="1"/>
  <c r="U29" i="4"/>
  <c r="U73" i="4"/>
  <c r="C166" i="4"/>
  <c r="H296" i="4"/>
  <c r="I296" i="4" s="1"/>
  <c r="F296" i="4"/>
  <c r="L443" i="4"/>
  <c r="N166" i="1"/>
  <c r="O166" i="1" s="1"/>
  <c r="AC182" i="1"/>
  <c r="AD182" i="1" s="1"/>
  <c r="AC264" i="1"/>
  <c r="AD264" i="1" s="1"/>
  <c r="AC268" i="1"/>
  <c r="AD268" i="1" s="1"/>
  <c r="H29" i="5"/>
  <c r="I29" i="5" s="1"/>
  <c r="F29" i="5"/>
  <c r="C158" i="1"/>
  <c r="R236" i="1"/>
  <c r="R264" i="1"/>
  <c r="R344" i="1"/>
  <c r="AC61" i="2"/>
  <c r="AD61" i="2" s="1"/>
  <c r="N73" i="2"/>
  <c r="O73" i="2" s="1"/>
  <c r="AA236" i="4"/>
  <c r="C29" i="2"/>
  <c r="C148" i="2"/>
  <c r="C158" i="2"/>
  <c r="W171" i="2"/>
  <c r="X171" i="2" s="1"/>
  <c r="Q172" i="2"/>
  <c r="R171" i="2"/>
  <c r="W268" i="2"/>
  <c r="X268" i="2" s="1"/>
  <c r="R268" i="2"/>
  <c r="F430" i="2"/>
  <c r="R442" i="2"/>
  <c r="W443" i="2"/>
  <c r="X443" i="2" s="1"/>
  <c r="U443" i="2"/>
  <c r="X15" i="3"/>
  <c r="H73" i="3"/>
  <c r="I73" i="3" s="1"/>
  <c r="N73" i="3"/>
  <c r="O73" i="3" s="1"/>
  <c r="X88" i="3"/>
  <c r="X119" i="3"/>
  <c r="X135" i="3"/>
  <c r="X156" i="3"/>
  <c r="X181" i="3"/>
  <c r="W196" i="3"/>
  <c r="X196" i="3" s="1"/>
  <c r="AC196" i="3"/>
  <c r="AD196" i="3" s="1"/>
  <c r="X201" i="3"/>
  <c r="X211" i="3"/>
  <c r="H263" i="3"/>
  <c r="I263" i="3" s="1"/>
  <c r="N263" i="3"/>
  <c r="O263" i="3" s="1"/>
  <c r="X283" i="3"/>
  <c r="C285" i="3"/>
  <c r="X285" i="3"/>
  <c r="X295" i="3"/>
  <c r="X354" i="3"/>
  <c r="AD391" i="3"/>
  <c r="C394" i="3"/>
  <c r="X408" i="3"/>
  <c r="X425" i="3"/>
  <c r="AD427" i="3"/>
  <c r="AD433" i="3"/>
  <c r="AD438" i="3"/>
  <c r="N29" i="4"/>
  <c r="O29" i="4" s="1"/>
  <c r="C442" i="4"/>
  <c r="N442" i="4"/>
  <c r="O442" i="4" s="1"/>
  <c r="H442" i="4"/>
  <c r="I442" i="4" s="1"/>
  <c r="U405" i="5"/>
  <c r="T444" i="5"/>
  <c r="U444" i="5" s="1"/>
  <c r="H394" i="5"/>
  <c r="I394" i="5" s="1"/>
  <c r="N394" i="5"/>
  <c r="O394" i="5" s="1"/>
  <c r="C394" i="5"/>
  <c r="N62" i="1"/>
  <c r="O62" i="1" s="1"/>
  <c r="N118" i="1"/>
  <c r="O118" i="1" s="1"/>
  <c r="AC172" i="1"/>
  <c r="AD172" i="1" s="1"/>
  <c r="AC296" i="1"/>
  <c r="AD296" i="1" s="1"/>
  <c r="AC344" i="1"/>
  <c r="AD344" i="1" s="1"/>
  <c r="H148" i="3"/>
  <c r="I148" i="3" s="1"/>
  <c r="C148" i="3"/>
  <c r="W148" i="4"/>
  <c r="X148" i="4" s="1"/>
  <c r="AC148" i="4"/>
  <c r="AD148" i="4" s="1"/>
  <c r="C62" i="1"/>
  <c r="C166" i="1"/>
  <c r="C196" i="1"/>
  <c r="C227" i="1"/>
  <c r="C326" i="1"/>
  <c r="W148" i="2"/>
  <c r="X148" i="2" s="1"/>
  <c r="R148" i="2"/>
  <c r="L171" i="2"/>
  <c r="C197" i="3"/>
  <c r="F227" i="3"/>
  <c r="AC29" i="1"/>
  <c r="AD29" i="1" s="1"/>
  <c r="N40" i="1"/>
  <c r="O40" i="1" s="1"/>
  <c r="N61" i="1"/>
  <c r="O61" i="1" s="1"/>
  <c r="AC73" i="1"/>
  <c r="AD73" i="1" s="1"/>
  <c r="N88" i="1"/>
  <c r="O88" i="1" s="1"/>
  <c r="W122" i="1"/>
  <c r="X122" i="1" s="1"/>
  <c r="H124" i="1"/>
  <c r="I124" i="1" s="1"/>
  <c r="AC141" i="1"/>
  <c r="AD141" i="1" s="1"/>
  <c r="N148" i="1"/>
  <c r="O148" i="1" s="1"/>
  <c r="H149" i="1"/>
  <c r="I149" i="1" s="1"/>
  <c r="W170" i="1"/>
  <c r="X170" i="1" s="1"/>
  <c r="AC171" i="1"/>
  <c r="AD171" i="1" s="1"/>
  <c r="W182" i="1"/>
  <c r="X182" i="1" s="1"/>
  <c r="H193" i="1"/>
  <c r="I193" i="1" s="1"/>
  <c r="H196" i="1"/>
  <c r="I196" i="1" s="1"/>
  <c r="N197" i="1"/>
  <c r="O197" i="1" s="1"/>
  <c r="N209" i="1"/>
  <c r="O209" i="1" s="1"/>
  <c r="N218" i="1"/>
  <c r="O218" i="1" s="1"/>
  <c r="H227" i="1"/>
  <c r="I227" i="1" s="1"/>
  <c r="W236" i="1"/>
  <c r="X236" i="1" s="1"/>
  <c r="AC263" i="1"/>
  <c r="AD263" i="1" s="1"/>
  <c r="W268" i="1"/>
  <c r="X268" i="1" s="1"/>
  <c r="AC274" i="1"/>
  <c r="AD274" i="1" s="1"/>
  <c r="N285" i="1"/>
  <c r="O285" i="1" s="1"/>
  <c r="N325" i="1"/>
  <c r="O325" i="1" s="1"/>
  <c r="H326" i="1"/>
  <c r="I326" i="1" s="1"/>
  <c r="AC343" i="1"/>
  <c r="AD343" i="1" s="1"/>
  <c r="AC345" i="1"/>
  <c r="AD345" i="1" s="1"/>
  <c r="AC369" i="1"/>
  <c r="AD369" i="1" s="1"/>
  <c r="AC394" i="1"/>
  <c r="AD394" i="1" s="1"/>
  <c r="AC397" i="1"/>
  <c r="AD397" i="1" s="1"/>
  <c r="AC404" i="1"/>
  <c r="AD404" i="1" s="1"/>
  <c r="H429" i="1"/>
  <c r="I429" i="1" s="1"/>
  <c r="N430" i="1"/>
  <c r="O430" i="1" s="1"/>
  <c r="AC62" i="2"/>
  <c r="AD62" i="2" s="1"/>
  <c r="AC124" i="2"/>
  <c r="AD124" i="2" s="1"/>
  <c r="N171" i="2"/>
  <c r="O171" i="2" s="1"/>
  <c r="H182" i="2"/>
  <c r="I182" i="2" s="1"/>
  <c r="N182" i="2"/>
  <c r="O182" i="2" s="1"/>
  <c r="W197" i="2"/>
  <c r="X197" i="2" s="1"/>
  <c r="AC197" i="2"/>
  <c r="AD197" i="2" s="1"/>
  <c r="H268" i="2"/>
  <c r="I268" i="2" s="1"/>
  <c r="C268" i="2"/>
  <c r="H442" i="2"/>
  <c r="I442" i="2" s="1"/>
  <c r="N442" i="2"/>
  <c r="O442" i="2" s="1"/>
  <c r="X25" i="3"/>
  <c r="X39" i="3"/>
  <c r="X40" i="3"/>
  <c r="X52" i="3"/>
  <c r="X87" i="3"/>
  <c r="X107" i="3"/>
  <c r="X109" i="3"/>
  <c r="X133" i="3"/>
  <c r="X144" i="3"/>
  <c r="X154" i="3"/>
  <c r="W171" i="3"/>
  <c r="X171" i="3" s="1"/>
  <c r="R171" i="3"/>
  <c r="X179" i="3"/>
  <c r="X221" i="3"/>
  <c r="W227" i="3"/>
  <c r="X227" i="3" s="1"/>
  <c r="AC227" i="3"/>
  <c r="AD227" i="3" s="1"/>
  <c r="X251" i="3"/>
  <c r="X268" i="3"/>
  <c r="X281" i="3"/>
  <c r="X293" i="3"/>
  <c r="X325" i="3"/>
  <c r="X352" i="3"/>
  <c r="W369" i="3"/>
  <c r="X369" i="3" s="1"/>
  <c r="AC369" i="3"/>
  <c r="AD369" i="3" s="1"/>
  <c r="X380" i="3"/>
  <c r="X423" i="3"/>
  <c r="X428" i="3"/>
  <c r="W88" i="4"/>
  <c r="X88" i="4" s="1"/>
  <c r="AC88" i="4"/>
  <c r="AD88" i="4" s="1"/>
  <c r="W141" i="4"/>
  <c r="X141" i="4" s="1"/>
  <c r="AC141" i="4"/>
  <c r="AD141" i="4" s="1"/>
  <c r="H148" i="4"/>
  <c r="I148" i="4" s="1"/>
  <c r="F148" i="4"/>
  <c r="W397" i="4"/>
  <c r="X397" i="4" s="1"/>
  <c r="U397" i="4"/>
  <c r="W88" i="5"/>
  <c r="X88" i="5" s="1"/>
  <c r="R88" i="5"/>
  <c r="AC88" i="5"/>
  <c r="AD88" i="5" s="1"/>
  <c r="C172" i="5"/>
  <c r="B198" i="5"/>
  <c r="N172" i="5"/>
  <c r="O172" i="5" s="1"/>
  <c r="U346" i="5"/>
  <c r="N193" i="1"/>
  <c r="O193" i="1" s="1"/>
  <c r="N429" i="1"/>
  <c r="O429" i="1" s="1"/>
  <c r="W404" i="3"/>
  <c r="X404" i="3" s="1"/>
  <c r="R404" i="3"/>
  <c r="W171" i="4"/>
  <c r="X171" i="4" s="1"/>
  <c r="Q172" i="4"/>
  <c r="AC171" i="4"/>
  <c r="AD171" i="4" s="1"/>
  <c r="C29" i="3"/>
  <c r="W149" i="3"/>
  <c r="X149" i="3" s="1"/>
  <c r="AC149" i="3"/>
  <c r="AD149" i="3" s="1"/>
  <c r="X438" i="3"/>
  <c r="X434" i="3"/>
  <c r="X426" i="3"/>
  <c r="X422" i="3"/>
  <c r="X418" i="3"/>
  <c r="X414" i="3"/>
  <c r="X410" i="3"/>
  <c r="X402" i="3"/>
  <c r="X398" i="3"/>
  <c r="X395" i="3"/>
  <c r="X392" i="3"/>
  <c r="X387" i="3"/>
  <c r="X382" i="3"/>
  <c r="X378" i="3"/>
  <c r="X374" i="3"/>
  <c r="X370" i="3"/>
  <c r="X367" i="3"/>
  <c r="X363" i="3"/>
  <c r="X355" i="3"/>
  <c r="X351" i="3"/>
  <c r="X341" i="3"/>
  <c r="X336" i="3"/>
  <c r="X332" i="3"/>
  <c r="X324" i="3"/>
  <c r="X320" i="3"/>
  <c r="X316" i="3"/>
  <c r="X312" i="3"/>
  <c r="X308" i="3"/>
  <c r="X304" i="3"/>
  <c r="X300" i="3"/>
  <c r="X292" i="3"/>
  <c r="X288" i="3"/>
  <c r="X284" i="3"/>
  <c r="X280" i="3"/>
  <c r="X276" i="3"/>
  <c r="X272" i="3"/>
  <c r="X261" i="3"/>
  <c r="X257" i="3"/>
  <c r="X253" i="3"/>
  <c r="X249" i="3"/>
  <c r="X245" i="3"/>
  <c r="X241" i="3"/>
  <c r="X232" i="3"/>
  <c r="X224" i="3"/>
  <c r="X220" i="3"/>
  <c r="X217" i="3"/>
  <c r="X213" i="3"/>
  <c r="X208" i="3"/>
  <c r="X204" i="3"/>
  <c r="X190" i="3"/>
  <c r="X186" i="3"/>
  <c r="X178" i="3"/>
  <c r="X163" i="3"/>
  <c r="X155" i="3"/>
  <c r="X147" i="3"/>
  <c r="X143" i="3"/>
  <c r="X139" i="3"/>
  <c r="X366" i="3"/>
  <c r="X362" i="3"/>
  <c r="X323" i="3"/>
  <c r="X319" i="3"/>
  <c r="X315" i="3"/>
  <c r="X311" i="3"/>
  <c r="X307" i="3"/>
  <c r="X303" i="3"/>
  <c r="X299" i="3"/>
  <c r="X296" i="3"/>
  <c r="X266" i="3"/>
  <c r="X235" i="3"/>
  <c r="X231" i="3"/>
  <c r="X189" i="3"/>
  <c r="X184" i="3"/>
  <c r="X182" i="3"/>
  <c r="X148" i="3"/>
  <c r="X145" i="3"/>
  <c r="X270" i="3"/>
  <c r="X260" i="3"/>
  <c r="X256" i="3"/>
  <c r="X252" i="3"/>
  <c r="X248" i="3"/>
  <c r="X244" i="3"/>
  <c r="X240" i="3"/>
  <c r="X226" i="3"/>
  <c r="X222" i="3"/>
  <c r="X218" i="3"/>
  <c r="X215" i="3"/>
  <c r="X209" i="3"/>
  <c r="X206" i="3"/>
  <c r="X202" i="3"/>
  <c r="X168" i="3"/>
  <c r="X14" i="3"/>
  <c r="X10" i="3"/>
  <c r="X441" i="3"/>
  <c r="X437" i="3"/>
  <c r="X433" i="3"/>
  <c r="X400" i="3"/>
  <c r="X391" i="3"/>
  <c r="X386" i="3"/>
  <c r="X381" i="3"/>
  <c r="X377" i="3"/>
  <c r="X373" i="3"/>
  <c r="X162" i="3"/>
  <c r="X138" i="3"/>
  <c r="X134" i="3"/>
  <c r="X130" i="3"/>
  <c r="X70" i="3"/>
  <c r="X66" i="3"/>
  <c r="X59" i="3"/>
  <c r="X55" i="3"/>
  <c r="X51" i="3"/>
  <c r="X47" i="3"/>
  <c r="X42" i="3"/>
  <c r="X26" i="3"/>
  <c r="X22" i="3"/>
  <c r="X340" i="3"/>
  <c r="X335" i="3"/>
  <c r="X331" i="3"/>
  <c r="X114" i="3"/>
  <c r="X110" i="3"/>
  <c r="X106" i="3"/>
  <c r="X102" i="3"/>
  <c r="X98" i="3"/>
  <c r="X94" i="3"/>
  <c r="X89" i="3"/>
  <c r="X86" i="3"/>
  <c r="X82" i="3"/>
  <c r="X78" i="3"/>
  <c r="X38" i="3"/>
  <c r="X34" i="3"/>
  <c r="H118" i="4"/>
  <c r="I118" i="4" s="1"/>
  <c r="C118" i="4"/>
  <c r="H29" i="2"/>
  <c r="I29" i="2" s="1"/>
  <c r="W40" i="2"/>
  <c r="X40" i="2" s="1"/>
  <c r="B172" i="2"/>
  <c r="H124" i="2"/>
  <c r="I124" i="2" s="1"/>
  <c r="W141" i="2"/>
  <c r="X141" i="2" s="1"/>
  <c r="R141" i="2"/>
  <c r="C182" i="2"/>
  <c r="R197" i="2"/>
  <c r="R236" i="2"/>
  <c r="C442" i="2"/>
  <c r="X23" i="3"/>
  <c r="X71" i="3"/>
  <c r="X75" i="3"/>
  <c r="X77" i="3"/>
  <c r="X95" i="3"/>
  <c r="X97" i="3"/>
  <c r="X120" i="3"/>
  <c r="X131" i="3"/>
  <c r="N148" i="3"/>
  <c r="O148" i="3" s="1"/>
  <c r="X151" i="3"/>
  <c r="X177" i="3"/>
  <c r="AD209" i="3"/>
  <c r="AD211" i="3"/>
  <c r="X219" i="3"/>
  <c r="R227" i="3"/>
  <c r="AD258" i="3"/>
  <c r="X279" i="3"/>
  <c r="X291" i="3"/>
  <c r="AD309" i="3"/>
  <c r="X339" i="3"/>
  <c r="X350" i="3"/>
  <c r="X357" i="3"/>
  <c r="AD368" i="3"/>
  <c r="R369" i="3"/>
  <c r="AD370" i="3"/>
  <c r="AC404" i="3"/>
  <c r="AD404" i="3" s="1"/>
  <c r="AD410" i="3"/>
  <c r="X411" i="3"/>
  <c r="X416" i="3"/>
  <c r="AD441" i="3"/>
  <c r="R88" i="4"/>
  <c r="R141" i="4"/>
  <c r="U158" i="4"/>
  <c r="N193" i="4"/>
  <c r="O193" i="4" s="1"/>
  <c r="W209" i="4"/>
  <c r="X209" i="4" s="1"/>
  <c r="AC209" i="4"/>
  <c r="AD209" i="4" s="1"/>
  <c r="U325" i="4"/>
  <c r="W61" i="5"/>
  <c r="X61" i="5" s="1"/>
  <c r="AC61" i="5"/>
  <c r="AD61" i="5" s="1"/>
  <c r="C197" i="5"/>
  <c r="N197" i="5"/>
  <c r="O197" i="5" s="1"/>
  <c r="H197" i="5"/>
  <c r="I197" i="5" s="1"/>
  <c r="N343" i="5"/>
  <c r="O343" i="5" s="1"/>
  <c r="L343" i="5"/>
  <c r="N118" i="2"/>
  <c r="O118" i="2" s="1"/>
  <c r="N149" i="2"/>
  <c r="O149" i="2" s="1"/>
  <c r="N166" i="2"/>
  <c r="O166" i="2" s="1"/>
  <c r="W218" i="2"/>
  <c r="X218" i="2" s="1"/>
  <c r="N343" i="2"/>
  <c r="O343" i="2" s="1"/>
  <c r="H344" i="2"/>
  <c r="I344" i="2" s="1"/>
  <c r="N345" i="2"/>
  <c r="O345" i="2" s="1"/>
  <c r="N429" i="2"/>
  <c r="O429" i="2" s="1"/>
  <c r="X32" i="3"/>
  <c r="X36" i="3"/>
  <c r="AC40" i="3"/>
  <c r="AD40" i="3" s="1"/>
  <c r="X76" i="3"/>
  <c r="X80" i="3"/>
  <c r="X84" i="3"/>
  <c r="AC88" i="3"/>
  <c r="AD88" i="3" s="1"/>
  <c r="X91" i="3"/>
  <c r="X96" i="3"/>
  <c r="X100" i="3"/>
  <c r="X104" i="3"/>
  <c r="X108" i="3"/>
  <c r="X112" i="3"/>
  <c r="X116" i="3"/>
  <c r="AD167" i="3"/>
  <c r="H171" i="3"/>
  <c r="I171" i="3" s="1"/>
  <c r="N182" i="3"/>
  <c r="O182" i="3" s="1"/>
  <c r="X194" i="3"/>
  <c r="AD201" i="3"/>
  <c r="AD205" i="3"/>
  <c r="AD214" i="3"/>
  <c r="AD221" i="3"/>
  <c r="AD225" i="3"/>
  <c r="AD273" i="3"/>
  <c r="X274" i="3"/>
  <c r="N296" i="3"/>
  <c r="O296" i="3" s="1"/>
  <c r="X329" i="3"/>
  <c r="X333" i="3"/>
  <c r="X338" i="3"/>
  <c r="X342" i="3"/>
  <c r="AC343" i="3"/>
  <c r="AD343" i="3" s="1"/>
  <c r="H345" i="3"/>
  <c r="I345" i="3" s="1"/>
  <c r="N359" i="3"/>
  <c r="O359" i="3" s="1"/>
  <c r="H404" i="3"/>
  <c r="I404" i="3" s="1"/>
  <c r="O409" i="3"/>
  <c r="O413" i="3"/>
  <c r="O417" i="3"/>
  <c r="O421" i="3"/>
  <c r="O425" i="3"/>
  <c r="AC443" i="3"/>
  <c r="AD443" i="3" s="1"/>
  <c r="T172" i="4"/>
  <c r="W124" i="4"/>
  <c r="X124" i="4" s="1"/>
  <c r="H218" i="4"/>
  <c r="I218" i="4" s="1"/>
  <c r="F218" i="4"/>
  <c r="N268" i="4"/>
  <c r="O268" i="4" s="1"/>
  <c r="W345" i="4"/>
  <c r="X345" i="4" s="1"/>
  <c r="U345" i="4"/>
  <c r="R18" i="5"/>
  <c r="W18" i="5"/>
  <c r="X18" i="5" s="1"/>
  <c r="AC18" i="5"/>
  <c r="AD18" i="5" s="1"/>
  <c r="AC40" i="5"/>
  <c r="AD40" i="5" s="1"/>
  <c r="H148" i="5"/>
  <c r="I148" i="5" s="1"/>
  <c r="N148" i="5"/>
  <c r="O148" i="5" s="1"/>
  <c r="U124" i="2"/>
  <c r="F171" i="2"/>
  <c r="AC196" i="2"/>
  <c r="AD196" i="2" s="1"/>
  <c r="R218" i="2"/>
  <c r="U274" i="2"/>
  <c r="W325" i="2"/>
  <c r="X325" i="2" s="1"/>
  <c r="AC326" i="2"/>
  <c r="AD326" i="2" s="1"/>
  <c r="C344" i="2"/>
  <c r="R344" i="2"/>
  <c r="AC359" i="2"/>
  <c r="AD359" i="2" s="1"/>
  <c r="W18" i="3"/>
  <c r="X18" i="3" s="1"/>
  <c r="X19" i="3"/>
  <c r="X24" i="3"/>
  <c r="X28" i="3"/>
  <c r="C40" i="3"/>
  <c r="X44" i="3"/>
  <c r="X49" i="3"/>
  <c r="X53" i="3"/>
  <c r="X57" i="3"/>
  <c r="AC61" i="3"/>
  <c r="AD61" i="3" s="1"/>
  <c r="W62" i="3"/>
  <c r="X62" i="3" s="1"/>
  <c r="X64" i="3"/>
  <c r="X68" i="3"/>
  <c r="X72" i="3"/>
  <c r="C88" i="3"/>
  <c r="N122" i="3"/>
  <c r="O122" i="3" s="1"/>
  <c r="X127" i="3"/>
  <c r="X132" i="3"/>
  <c r="X136" i="3"/>
  <c r="X140" i="3"/>
  <c r="AC141" i="3"/>
  <c r="AD141" i="3" s="1"/>
  <c r="AD144" i="3"/>
  <c r="X160" i="3"/>
  <c r="X164" i="3"/>
  <c r="C171" i="3"/>
  <c r="W193" i="3"/>
  <c r="X193" i="3" s="1"/>
  <c r="H274" i="3"/>
  <c r="I274" i="3" s="1"/>
  <c r="N325" i="3"/>
  <c r="O325" i="3" s="1"/>
  <c r="W326" i="3"/>
  <c r="X326" i="3" s="1"/>
  <c r="K346" i="3"/>
  <c r="X371" i="3"/>
  <c r="X375" i="3"/>
  <c r="X379" i="3"/>
  <c r="X383" i="3"/>
  <c r="X389" i="3"/>
  <c r="X393" i="3"/>
  <c r="AC394" i="3"/>
  <c r="AD394" i="3" s="1"/>
  <c r="AD396" i="3"/>
  <c r="X397" i="3"/>
  <c r="O401" i="3"/>
  <c r="O411" i="3"/>
  <c r="O415" i="3"/>
  <c r="O419" i="3"/>
  <c r="O423" i="3"/>
  <c r="I430" i="3"/>
  <c r="AC430" i="3"/>
  <c r="AD430" i="3" s="1"/>
  <c r="X435" i="3"/>
  <c r="X439" i="3"/>
  <c r="N18" i="4"/>
  <c r="O18" i="4" s="1"/>
  <c r="AC62" i="4"/>
  <c r="AD62" i="4" s="1"/>
  <c r="N149" i="4"/>
  <c r="O149" i="4" s="1"/>
  <c r="N196" i="4"/>
  <c r="O196" i="4" s="1"/>
  <c r="F442" i="5"/>
  <c r="H88" i="6"/>
  <c r="I88" i="6" s="1"/>
  <c r="N88" i="6"/>
  <c r="O88" i="6" s="1"/>
  <c r="C88" i="6"/>
  <c r="H148" i="6"/>
  <c r="I148" i="6" s="1"/>
  <c r="C148" i="6"/>
  <c r="N148" i="6"/>
  <c r="O148" i="6" s="1"/>
  <c r="N197" i="2"/>
  <c r="O197" i="2" s="1"/>
  <c r="N209" i="2"/>
  <c r="O209" i="2" s="1"/>
  <c r="W285" i="2"/>
  <c r="X285" i="2" s="1"/>
  <c r="W430" i="2"/>
  <c r="X430" i="2" s="1"/>
  <c r="X12" i="3"/>
  <c r="X16" i="3"/>
  <c r="AD84" i="3"/>
  <c r="AD91" i="3"/>
  <c r="AD96" i="3"/>
  <c r="AD100" i="3"/>
  <c r="AD104" i="3"/>
  <c r="AD108" i="3"/>
  <c r="AD112" i="3"/>
  <c r="AD116" i="3"/>
  <c r="Q172" i="3"/>
  <c r="W124" i="3"/>
  <c r="X124" i="3" s="1"/>
  <c r="W158" i="3"/>
  <c r="X158" i="3" s="1"/>
  <c r="N170" i="3"/>
  <c r="O170" i="3" s="1"/>
  <c r="AD194" i="3"/>
  <c r="X242" i="3"/>
  <c r="X246" i="3"/>
  <c r="X250" i="3"/>
  <c r="X254" i="3"/>
  <c r="X258" i="3"/>
  <c r="X262" i="3"/>
  <c r="AD329" i="3"/>
  <c r="AD333" i="3"/>
  <c r="AD338" i="3"/>
  <c r="AD342" i="3"/>
  <c r="X343" i="3"/>
  <c r="N344" i="3"/>
  <c r="O344" i="3" s="1"/>
  <c r="H397" i="3"/>
  <c r="I397" i="3" s="1"/>
  <c r="W429" i="3"/>
  <c r="X429" i="3" s="1"/>
  <c r="X443" i="3"/>
  <c r="I83" i="3"/>
  <c r="I79" i="3"/>
  <c r="I75" i="3"/>
  <c r="I71" i="3"/>
  <c r="I67" i="3"/>
  <c r="I60" i="3"/>
  <c r="I56" i="3"/>
  <c r="I52" i="3"/>
  <c r="I48" i="3"/>
  <c r="I43" i="3"/>
  <c r="I39" i="3"/>
  <c r="I35" i="3"/>
  <c r="I31" i="3"/>
  <c r="I27" i="3"/>
  <c r="I23" i="3"/>
  <c r="I15" i="3"/>
  <c r="I11" i="3"/>
  <c r="I439" i="3"/>
  <c r="I435" i="3"/>
  <c r="I427" i="3"/>
  <c r="I423" i="3"/>
  <c r="I419" i="3"/>
  <c r="I415" i="3"/>
  <c r="I411" i="3"/>
  <c r="I403" i="3"/>
  <c r="I399" i="3"/>
  <c r="I396" i="3"/>
  <c r="I393" i="3"/>
  <c r="I389" i="3"/>
  <c r="I383" i="3"/>
  <c r="I379" i="3"/>
  <c r="I375" i="3"/>
  <c r="I371" i="3"/>
  <c r="I368" i="3"/>
  <c r="I364" i="3"/>
  <c r="I356" i="3"/>
  <c r="I352" i="3"/>
  <c r="I342" i="3"/>
  <c r="I338" i="3"/>
  <c r="I333" i="3"/>
  <c r="I329" i="3"/>
  <c r="I321" i="3"/>
  <c r="I317" i="3"/>
  <c r="I313" i="3"/>
  <c r="I309" i="3"/>
  <c r="I305" i="3"/>
  <c r="I301" i="3"/>
  <c r="I293" i="3"/>
  <c r="I289" i="3"/>
  <c r="I281" i="3"/>
  <c r="I277" i="3"/>
  <c r="I273" i="3"/>
  <c r="I262" i="3"/>
  <c r="I258" i="3"/>
  <c r="I254" i="3"/>
  <c r="I250" i="3"/>
  <c r="I246" i="3"/>
  <c r="I242" i="3"/>
  <c r="I233" i="3"/>
  <c r="I229" i="3"/>
  <c r="I225" i="3"/>
  <c r="I221" i="3"/>
  <c r="I214" i="3"/>
  <c r="I205" i="3"/>
  <c r="I201" i="3"/>
  <c r="I194" i="3"/>
  <c r="I191" i="3"/>
  <c r="I187" i="3"/>
  <c r="I179" i="3"/>
  <c r="I167" i="3"/>
  <c r="I164" i="3"/>
  <c r="I160" i="3"/>
  <c r="I156" i="3"/>
  <c r="I151" i="3"/>
  <c r="I144" i="3"/>
  <c r="I140" i="3"/>
  <c r="I136" i="3"/>
  <c r="I132" i="3"/>
  <c r="I127" i="3"/>
  <c r="I119" i="3"/>
  <c r="I116" i="3"/>
  <c r="I112" i="3"/>
  <c r="I108" i="3"/>
  <c r="I104" i="3"/>
  <c r="I100" i="3"/>
  <c r="I96" i="3"/>
  <c r="I91" i="3"/>
  <c r="I84" i="3"/>
  <c r="I80" i="3"/>
  <c r="I76" i="3"/>
  <c r="I72" i="3"/>
  <c r="I68" i="3"/>
  <c r="I64" i="3"/>
  <c r="I57" i="3"/>
  <c r="I53" i="3"/>
  <c r="I49" i="3"/>
  <c r="I44" i="3"/>
  <c r="I36" i="3"/>
  <c r="I32" i="3"/>
  <c r="I28" i="3"/>
  <c r="I24" i="3"/>
  <c r="I19" i="3"/>
  <c r="I16" i="3"/>
  <c r="I12" i="3"/>
  <c r="W40" i="4"/>
  <c r="X40" i="4" s="1"/>
  <c r="W61" i="4"/>
  <c r="X61" i="4" s="1"/>
  <c r="N170" i="4"/>
  <c r="O170" i="4" s="1"/>
  <c r="E172" i="4"/>
  <c r="H171" i="4"/>
  <c r="I171" i="4" s="1"/>
  <c r="H263" i="4"/>
  <c r="I263" i="4" s="1"/>
  <c r="N263" i="4"/>
  <c r="O263" i="4" s="1"/>
  <c r="H61" i="6"/>
  <c r="I61" i="6" s="1"/>
  <c r="N61" i="6"/>
  <c r="O61" i="6" s="1"/>
  <c r="H122" i="2"/>
  <c r="I122" i="2" s="1"/>
  <c r="H170" i="2"/>
  <c r="I170" i="2" s="1"/>
  <c r="H264" i="2"/>
  <c r="I264" i="2" s="1"/>
  <c r="R285" i="2"/>
  <c r="H296" i="2"/>
  <c r="I296" i="2" s="1"/>
  <c r="H359" i="2"/>
  <c r="I359" i="2" s="1"/>
  <c r="C429" i="2"/>
  <c r="R430" i="2"/>
  <c r="AD127" i="3"/>
  <c r="AD132" i="3"/>
  <c r="AD136" i="3"/>
  <c r="AD140" i="3"/>
  <c r="X141" i="3"/>
  <c r="AD160" i="3"/>
  <c r="AD164" i="3"/>
  <c r="X187" i="3"/>
  <c r="X191" i="3"/>
  <c r="X229" i="3"/>
  <c r="X233" i="3"/>
  <c r="X301" i="3"/>
  <c r="X305" i="3"/>
  <c r="X309" i="3"/>
  <c r="X313" i="3"/>
  <c r="X317" i="3"/>
  <c r="X321" i="3"/>
  <c r="AD325" i="3"/>
  <c r="H343" i="3"/>
  <c r="I343" i="3" s="1"/>
  <c r="R343" i="3"/>
  <c r="X364" i="3"/>
  <c r="X368" i="3"/>
  <c r="AD371" i="3"/>
  <c r="AD375" i="3"/>
  <c r="AD379" i="3"/>
  <c r="AD383" i="3"/>
  <c r="AD389" i="3"/>
  <c r="AD393" i="3"/>
  <c r="X394" i="3"/>
  <c r="C397" i="3"/>
  <c r="R429" i="3"/>
  <c r="AD435" i="3"/>
  <c r="AD439" i="3"/>
  <c r="H443" i="3"/>
  <c r="I443" i="3" s="1"/>
  <c r="R443" i="3"/>
  <c r="O440" i="3"/>
  <c r="O436" i="3"/>
  <c r="O428" i="3"/>
  <c r="O424" i="3"/>
  <c r="O420" i="3"/>
  <c r="O416" i="3"/>
  <c r="O412" i="3"/>
  <c r="O408" i="3"/>
  <c r="O400" i="3"/>
  <c r="O390" i="3"/>
  <c r="O384" i="3"/>
  <c r="O380" i="3"/>
  <c r="O376" i="3"/>
  <c r="O372" i="3"/>
  <c r="O365" i="3"/>
  <c r="O361" i="3"/>
  <c r="O357" i="3"/>
  <c r="O353" i="3"/>
  <c r="O348" i="3"/>
  <c r="O339" i="3"/>
  <c r="O334" i="3"/>
  <c r="O330" i="3"/>
  <c r="O322" i="3"/>
  <c r="O318" i="3"/>
  <c r="O314" i="3"/>
  <c r="O310" i="3"/>
  <c r="O306" i="3"/>
  <c r="O302" i="3"/>
  <c r="O298" i="3"/>
  <c r="O294" i="3"/>
  <c r="O290" i="3"/>
  <c r="O282" i="3"/>
  <c r="O278" i="3"/>
  <c r="O270" i="3"/>
  <c r="O266" i="3"/>
  <c r="O259" i="3"/>
  <c r="O255" i="3"/>
  <c r="O251" i="3"/>
  <c r="O247" i="3"/>
  <c r="O243" i="3"/>
  <c r="O238" i="3"/>
  <c r="O234" i="3"/>
  <c r="O230" i="3"/>
  <c r="O226" i="3"/>
  <c r="O222" i="3"/>
  <c r="O215" i="3"/>
  <c r="O206" i="3"/>
  <c r="O202" i="3"/>
  <c r="O195" i="3"/>
  <c r="O192" i="3"/>
  <c r="O188" i="3"/>
  <c r="O183" i="3"/>
  <c r="O180" i="3"/>
  <c r="O175" i="3"/>
  <c r="O168" i="3"/>
  <c r="O165" i="3"/>
  <c r="O161" i="3"/>
  <c r="O157" i="3"/>
  <c r="O153" i="3"/>
  <c r="O145" i="3"/>
  <c r="O137" i="3"/>
  <c r="R40" i="4"/>
  <c r="N182" i="4"/>
  <c r="O182" i="4" s="1"/>
  <c r="H193" i="4"/>
  <c r="I193" i="4" s="1"/>
  <c r="C193" i="4"/>
  <c r="AC197" i="4"/>
  <c r="AD197" i="4" s="1"/>
  <c r="H209" i="4"/>
  <c r="I209" i="4" s="1"/>
  <c r="F209" i="4"/>
  <c r="H264" i="4"/>
  <c r="I264" i="4" s="1"/>
  <c r="F264" i="4"/>
  <c r="C61" i="6"/>
  <c r="B172" i="3"/>
  <c r="Z172" i="3"/>
  <c r="AC118" i="4"/>
  <c r="AD118" i="4" s="1"/>
  <c r="AC149" i="4"/>
  <c r="AD149" i="4" s="1"/>
  <c r="AC166" i="4"/>
  <c r="AD166" i="4" s="1"/>
  <c r="H227" i="4"/>
  <c r="I227" i="4" s="1"/>
  <c r="N274" i="4"/>
  <c r="O274" i="4" s="1"/>
  <c r="N343" i="4"/>
  <c r="O343" i="4" s="1"/>
  <c r="O364" i="4"/>
  <c r="O376" i="4"/>
  <c r="O378" i="4"/>
  <c r="N404" i="4"/>
  <c r="O404" i="4" s="1"/>
  <c r="O433" i="4"/>
  <c r="AC443" i="4"/>
  <c r="AD443" i="4" s="1"/>
  <c r="I440" i="4"/>
  <c r="I400" i="4"/>
  <c r="I384" i="4"/>
  <c r="I353" i="4"/>
  <c r="I416" i="4"/>
  <c r="I310" i="4"/>
  <c r="I294" i="4"/>
  <c r="I278" i="4"/>
  <c r="I247" i="4"/>
  <c r="I230" i="4"/>
  <c r="I215" i="4"/>
  <c r="H61" i="5"/>
  <c r="I61" i="5" s="1"/>
  <c r="C61" i="5"/>
  <c r="N158" i="5"/>
  <c r="O158" i="5" s="1"/>
  <c r="W158" i="5"/>
  <c r="X158" i="5" s="1"/>
  <c r="U158" i="5"/>
  <c r="E172" i="5"/>
  <c r="H172" i="5" s="1"/>
  <c r="I172" i="5" s="1"/>
  <c r="R218" i="5"/>
  <c r="W218" i="5"/>
  <c r="X218" i="5" s="1"/>
  <c r="W296" i="5"/>
  <c r="X296" i="5" s="1"/>
  <c r="AC296" i="5"/>
  <c r="AD296" i="5" s="1"/>
  <c r="U158" i="6"/>
  <c r="W158" i="6"/>
  <c r="X158" i="6" s="1"/>
  <c r="AD370" i="2"/>
  <c r="AD374" i="2"/>
  <c r="AD378" i="2"/>
  <c r="AD382" i="2"/>
  <c r="AD387" i="2"/>
  <c r="AD392" i="2"/>
  <c r="AD395" i="2"/>
  <c r="AD398" i="2"/>
  <c r="AD402" i="2"/>
  <c r="AD410" i="2"/>
  <c r="AD414" i="2"/>
  <c r="AD418" i="2"/>
  <c r="AD422" i="2"/>
  <c r="AD426" i="2"/>
  <c r="AD434" i="2"/>
  <c r="H122" i="4"/>
  <c r="I122" i="4" s="1"/>
  <c r="H170" i="4"/>
  <c r="I170" i="4" s="1"/>
  <c r="AC193" i="4"/>
  <c r="AD193" i="4" s="1"/>
  <c r="W285" i="4"/>
  <c r="X285" i="4" s="1"/>
  <c r="AC429" i="4"/>
  <c r="AD429" i="4" s="1"/>
  <c r="H40" i="5"/>
  <c r="I40" i="5" s="1"/>
  <c r="C40" i="5"/>
  <c r="Q198" i="5"/>
  <c r="AC172" i="5"/>
  <c r="AD172" i="5" s="1"/>
  <c r="R172" i="5"/>
  <c r="W141" i="5"/>
  <c r="X141" i="5" s="1"/>
  <c r="AC141" i="5"/>
  <c r="AD141" i="5" s="1"/>
  <c r="U172" i="5"/>
  <c r="L198" i="5"/>
  <c r="K346" i="5"/>
  <c r="W236" i="5"/>
  <c r="X236" i="5" s="1"/>
  <c r="AC236" i="5"/>
  <c r="AD236" i="5" s="1"/>
  <c r="R236" i="5"/>
  <c r="W73" i="6"/>
  <c r="X73" i="6" s="1"/>
  <c r="AC73" i="6"/>
  <c r="AD73" i="6" s="1"/>
  <c r="F171" i="6"/>
  <c r="E172" i="6"/>
  <c r="H171" i="6"/>
  <c r="I171" i="6" s="1"/>
  <c r="N118" i="3"/>
  <c r="O118" i="3" s="1"/>
  <c r="AC122" i="3"/>
  <c r="AD122" i="3" s="1"/>
  <c r="N124" i="3"/>
  <c r="O124" i="3" s="1"/>
  <c r="N149" i="3"/>
  <c r="O149" i="3" s="1"/>
  <c r="N158" i="3"/>
  <c r="O158" i="3" s="1"/>
  <c r="N166" i="3"/>
  <c r="O166" i="3" s="1"/>
  <c r="AC170" i="3"/>
  <c r="AD170" i="3" s="1"/>
  <c r="AC182" i="3"/>
  <c r="AD182" i="3" s="1"/>
  <c r="N193" i="3"/>
  <c r="O193" i="3" s="1"/>
  <c r="N196" i="3"/>
  <c r="O196" i="3" s="1"/>
  <c r="N227" i="3"/>
  <c r="O227" i="3" s="1"/>
  <c r="AC236" i="3"/>
  <c r="AD236" i="3" s="1"/>
  <c r="AC264" i="3"/>
  <c r="AD264" i="3" s="1"/>
  <c r="AC268" i="3"/>
  <c r="AD268" i="3" s="1"/>
  <c r="AC296" i="3"/>
  <c r="AD296" i="3" s="1"/>
  <c r="N326" i="3"/>
  <c r="O326" i="3" s="1"/>
  <c r="AC344" i="3"/>
  <c r="AD344" i="3" s="1"/>
  <c r="AC359" i="3"/>
  <c r="AD359" i="3" s="1"/>
  <c r="N429" i="3"/>
  <c r="O429" i="3" s="1"/>
  <c r="AC442" i="3"/>
  <c r="AD442" i="3" s="1"/>
  <c r="AC29" i="4"/>
  <c r="AD29" i="4" s="1"/>
  <c r="N40" i="4"/>
  <c r="O40" i="4" s="1"/>
  <c r="N61" i="4"/>
  <c r="O61" i="4" s="1"/>
  <c r="AC73" i="4"/>
  <c r="AD73" i="4" s="1"/>
  <c r="N88" i="4"/>
  <c r="O88" i="4" s="1"/>
  <c r="AC122" i="4"/>
  <c r="AD122" i="4" s="1"/>
  <c r="N124" i="4"/>
  <c r="O124" i="4" s="1"/>
  <c r="N158" i="4"/>
  <c r="O158" i="4" s="1"/>
  <c r="AC170" i="4"/>
  <c r="AD170" i="4" s="1"/>
  <c r="H182" i="4"/>
  <c r="I182" i="4" s="1"/>
  <c r="W197" i="4"/>
  <c r="X197" i="4" s="1"/>
  <c r="N218" i="4"/>
  <c r="O218" i="4" s="1"/>
  <c r="H326" i="4"/>
  <c r="I326" i="4" s="1"/>
  <c r="N326" i="4"/>
  <c r="O326" i="4" s="1"/>
  <c r="W344" i="4"/>
  <c r="X344" i="4" s="1"/>
  <c r="AC344" i="4"/>
  <c r="AD344" i="4" s="1"/>
  <c r="AC345" i="4"/>
  <c r="AD345" i="4" s="1"/>
  <c r="AC404" i="4"/>
  <c r="AD404" i="4" s="1"/>
  <c r="H429" i="4"/>
  <c r="I429" i="4" s="1"/>
  <c r="AC170" i="5"/>
  <c r="AD170" i="5" s="1"/>
  <c r="W170" i="5"/>
  <c r="X170" i="5" s="1"/>
  <c r="W172" i="5"/>
  <c r="X172" i="5" s="1"/>
  <c r="H429" i="5"/>
  <c r="I429" i="5" s="1"/>
  <c r="N429" i="5"/>
  <c r="O429" i="5" s="1"/>
  <c r="W218" i="6"/>
  <c r="X218" i="6" s="1"/>
  <c r="R218" i="6"/>
  <c r="AC218" i="6"/>
  <c r="AD218" i="6" s="1"/>
  <c r="C182" i="4"/>
  <c r="R197" i="4"/>
  <c r="W296" i="4"/>
  <c r="X296" i="4" s="1"/>
  <c r="AC296" i="4"/>
  <c r="AD296" i="4" s="1"/>
  <c r="C326" i="4"/>
  <c r="R344" i="4"/>
  <c r="C404" i="4"/>
  <c r="C429" i="4"/>
  <c r="W442" i="4"/>
  <c r="X442" i="4" s="1"/>
  <c r="W29" i="5"/>
  <c r="X29" i="5" s="1"/>
  <c r="AC29" i="5"/>
  <c r="AD29" i="5" s="1"/>
  <c r="U124" i="5"/>
  <c r="R170" i="5"/>
  <c r="N182" i="5"/>
  <c r="O182" i="5" s="1"/>
  <c r="H404" i="5"/>
  <c r="I404" i="5" s="1"/>
  <c r="N404" i="5"/>
  <c r="O404" i="5" s="1"/>
  <c r="C404" i="5"/>
  <c r="C429" i="5"/>
  <c r="Q198" i="6"/>
  <c r="AC172" i="6"/>
  <c r="AD172" i="6" s="1"/>
  <c r="R172" i="6"/>
  <c r="W172" i="6"/>
  <c r="X172" i="6" s="1"/>
  <c r="H149" i="6"/>
  <c r="I149" i="6" s="1"/>
  <c r="C149" i="6"/>
  <c r="N149" i="6"/>
  <c r="O149" i="6" s="1"/>
  <c r="W182" i="5"/>
  <c r="X182" i="5" s="1"/>
  <c r="R182" i="5"/>
  <c r="AC227" i="5"/>
  <c r="AD227" i="5" s="1"/>
  <c r="W227" i="5"/>
  <c r="X227" i="5" s="1"/>
  <c r="H344" i="5"/>
  <c r="I344" i="5" s="1"/>
  <c r="F344" i="5"/>
  <c r="W40" i="6"/>
  <c r="X40" i="6" s="1"/>
  <c r="AC40" i="6"/>
  <c r="AD40" i="6" s="1"/>
  <c r="AC170" i="6"/>
  <c r="AD170" i="6" s="1"/>
  <c r="W170" i="6"/>
  <c r="X170" i="6" s="1"/>
  <c r="H172" i="6"/>
  <c r="I172" i="6" s="1"/>
  <c r="N172" i="6"/>
  <c r="O172" i="6" s="1"/>
  <c r="B198" i="6"/>
  <c r="C172" i="6"/>
  <c r="H236" i="6"/>
  <c r="I236" i="6" s="1"/>
  <c r="N236" i="6"/>
  <c r="O236" i="6" s="1"/>
  <c r="C236" i="6"/>
  <c r="N18" i="5"/>
  <c r="O18" i="5" s="1"/>
  <c r="R171" i="5"/>
  <c r="AC171" i="5"/>
  <c r="AD171" i="5" s="1"/>
  <c r="Z198" i="5"/>
  <c r="W264" i="5"/>
  <c r="X264" i="5" s="1"/>
  <c r="AC264" i="5"/>
  <c r="AD264" i="5" s="1"/>
  <c r="C218" i="6"/>
  <c r="H218" i="6"/>
  <c r="I218" i="6" s="1"/>
  <c r="N218" i="6"/>
  <c r="O218" i="6" s="1"/>
  <c r="N404" i="6"/>
  <c r="O404" i="6" s="1"/>
  <c r="H404" i="6"/>
  <c r="I404" i="6" s="1"/>
  <c r="C404" i="6"/>
  <c r="W236" i="4"/>
  <c r="X236" i="4" s="1"/>
  <c r="N264" i="4"/>
  <c r="O264" i="4" s="1"/>
  <c r="W268" i="4"/>
  <c r="X268" i="4" s="1"/>
  <c r="N296" i="4"/>
  <c r="O296" i="4" s="1"/>
  <c r="AC325" i="4"/>
  <c r="AD325" i="4" s="1"/>
  <c r="N344" i="4"/>
  <c r="O344" i="4" s="1"/>
  <c r="O351" i="4"/>
  <c r="O367" i="4"/>
  <c r="AC369" i="4"/>
  <c r="AD369" i="4" s="1"/>
  <c r="O382" i="4"/>
  <c r="N397" i="4"/>
  <c r="O397" i="4" s="1"/>
  <c r="O398" i="4"/>
  <c r="AC430" i="4"/>
  <c r="AD430" i="4" s="1"/>
  <c r="W73" i="5"/>
  <c r="X73" i="5" s="1"/>
  <c r="AC122" i="5"/>
  <c r="AD122" i="5" s="1"/>
  <c r="C170" i="5"/>
  <c r="H170" i="5"/>
  <c r="I170" i="5" s="1"/>
  <c r="AC193" i="5"/>
  <c r="AD193" i="5" s="1"/>
  <c r="AA193" i="5"/>
  <c r="R264" i="5"/>
  <c r="L274" i="5"/>
  <c r="W344" i="5"/>
  <c r="X344" i="5" s="1"/>
  <c r="AC344" i="5"/>
  <c r="AD344" i="5" s="1"/>
  <c r="H40" i="6"/>
  <c r="I40" i="6" s="1"/>
  <c r="N40" i="6"/>
  <c r="O40" i="6" s="1"/>
  <c r="H122" i="6"/>
  <c r="I122" i="6" s="1"/>
  <c r="N122" i="6"/>
  <c r="O122" i="6" s="1"/>
  <c r="F141" i="6"/>
  <c r="W148" i="6"/>
  <c r="X148" i="6" s="1"/>
  <c r="AC148" i="6"/>
  <c r="AD148" i="6" s="1"/>
  <c r="O208" i="4"/>
  <c r="N209" i="4"/>
  <c r="O209" i="4" s="1"/>
  <c r="O224" i="4"/>
  <c r="R236" i="4"/>
  <c r="O241" i="4"/>
  <c r="O257" i="4"/>
  <c r="R268" i="4"/>
  <c r="O272" i="4"/>
  <c r="AC274" i="4"/>
  <c r="AD274" i="4" s="1"/>
  <c r="O288" i="4"/>
  <c r="O304" i="4"/>
  <c r="O320" i="4"/>
  <c r="O336" i="4"/>
  <c r="W359" i="4"/>
  <c r="X359" i="4" s="1"/>
  <c r="O410" i="4"/>
  <c r="O426" i="4"/>
  <c r="R73" i="5"/>
  <c r="C122" i="5"/>
  <c r="N149" i="5"/>
  <c r="O149" i="5" s="1"/>
  <c r="N171" i="5"/>
  <c r="O171" i="5" s="1"/>
  <c r="H171" i="5"/>
  <c r="I171" i="5" s="1"/>
  <c r="W171" i="5"/>
  <c r="X171" i="5" s="1"/>
  <c r="N196" i="5"/>
  <c r="O196" i="5" s="1"/>
  <c r="H196" i="5"/>
  <c r="I196" i="5" s="1"/>
  <c r="W196" i="5"/>
  <c r="X196" i="5" s="1"/>
  <c r="AC209" i="5"/>
  <c r="AD209" i="5" s="1"/>
  <c r="N227" i="5"/>
  <c r="O227" i="5" s="1"/>
  <c r="H227" i="5"/>
  <c r="I227" i="5" s="1"/>
  <c r="C236" i="5"/>
  <c r="H236" i="5"/>
  <c r="I236" i="5" s="1"/>
  <c r="R344" i="5"/>
  <c r="H397" i="5"/>
  <c r="I397" i="5" s="1"/>
  <c r="N397" i="5"/>
  <c r="O397" i="5" s="1"/>
  <c r="C40" i="6"/>
  <c r="W88" i="6"/>
  <c r="X88" i="6" s="1"/>
  <c r="AC88" i="6"/>
  <c r="AD88" i="6" s="1"/>
  <c r="C122" i="6"/>
  <c r="R148" i="6"/>
  <c r="AA172" i="6"/>
  <c r="Z198" i="6"/>
  <c r="N209" i="5"/>
  <c r="O209" i="5" s="1"/>
  <c r="N263" i="5"/>
  <c r="O263" i="5" s="1"/>
  <c r="N345" i="5"/>
  <c r="O345" i="5" s="1"/>
  <c r="O353" i="5"/>
  <c r="O387" i="5"/>
  <c r="O395" i="5"/>
  <c r="O402" i="5"/>
  <c r="O410" i="5"/>
  <c r="AC429" i="5"/>
  <c r="AD429" i="5" s="1"/>
  <c r="O438" i="5"/>
  <c r="W29" i="6"/>
  <c r="X29" i="6" s="1"/>
  <c r="AC61" i="6"/>
  <c r="AD61" i="6" s="1"/>
  <c r="H158" i="6"/>
  <c r="I158" i="6" s="1"/>
  <c r="N158" i="6"/>
  <c r="O158" i="6" s="1"/>
  <c r="H193" i="6"/>
  <c r="I193" i="6" s="1"/>
  <c r="C193" i="6"/>
  <c r="H325" i="6"/>
  <c r="I325" i="6" s="1"/>
  <c r="N325" i="6"/>
  <c r="O325" i="6" s="1"/>
  <c r="C325" i="6"/>
  <c r="AC158" i="5"/>
  <c r="AD158" i="5" s="1"/>
  <c r="O441" i="5"/>
  <c r="O437" i="5"/>
  <c r="O433" i="5"/>
  <c r="O425" i="5"/>
  <c r="O421" i="5"/>
  <c r="O417" i="5"/>
  <c r="O413" i="5"/>
  <c r="O409" i="5"/>
  <c r="O401" i="5"/>
  <c r="O391" i="5"/>
  <c r="O386" i="5"/>
  <c r="O381" i="5"/>
  <c r="O377" i="5"/>
  <c r="O373" i="5"/>
  <c r="O366" i="5"/>
  <c r="O362" i="5"/>
  <c r="O358" i="5"/>
  <c r="O354" i="5"/>
  <c r="O350" i="5"/>
  <c r="O340" i="5"/>
  <c r="O335" i="5"/>
  <c r="O331" i="5"/>
  <c r="O323" i="5"/>
  <c r="O319" i="5"/>
  <c r="O315" i="5"/>
  <c r="O311" i="5"/>
  <c r="O307" i="5"/>
  <c r="O303" i="5"/>
  <c r="O299" i="5"/>
  <c r="O295" i="5"/>
  <c r="O291" i="5"/>
  <c r="O287" i="5"/>
  <c r="O283" i="5"/>
  <c r="O279" i="5"/>
  <c r="O271" i="5"/>
  <c r="O267" i="5"/>
  <c r="O260" i="5"/>
  <c r="O256" i="5"/>
  <c r="O252" i="5"/>
  <c r="O248" i="5"/>
  <c r="O244" i="5"/>
  <c r="R171" i="6"/>
  <c r="AC171" i="6"/>
  <c r="AD171" i="6" s="1"/>
  <c r="H264" i="6"/>
  <c r="I264" i="6" s="1"/>
  <c r="N264" i="6"/>
  <c r="O264" i="6" s="1"/>
  <c r="C268" i="6"/>
  <c r="N268" i="6"/>
  <c r="O268" i="6" s="1"/>
  <c r="H268" i="6"/>
  <c r="I268" i="6" s="1"/>
  <c r="N29" i="5"/>
  <c r="O29" i="5" s="1"/>
  <c r="AC62" i="5"/>
  <c r="AD62" i="5" s="1"/>
  <c r="N73" i="5"/>
  <c r="O73" i="5" s="1"/>
  <c r="AC118" i="5"/>
  <c r="AD118" i="5" s="1"/>
  <c r="AC124" i="5"/>
  <c r="AD124" i="5" s="1"/>
  <c r="N141" i="5"/>
  <c r="O141" i="5" s="1"/>
  <c r="AC149" i="5"/>
  <c r="AD149" i="5" s="1"/>
  <c r="W268" i="5"/>
  <c r="X268" i="5" s="1"/>
  <c r="W442" i="5"/>
  <c r="X442" i="5" s="1"/>
  <c r="L172" i="6"/>
  <c r="K198" i="6"/>
  <c r="H170" i="6"/>
  <c r="I170" i="6" s="1"/>
  <c r="N170" i="6"/>
  <c r="O170" i="6" s="1"/>
  <c r="R124" i="5"/>
  <c r="W166" i="5"/>
  <c r="X166" i="5" s="1"/>
  <c r="R268" i="5"/>
  <c r="C274" i="5"/>
  <c r="H326" i="5"/>
  <c r="I326" i="5" s="1"/>
  <c r="R326" i="5"/>
  <c r="C369" i="5"/>
  <c r="O416" i="5"/>
  <c r="O422" i="5"/>
  <c r="R442" i="5"/>
  <c r="L124" i="6"/>
  <c r="W141" i="6"/>
  <c r="X141" i="6" s="1"/>
  <c r="C170" i="6"/>
  <c r="AC236" i="6"/>
  <c r="AD236" i="6" s="1"/>
  <c r="W236" i="6"/>
  <c r="X236" i="6" s="1"/>
  <c r="AC263" i="5"/>
  <c r="AD263" i="5" s="1"/>
  <c r="AC274" i="5"/>
  <c r="AD274" i="5" s="1"/>
  <c r="N285" i="5"/>
  <c r="O285" i="5" s="1"/>
  <c r="N325" i="5"/>
  <c r="O325" i="5" s="1"/>
  <c r="AC343" i="5"/>
  <c r="AD343" i="5" s="1"/>
  <c r="AC345" i="5"/>
  <c r="AD345" i="5" s="1"/>
  <c r="AC369" i="5"/>
  <c r="AD369" i="5" s="1"/>
  <c r="AC394" i="5"/>
  <c r="AD394" i="5" s="1"/>
  <c r="AC397" i="5"/>
  <c r="AD397" i="5" s="1"/>
  <c r="AC404" i="5"/>
  <c r="AD404" i="5" s="1"/>
  <c r="N430" i="5"/>
  <c r="O430" i="5" s="1"/>
  <c r="AC443" i="5"/>
  <c r="AD443" i="5" s="1"/>
  <c r="N18" i="6"/>
  <c r="O18" i="6" s="1"/>
  <c r="N62" i="6"/>
  <c r="O62" i="6" s="1"/>
  <c r="N118" i="6"/>
  <c r="O118" i="6" s="1"/>
  <c r="AC122" i="6"/>
  <c r="AD122" i="6" s="1"/>
  <c r="N124" i="6"/>
  <c r="O124" i="6" s="1"/>
  <c r="AC149" i="6"/>
  <c r="AD149" i="6" s="1"/>
  <c r="AC193" i="6"/>
  <c r="AD193" i="6" s="1"/>
  <c r="W197" i="6"/>
  <c r="X197" i="6" s="1"/>
  <c r="AC197" i="6"/>
  <c r="AD197" i="6" s="1"/>
  <c r="H62" i="7"/>
  <c r="I62" i="7" s="1"/>
  <c r="N62" i="7"/>
  <c r="O62" i="7" s="1"/>
  <c r="H118" i="7"/>
  <c r="I118" i="7" s="1"/>
  <c r="N118" i="7"/>
  <c r="O118" i="7" s="1"/>
  <c r="C118" i="7"/>
  <c r="N166" i="7"/>
  <c r="O166" i="7" s="1"/>
  <c r="L166" i="7"/>
  <c r="H227" i="7"/>
  <c r="I227" i="7" s="1"/>
  <c r="N227" i="7"/>
  <c r="O227" i="7" s="1"/>
  <c r="C227" i="7"/>
  <c r="R149" i="6"/>
  <c r="AC166" i="6"/>
  <c r="AD166" i="6" s="1"/>
  <c r="N196" i="6"/>
  <c r="O196" i="6" s="1"/>
  <c r="AC196" i="6"/>
  <c r="AD196" i="6" s="1"/>
  <c r="R197" i="6"/>
  <c r="L274" i="6"/>
  <c r="C359" i="6"/>
  <c r="N359" i="6"/>
  <c r="O359" i="6" s="1"/>
  <c r="AC404" i="6"/>
  <c r="AD404" i="6" s="1"/>
  <c r="W404" i="6"/>
  <c r="X404" i="6" s="1"/>
  <c r="C62" i="7"/>
  <c r="N264" i="5"/>
  <c r="O264" i="5" s="1"/>
  <c r="N268" i="5"/>
  <c r="O268" i="5" s="1"/>
  <c r="AC285" i="5"/>
  <c r="AD285" i="5" s="1"/>
  <c r="N296" i="5"/>
  <c r="O296" i="5" s="1"/>
  <c r="AC325" i="5"/>
  <c r="AD325" i="5" s="1"/>
  <c r="N344" i="5"/>
  <c r="O344" i="5" s="1"/>
  <c r="N359" i="5"/>
  <c r="O359" i="5" s="1"/>
  <c r="AC430" i="5"/>
  <c r="AD430" i="5" s="1"/>
  <c r="N442" i="5"/>
  <c r="O442" i="5" s="1"/>
  <c r="AC18" i="6"/>
  <c r="AD18" i="6" s="1"/>
  <c r="N29" i="6"/>
  <c r="O29" i="6" s="1"/>
  <c r="AC62" i="6"/>
  <c r="AD62" i="6" s="1"/>
  <c r="N73" i="6"/>
  <c r="O73" i="6" s="1"/>
  <c r="AC118" i="6"/>
  <c r="AD118" i="6" s="1"/>
  <c r="AC124" i="6"/>
  <c r="AD124" i="6" s="1"/>
  <c r="N141" i="6"/>
  <c r="O141" i="6" s="1"/>
  <c r="W209" i="6"/>
  <c r="X209" i="6" s="1"/>
  <c r="R285" i="6"/>
  <c r="W285" i="6"/>
  <c r="X285" i="6" s="1"/>
  <c r="R325" i="6"/>
  <c r="W325" i="6"/>
  <c r="X325" i="6" s="1"/>
  <c r="AC325" i="6"/>
  <c r="AD325" i="6" s="1"/>
  <c r="R124" i="6"/>
  <c r="W149" i="6"/>
  <c r="X149" i="6" s="1"/>
  <c r="N182" i="6"/>
  <c r="O182" i="6" s="1"/>
  <c r="W193" i="6"/>
  <c r="X193" i="6" s="1"/>
  <c r="H197" i="6"/>
  <c r="I197" i="6" s="1"/>
  <c r="C209" i="6"/>
  <c r="N209" i="6"/>
  <c r="O209" i="6" s="1"/>
  <c r="R209" i="6"/>
  <c r="C227" i="6"/>
  <c r="N227" i="6"/>
  <c r="O227" i="6" s="1"/>
  <c r="W263" i="6"/>
  <c r="X263" i="6" s="1"/>
  <c r="U263" i="6"/>
  <c r="R264" i="6"/>
  <c r="C296" i="6"/>
  <c r="H296" i="6"/>
  <c r="I296" i="6" s="1"/>
  <c r="N296" i="6"/>
  <c r="O296" i="6" s="1"/>
  <c r="N326" i="6"/>
  <c r="O326" i="6" s="1"/>
  <c r="N61" i="7"/>
  <c r="O61" i="7" s="1"/>
  <c r="H263" i="7"/>
  <c r="I263" i="7" s="1"/>
  <c r="N263" i="7"/>
  <c r="O263" i="7" s="1"/>
  <c r="C263" i="7"/>
  <c r="R274" i="6"/>
  <c r="AC274" i="6"/>
  <c r="AD274" i="6" s="1"/>
  <c r="N285" i="6"/>
  <c r="O285" i="6" s="1"/>
  <c r="W326" i="6"/>
  <c r="X326" i="6" s="1"/>
  <c r="R326" i="6"/>
  <c r="AC359" i="6"/>
  <c r="AD359" i="6" s="1"/>
  <c r="W359" i="6"/>
  <c r="X359" i="6" s="1"/>
  <c r="W394" i="6"/>
  <c r="X394" i="6" s="1"/>
  <c r="R394" i="6"/>
  <c r="H148" i="7"/>
  <c r="I148" i="7" s="1"/>
  <c r="F148" i="7"/>
  <c r="W171" i="7"/>
  <c r="X171" i="7" s="1"/>
  <c r="U171" i="7"/>
  <c r="T172" i="7"/>
  <c r="H182" i="6"/>
  <c r="I182" i="6" s="1"/>
  <c r="AC227" i="6"/>
  <c r="AD227" i="6" s="1"/>
  <c r="R268" i="6"/>
  <c r="AC268" i="6"/>
  <c r="AD268" i="6" s="1"/>
  <c r="C285" i="6"/>
  <c r="H343" i="6"/>
  <c r="I343" i="6" s="1"/>
  <c r="C343" i="6"/>
  <c r="R359" i="6"/>
  <c r="W369" i="6"/>
  <c r="X369" i="6" s="1"/>
  <c r="AA397" i="6"/>
  <c r="H443" i="6"/>
  <c r="I443" i="6" s="1"/>
  <c r="N29" i="7"/>
  <c r="O29" i="7" s="1"/>
  <c r="H29" i="7"/>
  <c r="I29" i="7" s="1"/>
  <c r="AC118" i="7"/>
  <c r="AD118" i="7" s="1"/>
  <c r="AA118" i="7"/>
  <c r="C141" i="7"/>
  <c r="N141" i="7"/>
  <c r="O141" i="7" s="1"/>
  <c r="H141" i="7"/>
  <c r="I141" i="7" s="1"/>
  <c r="U209" i="7"/>
  <c r="W274" i="6"/>
  <c r="X274" i="6" s="1"/>
  <c r="W296" i="6"/>
  <c r="X296" i="6" s="1"/>
  <c r="R296" i="6"/>
  <c r="H394" i="6"/>
  <c r="I394" i="6" s="1"/>
  <c r="C394" i="6"/>
  <c r="R158" i="7"/>
  <c r="AC158" i="7"/>
  <c r="AD158" i="7" s="1"/>
  <c r="N344" i="6"/>
  <c r="O344" i="6" s="1"/>
  <c r="AC344" i="6"/>
  <c r="AD344" i="6" s="1"/>
  <c r="N369" i="6"/>
  <c r="O369" i="6" s="1"/>
  <c r="W430" i="6"/>
  <c r="X430" i="6" s="1"/>
  <c r="R430" i="6"/>
  <c r="N40" i="7"/>
  <c r="O40" i="7" s="1"/>
  <c r="W61" i="7"/>
  <c r="X61" i="7" s="1"/>
  <c r="AC61" i="7"/>
  <c r="AD61" i="7" s="1"/>
  <c r="H158" i="7"/>
  <c r="I158" i="7" s="1"/>
  <c r="N158" i="7"/>
  <c r="O158" i="7" s="1"/>
  <c r="N345" i="6"/>
  <c r="O345" i="6" s="1"/>
  <c r="AC369" i="6"/>
  <c r="AD369" i="6" s="1"/>
  <c r="R124" i="7"/>
  <c r="Q172" i="7"/>
  <c r="AC124" i="7"/>
  <c r="AD124" i="7" s="1"/>
  <c r="Z198" i="7"/>
  <c r="AA172" i="7"/>
  <c r="AC359" i="7"/>
  <c r="AD359" i="7" s="1"/>
  <c r="AA359" i="7"/>
  <c r="AC263" i="6"/>
  <c r="AD263" i="6" s="1"/>
  <c r="H209" i="7"/>
  <c r="I209" i="7" s="1"/>
  <c r="F209" i="7"/>
  <c r="F268" i="7"/>
  <c r="W343" i="6"/>
  <c r="X343" i="6" s="1"/>
  <c r="W397" i="6"/>
  <c r="X397" i="6" s="1"/>
  <c r="AC29" i="7"/>
  <c r="AD29" i="7" s="1"/>
  <c r="W29" i="7"/>
  <c r="X29" i="7" s="1"/>
  <c r="H40" i="7"/>
  <c r="I40" i="7" s="1"/>
  <c r="W124" i="7"/>
  <c r="X124" i="7" s="1"/>
  <c r="AC236" i="7"/>
  <c r="AD236" i="7" s="1"/>
  <c r="AA236" i="7"/>
  <c r="AC443" i="6"/>
  <c r="AD443" i="6" s="1"/>
  <c r="N18" i="7"/>
  <c r="O18" i="7" s="1"/>
  <c r="AC40" i="7"/>
  <c r="AD40" i="7" s="1"/>
  <c r="N73" i="7"/>
  <c r="O73" i="7" s="1"/>
  <c r="L73" i="7"/>
  <c r="H344" i="7"/>
  <c r="I344" i="7" s="1"/>
  <c r="C344" i="7"/>
  <c r="N344" i="7"/>
  <c r="O344" i="7" s="1"/>
  <c r="N429" i="6"/>
  <c r="O429" i="6" s="1"/>
  <c r="N443" i="6"/>
  <c r="O443" i="6" s="1"/>
  <c r="H124" i="7"/>
  <c r="I124" i="7" s="1"/>
  <c r="N124" i="7"/>
  <c r="O124" i="7" s="1"/>
  <c r="C171" i="7"/>
  <c r="H171" i="7"/>
  <c r="I171" i="7" s="1"/>
  <c r="B172" i="7"/>
  <c r="W182" i="7"/>
  <c r="X182" i="7" s="1"/>
  <c r="R182" i="7"/>
  <c r="C61" i="7"/>
  <c r="H61" i="7"/>
  <c r="I61" i="7" s="1"/>
  <c r="R62" i="7"/>
  <c r="W62" i="7"/>
  <c r="X62" i="7" s="1"/>
  <c r="C124" i="7"/>
  <c r="H196" i="7"/>
  <c r="I196" i="7" s="1"/>
  <c r="N196" i="7"/>
  <c r="O196" i="7" s="1"/>
  <c r="AC196" i="7"/>
  <c r="AD196" i="7" s="1"/>
  <c r="AA196" i="7"/>
  <c r="H430" i="7"/>
  <c r="I430" i="7" s="1"/>
  <c r="F430" i="7"/>
  <c r="E172" i="7"/>
  <c r="H182" i="7"/>
  <c r="I182" i="7" s="1"/>
  <c r="C182" i="7"/>
  <c r="R227" i="7"/>
  <c r="W227" i="7"/>
  <c r="X227" i="7" s="1"/>
  <c r="AC73" i="7"/>
  <c r="AD73" i="7" s="1"/>
  <c r="AC166" i="7"/>
  <c r="AD166" i="7" s="1"/>
  <c r="W170" i="7"/>
  <c r="X170" i="7" s="1"/>
  <c r="AC193" i="7"/>
  <c r="AD193" i="7" s="1"/>
  <c r="N218" i="7"/>
  <c r="O218" i="7" s="1"/>
  <c r="W344" i="7"/>
  <c r="X344" i="7" s="1"/>
  <c r="AC344" i="7"/>
  <c r="AD344" i="7" s="1"/>
  <c r="H359" i="7"/>
  <c r="I359" i="7" s="1"/>
  <c r="C359" i="7"/>
  <c r="N359" i="7"/>
  <c r="O359" i="7" s="1"/>
  <c r="L124" i="7"/>
  <c r="R170" i="7"/>
  <c r="N274" i="7"/>
  <c r="O274" i="7" s="1"/>
  <c r="L274" i="7"/>
  <c r="W345" i="7"/>
  <c r="X345" i="7" s="1"/>
  <c r="U345" i="7"/>
  <c r="U443" i="7"/>
  <c r="H166" i="7"/>
  <c r="I166" i="7" s="1"/>
  <c r="H193" i="7"/>
  <c r="I193" i="7" s="1"/>
  <c r="K198" i="7"/>
  <c r="N88" i="7"/>
  <c r="O88" i="7" s="1"/>
  <c r="AC141" i="7"/>
  <c r="AD141" i="7" s="1"/>
  <c r="N148" i="7"/>
  <c r="O148" i="7" s="1"/>
  <c r="AC171" i="7"/>
  <c r="AD171" i="7" s="1"/>
  <c r="N197" i="7"/>
  <c r="O197" i="7" s="1"/>
  <c r="N209" i="7"/>
  <c r="O209" i="7" s="1"/>
  <c r="W264" i="7"/>
  <c r="X264" i="7" s="1"/>
  <c r="N285" i="7"/>
  <c r="O285" i="7" s="1"/>
  <c r="W296" i="7"/>
  <c r="X296" i="7" s="1"/>
  <c r="U326" i="7"/>
  <c r="W326" i="7"/>
  <c r="X326" i="7" s="1"/>
  <c r="AA442" i="7"/>
  <c r="W236" i="7"/>
  <c r="X236" i="7" s="1"/>
  <c r="R264" i="7"/>
  <c r="R296" i="7"/>
  <c r="H442" i="7"/>
  <c r="I442" i="7" s="1"/>
  <c r="R442" i="7"/>
  <c r="W430" i="7"/>
  <c r="X430" i="7" s="1"/>
  <c r="C442" i="7"/>
  <c r="AC326" i="7"/>
  <c r="AD326" i="7" s="1"/>
  <c r="N343" i="7"/>
  <c r="O343" i="7" s="1"/>
  <c r="N345" i="7"/>
  <c r="O345" i="7" s="1"/>
  <c r="N369" i="7"/>
  <c r="O369" i="7" s="1"/>
  <c r="N394" i="7"/>
  <c r="O394" i="7" s="1"/>
  <c r="N397" i="7"/>
  <c r="O397" i="7" s="1"/>
  <c r="N404" i="7"/>
  <c r="O404" i="7" s="1"/>
  <c r="AC429" i="7"/>
  <c r="AD429" i="7" s="1"/>
  <c r="N443" i="7"/>
  <c r="O443" i="7" s="1"/>
  <c r="AC343" i="7"/>
  <c r="AD343" i="7" s="1"/>
  <c r="AC345" i="7"/>
  <c r="AD345" i="7" s="1"/>
  <c r="AC369" i="7"/>
  <c r="AD369" i="7" s="1"/>
  <c r="AC394" i="7"/>
  <c r="AD394" i="7" s="1"/>
  <c r="AC397" i="7"/>
  <c r="AD397" i="7" s="1"/>
  <c r="AC404" i="7"/>
  <c r="AD404" i="7" s="1"/>
  <c r="N430" i="7"/>
  <c r="O430" i="7" s="1"/>
  <c r="AC443" i="7"/>
  <c r="AD443" i="7" s="1"/>
  <c r="E198" i="7" l="1"/>
  <c r="F172" i="7"/>
  <c r="F198" i="1"/>
  <c r="E346" i="1"/>
  <c r="K346" i="1"/>
  <c r="L198" i="1"/>
  <c r="Z346" i="6"/>
  <c r="AA198" i="6"/>
  <c r="H198" i="1"/>
  <c r="I198" i="1" s="1"/>
  <c r="N198" i="1"/>
  <c r="O198" i="1" s="1"/>
  <c r="C198" i="1"/>
  <c r="B346" i="1"/>
  <c r="E346" i="2"/>
  <c r="F198" i="2"/>
  <c r="K346" i="6"/>
  <c r="L198" i="6"/>
  <c r="Z405" i="4"/>
  <c r="AA346" i="4"/>
  <c r="Q198" i="4"/>
  <c r="W172" i="4"/>
  <c r="X172" i="4" s="1"/>
  <c r="R172" i="4"/>
  <c r="AC172" i="4"/>
  <c r="AD172" i="4" s="1"/>
  <c r="T198" i="1"/>
  <c r="W198" i="1" s="1"/>
  <c r="X198" i="1" s="1"/>
  <c r="U172" i="1"/>
  <c r="Z346" i="7"/>
  <c r="AA198" i="7"/>
  <c r="B346" i="5"/>
  <c r="C198" i="5"/>
  <c r="N198" i="5"/>
  <c r="O198" i="5" s="1"/>
  <c r="E198" i="6"/>
  <c r="F172" i="6"/>
  <c r="Z198" i="3"/>
  <c r="AA172" i="3"/>
  <c r="R172" i="3"/>
  <c r="AC172" i="3"/>
  <c r="AD172" i="3" s="1"/>
  <c r="Q198" i="3"/>
  <c r="W172" i="3"/>
  <c r="X172" i="3" s="1"/>
  <c r="T198" i="4"/>
  <c r="U172" i="4"/>
  <c r="W172" i="1"/>
  <c r="X172" i="1" s="1"/>
  <c r="T405" i="3"/>
  <c r="U346" i="3"/>
  <c r="K346" i="4"/>
  <c r="L198" i="4"/>
  <c r="F172" i="3"/>
  <c r="E198" i="3"/>
  <c r="E198" i="5"/>
  <c r="F172" i="5"/>
  <c r="L346" i="3"/>
  <c r="K405" i="3"/>
  <c r="H172" i="2"/>
  <c r="I172" i="2" s="1"/>
  <c r="C172" i="2"/>
  <c r="N172" i="2"/>
  <c r="O172" i="2" s="1"/>
  <c r="B198" i="2"/>
  <c r="AC198" i="6"/>
  <c r="AD198" i="6" s="1"/>
  <c r="R198" i="6"/>
  <c r="Q346" i="6"/>
  <c r="K346" i="2"/>
  <c r="L198" i="2"/>
  <c r="AA346" i="1"/>
  <c r="Z405" i="1"/>
  <c r="N172" i="7"/>
  <c r="O172" i="7" s="1"/>
  <c r="B198" i="7"/>
  <c r="H172" i="7"/>
  <c r="I172" i="7" s="1"/>
  <c r="C172" i="7"/>
  <c r="W172" i="7"/>
  <c r="X172" i="7" s="1"/>
  <c r="AC172" i="7"/>
  <c r="AD172" i="7" s="1"/>
  <c r="Q198" i="7"/>
  <c r="R172" i="7"/>
  <c r="T198" i="7"/>
  <c r="U172" i="7"/>
  <c r="B198" i="3"/>
  <c r="C172" i="3"/>
  <c r="N172" i="3"/>
  <c r="O172" i="3" s="1"/>
  <c r="H172" i="3"/>
  <c r="I172" i="3" s="1"/>
  <c r="E198" i="4"/>
  <c r="H198" i="4" s="1"/>
  <c r="I198" i="4" s="1"/>
  <c r="F172" i="4"/>
  <c r="C198" i="4"/>
  <c r="B346" i="4"/>
  <c r="N198" i="4"/>
  <c r="O198" i="4" s="1"/>
  <c r="U346" i="2"/>
  <c r="T405" i="2"/>
  <c r="K346" i="7"/>
  <c r="L198" i="7"/>
  <c r="R198" i="5"/>
  <c r="AC198" i="5"/>
  <c r="AD198" i="5" s="1"/>
  <c r="Q346" i="5"/>
  <c r="W198" i="5"/>
  <c r="X198" i="5" s="1"/>
  <c r="L346" i="5"/>
  <c r="K405" i="5"/>
  <c r="Z198" i="2"/>
  <c r="AA172" i="2"/>
  <c r="Z346" i="5"/>
  <c r="AA198" i="5"/>
  <c r="N198" i="6"/>
  <c r="O198" i="6" s="1"/>
  <c r="B346" i="6"/>
  <c r="C198" i="6"/>
  <c r="Q198" i="2"/>
  <c r="R172" i="2"/>
  <c r="AC172" i="2"/>
  <c r="AD172" i="2" s="1"/>
  <c r="W172" i="2"/>
  <c r="X172" i="2" s="1"/>
  <c r="Q346" i="1"/>
  <c r="R198" i="1"/>
  <c r="AC198" i="1"/>
  <c r="AD198" i="1" s="1"/>
  <c r="H172" i="4"/>
  <c r="I172" i="4" s="1"/>
  <c r="U172" i="6"/>
  <c r="T198" i="6"/>
  <c r="E346" i="5" l="1"/>
  <c r="F198" i="5"/>
  <c r="B346" i="2"/>
  <c r="H198" i="2"/>
  <c r="I198" i="2" s="1"/>
  <c r="C198" i="2"/>
  <c r="N198" i="2"/>
  <c r="O198" i="2" s="1"/>
  <c r="E346" i="6"/>
  <c r="F198" i="6"/>
  <c r="L346" i="7"/>
  <c r="K405" i="7"/>
  <c r="H198" i="5"/>
  <c r="I198" i="5" s="1"/>
  <c r="Q346" i="3"/>
  <c r="W198" i="3"/>
  <c r="X198" i="3" s="1"/>
  <c r="R198" i="3"/>
  <c r="AC198" i="3"/>
  <c r="AD198" i="3" s="1"/>
  <c r="L346" i="2"/>
  <c r="K405" i="2"/>
  <c r="K405" i="4"/>
  <c r="L346" i="4"/>
  <c r="H346" i="1"/>
  <c r="I346" i="1" s="1"/>
  <c r="C346" i="1"/>
  <c r="B405" i="1"/>
  <c r="N346" i="1"/>
  <c r="O346" i="1" s="1"/>
  <c r="E405" i="1"/>
  <c r="F346" i="1"/>
  <c r="U198" i="6"/>
  <c r="T346" i="6"/>
  <c r="E346" i="3"/>
  <c r="F198" i="3"/>
  <c r="U198" i="1"/>
  <c r="T346" i="1"/>
  <c r="AC346" i="6"/>
  <c r="AD346" i="6" s="1"/>
  <c r="R346" i="6"/>
  <c r="Q405" i="6"/>
  <c r="L405" i="3"/>
  <c r="K444" i="3"/>
  <c r="L444" i="3" s="1"/>
  <c r="C346" i="5"/>
  <c r="B405" i="5"/>
  <c r="N346" i="5"/>
  <c r="O346" i="5" s="1"/>
  <c r="H346" i="5"/>
  <c r="I346" i="5" s="1"/>
  <c r="AC198" i="4"/>
  <c r="AD198" i="4" s="1"/>
  <c r="R198" i="4"/>
  <c r="Q346" i="4"/>
  <c r="W198" i="4"/>
  <c r="X198" i="4" s="1"/>
  <c r="AA346" i="5"/>
  <c r="Z405" i="5"/>
  <c r="T346" i="7"/>
  <c r="U198" i="7"/>
  <c r="AA405" i="1"/>
  <c r="Z444" i="1"/>
  <c r="AA444" i="1" s="1"/>
  <c r="T346" i="4"/>
  <c r="U198" i="4"/>
  <c r="L346" i="6"/>
  <c r="K405" i="6"/>
  <c r="Z346" i="2"/>
  <c r="AA198" i="2"/>
  <c r="E346" i="4"/>
  <c r="F198" i="4"/>
  <c r="Q346" i="7"/>
  <c r="R198" i="7"/>
  <c r="W198" i="7"/>
  <c r="X198" i="7" s="1"/>
  <c r="AC198" i="7"/>
  <c r="AD198" i="7" s="1"/>
  <c r="L405" i="5"/>
  <c r="K444" i="5"/>
  <c r="L444" i="5" s="1"/>
  <c r="L346" i="1"/>
  <c r="K405" i="1"/>
  <c r="H198" i="6"/>
  <c r="I198" i="6" s="1"/>
  <c r="AC346" i="1"/>
  <c r="AD346" i="1" s="1"/>
  <c r="Q405" i="1"/>
  <c r="R346" i="1"/>
  <c r="W346" i="5"/>
  <c r="X346" i="5" s="1"/>
  <c r="AC346" i="5"/>
  <c r="AD346" i="5" s="1"/>
  <c r="R346" i="5"/>
  <c r="Q405" i="5"/>
  <c r="C198" i="3"/>
  <c r="N198" i="3"/>
  <c r="O198" i="3" s="1"/>
  <c r="B346" i="3"/>
  <c r="H198" i="3"/>
  <c r="I198" i="3" s="1"/>
  <c r="T444" i="3"/>
  <c r="U444" i="3" s="1"/>
  <c r="U405" i="3"/>
  <c r="AA346" i="6"/>
  <c r="Z405" i="6"/>
  <c r="AC198" i="2"/>
  <c r="AD198" i="2" s="1"/>
  <c r="W198" i="2"/>
  <c r="X198" i="2" s="1"/>
  <c r="Q346" i="2"/>
  <c r="R198" i="2"/>
  <c r="U405" i="2"/>
  <c r="T444" i="2"/>
  <c r="U444" i="2" s="1"/>
  <c r="F346" i="2"/>
  <c r="E405" i="2"/>
  <c r="C346" i="6"/>
  <c r="N346" i="6"/>
  <c r="O346" i="6" s="1"/>
  <c r="H346" i="6"/>
  <c r="I346" i="6" s="1"/>
  <c r="B405" i="6"/>
  <c r="H346" i="4"/>
  <c r="I346" i="4" s="1"/>
  <c r="B405" i="4"/>
  <c r="C346" i="4"/>
  <c r="N346" i="4"/>
  <c r="O346" i="4" s="1"/>
  <c r="H198" i="7"/>
  <c r="I198" i="7" s="1"/>
  <c r="B346" i="7"/>
  <c r="C198" i="7"/>
  <c r="N198" i="7"/>
  <c r="O198" i="7" s="1"/>
  <c r="W198" i="6"/>
  <c r="X198" i="6" s="1"/>
  <c r="AA198" i="3"/>
  <c r="Z346" i="3"/>
  <c r="AA346" i="7"/>
  <c r="Z405" i="7"/>
  <c r="AA405" i="4"/>
  <c r="Z444" i="4"/>
  <c r="AA444" i="4" s="1"/>
  <c r="F198" i="7"/>
  <c r="E346" i="7"/>
  <c r="U346" i="7" l="1"/>
  <c r="T405" i="7"/>
  <c r="F405" i="1"/>
  <c r="E444" i="1"/>
  <c r="F444" i="1" s="1"/>
  <c r="C405" i="5"/>
  <c r="B444" i="5"/>
  <c r="N405" i="5"/>
  <c r="O405" i="5" s="1"/>
  <c r="H405" i="5"/>
  <c r="I405" i="5" s="1"/>
  <c r="E405" i="6"/>
  <c r="F346" i="6"/>
  <c r="E444" i="2"/>
  <c r="F444" i="2" s="1"/>
  <c r="F405" i="2"/>
  <c r="W405" i="5"/>
  <c r="X405" i="5" s="1"/>
  <c r="Q444" i="5"/>
  <c r="AC405" i="5"/>
  <c r="AD405" i="5" s="1"/>
  <c r="R405" i="5"/>
  <c r="W346" i="7"/>
  <c r="X346" i="7" s="1"/>
  <c r="R346" i="7"/>
  <c r="AC346" i="7"/>
  <c r="AD346" i="7" s="1"/>
  <c r="Q405" i="7"/>
  <c r="T405" i="4"/>
  <c r="U346" i="4"/>
  <c r="W346" i="4"/>
  <c r="X346" i="4" s="1"/>
  <c r="Q405" i="4"/>
  <c r="R346" i="4"/>
  <c r="AC346" i="4"/>
  <c r="AD346" i="4" s="1"/>
  <c r="F346" i="3"/>
  <c r="E405" i="3"/>
  <c r="R346" i="3"/>
  <c r="Q405" i="3"/>
  <c r="AC346" i="3"/>
  <c r="AD346" i="3" s="1"/>
  <c r="W346" i="3"/>
  <c r="X346" i="3" s="1"/>
  <c r="Q444" i="1"/>
  <c r="R405" i="1"/>
  <c r="AC405" i="1"/>
  <c r="AD405" i="1" s="1"/>
  <c r="AA405" i="5"/>
  <c r="Z444" i="5"/>
  <c r="AA444" i="5" s="1"/>
  <c r="AA405" i="7"/>
  <c r="Z444" i="7"/>
  <c r="AA444" i="7" s="1"/>
  <c r="AA346" i="3"/>
  <c r="Z405" i="3"/>
  <c r="K444" i="1"/>
  <c r="L444" i="1" s="1"/>
  <c r="L405" i="1"/>
  <c r="R405" i="6"/>
  <c r="Q444" i="6"/>
  <c r="AC405" i="6"/>
  <c r="AD405" i="6" s="1"/>
  <c r="W405" i="6"/>
  <c r="X405" i="6" s="1"/>
  <c r="U346" i="6"/>
  <c r="T405" i="6"/>
  <c r="H346" i="2"/>
  <c r="I346" i="2" s="1"/>
  <c r="B405" i="2"/>
  <c r="C346" i="2"/>
  <c r="N346" i="2"/>
  <c r="O346" i="2" s="1"/>
  <c r="C346" i="3"/>
  <c r="B405" i="3"/>
  <c r="N346" i="3"/>
  <c r="O346" i="3" s="1"/>
  <c r="H346" i="3"/>
  <c r="I346" i="3" s="1"/>
  <c r="U346" i="1"/>
  <c r="T405" i="1"/>
  <c r="W346" i="1"/>
  <c r="X346" i="1" s="1"/>
  <c r="AA405" i="6"/>
  <c r="Z444" i="6"/>
  <c r="AA444" i="6" s="1"/>
  <c r="B444" i="4"/>
  <c r="C405" i="4"/>
  <c r="N405" i="4"/>
  <c r="O405" i="4" s="1"/>
  <c r="E405" i="4"/>
  <c r="F346" i="4"/>
  <c r="K444" i="4"/>
  <c r="L444" i="4" s="1"/>
  <c r="L405" i="4"/>
  <c r="L405" i="7"/>
  <c r="K444" i="7"/>
  <c r="L444" i="7" s="1"/>
  <c r="B444" i="6"/>
  <c r="C405" i="6"/>
  <c r="N405" i="6"/>
  <c r="O405" i="6" s="1"/>
  <c r="H405" i="6"/>
  <c r="I405" i="6" s="1"/>
  <c r="Z405" i="2"/>
  <c r="AA346" i="2"/>
  <c r="W346" i="2"/>
  <c r="X346" i="2" s="1"/>
  <c r="AC346" i="2"/>
  <c r="AD346" i="2" s="1"/>
  <c r="Q405" i="2"/>
  <c r="R346" i="2"/>
  <c r="L405" i="6"/>
  <c r="K444" i="6"/>
  <c r="L444" i="6" s="1"/>
  <c r="H346" i="7"/>
  <c r="I346" i="7" s="1"/>
  <c r="C346" i="7"/>
  <c r="B405" i="7"/>
  <c r="N346" i="7"/>
  <c r="O346" i="7" s="1"/>
  <c r="H405" i="1"/>
  <c r="I405" i="1" s="1"/>
  <c r="B444" i="1"/>
  <c r="C405" i="1"/>
  <c r="N405" i="1"/>
  <c r="O405" i="1" s="1"/>
  <c r="E405" i="7"/>
  <c r="F346" i="7"/>
  <c r="W346" i="6"/>
  <c r="X346" i="6" s="1"/>
  <c r="L405" i="2"/>
  <c r="K444" i="2"/>
  <c r="L444" i="2" s="1"/>
  <c r="E405" i="5"/>
  <c r="F346" i="5"/>
  <c r="W405" i="4" l="1"/>
  <c r="X405" i="4" s="1"/>
  <c r="R405" i="4"/>
  <c r="Q444" i="4"/>
  <c r="AC405" i="4"/>
  <c r="AD405" i="4" s="1"/>
  <c r="AA405" i="2"/>
  <c r="Z444" i="2"/>
  <c r="AA444" i="2" s="1"/>
  <c r="W444" i="5"/>
  <c r="X444" i="5" s="1"/>
  <c r="R444" i="5"/>
  <c r="AC444" i="5"/>
  <c r="AD444" i="5" s="1"/>
  <c r="T444" i="4"/>
  <c r="U444" i="4" s="1"/>
  <c r="U405" i="4"/>
  <c r="F405" i="4"/>
  <c r="E444" i="4"/>
  <c r="F444" i="4" s="1"/>
  <c r="U405" i="1"/>
  <c r="T444" i="1"/>
  <c r="U444" i="1" s="1"/>
  <c r="H405" i="2"/>
  <c r="I405" i="2" s="1"/>
  <c r="C405" i="2"/>
  <c r="N405" i="2"/>
  <c r="O405" i="2" s="1"/>
  <c r="B444" i="2"/>
  <c r="F405" i="3"/>
  <c r="E444" i="3"/>
  <c r="F444" i="3" s="1"/>
  <c r="W405" i="7"/>
  <c r="X405" i="7" s="1"/>
  <c r="Q444" i="7"/>
  <c r="AC405" i="7"/>
  <c r="AD405" i="7" s="1"/>
  <c r="R405" i="7"/>
  <c r="F405" i="7"/>
  <c r="E444" i="7"/>
  <c r="F444" i="7" s="1"/>
  <c r="R405" i="3"/>
  <c r="Q444" i="3"/>
  <c r="AC405" i="3"/>
  <c r="AD405" i="3" s="1"/>
  <c r="W405" i="3"/>
  <c r="X405" i="3" s="1"/>
  <c r="F405" i="5"/>
  <c r="E444" i="5"/>
  <c r="F444" i="5" s="1"/>
  <c r="C444" i="1"/>
  <c r="H444" i="1"/>
  <c r="I444" i="1" s="1"/>
  <c r="N444" i="1"/>
  <c r="O444" i="1" s="1"/>
  <c r="H405" i="4"/>
  <c r="I405" i="4" s="1"/>
  <c r="H405" i="7"/>
  <c r="I405" i="7" s="1"/>
  <c r="N405" i="7"/>
  <c r="O405" i="7" s="1"/>
  <c r="C405" i="7"/>
  <c r="B444" i="7"/>
  <c r="C444" i="4"/>
  <c r="N444" i="4"/>
  <c r="O444" i="4" s="1"/>
  <c r="H444" i="4"/>
  <c r="I444" i="4" s="1"/>
  <c r="R444" i="6"/>
  <c r="W444" i="6"/>
  <c r="X444" i="6" s="1"/>
  <c r="AC444" i="6"/>
  <c r="AD444" i="6" s="1"/>
  <c r="C444" i="5"/>
  <c r="N444" i="5"/>
  <c r="O444" i="5" s="1"/>
  <c r="H444" i="5"/>
  <c r="I444" i="5" s="1"/>
  <c r="W405" i="2"/>
  <c r="X405" i="2" s="1"/>
  <c r="Q444" i="2"/>
  <c r="R405" i="2"/>
  <c r="AC405" i="2"/>
  <c r="AD405" i="2" s="1"/>
  <c r="C444" i="6"/>
  <c r="N444" i="6"/>
  <c r="O444" i="6" s="1"/>
  <c r="T444" i="6"/>
  <c r="U444" i="6" s="1"/>
  <c r="U405" i="6"/>
  <c r="AA405" i="3"/>
  <c r="Z444" i="3"/>
  <c r="AA444" i="3" s="1"/>
  <c r="R444" i="1"/>
  <c r="AC444" i="1"/>
  <c r="AD444" i="1" s="1"/>
  <c r="W444" i="1"/>
  <c r="X444" i="1" s="1"/>
  <c r="U405" i="7"/>
  <c r="T444" i="7"/>
  <c r="U444" i="7" s="1"/>
  <c r="C405" i="3"/>
  <c r="B444" i="3"/>
  <c r="N405" i="3"/>
  <c r="O405" i="3" s="1"/>
  <c r="H405" i="3"/>
  <c r="I405" i="3" s="1"/>
  <c r="W405" i="1"/>
  <c r="X405" i="1" s="1"/>
  <c r="E444" i="6"/>
  <c r="F444" i="6" s="1"/>
  <c r="F405" i="6"/>
  <c r="R444" i="3" l="1"/>
  <c r="AC444" i="3"/>
  <c r="AD444" i="3" s="1"/>
  <c r="W444" i="3"/>
  <c r="X444" i="3" s="1"/>
  <c r="C444" i="3"/>
  <c r="N444" i="3"/>
  <c r="O444" i="3" s="1"/>
  <c r="H444" i="3"/>
  <c r="I444" i="3" s="1"/>
  <c r="W444" i="2"/>
  <c r="X444" i="2" s="1"/>
  <c r="AC444" i="2"/>
  <c r="AD444" i="2" s="1"/>
  <c r="R444" i="2"/>
  <c r="H444" i="2"/>
  <c r="I444" i="2" s="1"/>
  <c r="N444" i="2"/>
  <c r="O444" i="2" s="1"/>
  <c r="C444" i="2"/>
  <c r="W444" i="4"/>
  <c r="X444" i="4" s="1"/>
  <c r="R444" i="4"/>
  <c r="AC444" i="4"/>
  <c r="AD444" i="4" s="1"/>
  <c r="W444" i="7"/>
  <c r="X444" i="7" s="1"/>
  <c r="R444" i="7"/>
  <c r="AC444" i="7"/>
  <c r="AD444" i="7" s="1"/>
  <c r="H444" i="6"/>
  <c r="I444" i="6" s="1"/>
  <c r="H444" i="7"/>
  <c r="I444" i="7" s="1"/>
  <c r="N444" i="7"/>
  <c r="O444" i="7" s="1"/>
  <c r="C444" i="7"/>
</calcChain>
</file>

<file path=xl/sharedStrings.xml><?xml version="1.0" encoding="utf-8"?>
<sst xmlns="http://schemas.openxmlformats.org/spreadsheetml/2006/main" count="3941" uniqueCount="418">
  <si>
    <t>P&amp;L - Per. &amp; YTD vs Budget and PY</t>
  </si>
  <si>
    <t>05/24/2026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</si>
  <si>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</si>
  <si>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</si>
  <si>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</si>
  <si>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</si>
  <si>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</si>
  <si>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</si>
  <si>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</si>
  <si>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</si>
  <si>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</si>
  <si>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</si>
  <si>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</si>
  <si>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</si>
  <si>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</si>
  <si>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</si>
  <si>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</si>
  <si>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</si>
  <si>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</si>
  <si>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</si>
  <si>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</si>
  <si>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</si>
  <si>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</si>
  <si>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</si>
  <si>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</si>
  <si>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</si>
  <si>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</si>
  <si>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</si>
  <si>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</si>
  <si>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</si>
  <si>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</si>
  <si>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</si>
  <si>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</si>
  <si>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</si>
  <si>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</si>
  <si>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</si>
  <si>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</si>
  <si>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</si>
  <si>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</si>
  <si>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</si>
  <si>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</si>
  <si>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</si>
  <si>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</si>
  <si>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</si>
  <si>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</si>
  <si>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</si>
  <si>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</si>
  <si>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</si>
  <si>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</si>
  <si>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</si>
  <si>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</si>
  <si>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</si>
  <si>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</si>
  <si>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</si>
  <si>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</si>
  <si>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</si>
  <si>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</si>
  <si>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</si>
  <si>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</si>
  <si>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</si>
  <si>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</si>
  <si>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</si>
  <si>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</si>
  <si>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</si>
  <si>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</si>
  <si>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</si>
  <si>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</si>
  <si>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</si>
  <si>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</si>
  <si>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</si>
  <si>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</si>
  <si>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</si>
  <si>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</si>
  <si>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</si>
  <si>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</si>
  <si>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</si>
  <si>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</si>
  <si>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</si>
  <si>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</si>
  <si>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</si>
  <si>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</si>
  <si>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</si>
  <si>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</si>
  <si>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</si>
  <si>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</si>
  <si>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</si>
  <si>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</si>
  <si>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</si>
  <si>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</si>
  <si>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</si>
  <si>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</si>
  <si>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</si>
  <si>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</si>
  <si>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</si>
  <si>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</si>
  <si>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</si>
  <si>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</si>
  <si>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</si>
  <si>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</si>
  <si>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</si>
  <si>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</si>
  <si>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</si>
  <si>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</si>
  <si>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</si>
  <si>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</si>
  <si>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</si>
  <si>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</si>
  <si>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</si>
  <si>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</si>
  <si>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</si>
  <si>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</si>
  <si>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</si>
  <si>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</si>
  <si>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</si>
  <si>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</si>
  <si>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</si>
  <si>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</si>
  <si>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</si>
  <si>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</si>
  <si>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</si>
  <si>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</si>
  <si>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</si>
  <si>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</si>
  <si>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</si>
  <si>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</si>
  <si>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</si>
  <si>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</si>
  <si>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</si>
  <si>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</si>
  <si>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</si>
  <si>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</si>
  <si>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</si>
  <si>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</si>
  <si>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</si>
  <si>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</si>
  <si>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</si>
  <si>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</si>
  <si>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</si>
  <si>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</si>
  <si>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</si>
  <si>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</si>
  <si>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</si>
  <si>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</si>
  <si>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</si>
  <si>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</si>
  <si>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</si>
  <si>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</si>
  <si>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</si>
  <si>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</si>
  <si>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</si>
  <si>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</si>
  <si>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</si>
  <si>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</si>
  <si>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</si>
  <si>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</si>
  <si>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</si>
  <si>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</si>
  <si>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</si>
  <si>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</si>
  <si>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</si>
  <si>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</si>
  <si>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</si>
  <si>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</si>
  <si>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</si>
  <si>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</si>
  <si>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</si>
  <si>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</si>
  <si>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</si>
  <si>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</si>
  <si>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</si>
  <si>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</si>
  <si>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</si>
  <si>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</si>
  <si>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</si>
  <si>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</si>
  <si>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</si>
  <si>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</si>
  <si>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</si>
  <si>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</si>
  <si>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</si>
  <si>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</si>
  <si>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</si>
  <si>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</si>
  <si>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</si>
  <si>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</si>
  <si>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</si>
  <si>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</si>
  <si>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</si>
  <si>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</si>
  <si>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</si>
  <si>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</si>
  <si>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</si>
  <si>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</si>
  <si>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</si>
  <si>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</si>
  <si>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</si>
  <si>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</si>
  <si>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</si>
  <si>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</si>
  <si>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</si>
  <si>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</si>
  <si>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</si>
  <si>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</si>
  <si>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</si>
  <si>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</si>
  <si>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</si>
  <si>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</si>
  <si>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</si>
  <si>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</si>
  <si>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</si>
  <si>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</si>
  <si>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</si>
  <si>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</si>
  <si>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</si>
  <si>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</si>
  <si>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</si>
  <si>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</si>
  <si>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</si>
  <si>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</si>
  <si>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</si>
  <si>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</si>
  <si>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</si>
  <si>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</si>
  <si>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</si>
  <si>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</si>
  <si>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</si>
  <si>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</si>
  <si>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</si>
  <si>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</si>
  <si>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</si>
  <si>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</si>
  <si>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</si>
  <si>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</si>
  <si>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</si>
  <si>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</si>
  <si>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</si>
  <si>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</si>
  <si>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</si>
  <si>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</si>
  <si>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</si>
  <si>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</si>
  <si>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</si>
  <si>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</si>
  <si>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</si>
  <si>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</si>
  <si>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</si>
  <si>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</si>
  <si>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</si>
  <si>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</si>
  <si>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</si>
  <si>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</si>
  <si>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</si>
  <si>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</si>
  <si>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</si>
  <si>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</si>
  <si>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</si>
  <si>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</si>
  <si>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</si>
  <si>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</si>
  <si>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</si>
  <si>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</si>
  <si>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</si>
  <si>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</si>
  <si>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</si>
  <si>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</si>
  <si>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</si>
  <si>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</si>
  <si>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</si>
  <si>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</si>
  <si>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</si>
  <si>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</si>
  <si>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</si>
  <si>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</si>
  <si>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</si>
  <si>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</si>
  <si>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</si>
  <si>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</si>
  <si>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</si>
  <si>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</si>
  <si>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</si>
  <si>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</si>
  <si>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</si>
  <si>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</si>
  <si>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</si>
  <si>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</si>
  <si>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</si>
  <si>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</si>
  <si>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</si>
  <si>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</si>
  <si>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</si>
  <si>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</si>
  <si>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</si>
  <si>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</si>
  <si>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</si>
  <si>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</si>
  <si>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</si>
  <si>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</si>
  <si>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</si>
  <si>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</si>
  <si>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</si>
  <si>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</si>
  <si>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</si>
  <si>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</si>
  <si>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</si>
  <si>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</si>
  <si>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</si>
  <si>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</si>
  <si>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</si>
  <si>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</si>
  <si>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</si>
  <si>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</si>
  <si>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</si>
  <si>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</si>
  <si>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</si>
  <si>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</si>
  <si>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</si>
  <si>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</si>
  <si>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</si>
  <si>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</si>
  <si>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</si>
  <si>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</si>
  <si>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</si>
  <si>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</si>
  <si>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</si>
  <si>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</si>
  <si>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</si>
  <si>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</si>
  <si>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</si>
  <si>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</si>
  <si>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</si>
  <si>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</si>
  <si>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</si>
  <si>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</si>
  <si>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</si>
  <si>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</si>
  <si>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</si>
  <si>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</si>
  <si>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</si>
  <si>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</si>
  <si>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</si>
  <si>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</si>
  <si>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</si>
  <si>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</si>
  <si>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</si>
  <si>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</si>
  <si>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</si>
  <si>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</si>
  <si>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</si>
  <si>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</si>
  <si>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</si>
  <si>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</si>
  <si>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</si>
  <si>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</si>
  <si>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</si>
  <si>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</si>
  <si>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</si>
  <si>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</si>
  <si>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</si>
  <si>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</si>
  <si>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</si>
  <si>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</si>
  <si>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</si>
  <si>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</si>
  <si>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</si>
  <si>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</si>
  <si>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</si>
  <si>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</si>
  <si>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</si>
  <si>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</si>
  <si>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</si>
  <si>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</si>
  <si>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</si>
  <si>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</si>
  <si>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</si>
  <si>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</si>
  <si>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</si>
  <si>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</si>
  <si>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</si>
  <si>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</si>
  <si>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</si>
  <si>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</si>
  <si>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</si>
  <si>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</si>
  <si>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</si>
  <si>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</si>
  <si>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</si>
  <si>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</si>
  <si>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</si>
  <si>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</si>
  <si>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</si>
  <si>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</si>
  <si>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</si>
  <si>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</si>
  <si>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</si>
  <si>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</si>
  <si>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</si>
  <si>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</si>
  <si>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</si>
  <si>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</si>
  <si>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</si>
  <si>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</si>
  <si>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</si>
  <si>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</si>
  <si>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</si>
  <si>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</si>
  <si>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</si>
  <si>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</si>
  <si>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</si>
  <si>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</si>
  <si>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</si>
  <si>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</si>
  <si>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06/11/2026 10:12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</si>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</sst>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50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IFERROR(B8/B445, "NA")</f>
        <v>0</v>
      </c>
      <c r="D8" s="9"/>
      <c r="E8" s="7">
        <v>0</v>
      </c>
      <c r="F8" s="8">
        <f>IFERROR(E8/E445, "NA")</f>
        <v>0</v>
      </c>
      <c r="G8" s="9"/>
      <c r="H8" s="10">
        <f>IFERROR(B8-E8, "NA")</f>
        <v>0</v>
      </c>
      <c r="I8" s="8">
        <f>IFERROR(H8/H445, "NA")</f>
        <v>0</v>
      </c>
      <c r="J8" s="9"/>
      <c r="K8" s="7">
        <v>0</v>
      </c>
      <c r="L8" s="8">
        <f>IFERROR(K8/K445, "NA")</f>
        <v>0</v>
      </c>
      <c r="M8" s="9"/>
      <c r="N8" s="10">
        <f>IFERROR(B8-K8, "NA")</f>
        <v>0</v>
      </c>
      <c r="O8" s="8">
        <f>IFERROR(N8/N445, "NA")</f>
        <v>0</v>
      </c>
      <c r="P8" s="9"/>
      <c r="Q8" s="7">
        <v>0</v>
      </c>
      <c r="R8" s="8">
        <f>IFERROR(Q8/Q445, "NA")</f>
        <v>0</v>
      </c>
      <c r="S8" s="9"/>
      <c r="T8" s="7">
        <v>0</v>
      </c>
      <c r="U8" s="8">
        <f>IFERROR(T8/T445, "NA")</f>
        <v>0</v>
      </c>
      <c r="V8" s="9"/>
      <c r="W8" s="10">
        <f>IFERROR(Q8-T8, "NA")</f>
        <v>0</v>
      </c>
      <c r="X8" s="8">
        <f>IFERROR(W8/W445, "NA")</f>
        <v>0</v>
      </c>
      <c r="Y8" s="9"/>
      <c r="Z8" s="7">
        <v>0</v>
      </c>
      <c r="AA8" s="8">
        <f>IFERROR(Z8/Z445, "NA")</f>
        <v>0</v>
      </c>
      <c r="AB8" s="9"/>
      <c r="AC8" s="10">
        <f>IFERROR(Q8-Z8, "NA")</f>
        <v>0</v>
      </c>
      <c r="AD8" s="8">
        <f>IFERROR(AC8/AC445,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IFERROR(B10/B445, "NA")</f>
        <v>0</v>
      </c>
      <c r="D10" s="9"/>
      <c r="E10" s="7">
        <v>275797.43000000005</v>
      </c>
      <c r="F10" s="8">
        <f>IFERROR(E10/E445, "NA")</f>
        <v>0.42516368761807444</v>
      </c>
      <c r="G10" s="9"/>
      <c r="H10" s="10">
        <f t="shared" ref="H10:H19" si="0">IFERROR(B10-E10, "NA")</f>
        <v>-275797.43000000005</v>
      </c>
      <c r="I10" s="8">
        <f>IFERROR(H10/H445, "NA")</f>
        <v>5.0866758835092467</v>
      </c>
      <c r="J10" s="9"/>
      <c r="K10" s="7">
        <v>0</v>
      </c>
      <c r="L10" s="8">
        <f>IFERROR(K10/K445, "NA")</f>
        <v>0</v>
      </c>
      <c r="M10" s="9"/>
      <c r="N10" s="10">
        <f t="shared" ref="N10:N19" si="1">IFERROR(B10-K10, "NA")</f>
        <v>0</v>
      </c>
      <c r="O10" s="8">
        <f>IFERROR(N10/N445, "NA")</f>
        <v>0</v>
      </c>
      <c r="P10" s="9"/>
      <c r="Q10" s="7">
        <v>0</v>
      </c>
      <c r="R10" s="8">
        <f>IFERROR(Q10/Q445, "NA")</f>
        <v>0</v>
      </c>
      <c r="S10" s="9"/>
      <c r="T10" s="7">
        <v>1286978.21</v>
      </c>
      <c r="U10" s="8">
        <f>IFERROR(T10/T445, "NA")</f>
        <v>0.41950785972853899</v>
      </c>
      <c r="V10" s="9"/>
      <c r="W10" s="10">
        <f t="shared" ref="W10:W19" si="2">IFERROR(Q10-T10, "NA")</f>
        <v>-1286978.21</v>
      </c>
      <c r="X10" s="8">
        <f>IFERROR(W10/W445, "NA")</f>
        <v>9.5429502689682</v>
      </c>
      <c r="Y10" s="9"/>
      <c r="Z10" s="7">
        <v>0</v>
      </c>
      <c r="AA10" s="8">
        <f>IFERROR(Z10/Z445, "NA")</f>
        <v>0</v>
      </c>
      <c r="AB10" s="9"/>
      <c r="AC10" s="10">
        <f t="shared" ref="AC10:AC19" si="3">IFERROR(Q10-Z10, "NA")</f>
        <v>0</v>
      </c>
      <c r="AD10" s="8">
        <f>IFERROR(AC10/AC445, "NA")</f>
        <v>0</v>
      </c>
    </row>
    <row r="11" spans="1:30" ht="16.5" customHeight="1" x14ac:dyDescent="0.45">
      <c r="A11" s="12" t="s">
        <v>13</v>
      </c>
      <c r="B11" s="7">
        <v>230612.55</v>
      </c>
      <c r="C11" s="8">
        <f>IFERROR(B11/B445, "NA")</f>
        <v>0.38793246796354319</v>
      </c>
      <c r="D11" s="9"/>
      <c r="E11" s="7">
        <v>0</v>
      </c>
      <c r="F11" s="8">
        <f>IFERROR(E11/E445, "NA")</f>
        <v>0</v>
      </c>
      <c r="G11" s="9"/>
      <c r="H11" s="10">
        <f t="shared" si="0"/>
        <v>230612.55</v>
      </c>
      <c r="I11" s="8">
        <f>IFERROR(H11/H445, "NA")</f>
        <v>-4.2533075689630975</v>
      </c>
      <c r="J11" s="9"/>
      <c r="K11" s="7">
        <v>242118.14</v>
      </c>
      <c r="L11" s="8">
        <f>IFERROR(K11/K445, "NA")</f>
        <v>0.40753806454458091</v>
      </c>
      <c r="M11" s="9"/>
      <c r="N11" s="10">
        <f t="shared" si="1"/>
        <v>-11505.590000000026</v>
      </c>
      <c r="O11" s="8">
        <f>IFERROR(N11/N445, "NA")</f>
        <v>-31.413722492207928</v>
      </c>
      <c r="P11" s="9"/>
      <c r="Q11" s="7">
        <v>1068718.27</v>
      </c>
      <c r="R11" s="8">
        <f>IFERROR(Q11/Q445, "NA")</f>
        <v>0.364381288813236</v>
      </c>
      <c r="S11" s="9"/>
      <c r="T11" s="7">
        <v>0</v>
      </c>
      <c r="U11" s="8">
        <f>IFERROR(T11/T445, "NA")</f>
        <v>0</v>
      </c>
      <c r="V11" s="9"/>
      <c r="W11" s="10">
        <f t="shared" si="2"/>
        <v>1068718.27</v>
      </c>
      <c r="X11" s="8">
        <f>IFERROR(W11/W445, "NA")</f>
        <v>-7.9245516535573124</v>
      </c>
      <c r="Y11" s="9"/>
      <c r="Z11" s="7">
        <v>1139070.08</v>
      </c>
      <c r="AA11" s="8">
        <f>IFERROR(Z11/Z445, "NA")</f>
        <v>0.39874044138992354</v>
      </c>
      <c r="AB11" s="9"/>
      <c r="AC11" s="10">
        <f t="shared" si="3"/>
        <v>-70351.810000000056</v>
      </c>
      <c r="AD11" s="8">
        <f>IFERROR(AC11/AC445, "NA")</f>
        <v>-0.92208593934417038</v>
      </c>
    </row>
    <row r="12" spans="1:30" ht="16.5" customHeight="1" x14ac:dyDescent="0.45">
      <c r="A12" s="12" t="s">
        <v>14</v>
      </c>
      <c r="B12" s="7">
        <v>25972.05</v>
      </c>
      <c r="C12" s="8">
        <f>IFERROR(B12/B445, "NA")</f>
        <v>4.3689736116150409E-2</v>
      </c>
      <c r="D12" s="9"/>
      <c r="E12" s="7">
        <v>0</v>
      </c>
      <c r="F12" s="8">
        <f>IFERROR(E12/E445, "NA")</f>
        <v>0</v>
      </c>
      <c r="G12" s="9"/>
      <c r="H12" s="10">
        <f t="shared" si="0"/>
        <v>25972.05</v>
      </c>
      <c r="I12" s="8">
        <f>IFERROR(H12/H445, "NA")</f>
        <v>-0.4790160676272302</v>
      </c>
      <c r="J12" s="9"/>
      <c r="K12" s="7">
        <v>27533.15</v>
      </c>
      <c r="L12" s="8">
        <f>IFERROR(K12/K445, "NA")</f>
        <v>4.6344345210216915E-2</v>
      </c>
      <c r="M12" s="9"/>
      <c r="N12" s="10">
        <f t="shared" si="1"/>
        <v>-1561.1000000000022</v>
      </c>
      <c r="O12" s="8">
        <f>IFERROR(N12/N445, "NA")</f>
        <v>-4.2622727024503533</v>
      </c>
      <c r="P12" s="9"/>
      <c r="Q12" s="7">
        <v>111522.05</v>
      </c>
      <c r="R12" s="8">
        <f>IFERROR(Q12/Q445, "NA")</f>
        <v>3.8023630222110964E-2</v>
      </c>
      <c r="S12" s="9"/>
      <c r="T12" s="7">
        <v>0</v>
      </c>
      <c r="U12" s="8">
        <f>IFERROR(T12/T445, "NA")</f>
        <v>0</v>
      </c>
      <c r="V12" s="9"/>
      <c r="W12" s="10">
        <f t="shared" si="2"/>
        <v>111522.05</v>
      </c>
      <c r="X12" s="8">
        <f>IFERROR(W12/W445, "NA")</f>
        <v>-0.8269365936221913</v>
      </c>
      <c r="Y12" s="9"/>
      <c r="Z12" s="7">
        <v>121658.73999999999</v>
      </c>
      <c r="AA12" s="8">
        <f>IFERROR(Z12/Z445, "NA")</f>
        <v>4.2587598900448637E-2</v>
      </c>
      <c r="AB12" s="9"/>
      <c r="AC12" s="10">
        <f t="shared" si="3"/>
        <v>-10136.689999999988</v>
      </c>
      <c r="AD12" s="8">
        <f>IFERROR(AC12/AC445, "NA")</f>
        <v>-0.13285940078145311</v>
      </c>
    </row>
    <row r="13" spans="1:30" ht="16.5" customHeight="1" x14ac:dyDescent="0.45">
      <c r="A13" s="12" t="s">
        <v>15</v>
      </c>
      <c r="B13" s="7">
        <v>755</v>
      </c>
      <c r="C13" s="8">
        <f>IFERROR(B13/B445, "NA")</f>
        <v>1.2700480234595867E-3</v>
      </c>
      <c r="D13" s="9"/>
      <c r="E13" s="7">
        <v>0</v>
      </c>
      <c r="F13" s="8">
        <f>IFERROR(E13/E445, "NA")</f>
        <v>0</v>
      </c>
      <c r="G13" s="9"/>
      <c r="H13" s="10">
        <f t="shared" si="0"/>
        <v>755</v>
      </c>
      <c r="I13" s="8">
        <f>IFERROR(H13/H445, "NA")</f>
        <v>-1.3924858879393764E-2</v>
      </c>
      <c r="J13" s="9"/>
      <c r="K13" s="7">
        <v>1117</v>
      </c>
      <c r="L13" s="8">
        <f>IFERROR(K13/K445, "NA")</f>
        <v>1.8801565966775429E-3</v>
      </c>
      <c r="M13" s="9"/>
      <c r="N13" s="10">
        <f t="shared" si="1"/>
        <v>-362</v>
      </c>
      <c r="O13" s="8">
        <f>IFERROR(N13/N445, "NA")</f>
        <v>-0.98836891825445239</v>
      </c>
      <c r="P13" s="9"/>
      <c r="Q13" s="7">
        <v>3576.5</v>
      </c>
      <c r="R13" s="8">
        <f>IFERROR(Q13/Q445, "NA")</f>
        <v>1.2194136808763815E-3</v>
      </c>
      <c r="S13" s="9"/>
      <c r="T13" s="7">
        <v>0</v>
      </c>
      <c r="U13" s="8">
        <f>IFERROR(T13/T445, "NA")</f>
        <v>0</v>
      </c>
      <c r="V13" s="9"/>
      <c r="W13" s="10">
        <f t="shared" si="2"/>
        <v>3576.5</v>
      </c>
      <c r="X13" s="8">
        <f>IFERROR(W13/W445, "NA")</f>
        <v>-2.6519766513346615E-2</v>
      </c>
      <c r="Y13" s="9"/>
      <c r="Z13" s="7">
        <v>6223</v>
      </c>
      <c r="AA13" s="8">
        <f>IFERROR(Z13/Z445, "NA")</f>
        <v>2.1784100999031543E-3</v>
      </c>
      <c r="AB13" s="9"/>
      <c r="AC13" s="10">
        <f t="shared" si="3"/>
        <v>-2646.5</v>
      </c>
      <c r="AD13" s="8">
        <f>IFERROR(AC13/AC445, "NA")</f>
        <v>-3.4687102413915788E-2</v>
      </c>
    </row>
    <row r="14" spans="1:30" ht="16.5" customHeight="1" x14ac:dyDescent="0.45">
      <c r="A14" s="12" t="s">
        <v>16</v>
      </c>
      <c r="B14" s="7">
        <v>100</v>
      </c>
      <c r="C14" s="8">
        <f>IFERROR(B14/B445, "NA")</f>
        <v>1.6821828125292539E-4</v>
      </c>
      <c r="D14" s="9"/>
      <c r="E14" s="7">
        <v>0</v>
      </c>
      <c r="F14" s="8">
        <f>IFERROR(E14/E445, "NA")</f>
        <v>0</v>
      </c>
      <c r="G14" s="9"/>
      <c r="H14" s="10">
        <f t="shared" si="0"/>
        <v>100</v>
      </c>
      <c r="I14" s="8">
        <f>IFERROR(H14/H445, "NA")</f>
        <v>-1.8443521694561278E-3</v>
      </c>
      <c r="J14" s="9"/>
      <c r="K14" s="7">
        <v>2255</v>
      </c>
      <c r="L14" s="8">
        <f>IFERROR(K14/K445, "NA")</f>
        <v>3.7956608106605723E-3</v>
      </c>
      <c r="M14" s="9"/>
      <c r="N14" s="10">
        <f t="shared" si="1"/>
        <v>-2155</v>
      </c>
      <c r="O14" s="8">
        <f>IFERROR(N14/N445, "NA")</f>
        <v>-5.8837983945810635</v>
      </c>
      <c r="P14" s="9"/>
      <c r="Q14" s="7">
        <v>691</v>
      </c>
      <c r="R14" s="8">
        <f>IFERROR(Q14/Q445, "NA")</f>
        <v>2.3559761036923797E-4</v>
      </c>
      <c r="S14" s="9"/>
      <c r="T14" s="7">
        <v>0</v>
      </c>
      <c r="U14" s="8">
        <f>IFERROR(T14/T445, "NA")</f>
        <v>0</v>
      </c>
      <c r="V14" s="9"/>
      <c r="W14" s="10">
        <f t="shared" si="2"/>
        <v>691</v>
      </c>
      <c r="X14" s="8">
        <f>IFERROR(W14/W445, "NA")</f>
        <v>-5.1237686734859535E-3</v>
      </c>
      <c r="Y14" s="9"/>
      <c r="Z14" s="7">
        <v>10225</v>
      </c>
      <c r="AA14" s="8">
        <f>IFERROR(Z14/Z445, "NA")</f>
        <v>3.5793416794969875E-3</v>
      </c>
      <c r="AB14" s="9"/>
      <c r="AC14" s="10">
        <f t="shared" si="3"/>
        <v>-9534</v>
      </c>
      <c r="AD14" s="8">
        <f>IFERROR(AC14/AC445, "NA")</f>
        <v>-0.12496007346090049</v>
      </c>
    </row>
    <row r="15" spans="1:30" ht="16.5" customHeight="1" x14ac:dyDescent="0.45">
      <c r="A15" s="12" t="s">
        <v>17</v>
      </c>
      <c r="B15" s="7">
        <v>108</v>
      </c>
      <c r="C15" s="8">
        <f>IFERROR(B15/B445, "NA")</f>
        <v>1.8167574375315944E-4</v>
      </c>
      <c r="D15" s="9"/>
      <c r="E15" s="7">
        <v>0</v>
      </c>
      <c r="F15" s="8">
        <f>IFERROR(E15/E445, "NA")</f>
        <v>0</v>
      </c>
      <c r="G15" s="9"/>
      <c r="H15" s="10">
        <f t="shared" si="0"/>
        <v>108</v>
      </c>
      <c r="I15" s="8">
        <f>IFERROR(H15/H445, "NA")</f>
        <v>-1.9919003430126179E-3</v>
      </c>
      <c r="J15" s="9"/>
      <c r="K15" s="7">
        <v>349</v>
      </c>
      <c r="L15" s="8">
        <f>IFERROR(K15/K445, "NA")</f>
        <v>5.874437352197515E-4</v>
      </c>
      <c r="M15" s="9"/>
      <c r="N15" s="10">
        <f t="shared" si="1"/>
        <v>-241</v>
      </c>
      <c r="O15" s="8">
        <f>IFERROR(N15/N445, "NA")</f>
        <v>-0.65800251187658299</v>
      </c>
      <c r="P15" s="9"/>
      <c r="Q15" s="7">
        <v>920</v>
      </c>
      <c r="R15" s="8">
        <f>IFERROR(Q15/Q445, "NA")</f>
        <v>3.1367554491996952E-4</v>
      </c>
      <c r="S15" s="9"/>
      <c r="T15" s="7">
        <v>0</v>
      </c>
      <c r="U15" s="8">
        <f>IFERROR(T15/T445, "NA")</f>
        <v>0</v>
      </c>
      <c r="V15" s="9"/>
      <c r="W15" s="10">
        <f t="shared" si="2"/>
        <v>920</v>
      </c>
      <c r="X15" s="8">
        <f>IFERROR(W15/W445, "NA")</f>
        <v>-6.8218048908930207E-3</v>
      </c>
      <c r="Y15" s="9"/>
      <c r="Z15" s="7">
        <v>1363</v>
      </c>
      <c r="AA15" s="8">
        <f>IFERROR(Z15/Z445, "NA")</f>
        <v>4.7712887131094316E-4</v>
      </c>
      <c r="AB15" s="9"/>
      <c r="AC15" s="10">
        <f t="shared" si="3"/>
        <v>-443</v>
      </c>
      <c r="AD15" s="8">
        <f>IFERROR(AC15/AC445, "NA")</f>
        <v>-5.8063050706082357E-3</v>
      </c>
    </row>
    <row r="16" spans="1:30" ht="16.5" customHeight="1" x14ac:dyDescent="0.45">
      <c r="A16" s="12" t="s">
        <v>18</v>
      </c>
      <c r="B16" s="7">
        <v>0.67999999999999994</v>
      </c>
      <c r="C16" s="8">
        <f>IFERROR(B16/B445, "NA")</f>
        <v>1.1438843125198925E-6</v>
      </c>
      <c r="D16" s="9"/>
      <c r="E16" s="7">
        <v>0</v>
      </c>
      <c r="F16" s="8">
        <f>IFERROR(E16/E445, "NA")</f>
        <v>0</v>
      </c>
      <c r="G16" s="9"/>
      <c r="H16" s="10">
        <f t="shared" si="0"/>
        <v>0.67999999999999994</v>
      </c>
      <c r="I16" s="8">
        <f>IFERROR(H16/H445, "NA")</f>
        <v>-1.2541594752301667E-5</v>
      </c>
      <c r="J16" s="9"/>
      <c r="K16" s="7">
        <v>0</v>
      </c>
      <c r="L16" s="8">
        <f>IFERROR(K16/K445, "NA")</f>
        <v>0</v>
      </c>
      <c r="M16" s="9"/>
      <c r="N16" s="10">
        <f t="shared" si="1"/>
        <v>0.67999999999999994</v>
      </c>
      <c r="O16" s="8">
        <f>IFERROR(N16/N445, "NA")</f>
        <v>1.856604597826043E-3</v>
      </c>
      <c r="P16" s="9"/>
      <c r="Q16" s="7">
        <v>4.6899999999999995</v>
      </c>
      <c r="R16" s="8">
        <f>IFERROR(Q16/Q445, "NA")</f>
        <v>1.5990633757333227E-6</v>
      </c>
      <c r="S16" s="9"/>
      <c r="T16" s="7">
        <v>0</v>
      </c>
      <c r="U16" s="8">
        <f>IFERROR(T16/T445, "NA")</f>
        <v>0</v>
      </c>
      <c r="V16" s="9"/>
      <c r="W16" s="10">
        <f t="shared" si="2"/>
        <v>4.6899999999999995</v>
      </c>
      <c r="X16" s="8">
        <f>IFERROR(W16/W445, "NA")</f>
        <v>-3.4776374932922024E-5</v>
      </c>
      <c r="Y16" s="9"/>
      <c r="Z16" s="7">
        <v>3.0500000000000003</v>
      </c>
      <c r="AA16" s="8">
        <f>IFERROR(Z16/Z445, "NA")</f>
        <v>1.0676764911947006E-6</v>
      </c>
      <c r="AB16" s="9"/>
      <c r="AC16" s="10">
        <f t="shared" si="3"/>
        <v>1.6399999999999992</v>
      </c>
      <c r="AD16" s="8">
        <f>IFERROR(AC16/AC445, "NA")</f>
        <v>2.149512486636005E-5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IFERROR(B17/B445, "NA")</f>
        <v>0</v>
      </c>
      <c r="D17" s="9"/>
      <c r="E17" s="7">
        <v>0</v>
      </c>
      <c r="F17" s="8">
        <f>IFERROR(E17/E445, "NA")</f>
        <v>0</v>
      </c>
      <c r="G17" s="9"/>
      <c r="H17" s="10">
        <f t="shared" si="0"/>
        <v>0</v>
      </c>
      <c r="I17" s="8">
        <f>IFERROR(H17/H445, "NA")</f>
        <v>0</v>
      </c>
      <c r="J17" s="9"/>
      <c r="K17" s="7">
        <v>0</v>
      </c>
      <c r="L17" s="8">
        <f>IFERROR(K17/K445, "NA")</f>
        <v>0</v>
      </c>
      <c r="M17" s="9"/>
      <c r="N17" s="10">
        <f t="shared" si="1"/>
        <v>0</v>
      </c>
      <c r="O17" s="8">
        <f>IFERROR(N17/N445, "NA")</f>
        <v>0</v>
      </c>
      <c r="P17" s="9"/>
      <c r="Q17" s="7">
        <v>0</v>
      </c>
      <c r="R17" s="8">
        <f>IFERROR(Q17/Q445, "NA")</f>
        <v>0</v>
      </c>
      <c r="S17" s="9"/>
      <c r="T17" s="7">
        <v>0</v>
      </c>
      <c r="U17" s="8">
        <f>IFERROR(T17/T445, "NA")</f>
        <v>0</v>
      </c>
      <c r="V17" s="9"/>
      <c r="W17" s="10">
        <f t="shared" si="2"/>
        <v>0</v>
      </c>
      <c r="X17" s="8">
        <f>IFERROR(W17/W445, "NA")</f>
        <v>0</v>
      </c>
      <c r="Y17" s="9"/>
      <c r="Z17" s="7">
        <v>0</v>
      </c>
      <c r="AA17" s="8">
        <f>IFERROR(Z17/Z445, "NA")</f>
        <v>0</v>
      </c>
      <c r="AB17" s="9"/>
      <c r="AC17" s="10">
        <f t="shared" si="3"/>
        <v>0</v>
      </c>
      <c r="AD17" s="8">
        <f>IFERROR(AC17/AC445,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257548.27999999997</v>
      </c>
      <c r="C18" s="15">
        <f>IFERROR(B18/B445, "NA")</f>
        <v>0.43324329001247175</v>
      </c>
      <c r="D18" s="2"/>
      <c r="E18" s="14">
        <f>IFERROR(E10+E11+E12+E13+E14+E15+E16+E17, "NA")</f>
        <v>275797.43000000005</v>
      </c>
      <c r="F18" s="15">
        <f>IFERROR(E18/E445, "NA")</f>
        <v>0.42516368761807444</v>
      </c>
      <c r="G18" s="2"/>
      <c r="H18" s="14">
        <f t="shared" si="0"/>
        <v>-18249.150000000081</v>
      </c>
      <c r="I18" s="15">
        <f>IFERROR(H18/H445, "NA")</f>
        <v>0.33657859393230444</v>
      </c>
      <c r="J18" s="2"/>
      <c r="K18" s="14">
        <f>IFERROR(K10+K11+K12+K13+K14+K15+K16+K17, "NA")</f>
        <v>273372.29000000004</v>
      </c>
      <c r="L18" s="15">
        <f>IFERROR(K18/K445, "NA")</f>
        <v>0.46014567089735575</v>
      </c>
      <c r="M18" s="2"/>
      <c r="N18" s="14">
        <f t="shared" si="1"/>
        <v>-15824.010000000068</v>
      </c>
      <c r="O18" s="15">
        <f>IFERROR(N18/N445, "NA")</f>
        <v>-43.204308414772662</v>
      </c>
      <c r="P18" s="2"/>
      <c r="Q18" s="14">
        <f>IFERROR(Q10+Q11+Q12+Q13+Q14+Q15+Q16+Q17, "NA")</f>
        <v>1185432.51</v>
      </c>
      <c r="R18" s="15">
        <f>IFERROR(Q18/Q445, "NA")</f>
        <v>0.40417520493488829</v>
      </c>
      <c r="S18" s="2"/>
      <c r="T18" s="14">
        <f>IFERROR(T10+T11+T12+T13+T14+T15+T16+T17, "NA")</f>
        <v>1286978.21</v>
      </c>
      <c r="U18" s="15">
        <f>IFERROR(T18/T445, "NA")</f>
        <v>0.41950785972853899</v>
      </c>
      <c r="V18" s="2"/>
      <c r="W18" s="14">
        <f t="shared" si="2"/>
        <v>-101545.69999999995</v>
      </c>
      <c r="X18" s="15">
        <f>IFERROR(W18/W445, "NA")</f>
        <v>0.75296190533603813</v>
      </c>
      <c r="Y18" s="2"/>
      <c r="Z18" s="14">
        <f>IFERROR(Z10+Z11+Z12+Z13+Z14+Z15+Z16+Z17, "NA")</f>
        <v>1278542.8700000001</v>
      </c>
      <c r="AA18" s="15">
        <f>IFERROR(Z18/Z445, "NA")</f>
        <v>0.44756398861757446</v>
      </c>
      <c r="AB18" s="2"/>
      <c r="AC18" s="14">
        <f t="shared" si="3"/>
        <v>-93110.360000000102</v>
      </c>
      <c r="AD18" s="15">
        <f>IFERROR(AC18/AC445, "NA")</f>
        <v>-1.2203773259461825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IFERROR(B19/B445, "NA")</f>
        <v>0</v>
      </c>
      <c r="D19" s="9"/>
      <c r="E19" s="7">
        <v>0</v>
      </c>
      <c r="F19" s="8">
        <f>IFERROR(E19/E445, "NA")</f>
        <v>0</v>
      </c>
      <c r="G19" s="9"/>
      <c r="H19" s="10">
        <f t="shared" si="0"/>
        <v>0</v>
      </c>
      <c r="I19" s="8">
        <f>IFERROR(H19/H445, "NA")</f>
        <v>0</v>
      </c>
      <c r="J19" s="9"/>
      <c r="K19" s="7">
        <v>0</v>
      </c>
      <c r="L19" s="8">
        <f>IFERROR(K19/K445, "NA")</f>
        <v>0</v>
      </c>
      <c r="M19" s="9"/>
      <c r="N19" s="10">
        <f t="shared" si="1"/>
        <v>0</v>
      </c>
      <c r="O19" s="8">
        <f>IFERROR(N19/N445, "NA")</f>
        <v>0</v>
      </c>
      <c r="P19" s="9"/>
      <c r="Q19" s="7">
        <v>0</v>
      </c>
      <c r="R19" s="8">
        <f>IFERROR(Q19/Q445, "NA")</f>
        <v>0</v>
      </c>
      <c r="S19" s="9"/>
      <c r="T19" s="7">
        <v>0</v>
      </c>
      <c r="U19" s="8">
        <f>IFERROR(T19/T445, "NA")</f>
        <v>0</v>
      </c>
      <c r="V19" s="9"/>
      <c r="W19" s="10">
        <f t="shared" si="2"/>
        <v>0</v>
      </c>
      <c r="X19" s="8">
        <f>IFERROR(W19/W445, "NA")</f>
        <v>0</v>
      </c>
      <c r="Y19" s="9"/>
      <c r="Z19" s="7">
        <v>0</v>
      </c>
      <c r="AA19" s="8">
        <f>IFERROR(Z19/Z445, "NA")</f>
        <v>0</v>
      </c>
      <c r="AB19" s="9"/>
      <c r="AC19" s="10">
        <f t="shared" si="3"/>
        <v>0</v>
      </c>
      <c r="AD19" s="8">
        <f>IFERROR(AC19/AC445,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IFERROR(B21/B445, "NA")</f>
        <v>0</v>
      </c>
      <c r="D21" s="9"/>
      <c r="E21" s="7">
        <v>60573.58</v>
      </c>
      <c r="F21" s="8">
        <f>IFERROR(E21/E445, "NA")</f>
        <v>9.3378994304002177E-2</v>
      </c>
      <c r="G21" s="9"/>
      <c r="H21" s="10">
        <f t="shared" ref="H21:H29" si="4">IFERROR(B21-E21, "NA")</f>
        <v>-60573.58</v>
      </c>
      <c r="I21" s="8">
        <f>IFERROR(H21/H445, "NA")</f>
        <v>1.1171901368472432</v>
      </c>
      <c r="J21" s="9"/>
      <c r="K21" s="7">
        <v>0</v>
      </c>
      <c r="L21" s="8">
        <f>IFERROR(K21/K445, "NA")</f>
        <v>0</v>
      </c>
      <c r="M21" s="9"/>
      <c r="N21" s="10">
        <f t="shared" ref="N21:N29" si="5">IFERROR(B21-K21, "NA")</f>
        <v>0</v>
      </c>
      <c r="O21" s="8">
        <f>IFERROR(N21/N445, "NA")</f>
        <v>0</v>
      </c>
      <c r="P21" s="9"/>
      <c r="Q21" s="7">
        <v>0</v>
      </c>
      <c r="R21" s="8">
        <f>IFERROR(Q21/Q445, "NA")</f>
        <v>0</v>
      </c>
      <c r="S21" s="9"/>
      <c r="T21" s="7">
        <v>286048.74</v>
      </c>
      <c r="U21" s="8">
        <f>IFERROR(T21/T445, "NA")</f>
        <v>9.3241434674675119E-2</v>
      </c>
      <c r="V21" s="9"/>
      <c r="W21" s="10">
        <f t="shared" ref="W21:W29" si="6">IFERROR(Q21-T21, "NA")</f>
        <v>-286048.74</v>
      </c>
      <c r="X21" s="8">
        <f>IFERROR(W21/W445, "NA")</f>
        <v>2.1210529277888979</v>
      </c>
      <c r="Y21" s="9"/>
      <c r="Z21" s="7">
        <v>0</v>
      </c>
      <c r="AA21" s="8">
        <f>IFERROR(Z21/Z445, "NA")</f>
        <v>0</v>
      </c>
      <c r="AB21" s="9"/>
      <c r="AC21" s="10">
        <f t="shared" ref="AC21:AC29" si="7">IFERROR(Q21-Z21, "NA")</f>
        <v>0</v>
      </c>
      <c r="AD21" s="8">
        <f>IFERROR(AC21/AC445,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IFERROR(B22/B445, "NA")</f>
        <v>0</v>
      </c>
      <c r="D22" s="9"/>
      <c r="E22" s="7">
        <v>0</v>
      </c>
      <c r="F22" s="8">
        <f>IFERROR(E22/E445, "NA")</f>
        <v>0</v>
      </c>
      <c r="G22" s="9"/>
      <c r="H22" s="10">
        <f t="shared" si="4"/>
        <v>0</v>
      </c>
      <c r="I22" s="8">
        <f>IFERROR(H22/H445, "NA")</f>
        <v>0</v>
      </c>
      <c r="J22" s="9"/>
      <c r="K22" s="7">
        <v>35025.800000000003</v>
      </c>
      <c r="L22" s="8">
        <f>IFERROR(K22/K445, "NA")</f>
        <v>5.8956122581833741E-2</v>
      </c>
      <c r="M22" s="9"/>
      <c r="N22" s="10">
        <f t="shared" si="5"/>
        <v>-35025.800000000003</v>
      </c>
      <c r="O22" s="8">
        <f>IFERROR(N22/N445, "NA")</f>
        <v>-95.630972533140337</v>
      </c>
      <c r="P22" s="9"/>
      <c r="Q22" s="7">
        <v>16536.61</v>
      </c>
      <c r="R22" s="8">
        <f>IFERROR(Q22/Q445, "NA")</f>
        <v>5.6381849487815404E-3</v>
      </c>
      <c r="S22" s="9"/>
      <c r="T22" s="7">
        <v>0</v>
      </c>
      <c r="U22" s="8">
        <f>IFERROR(T22/T445, "NA")</f>
        <v>0</v>
      </c>
      <c r="V22" s="9"/>
      <c r="W22" s="10">
        <f t="shared" si="6"/>
        <v>16536.61</v>
      </c>
      <c r="X22" s="8">
        <f>IFERROR(W22/W445, "NA")</f>
        <v>-0.12261905106172873</v>
      </c>
      <c r="Y22" s="9"/>
      <c r="Z22" s="7">
        <v>177656.9</v>
      </c>
      <c r="AA22" s="8">
        <f>IFERROR(Z22/Z445, "NA")</f>
        <v>6.2190195288041893E-2</v>
      </c>
      <c r="AB22" s="9"/>
      <c r="AC22" s="10">
        <f t="shared" si="7"/>
        <v>-161120.28999999998</v>
      </c>
      <c r="AD22" s="8">
        <f>IFERROR(AC22/AC445, "NA")</f>
        <v>-2.1117687512525265</v>
      </c>
    </row>
    <row r="23" spans="1:30" ht="16.5" customHeight="1" x14ac:dyDescent="0.45">
      <c r="A23" s="12" t="s">
        <v>24</v>
      </c>
      <c r="B23" s="7">
        <v>37069.369999999995</v>
      </c>
      <c r="C23" s="8">
        <f>IFERROR(B23/B445, "NA")</f>
        <v>6.2357457085287546E-2</v>
      </c>
      <c r="D23" s="9"/>
      <c r="E23" s="7">
        <v>0</v>
      </c>
      <c r="F23" s="8">
        <f>IFERROR(E23/E445, "NA")</f>
        <v>0</v>
      </c>
      <c r="G23" s="9"/>
      <c r="H23" s="10">
        <f t="shared" si="4"/>
        <v>37069.369999999995</v>
      </c>
      <c r="I23" s="8">
        <f>IFERROR(H23/H445, "NA")</f>
        <v>-0.68368972979871889</v>
      </c>
      <c r="J23" s="9"/>
      <c r="K23" s="7">
        <v>0</v>
      </c>
      <c r="L23" s="8">
        <f>IFERROR(K23/K445, "NA")</f>
        <v>0</v>
      </c>
      <c r="M23" s="9"/>
      <c r="N23" s="10">
        <f t="shared" si="5"/>
        <v>37069.369999999995</v>
      </c>
      <c r="O23" s="8">
        <f>IFERROR(N23/N445, "NA")</f>
        <v>101.21053350075704</v>
      </c>
      <c r="P23" s="9"/>
      <c r="Q23" s="7">
        <v>143656.42000000001</v>
      </c>
      <c r="R23" s="8">
        <f>IFERROR(Q23/Q445, "NA")</f>
        <v>4.8979897635600012E-2</v>
      </c>
      <c r="S23" s="9"/>
      <c r="T23" s="7">
        <v>0</v>
      </c>
      <c r="U23" s="8">
        <f>IFERROR(T23/T445, "NA")</f>
        <v>0</v>
      </c>
      <c r="V23" s="9"/>
      <c r="W23" s="10">
        <f t="shared" si="6"/>
        <v>143656.42000000001</v>
      </c>
      <c r="X23" s="8">
        <f>IFERROR(W23/W445, "NA")</f>
        <v>-1.0652131180045457</v>
      </c>
      <c r="Y23" s="9"/>
      <c r="Z23" s="7">
        <v>0</v>
      </c>
      <c r="AA23" s="8">
        <f>IFERROR(Z23/Z445, "NA")</f>
        <v>0</v>
      </c>
      <c r="AB23" s="9"/>
      <c r="AC23" s="10">
        <f t="shared" si="7"/>
        <v>143656.42000000001</v>
      </c>
      <c r="AD23" s="8">
        <f>IFERROR(AC23/AC445, "NA")</f>
        <v>1.8828735888745516</v>
      </c>
    </row>
    <row r="24" spans="1:30" ht="16.5" customHeight="1" x14ac:dyDescent="0.45">
      <c r="A24" s="12" t="s">
        <v>25</v>
      </c>
      <c r="B24" s="7">
        <v>4334.67</v>
      </c>
      <c r="C24" s="8">
        <f>IFERROR(B24/B445, "NA")</f>
        <v>7.2917073719861811E-3</v>
      </c>
      <c r="D24" s="9"/>
      <c r="E24" s="7">
        <v>0</v>
      </c>
      <c r="F24" s="8">
        <f>IFERROR(E24/E445, "NA")</f>
        <v>0</v>
      </c>
      <c r="G24" s="9"/>
      <c r="H24" s="10">
        <f t="shared" si="4"/>
        <v>4334.67</v>
      </c>
      <c r="I24" s="8">
        <f>IFERROR(H24/H445, "NA")</f>
        <v>-7.9946580183763938E-2</v>
      </c>
      <c r="J24" s="9"/>
      <c r="K24" s="7">
        <v>3294.88</v>
      </c>
      <c r="L24" s="8">
        <f>IFERROR(K24/K445, "NA")</f>
        <v>5.546007490833396E-3</v>
      </c>
      <c r="M24" s="9"/>
      <c r="N24" s="10">
        <f t="shared" si="5"/>
        <v>1039.79</v>
      </c>
      <c r="O24" s="8">
        <f>IFERROR(N24/N445, "NA")</f>
        <v>2.8389395511375608</v>
      </c>
      <c r="P24" s="9"/>
      <c r="Q24" s="7">
        <v>22001.77</v>
      </c>
      <c r="R24" s="8">
        <f>IFERROR(Q24/Q445, "NA")</f>
        <v>7.5015404282106936E-3</v>
      </c>
      <c r="S24" s="9"/>
      <c r="T24" s="7">
        <v>0</v>
      </c>
      <c r="U24" s="8">
        <f>IFERROR(T24/T445, "NA")</f>
        <v>0</v>
      </c>
      <c r="V24" s="9"/>
      <c r="W24" s="10">
        <f t="shared" si="6"/>
        <v>22001.77</v>
      </c>
      <c r="X24" s="8">
        <f>IFERROR(W24/W445, "NA")</f>
        <v>-0.1631432415155471</v>
      </c>
      <c r="Y24" s="9"/>
      <c r="Z24" s="7">
        <v>26665.949999999997</v>
      </c>
      <c r="AA24" s="8">
        <f>IFERROR(Z24/Z445, "NA")</f>
        <v>9.3346255509420724E-3</v>
      </c>
      <c r="AB24" s="9"/>
      <c r="AC24" s="10">
        <f t="shared" si="7"/>
        <v>-4664.1799999999967</v>
      </c>
      <c r="AD24" s="8">
        <f>IFERROR(AC24/AC445, "NA")</f>
        <v>-6.1132397255597062E-2</v>
      </c>
    </row>
    <row r="25" spans="1:30" ht="16.5" customHeight="1" x14ac:dyDescent="0.45">
      <c r="A25" s="12" t="s">
        <v>26</v>
      </c>
      <c r="B25" s="7">
        <v>566.17000000000007</v>
      </c>
      <c r="C25" s="8">
        <f>IFERROR(B25/B445, "NA")</f>
        <v>9.524014429696878E-4</v>
      </c>
      <c r="D25" s="9"/>
      <c r="E25" s="7">
        <v>0</v>
      </c>
      <c r="F25" s="8">
        <f>IFERROR(E25/E445, "NA")</f>
        <v>0</v>
      </c>
      <c r="G25" s="9"/>
      <c r="H25" s="10">
        <f t="shared" si="4"/>
        <v>566.17000000000007</v>
      </c>
      <c r="I25" s="8">
        <f>IFERROR(H25/H445, "NA")</f>
        <v>-1.044216867780976E-2</v>
      </c>
      <c r="J25" s="9"/>
      <c r="K25" s="7">
        <v>0</v>
      </c>
      <c r="L25" s="8">
        <f>IFERROR(K25/K445, "NA")</f>
        <v>0</v>
      </c>
      <c r="M25" s="9"/>
      <c r="N25" s="10">
        <f t="shared" si="5"/>
        <v>566.17000000000007</v>
      </c>
      <c r="O25" s="8">
        <f>IFERROR(N25/N445, "NA")</f>
        <v>1.545814448751722</v>
      </c>
      <c r="P25" s="9"/>
      <c r="Q25" s="7">
        <v>3802.5400000000004</v>
      </c>
      <c r="R25" s="8">
        <f>IFERROR(Q25/Q445, "NA")</f>
        <v>1.2964823984565011E-3</v>
      </c>
      <c r="S25" s="9"/>
      <c r="T25" s="7">
        <v>0</v>
      </c>
      <c r="U25" s="8">
        <f>IFERROR(T25/T445, "NA")</f>
        <v>0</v>
      </c>
      <c r="V25" s="9"/>
      <c r="W25" s="10">
        <f t="shared" si="6"/>
        <v>3802.5400000000004</v>
      </c>
      <c r="X25" s="8">
        <f>IFERROR(W25/W445, "NA")</f>
        <v>-2.8195854315017768E-2</v>
      </c>
      <c r="Y25" s="9"/>
      <c r="Z25" s="7">
        <v>0</v>
      </c>
      <c r="AA25" s="8">
        <f>IFERROR(Z25/Z445, "NA")</f>
        <v>0</v>
      </c>
      <c r="AB25" s="9"/>
      <c r="AC25" s="10">
        <f t="shared" si="7"/>
        <v>3802.5400000000004</v>
      </c>
      <c r="AD25" s="8">
        <f>IFERROR(AC25/AC445, "NA")</f>
        <v>4.9839068359346823E-2</v>
      </c>
    </row>
    <row r="26" spans="1:30" ht="16.5" customHeight="1" x14ac:dyDescent="0.45">
      <c r="A26" s="12" t="s">
        <v>27</v>
      </c>
      <c r="B26" s="7">
        <v>7214.27</v>
      </c>
      <c r="C26" s="8">
        <f>IFERROR(B26/B445, "NA")</f>
        <v>1.2135720998945422E-2</v>
      </c>
      <c r="D26" s="9"/>
      <c r="E26" s="7">
        <v>0</v>
      </c>
      <c r="F26" s="8">
        <f>IFERROR(E26/E445, "NA")</f>
        <v>0</v>
      </c>
      <c r="G26" s="9"/>
      <c r="H26" s="10">
        <f t="shared" si="4"/>
        <v>7214.27</v>
      </c>
      <c r="I26" s="8">
        <f>IFERROR(H26/H445, "NA")</f>
        <v>-0.1330565452554226</v>
      </c>
      <c r="J26" s="9"/>
      <c r="K26" s="7">
        <v>2252.0300000000002</v>
      </c>
      <c r="L26" s="8">
        <f>IFERROR(K26/K445, "NA")</f>
        <v>3.7906616476416537E-3</v>
      </c>
      <c r="M26" s="9"/>
      <c r="N26" s="10">
        <f t="shared" si="5"/>
        <v>4962.24</v>
      </c>
      <c r="O26" s="8">
        <f>IFERROR(N26/N445, "NA")</f>
        <v>13.5484082345828</v>
      </c>
      <c r="P26" s="9"/>
      <c r="Q26" s="7">
        <v>45428.74</v>
      </c>
      <c r="R26" s="8">
        <f>IFERROR(Q26/Q445, "NA")</f>
        <v>1.548900518970393E-2</v>
      </c>
      <c r="S26" s="9"/>
      <c r="T26" s="7">
        <v>0</v>
      </c>
      <c r="U26" s="8">
        <f>IFERROR(T26/T445, "NA")</f>
        <v>0</v>
      </c>
      <c r="V26" s="9"/>
      <c r="W26" s="10">
        <f t="shared" si="6"/>
        <v>45428.74</v>
      </c>
      <c r="X26" s="8">
        <f>IFERROR(W26/W445, "NA")</f>
        <v>-0.3368543486077254</v>
      </c>
      <c r="Y26" s="9"/>
      <c r="Z26" s="7">
        <v>13782.34</v>
      </c>
      <c r="AA26" s="8">
        <f>IFERROR(Z26/Z445, "NA")</f>
        <v>4.8246165284106125E-3</v>
      </c>
      <c r="AB26" s="9"/>
      <c r="AC26" s="10">
        <f t="shared" si="7"/>
        <v>31646.399999999998</v>
      </c>
      <c r="AD26" s="8">
        <f>IFERROR(AC26/AC445, "NA")</f>
        <v>0.41478251193340054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IFERROR(B27/B445, "NA")</f>
        <v>0</v>
      </c>
      <c r="D27" s="9"/>
      <c r="E27" s="7">
        <v>0</v>
      </c>
      <c r="F27" s="8">
        <f>IFERROR(E27/E445, "NA")</f>
        <v>0</v>
      </c>
      <c r="G27" s="9"/>
      <c r="H27" s="10">
        <f t="shared" si="4"/>
        <v>0</v>
      </c>
      <c r="I27" s="8">
        <f>IFERROR(H27/H445, "NA")</f>
        <v>0</v>
      </c>
      <c r="J27" s="9"/>
      <c r="K27" s="7">
        <v>0</v>
      </c>
      <c r="L27" s="8">
        <f>IFERROR(K27/K445, "NA")</f>
        <v>0</v>
      </c>
      <c r="M27" s="9"/>
      <c r="N27" s="10">
        <f t="shared" si="5"/>
        <v>0</v>
      </c>
      <c r="O27" s="8">
        <f>IFERROR(N27/N445, "NA")</f>
        <v>0</v>
      </c>
      <c r="P27" s="9"/>
      <c r="Q27" s="7">
        <v>0</v>
      </c>
      <c r="R27" s="8">
        <f>IFERROR(Q27/Q445, "NA")</f>
        <v>0</v>
      </c>
      <c r="S27" s="9"/>
      <c r="T27" s="7">
        <v>0</v>
      </c>
      <c r="U27" s="8">
        <f>IFERROR(T27/T445, "NA")</f>
        <v>0</v>
      </c>
      <c r="V27" s="9"/>
      <c r="W27" s="10">
        <f t="shared" si="6"/>
        <v>0</v>
      </c>
      <c r="X27" s="8">
        <f>IFERROR(W27/W445, "NA")</f>
        <v>0</v>
      </c>
      <c r="Y27" s="9"/>
      <c r="Z27" s="7">
        <v>0</v>
      </c>
      <c r="AA27" s="8">
        <f>IFERROR(Z27/Z445, "NA")</f>
        <v>0</v>
      </c>
      <c r="AB27" s="9"/>
      <c r="AC27" s="10">
        <f t="shared" si="7"/>
        <v>0</v>
      </c>
      <c r="AD27" s="8">
        <f>IFERROR(AC27/AC445, "NA")</f>
        <v>0</v>
      </c>
    </row>
    <row r="28" spans="1:30" ht="16.5" customHeight="1" x14ac:dyDescent="0.45">
      <c r="A28" s="12" t="s">
        <v>29</v>
      </c>
      <c r="B28" s="7">
        <v>4342.8099999999995</v>
      </c>
      <c r="C28" s="8">
        <f>IFERROR(B28/B445, "NA")</f>
        <v>7.305400340080169E-3</v>
      </c>
      <c r="D28" s="9"/>
      <c r="E28" s="7">
        <v>0</v>
      </c>
      <c r="F28" s="8">
        <f>IFERROR(E28/E445, "NA")</f>
        <v>0</v>
      </c>
      <c r="G28" s="9"/>
      <c r="H28" s="10">
        <f t="shared" si="4"/>
        <v>4342.8099999999995</v>
      </c>
      <c r="I28" s="8">
        <f>IFERROR(H28/H445, "NA")</f>
        <v>-8.0096710450357655E-2</v>
      </c>
      <c r="J28" s="9"/>
      <c r="K28" s="7">
        <v>4444.58</v>
      </c>
      <c r="L28" s="8">
        <f>IFERROR(K28/K445, "NA")</f>
        <v>7.4812053773151959E-3</v>
      </c>
      <c r="M28" s="9"/>
      <c r="N28" s="10">
        <f t="shared" si="5"/>
        <v>-101.77000000000044</v>
      </c>
      <c r="O28" s="8">
        <f>IFERROR(N28/N445, "NA")</f>
        <v>-0.2778627204717018</v>
      </c>
      <c r="P28" s="9"/>
      <c r="Q28" s="7">
        <v>20653.580000000002</v>
      </c>
      <c r="R28" s="8">
        <f>IFERROR(Q28/Q445, "NA")</f>
        <v>7.0418727837480268E-3</v>
      </c>
      <c r="S28" s="9"/>
      <c r="T28" s="7">
        <v>0</v>
      </c>
      <c r="U28" s="8">
        <f>IFERROR(T28/T445, "NA")</f>
        <v>0</v>
      </c>
      <c r="V28" s="9"/>
      <c r="W28" s="10">
        <f t="shared" si="6"/>
        <v>20653.580000000002</v>
      </c>
      <c r="X28" s="8">
        <f>IFERROR(W28/W445, "NA")</f>
        <v>-0.15314640549831551</v>
      </c>
      <c r="Y28" s="9"/>
      <c r="Z28" s="7">
        <v>21179.32</v>
      </c>
      <c r="AA28" s="8">
        <f>IFERROR(Z28/Z445, "NA")</f>
        <v>7.4139875617999151E-3</v>
      </c>
      <c r="AB28" s="9"/>
      <c r="AC28" s="10">
        <f t="shared" si="7"/>
        <v>-525.73999999999796</v>
      </c>
      <c r="AD28" s="8">
        <f>IFERROR(AC28/AC445, "NA")</f>
        <v>-6.8907603336829841E-3</v>
      </c>
    </row>
    <row r="29" spans="1:30" ht="16.5" customHeight="1" x14ac:dyDescent="0.45">
      <c r="A29" s="13" t="s">
        <v>30</v>
      </c>
      <c r="B29" s="14">
        <f>IFERROR(B21+B22+B23+B24+B25+B26+B27+B28, "NA")</f>
        <v>53527.289999999994</v>
      </c>
      <c r="C29" s="15">
        <f>IFERROR(B29/B445, "NA")</f>
        <v>9.0042687239269004E-2</v>
      </c>
      <c r="D29" s="2"/>
      <c r="E29" s="14">
        <f>IFERROR(E21+E22+E23+E24+E25+E26+E27+E28, "NA")</f>
        <v>60573.58</v>
      </c>
      <c r="F29" s="15">
        <f>IFERROR(E29/E445, "NA")</f>
        <v>9.3378994304002177E-2</v>
      </c>
      <c r="G29" s="2"/>
      <c r="H29" s="14">
        <f t="shared" si="4"/>
        <v>-7046.2900000000081</v>
      </c>
      <c r="I29" s="15">
        <f>IFERROR(H29/H445, "NA")</f>
        <v>0.12995840248117033</v>
      </c>
      <c r="J29" s="2"/>
      <c r="K29" s="14">
        <f>IFERROR(K21+K22+K23+K24+K25+K26+K27+K28, "NA")</f>
        <v>45017.29</v>
      </c>
      <c r="L29" s="15">
        <f>IFERROR(K29/K445, "NA")</f>
        <v>7.5773997097623988E-2</v>
      </c>
      <c r="M29" s="2"/>
      <c r="N29" s="14">
        <f t="shared" si="5"/>
        <v>8509.9999999999927</v>
      </c>
      <c r="O29" s="15">
        <f>IFERROR(N29/N445, "NA")</f>
        <v>23.23486048161708</v>
      </c>
      <c r="P29" s="2"/>
      <c r="Q29" s="14">
        <f>IFERROR(Q21+Q22+Q23+Q24+Q25+Q26+Q27+Q28, "NA")</f>
        <v>252079.66000000003</v>
      </c>
      <c r="R29" s="15">
        <f>IFERROR(Q29/Q445, "NA")</f>
        <v>8.5946983384500714E-2</v>
      </c>
      <c r="S29" s="2"/>
      <c r="T29" s="14">
        <f>IFERROR(T21+T22+T23+T24+T25+T26+T27+T28, "NA")</f>
        <v>286048.74</v>
      </c>
      <c r="U29" s="15">
        <f>IFERROR(T29/T445, "NA")</f>
        <v>9.3241434674675119E-2</v>
      </c>
      <c r="V29" s="2"/>
      <c r="W29" s="14">
        <f t="shared" si="6"/>
        <v>-33969.079999999958</v>
      </c>
      <c r="X29" s="15">
        <f>IFERROR(W29/W445, "NA")</f>
        <v>0.25188090878601738</v>
      </c>
      <c r="Y29" s="2"/>
      <c r="Z29" s="14">
        <f>IFERROR(Z21+Z22+Z23+Z24+Z25+Z26+Z27+Z28, "NA")</f>
        <v>239284.50999999998</v>
      </c>
      <c r="AA29" s="15">
        <f>IFERROR(Z29/Z445, "NA")</f>
        <v>8.3763424929194488E-2</v>
      </c>
      <c r="AB29" s="2"/>
      <c r="AC29" s="14">
        <f t="shared" si="7"/>
        <v>12795.150000000052</v>
      </c>
      <c r="AD29" s="15">
        <f>IFERROR(AC29/AC445, "NA")</f>
        <v>0.16770326032549271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IFERROR(B31/B445, "NA")</f>
        <v>0</v>
      </c>
      <c r="D31" s="9"/>
      <c r="E31" s="7">
        <v>130910.22</v>
      </c>
      <c r="F31" s="8">
        <f>IFERROR(E31/E445, "NA")</f>
        <v>0.20180852258881959</v>
      </c>
      <c r="G31" s="9"/>
      <c r="H31" s="10">
        <f t="shared" ref="H31:H40" si="8">IFERROR(B31-E31, "NA")</f>
        <v>-130910.22</v>
      </c>
      <c r="I31" s="8">
        <f>IFERROR(H31/H445, "NA")</f>
        <v>2.4144454826097896</v>
      </c>
      <c r="J31" s="9"/>
      <c r="K31" s="7">
        <v>0</v>
      </c>
      <c r="L31" s="8">
        <f>IFERROR(K31/K445, "NA")</f>
        <v>0</v>
      </c>
      <c r="M31" s="9"/>
      <c r="N31" s="10">
        <f t="shared" ref="N31:N40" si="9">IFERROR(B31-K31, "NA")</f>
        <v>0</v>
      </c>
      <c r="O31" s="8">
        <f>IFERROR(N31/N445, "NA")</f>
        <v>0</v>
      </c>
      <c r="P31" s="9"/>
      <c r="Q31" s="7">
        <v>0</v>
      </c>
      <c r="R31" s="8">
        <f>IFERROR(Q31/Q445, "NA")</f>
        <v>0</v>
      </c>
      <c r="S31" s="9"/>
      <c r="T31" s="7">
        <v>623669.4</v>
      </c>
      <c r="U31" s="8">
        <f>IFERROR(T31/T445, "NA")</f>
        <v>0.20329343040872624</v>
      </c>
      <c r="V31" s="9"/>
      <c r="W31" s="10">
        <f t="shared" ref="W31:W40" si="10">IFERROR(Q31-T31, "NA")</f>
        <v>-623669.4</v>
      </c>
      <c r="X31" s="8">
        <f>IFERROR(W31/W445, "NA")</f>
        <v>4.6245119165438213</v>
      </c>
      <c r="Y31" s="9"/>
      <c r="Z31" s="7">
        <v>0</v>
      </c>
      <c r="AA31" s="8">
        <f>IFERROR(Z31/Z445, "NA")</f>
        <v>0</v>
      </c>
      <c r="AB31" s="9"/>
      <c r="AC31" s="10">
        <f t="shared" ref="AC31:AC40" si="11">IFERROR(Q31-Z31, "NA")</f>
        <v>0</v>
      </c>
      <c r="AD31" s="8">
        <f>IFERROR(AC31/AC445,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IFERROR(B32/B445, "NA")</f>
        <v>0</v>
      </c>
      <c r="D32" s="9"/>
      <c r="E32" s="7">
        <v>0</v>
      </c>
      <c r="F32" s="8">
        <f>IFERROR(E32/E445, "NA")</f>
        <v>0</v>
      </c>
      <c r="G32" s="9"/>
      <c r="H32" s="10">
        <f t="shared" si="8"/>
        <v>0</v>
      </c>
      <c r="I32" s="8">
        <f>IFERROR(H32/H445, "NA")</f>
        <v>0</v>
      </c>
      <c r="J32" s="9"/>
      <c r="K32" s="7">
        <v>0</v>
      </c>
      <c r="L32" s="8">
        <f>IFERROR(K32/K445, "NA")</f>
        <v>0</v>
      </c>
      <c r="M32" s="9"/>
      <c r="N32" s="10">
        <f t="shared" si="9"/>
        <v>0</v>
      </c>
      <c r="O32" s="8">
        <f>IFERROR(N32/N445, "NA")</f>
        <v>0</v>
      </c>
      <c r="P32" s="9"/>
      <c r="Q32" s="7">
        <v>0</v>
      </c>
      <c r="R32" s="8">
        <f>IFERROR(Q32/Q445, "NA")</f>
        <v>0</v>
      </c>
      <c r="S32" s="9"/>
      <c r="T32" s="7">
        <v>0</v>
      </c>
      <c r="U32" s="8">
        <f>IFERROR(T32/T445, "NA")</f>
        <v>0</v>
      </c>
      <c r="V32" s="9"/>
      <c r="W32" s="10">
        <f t="shared" si="10"/>
        <v>0</v>
      </c>
      <c r="X32" s="8">
        <f>IFERROR(W32/W445, "NA")</f>
        <v>0</v>
      </c>
      <c r="Y32" s="9"/>
      <c r="Z32" s="7">
        <v>0</v>
      </c>
      <c r="AA32" s="8">
        <f>IFERROR(Z32/Z445, "NA")</f>
        <v>0</v>
      </c>
      <c r="AB32" s="9"/>
      <c r="AC32" s="10">
        <f t="shared" si="11"/>
        <v>0</v>
      </c>
      <c r="AD32" s="8">
        <f>IFERROR(AC32/AC445, "NA")</f>
        <v>0</v>
      </c>
    </row>
    <row r="33" spans="1:30" ht="16.5" customHeight="1" x14ac:dyDescent="0.45">
      <c r="A33" s="12" t="s">
        <v>33</v>
      </c>
      <c r="B33" s="7">
        <v>51183.450000000012</v>
      </c>
      <c r="C33" s="8">
        <f>IFERROR(B33/B445, "NA")</f>
        <v>8.6099919875950462E-2</v>
      </c>
      <c r="D33" s="9"/>
      <c r="E33" s="7">
        <v>0</v>
      </c>
      <c r="F33" s="8">
        <f>IFERROR(E33/E445, "NA")</f>
        <v>0</v>
      </c>
      <c r="G33" s="9"/>
      <c r="H33" s="10">
        <f t="shared" si="8"/>
        <v>51183.450000000012</v>
      </c>
      <c r="I33" s="8">
        <f>IFERROR(H33/H445, "NA")</f>
        <v>-0.94400307047749266</v>
      </c>
      <c r="J33" s="9"/>
      <c r="K33" s="7">
        <v>36557.94</v>
      </c>
      <c r="L33" s="8">
        <f>IFERROR(K33/K445, "NA")</f>
        <v>6.1535051076044602E-2</v>
      </c>
      <c r="M33" s="9"/>
      <c r="N33" s="10">
        <f t="shared" si="9"/>
        <v>14625.510000000009</v>
      </c>
      <c r="O33" s="8">
        <f>IFERROR(N33/N445, "NA")</f>
        <v>39.932042811104104</v>
      </c>
      <c r="P33" s="9"/>
      <c r="Q33" s="7">
        <v>287594.75</v>
      </c>
      <c r="R33" s="8">
        <f>IFERROR(Q33/Q445, "NA")</f>
        <v>9.8055912959100433E-2</v>
      </c>
      <c r="S33" s="9"/>
      <c r="T33" s="7">
        <v>0</v>
      </c>
      <c r="U33" s="8">
        <f>IFERROR(T33/T445, "NA")</f>
        <v>0</v>
      </c>
      <c r="V33" s="9"/>
      <c r="W33" s="10">
        <f t="shared" si="10"/>
        <v>287594.75</v>
      </c>
      <c r="X33" s="8">
        <f>IFERROR(W33/W445, "NA")</f>
        <v>-2.1325166001577776</v>
      </c>
      <c r="Y33" s="9"/>
      <c r="Z33" s="7">
        <v>255098.06999999998</v>
      </c>
      <c r="AA33" s="8">
        <f>IFERROR(Z33/Z445, "NA")</f>
        <v>8.9299085996111485E-2</v>
      </c>
      <c r="AB33" s="9"/>
      <c r="AC33" s="10">
        <f t="shared" si="11"/>
        <v>32496.680000000022</v>
      </c>
      <c r="AD33" s="8">
        <f>IFERROR(AC33/AC445, "NA")</f>
        <v>0.42592694776960127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IFERROR(B34/B445, "NA")</f>
        <v>0</v>
      </c>
      <c r="D34" s="9"/>
      <c r="E34" s="7">
        <v>0</v>
      </c>
      <c r="F34" s="8">
        <f>IFERROR(E34/E445, "NA")</f>
        <v>0</v>
      </c>
      <c r="G34" s="9"/>
      <c r="H34" s="10">
        <f t="shared" si="8"/>
        <v>0</v>
      </c>
      <c r="I34" s="8">
        <f>IFERROR(H34/H445, "NA")</f>
        <v>0</v>
      </c>
      <c r="J34" s="9"/>
      <c r="K34" s="7">
        <v>0</v>
      </c>
      <c r="L34" s="8">
        <f>IFERROR(K34/K445, "NA")</f>
        <v>0</v>
      </c>
      <c r="M34" s="9"/>
      <c r="N34" s="10">
        <f t="shared" si="9"/>
        <v>0</v>
      </c>
      <c r="O34" s="8">
        <f>IFERROR(N34/N445, "NA")</f>
        <v>0</v>
      </c>
      <c r="P34" s="9"/>
      <c r="Q34" s="7">
        <v>0</v>
      </c>
      <c r="R34" s="8">
        <f>IFERROR(Q34/Q445, "NA")</f>
        <v>0</v>
      </c>
      <c r="S34" s="9"/>
      <c r="T34" s="7">
        <v>0</v>
      </c>
      <c r="U34" s="8">
        <f>IFERROR(T34/T445, "NA")</f>
        <v>0</v>
      </c>
      <c r="V34" s="9"/>
      <c r="W34" s="10">
        <f t="shared" si="10"/>
        <v>0</v>
      </c>
      <c r="X34" s="8">
        <f>IFERROR(W34/W445, "NA")</f>
        <v>0</v>
      </c>
      <c r="Y34" s="9"/>
      <c r="Z34" s="7">
        <v>0</v>
      </c>
      <c r="AA34" s="8">
        <f>IFERROR(Z34/Z445, "NA")</f>
        <v>0</v>
      </c>
      <c r="AB34" s="9"/>
      <c r="AC34" s="10">
        <f t="shared" si="11"/>
        <v>0</v>
      </c>
      <c r="AD34" s="8">
        <f>IFERROR(AC34/AC445, "NA")</f>
        <v>0</v>
      </c>
    </row>
    <row r="35" spans="1:30" ht="16.5" customHeight="1" x14ac:dyDescent="0.45">
      <c r="A35" s="12" t="s">
        <v>35</v>
      </c>
      <c r="B35" s="7">
        <v>3602.8099999999995</v>
      </c>
      <c r="C35" s="8">
        <f>IFERROR(B35/B445, "NA")</f>
        <v>6.0605850588085208E-3</v>
      </c>
      <c r="D35" s="9"/>
      <c r="E35" s="7">
        <v>0</v>
      </c>
      <c r="F35" s="8">
        <f>IFERROR(E35/E445, "NA")</f>
        <v>0</v>
      </c>
      <c r="G35" s="9"/>
      <c r="H35" s="10">
        <f t="shared" si="8"/>
        <v>3602.8099999999995</v>
      </c>
      <c r="I35" s="8">
        <f>IFERROR(H35/H445, "NA")</f>
        <v>-6.6448504396382307E-2</v>
      </c>
      <c r="J35" s="9"/>
      <c r="K35" s="7">
        <v>6651.83</v>
      </c>
      <c r="L35" s="8">
        <f>IFERROR(K35/K445, "NA")</f>
        <v>1.1196492439102578E-2</v>
      </c>
      <c r="M35" s="9"/>
      <c r="N35" s="10">
        <f t="shared" si="9"/>
        <v>-3049.0200000000004</v>
      </c>
      <c r="O35" s="8">
        <f>IFERROR(N35/N445, "NA")</f>
        <v>-8.3247419865640637</v>
      </c>
      <c r="P35" s="9"/>
      <c r="Q35" s="7">
        <v>19695.150000000001</v>
      </c>
      <c r="R35" s="8">
        <f>IFERROR(Q35/Q445, "NA")</f>
        <v>6.7150944657940635E-3</v>
      </c>
      <c r="S35" s="9"/>
      <c r="T35" s="7">
        <v>0</v>
      </c>
      <c r="U35" s="8">
        <f>IFERROR(T35/T445, "NA")</f>
        <v>0</v>
      </c>
      <c r="V35" s="9"/>
      <c r="W35" s="10">
        <f t="shared" si="10"/>
        <v>19695.150000000001</v>
      </c>
      <c r="X35" s="8">
        <f>IFERROR(W35/W445, "NA")</f>
        <v>-0.14603964195312139</v>
      </c>
      <c r="Y35" s="9"/>
      <c r="Z35" s="7">
        <v>33518.17</v>
      </c>
      <c r="AA35" s="8">
        <f>IFERROR(Z35/Z445, "NA")</f>
        <v>1.1733299061268023E-2</v>
      </c>
      <c r="AB35" s="9"/>
      <c r="AC35" s="10">
        <f t="shared" si="11"/>
        <v>-13823.019999999997</v>
      </c>
      <c r="AD35" s="8">
        <f>IFERROR(AC35/AC445, "NA")</f>
        <v>-0.18117532983548315</v>
      </c>
    </row>
    <row r="36" spans="1:30" ht="16.5" customHeight="1" x14ac:dyDescent="0.45">
      <c r="A36" s="12" t="s">
        <v>36</v>
      </c>
      <c r="B36" s="7">
        <v>58668.59</v>
      </c>
      <c r="C36" s="8">
        <f>IFERROR(B36/B445, "NA")</f>
        <v>9.8691293733325663E-2</v>
      </c>
      <c r="D36" s="9"/>
      <c r="E36" s="7">
        <v>0</v>
      </c>
      <c r="F36" s="8">
        <f>IFERROR(E36/E445, "NA")</f>
        <v>0</v>
      </c>
      <c r="G36" s="9"/>
      <c r="H36" s="10">
        <f t="shared" si="8"/>
        <v>58668.59</v>
      </c>
      <c r="I36" s="8">
        <f>IFERROR(H36/H445, "NA")</f>
        <v>-1.0820554124543207</v>
      </c>
      <c r="J36" s="9"/>
      <c r="K36" s="7">
        <v>47460.14</v>
      </c>
      <c r="L36" s="8">
        <f>IFERROR(K36/K445, "NA")</f>
        <v>7.9885850761181487E-2</v>
      </c>
      <c r="M36" s="9"/>
      <c r="N36" s="10">
        <f t="shared" si="9"/>
        <v>11208.449999999997</v>
      </c>
      <c r="O36" s="8">
        <f>IFERROR(N36/N445, "NA")</f>
        <v>30.602440888975455</v>
      </c>
      <c r="P36" s="9"/>
      <c r="Q36" s="7">
        <v>338456.87000000005</v>
      </c>
      <c r="R36" s="8">
        <f>IFERROR(Q36/Q445, "NA")</f>
        <v>0.11539743818386664</v>
      </c>
      <c r="S36" s="9"/>
      <c r="T36" s="7">
        <v>0</v>
      </c>
      <c r="U36" s="8">
        <f>IFERROR(T36/T445, "NA")</f>
        <v>0</v>
      </c>
      <c r="V36" s="9"/>
      <c r="W36" s="10">
        <f t="shared" si="10"/>
        <v>338456.87000000005</v>
      </c>
      <c r="X36" s="8">
        <f>IFERROR(W36/W445, "NA")</f>
        <v>-2.5096594903503733</v>
      </c>
      <c r="Y36" s="9"/>
      <c r="Z36" s="7">
        <v>334968.74</v>
      </c>
      <c r="AA36" s="8">
        <f>IFERROR(Z36/Z445, "NA")</f>
        <v>0.11725844228954423</v>
      </c>
      <c r="AB36" s="9"/>
      <c r="AC36" s="10">
        <f t="shared" si="11"/>
        <v>3488.1300000000629</v>
      </c>
      <c r="AD36" s="8">
        <f>IFERROR(AC36/AC445, "NA")</f>
        <v>4.5718164573230406E-2</v>
      </c>
    </row>
    <row r="37" spans="1:30" ht="16.5" customHeight="1" x14ac:dyDescent="0.45">
      <c r="A37" s="12" t="s">
        <v>37</v>
      </c>
      <c r="B37" s="7">
        <v>5706.44</v>
      </c>
      <c r="C37" s="8">
        <f>IFERROR(B37/B445, "NA")</f>
        <v>9.5992752887294353E-3</v>
      </c>
      <c r="D37" s="9"/>
      <c r="E37" s="7">
        <v>0</v>
      </c>
      <c r="F37" s="8">
        <f>IFERROR(E37/E445, "NA")</f>
        <v>0</v>
      </c>
      <c r="G37" s="9"/>
      <c r="H37" s="10">
        <f t="shared" si="8"/>
        <v>5706.44</v>
      </c>
      <c r="I37" s="8">
        <f>IFERROR(H37/H445, "NA")</f>
        <v>-0.10524684993871225</v>
      </c>
      <c r="J37" s="9"/>
      <c r="K37" s="7">
        <v>0</v>
      </c>
      <c r="L37" s="8">
        <f>IFERROR(K37/K445, "NA")</f>
        <v>0</v>
      </c>
      <c r="M37" s="9"/>
      <c r="N37" s="10">
        <f t="shared" si="9"/>
        <v>5706.44</v>
      </c>
      <c r="O37" s="8">
        <f>IFERROR(N37/N445, "NA")</f>
        <v>15.580298148850655</v>
      </c>
      <c r="P37" s="9"/>
      <c r="Q37" s="7">
        <v>23109.79</v>
      </c>
      <c r="R37" s="8">
        <f>IFERROR(Q37/Q445, "NA")</f>
        <v>7.8793217078652854E-3</v>
      </c>
      <c r="S37" s="9"/>
      <c r="T37" s="7">
        <v>0</v>
      </c>
      <c r="U37" s="8">
        <f>IFERROR(T37/T445, "NA")</f>
        <v>0</v>
      </c>
      <c r="V37" s="9"/>
      <c r="W37" s="10">
        <f t="shared" si="10"/>
        <v>23109.79</v>
      </c>
      <c r="X37" s="8">
        <f>IFERROR(W37/W445, "NA")</f>
        <v>-0.1713592157059898</v>
      </c>
      <c r="Y37" s="9"/>
      <c r="Z37" s="7">
        <v>0</v>
      </c>
      <c r="AA37" s="8">
        <f>IFERROR(Z37/Z445, "NA")</f>
        <v>0</v>
      </c>
      <c r="AB37" s="9"/>
      <c r="AC37" s="10">
        <f t="shared" si="11"/>
        <v>23109.79</v>
      </c>
      <c r="AD37" s="8">
        <f>IFERROR(AC37/AC445, "NA")</f>
        <v>0.3028950132227799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IFERROR(B38/B445, "NA")</f>
        <v>0</v>
      </c>
      <c r="D38" s="9"/>
      <c r="E38" s="7">
        <v>0</v>
      </c>
      <c r="F38" s="8">
        <f>IFERROR(E38/E445, "NA")</f>
        <v>0</v>
      </c>
      <c r="G38" s="9"/>
      <c r="H38" s="10">
        <f t="shared" si="8"/>
        <v>0</v>
      </c>
      <c r="I38" s="8">
        <f>IFERROR(H38/H445, "NA")</f>
        <v>0</v>
      </c>
      <c r="J38" s="9"/>
      <c r="K38" s="7">
        <v>0</v>
      </c>
      <c r="L38" s="8">
        <f>IFERROR(K38/K445, "NA")</f>
        <v>0</v>
      </c>
      <c r="M38" s="9"/>
      <c r="N38" s="10">
        <f t="shared" si="9"/>
        <v>0</v>
      </c>
      <c r="O38" s="8">
        <f>IFERROR(N38/N445, "NA")</f>
        <v>0</v>
      </c>
      <c r="P38" s="9"/>
      <c r="Q38" s="7">
        <v>0</v>
      </c>
      <c r="R38" s="8">
        <f>IFERROR(Q38/Q445, "NA")</f>
        <v>0</v>
      </c>
      <c r="S38" s="9"/>
      <c r="T38" s="7">
        <v>0</v>
      </c>
      <c r="U38" s="8">
        <f>IFERROR(T38/T445, "NA")</f>
        <v>0</v>
      </c>
      <c r="V38" s="9"/>
      <c r="W38" s="10">
        <f t="shared" si="10"/>
        <v>0</v>
      </c>
      <c r="X38" s="8">
        <f>IFERROR(W38/W445, "NA")</f>
        <v>0</v>
      </c>
      <c r="Y38" s="9"/>
      <c r="Z38" s="7">
        <v>0</v>
      </c>
      <c r="AA38" s="8">
        <f>IFERROR(Z38/Z445, "NA")</f>
        <v>0</v>
      </c>
      <c r="AB38" s="9"/>
      <c r="AC38" s="10">
        <f t="shared" si="11"/>
        <v>0</v>
      </c>
      <c r="AD38" s="8">
        <f>IFERROR(AC38/AC445,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IFERROR(B39/B445, "NA")</f>
        <v>0</v>
      </c>
      <c r="D39" s="9"/>
      <c r="E39" s="7">
        <v>0</v>
      </c>
      <c r="F39" s="8">
        <f>IFERROR(E39/E445, "NA")</f>
        <v>0</v>
      </c>
      <c r="G39" s="9"/>
      <c r="H39" s="10">
        <f t="shared" si="8"/>
        <v>0</v>
      </c>
      <c r="I39" s="8">
        <f>IFERROR(H39/H445, "NA")</f>
        <v>0</v>
      </c>
      <c r="J39" s="9"/>
      <c r="K39" s="7">
        <v>5440.45</v>
      </c>
      <c r="L39" s="8">
        <f>IFERROR(K39/K445, "NA")</f>
        <v>9.1574735509349497E-3</v>
      </c>
      <c r="M39" s="9"/>
      <c r="N39" s="10">
        <f t="shared" si="9"/>
        <v>-5440.45</v>
      </c>
      <c r="O39" s="8">
        <f>IFERROR(N39/N445, "NA")</f>
        <v>-14.854065418003964</v>
      </c>
      <c r="P39" s="9"/>
      <c r="Q39" s="7">
        <v>1679.9900000000002</v>
      </c>
      <c r="R39" s="8">
        <f>IFERROR(Q39/Q445, "NA")</f>
        <v>5.7279541164141265E-4</v>
      </c>
      <c r="S39" s="9"/>
      <c r="T39" s="7">
        <v>0</v>
      </c>
      <c r="U39" s="8">
        <f>IFERROR(T39/T445, "NA")</f>
        <v>0</v>
      </c>
      <c r="V39" s="9"/>
      <c r="W39" s="10">
        <f t="shared" si="10"/>
        <v>1679.9900000000002</v>
      </c>
      <c r="X39" s="8">
        <f>IFERROR(W39/W445, "NA")</f>
        <v>-1.2457134781142789E-2</v>
      </c>
      <c r="Y39" s="9"/>
      <c r="Z39" s="7">
        <v>28411.68</v>
      </c>
      <c r="AA39" s="8">
        <f>IFERROR(Z39/Z445, "NA")</f>
        <v>9.9457320692939825E-3</v>
      </c>
      <c r="AB39" s="9"/>
      <c r="AC39" s="10">
        <f t="shared" si="11"/>
        <v>-26731.69</v>
      </c>
      <c r="AD39" s="8">
        <f>IFERROR(AC39/AC445, "NA")</f>
        <v>-0.35036647221879785</v>
      </c>
    </row>
    <row r="40" spans="1:30" ht="16.5" customHeight="1" x14ac:dyDescent="0.45">
      <c r="A40" s="13" t="s">
        <v>40</v>
      </c>
      <c r="B40" s="14">
        <f>IFERROR(B31+B32+B33+B34+B35+B36+B37+B38+B39, "NA")</f>
        <v>119161.29000000001</v>
      </c>
      <c r="C40" s="15">
        <f>IFERROR(B40/B445, "NA")</f>
        <v>0.20045107395681408</v>
      </c>
      <c r="D40" s="2"/>
      <c r="E40" s="14">
        <f>IFERROR(E31+E32+E33+E34+E35+E36+E37+E38+E39, "NA")</f>
        <v>130910.22</v>
      </c>
      <c r="F40" s="15">
        <f>IFERROR(E40/E445, "NA")</f>
        <v>0.20180852258881959</v>
      </c>
      <c r="G40" s="2"/>
      <c r="H40" s="14">
        <f t="shared" si="8"/>
        <v>-11748.929999999993</v>
      </c>
      <c r="I40" s="15">
        <f>IFERROR(H40/H445, "NA")</f>
        <v>0.21669164534288171</v>
      </c>
      <c r="J40" s="2"/>
      <c r="K40" s="14">
        <f>IFERROR(K31+K32+K33+K34+K35+K36+K37+K38+K39, "NA")</f>
        <v>96110.36</v>
      </c>
      <c r="L40" s="15">
        <f>IFERROR(K40/K445, "NA")</f>
        <v>0.16177486782726361</v>
      </c>
      <c r="M40" s="2"/>
      <c r="N40" s="14">
        <f t="shared" si="9"/>
        <v>23050.930000000008</v>
      </c>
      <c r="O40" s="15">
        <f>IFERROR(N40/N445, "NA")</f>
        <v>62.935974444362188</v>
      </c>
      <c r="P40" s="2"/>
      <c r="Q40" s="14">
        <f>IFERROR(Q31+Q32+Q33+Q34+Q35+Q36+Q37+Q38+Q39, "NA")</f>
        <v>670536.55000000005</v>
      </c>
      <c r="R40" s="15">
        <f>IFERROR(Q40/Q445, "NA")</f>
        <v>0.22862056272826783</v>
      </c>
      <c r="S40" s="2"/>
      <c r="T40" s="14">
        <f>IFERROR(T31+T32+T33+T34+T35+T36+T37+T38+T39, "NA")</f>
        <v>623669.4</v>
      </c>
      <c r="U40" s="15">
        <f>IFERROR(T40/T445, "NA")</f>
        <v>0.20329343040872624</v>
      </c>
      <c r="V40" s="2"/>
      <c r="W40" s="14">
        <f t="shared" si="10"/>
        <v>46867.150000000023</v>
      </c>
      <c r="X40" s="15">
        <f>IFERROR(W40/W445, "NA")</f>
        <v>-0.34752016640458366</v>
      </c>
      <c r="Y40" s="2"/>
      <c r="Z40" s="14">
        <f>IFERROR(Z31+Z32+Z33+Z34+Z35+Z36+Z37+Z38+Z39, "NA")</f>
        <v>651996.66</v>
      </c>
      <c r="AA40" s="15">
        <f>IFERROR(Z40/Z445, "NA")</f>
        <v>0.22823655941621773</v>
      </c>
      <c r="AB40" s="2"/>
      <c r="AC40" s="14">
        <f t="shared" si="11"/>
        <v>18539.890000000014</v>
      </c>
      <c r="AD40" s="15">
        <f>IFERROR(AC40/AC445, "NA")</f>
        <v>0.24299832351132958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IFERROR(B42/B445, "NA")</f>
        <v>0</v>
      </c>
      <c r="D42" s="9"/>
      <c r="E42" s="7">
        <v>153299.34999999998</v>
      </c>
      <c r="F42" s="8">
        <f>IFERROR(E42/E445, "NA")</f>
        <v>0.2363231483174221</v>
      </c>
      <c r="G42" s="9"/>
      <c r="H42" s="10">
        <f>IFERROR(B42-E42, "NA")</f>
        <v>-153299.34999999998</v>
      </c>
      <c r="I42" s="8">
        <f>IFERROR(H42/H445, "NA")</f>
        <v>2.8273798874871421</v>
      </c>
      <c r="J42" s="9"/>
      <c r="K42" s="7">
        <v>0</v>
      </c>
      <c r="L42" s="8">
        <f>IFERROR(K42/K445, "NA")</f>
        <v>0</v>
      </c>
      <c r="M42" s="9"/>
      <c r="N42" s="10">
        <f>IFERROR(B42-K42, "NA")</f>
        <v>0</v>
      </c>
      <c r="O42" s="8">
        <f>IFERROR(N42/N445, "NA")</f>
        <v>0</v>
      </c>
      <c r="P42" s="9"/>
      <c r="Q42" s="7">
        <v>0</v>
      </c>
      <c r="R42" s="8">
        <f>IFERROR(Q42/Q445, "NA")</f>
        <v>0</v>
      </c>
      <c r="S42" s="9"/>
      <c r="T42" s="7">
        <v>732621.72</v>
      </c>
      <c r="U42" s="8">
        <f>IFERROR(T42/T445, "NA")</f>
        <v>0.23880790471801458</v>
      </c>
      <c r="V42" s="9"/>
      <c r="W42" s="10">
        <f>IFERROR(Q42-T42, "NA")</f>
        <v>-732621.72</v>
      </c>
      <c r="X42" s="8">
        <f>IFERROR(W42/W445, "NA")</f>
        <v>5.4323939485548438</v>
      </c>
      <c r="Y42" s="9"/>
      <c r="Z42" s="7">
        <v>0</v>
      </c>
      <c r="AA42" s="8">
        <f>IFERROR(Z42/Z445, "NA")</f>
        <v>0</v>
      </c>
      <c r="AB42" s="9"/>
      <c r="AC42" s="10">
        <f>IFERROR(Q42-Z42, "NA")</f>
        <v>0</v>
      </c>
      <c r="AD42" s="8">
        <f>IFERROR(AC42/AC445, "NA")</f>
        <v>0</v>
      </c>
    </row>
    <row r="43" spans="1:30" ht="16.5" customHeight="1" x14ac:dyDescent="0.45">
      <c r="A43" s="12" t="s">
        <v>42</v>
      </c>
      <c r="B43" s="7">
        <v>27655.98</v>
      </c>
      <c r="C43" s="8">
        <f>IFERROR(B43/B445, "NA")</f>
        <v>4.6522414219652794E-2</v>
      </c>
      <c r="D43" s="9"/>
      <c r="E43" s="7">
        <v>0</v>
      </c>
      <c r="F43" s="8">
        <f>IFERROR(E43/E445, "NA")</f>
        <v>0</v>
      </c>
      <c r="G43" s="9"/>
      <c r="H43" s="10">
        <f>IFERROR(B43-E43, "NA")</f>
        <v>27655.98</v>
      </c>
      <c r="I43" s="8">
        <f>IFERROR(H43/H445, "NA")</f>
        <v>-0.51007366711435276</v>
      </c>
      <c r="J43" s="9"/>
      <c r="K43" s="7">
        <v>32314.53</v>
      </c>
      <c r="L43" s="8">
        <f>IFERROR(K43/K445, "NA")</f>
        <v>5.439245904031724E-2</v>
      </c>
      <c r="M43" s="9"/>
      <c r="N43" s="10">
        <f>IFERROR(B43-K43, "NA")</f>
        <v>-4658.5499999999993</v>
      </c>
      <c r="O43" s="8">
        <f>IFERROR(N43/N445, "NA")</f>
        <v>-12.71924316059193</v>
      </c>
      <c r="P43" s="9"/>
      <c r="Q43" s="7">
        <v>117222.25000000001</v>
      </c>
      <c r="R43" s="8">
        <f>IFERROR(Q43/Q445, "NA")</f>
        <v>3.9967122984233591E-2</v>
      </c>
      <c r="S43" s="9"/>
      <c r="T43" s="7">
        <v>0</v>
      </c>
      <c r="U43" s="8">
        <f>IFERROR(T43/T445, "NA")</f>
        <v>0</v>
      </c>
      <c r="V43" s="9"/>
      <c r="W43" s="10">
        <f>IFERROR(Q43-T43, "NA")</f>
        <v>117222.25000000001</v>
      </c>
      <c r="X43" s="8">
        <f>IFERROR(W43/W445, "NA")</f>
        <v>-0.86920360692552656</v>
      </c>
      <c r="Y43" s="9"/>
      <c r="Z43" s="7">
        <v>149590.57999999999</v>
      </c>
      <c r="AA43" s="8">
        <f>IFERROR(Z43/Z445, "NA")</f>
        <v>5.2365359203337743E-2</v>
      </c>
      <c r="AB43" s="9"/>
      <c r="AC43" s="10">
        <f>IFERROR(Q43-Z43, "NA")</f>
        <v>-32368.329999999973</v>
      </c>
      <c r="AD43" s="8">
        <f>IFERROR(AC43/AC445, "NA")</f>
        <v>-0.42424469211313887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IFERROR(B44/B445, "NA")</f>
        <v>0</v>
      </c>
      <c r="D44" s="9"/>
      <c r="E44" s="7">
        <v>0</v>
      </c>
      <c r="F44" s="8">
        <f>IFERROR(E44/E445, "NA")</f>
        <v>0</v>
      </c>
      <c r="G44" s="9"/>
      <c r="H44" s="10">
        <f>IFERROR(B44-E44, "NA")</f>
        <v>0</v>
      </c>
      <c r="I44" s="8">
        <f>IFERROR(H44/H445, "NA")</f>
        <v>0</v>
      </c>
      <c r="J44" s="9"/>
      <c r="K44" s="7">
        <v>0</v>
      </c>
      <c r="L44" s="8">
        <f>IFERROR(K44/K445, "NA")</f>
        <v>0</v>
      </c>
      <c r="M44" s="9"/>
      <c r="N44" s="10">
        <f>IFERROR(B44-K44, "NA")</f>
        <v>0</v>
      </c>
      <c r="O44" s="8">
        <f>IFERROR(N44/N445, "NA")</f>
        <v>0</v>
      </c>
      <c r="P44" s="9"/>
      <c r="Q44" s="7">
        <v>0</v>
      </c>
      <c r="R44" s="8">
        <f>IFERROR(Q44/Q445, "NA")</f>
        <v>0</v>
      </c>
      <c r="S44" s="9"/>
      <c r="T44" s="7">
        <v>0</v>
      </c>
      <c r="U44" s="8">
        <f>IFERROR(T44/T445, "NA")</f>
        <v>0</v>
      </c>
      <c r="V44" s="9"/>
      <c r="W44" s="10">
        <f>IFERROR(Q44-T44, "NA")</f>
        <v>0</v>
      </c>
      <c r="X44" s="8">
        <f>IFERROR(W44/W445, "NA")</f>
        <v>0</v>
      </c>
      <c r="Y44" s="9"/>
      <c r="Z44" s="7">
        <v>0</v>
      </c>
      <c r="AA44" s="8">
        <f>IFERROR(Z44/Z445, "NA")</f>
        <v>0</v>
      </c>
      <c r="AB44" s="9"/>
      <c r="AC44" s="10">
        <f>IFERROR(Q44-Z44, "NA")</f>
        <v>0</v>
      </c>
      <c r="AD44" s="8">
        <f>IFERROR(AC44/AC445,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IFERROR(B46/B445, "NA")</f>
        <v>0</v>
      </c>
      <c r="D46" s="9"/>
      <c r="E46" s="7">
        <v>0</v>
      </c>
      <c r="F46" s="8">
        <f>IFERROR(E46/E445, "NA")</f>
        <v>0</v>
      </c>
      <c r="G46" s="9"/>
      <c r="H46" s="10">
        <f t="shared" ref="H46:H62" si="12">IFERROR(B46-E46, "NA")</f>
        <v>0</v>
      </c>
      <c r="I46" s="8">
        <f>IFERROR(H46/H445, "NA")</f>
        <v>0</v>
      </c>
      <c r="J46" s="9"/>
      <c r="K46" s="7">
        <v>0</v>
      </c>
      <c r="L46" s="8">
        <f>IFERROR(K46/K445, "NA")</f>
        <v>0</v>
      </c>
      <c r="M46" s="9"/>
      <c r="N46" s="10">
        <f t="shared" ref="N46:N62" si="13">IFERROR(B46-K46, "NA")</f>
        <v>0</v>
      </c>
      <c r="O46" s="8">
        <f>IFERROR(N46/N445, "NA")</f>
        <v>0</v>
      </c>
      <c r="P46" s="9"/>
      <c r="Q46" s="7">
        <v>0</v>
      </c>
      <c r="R46" s="8">
        <f>IFERROR(Q46/Q445, "NA")</f>
        <v>0</v>
      </c>
      <c r="S46" s="9"/>
      <c r="T46" s="7">
        <v>0</v>
      </c>
      <c r="U46" s="8">
        <f>IFERROR(T46/T445, "NA")</f>
        <v>0</v>
      </c>
      <c r="V46" s="9"/>
      <c r="W46" s="10">
        <f t="shared" ref="W46:W62" si="14">IFERROR(Q46-T46, "NA")</f>
        <v>0</v>
      </c>
      <c r="X46" s="8">
        <f>IFERROR(W46/W445, "NA")</f>
        <v>0</v>
      </c>
      <c r="Y46" s="9"/>
      <c r="Z46" s="7">
        <v>0</v>
      </c>
      <c r="AA46" s="8">
        <f>IFERROR(Z46/Z445, "NA")</f>
        <v>0</v>
      </c>
      <c r="AB46" s="9"/>
      <c r="AC46" s="10">
        <f t="shared" ref="AC46:AC62" si="15">IFERROR(Q46-Z46, "NA")</f>
        <v>0</v>
      </c>
      <c r="AD46" s="8">
        <f>IFERROR(AC46/AC445, "NA")</f>
        <v>0</v>
      </c>
    </row>
    <row r="47" spans="1:30" ht="16.5" customHeight="1" x14ac:dyDescent="0.45">
      <c r="A47" s="17" t="s">
        <v>45</v>
      </c>
      <c r="B47" s="7">
        <v>669.66</v>
      </c>
      <c r="C47" s="8">
        <f>IFERROR(B47/B445, "NA")</f>
        <v>1.1264905422383401E-3</v>
      </c>
      <c r="D47" s="9"/>
      <c r="E47" s="7">
        <v>0</v>
      </c>
      <c r="F47" s="8">
        <f>IFERROR(E47/E445, "NA")</f>
        <v>0</v>
      </c>
      <c r="G47" s="9"/>
      <c r="H47" s="10">
        <f t="shared" si="12"/>
        <v>669.66</v>
      </c>
      <c r="I47" s="8">
        <f>IFERROR(H47/H445, "NA")</f>
        <v>-1.2350888737979905E-2</v>
      </c>
      <c r="J47" s="9"/>
      <c r="K47" s="7">
        <v>860.07</v>
      </c>
      <c r="L47" s="8">
        <f>IFERROR(K47/K445, "NA")</f>
        <v>1.4476869150442744E-3</v>
      </c>
      <c r="M47" s="9"/>
      <c r="N47" s="10">
        <f t="shared" si="13"/>
        <v>-190.41000000000008</v>
      </c>
      <c r="O47" s="8">
        <f>IFERROR(N47/N445, "NA")</f>
        <v>-0.51987659040008383</v>
      </c>
      <c r="P47" s="9"/>
      <c r="Q47" s="7">
        <v>1769.86</v>
      </c>
      <c r="R47" s="8">
        <f>IFERROR(Q47/Q445, "NA")</f>
        <v>6.0343673905658389E-4</v>
      </c>
      <c r="S47" s="9"/>
      <c r="T47" s="7">
        <v>0</v>
      </c>
      <c r="U47" s="8">
        <f>IFERROR(T47/T445, "NA")</f>
        <v>0</v>
      </c>
      <c r="V47" s="9"/>
      <c r="W47" s="10">
        <f t="shared" si="14"/>
        <v>1769.86</v>
      </c>
      <c r="X47" s="8">
        <f>IFERROR(W47/W445, "NA")</f>
        <v>-1.312352130890861E-2</v>
      </c>
      <c r="Y47" s="9"/>
      <c r="Z47" s="7">
        <v>5411.31</v>
      </c>
      <c r="AA47" s="8">
        <f>IFERROR(Z47/Z445, "NA")</f>
        <v>1.8942716306776376E-3</v>
      </c>
      <c r="AB47" s="9"/>
      <c r="AC47" s="10">
        <f t="shared" si="15"/>
        <v>-3641.4500000000007</v>
      </c>
      <c r="AD47" s="8">
        <f>IFERROR(AC47/AC445, "NA")</f>
        <v>-4.7727696612565151E-2</v>
      </c>
    </row>
    <row r="48" spans="1:30" ht="16.5" customHeight="1" x14ac:dyDescent="0.45">
      <c r="A48" s="17" t="s">
        <v>46</v>
      </c>
      <c r="B48" s="7">
        <v>79725.53</v>
      </c>
      <c r="C48" s="8">
        <f>IFERROR(B48/B445, "NA")</f>
        <v>0.13411291628578542</v>
      </c>
      <c r="D48" s="9"/>
      <c r="E48" s="7">
        <v>0</v>
      </c>
      <c r="F48" s="8">
        <f>IFERROR(E48/E445, "NA")</f>
        <v>0</v>
      </c>
      <c r="G48" s="9"/>
      <c r="H48" s="10">
        <f t="shared" si="12"/>
        <v>79725.53</v>
      </c>
      <c r="I48" s="8">
        <f>IFERROR(H48/H445, "NA")</f>
        <v>-1.4704195421653961</v>
      </c>
      <c r="J48" s="9"/>
      <c r="K48" s="7">
        <v>95499.36</v>
      </c>
      <c r="L48" s="8">
        <f>IFERROR(K48/K445, "NA")</f>
        <v>0.16074642048566112</v>
      </c>
      <c r="M48" s="9"/>
      <c r="N48" s="10">
        <f t="shared" si="13"/>
        <v>-15773.830000000002</v>
      </c>
      <c r="O48" s="8">
        <f>IFERROR(N48/N445, "NA")</f>
        <v>-43.06730191665644</v>
      </c>
      <c r="P48" s="9"/>
      <c r="Q48" s="7">
        <v>418450.65</v>
      </c>
      <c r="R48" s="8">
        <f>IFERROR(Q48/Q445, "NA")</f>
        <v>0.14267145180528853</v>
      </c>
      <c r="S48" s="9"/>
      <c r="T48" s="7">
        <v>0</v>
      </c>
      <c r="U48" s="8">
        <f>IFERROR(T48/T445, "NA")</f>
        <v>0</v>
      </c>
      <c r="V48" s="9"/>
      <c r="W48" s="10">
        <f t="shared" si="14"/>
        <v>418450.65</v>
      </c>
      <c r="X48" s="8">
        <f>IFERROR(W48/W445, "NA")</f>
        <v>-3.1028137943123517</v>
      </c>
      <c r="Y48" s="9"/>
      <c r="Z48" s="7">
        <v>432999.31</v>
      </c>
      <c r="AA48" s="8">
        <f>IFERROR(Z48/Z445, "NA")</f>
        <v>0.1515748144231234</v>
      </c>
      <c r="AB48" s="9"/>
      <c r="AC48" s="10">
        <f t="shared" si="15"/>
        <v>-14548.659999999974</v>
      </c>
      <c r="AD48" s="8">
        <f>IFERROR(AC48/AC445, "NA")</f>
        <v>-0.19068613618183985</v>
      </c>
    </row>
    <row r="49" spans="1:30" ht="16.5" customHeight="1" x14ac:dyDescent="0.45">
      <c r="A49" s="17" t="s">
        <v>47</v>
      </c>
      <c r="B49" s="7">
        <v>0</v>
      </c>
      <c r="C49" s="8">
        <f>IFERROR(B49/B445, "NA")</f>
        <v>0</v>
      </c>
      <c r="D49" s="9"/>
      <c r="E49" s="7">
        <v>0</v>
      </c>
      <c r="F49" s="8">
        <f>IFERROR(E49/E445, "NA")</f>
        <v>0</v>
      </c>
      <c r="G49" s="9"/>
      <c r="H49" s="10">
        <f t="shared" si="12"/>
        <v>0</v>
      </c>
      <c r="I49" s="8">
        <f>IFERROR(H49/H445, "NA")</f>
        <v>0</v>
      </c>
      <c r="J49" s="9"/>
      <c r="K49" s="7">
        <v>18633.079999999998</v>
      </c>
      <c r="L49" s="8">
        <f>IFERROR(K49/K445, "NA")</f>
        <v>3.1363570526786379E-2</v>
      </c>
      <c r="M49" s="9"/>
      <c r="N49" s="10">
        <f t="shared" si="13"/>
        <v>-18633.079999999998</v>
      </c>
      <c r="O49" s="8">
        <f>IFERROR(N49/N445, "NA")</f>
        <v>-50.873914705383065</v>
      </c>
      <c r="P49" s="9"/>
      <c r="Q49" s="7">
        <v>0</v>
      </c>
      <c r="R49" s="8">
        <f>IFERROR(Q49/Q445, "NA")</f>
        <v>0</v>
      </c>
      <c r="S49" s="9"/>
      <c r="T49" s="7">
        <v>0</v>
      </c>
      <c r="U49" s="8">
        <f>IFERROR(T49/T445, "NA")</f>
        <v>0</v>
      </c>
      <c r="V49" s="9"/>
      <c r="W49" s="10">
        <f t="shared" si="14"/>
        <v>0</v>
      </c>
      <c r="X49" s="8">
        <f>IFERROR(W49/W445, "NA")</f>
        <v>0</v>
      </c>
      <c r="Y49" s="9"/>
      <c r="Z49" s="7">
        <v>20810.609999999997</v>
      </c>
      <c r="AA49" s="8">
        <f>IFERROR(Z49/Z445, "NA")</f>
        <v>7.284917726039784E-3</v>
      </c>
      <c r="AB49" s="9"/>
      <c r="AC49" s="10">
        <f t="shared" si="15"/>
        <v>-20810.609999999997</v>
      </c>
      <c r="AD49" s="8">
        <f>IFERROR(AC49/AC445, "NA")</f>
        <v>-0.27276015883848859</v>
      </c>
    </row>
    <row r="50" spans="1:30" ht="16.5" customHeight="1" x14ac:dyDescent="0.45">
      <c r="A50" s="17" t="s">
        <v>48</v>
      </c>
      <c r="B50" s="7">
        <v>397.66</v>
      </c>
      <c r="C50" s="8">
        <f>IFERROR(B50/B445, "NA")</f>
        <v>6.6893681723038316E-4</v>
      </c>
      <c r="D50" s="9"/>
      <c r="E50" s="7">
        <v>0</v>
      </c>
      <c r="F50" s="8">
        <f>IFERROR(E50/E445, "NA")</f>
        <v>0</v>
      </c>
      <c r="G50" s="9"/>
      <c r="H50" s="10">
        <f t="shared" si="12"/>
        <v>397.66</v>
      </c>
      <c r="I50" s="8">
        <f>IFERROR(H50/H445, "NA")</f>
        <v>-7.3342508370592384E-3</v>
      </c>
      <c r="J50" s="9"/>
      <c r="K50" s="7">
        <v>1340.65</v>
      </c>
      <c r="L50" s="8">
        <f>IFERROR(K50/K445, "NA")</f>
        <v>2.2566087209809739E-3</v>
      </c>
      <c r="M50" s="9"/>
      <c r="N50" s="10">
        <f t="shared" si="13"/>
        <v>-942.99</v>
      </c>
      <c r="O50" s="8">
        <f>IFERROR(N50/N445, "NA")</f>
        <v>-2.5746464260352653</v>
      </c>
      <c r="P50" s="9"/>
      <c r="Q50" s="7">
        <v>12315.16</v>
      </c>
      <c r="R50" s="8">
        <f>IFERROR(Q50/Q445, "NA")</f>
        <v>4.1988744823658825E-3</v>
      </c>
      <c r="S50" s="9"/>
      <c r="T50" s="7">
        <v>0</v>
      </c>
      <c r="U50" s="8">
        <f>IFERROR(T50/T445, "NA")</f>
        <v>0</v>
      </c>
      <c r="V50" s="9"/>
      <c r="W50" s="10">
        <f t="shared" si="14"/>
        <v>12315.16</v>
      </c>
      <c r="X50" s="8">
        <f>IFERROR(W50/W445, "NA")</f>
        <v>-9.131697686970662E-2</v>
      </c>
      <c r="Y50" s="9"/>
      <c r="Z50" s="7">
        <v>7890.57</v>
      </c>
      <c r="AA50" s="8">
        <f>IFERROR(Z50/Z445, "NA")</f>
        <v>2.7621560954512025E-3</v>
      </c>
      <c r="AB50" s="9"/>
      <c r="AC50" s="10">
        <f t="shared" si="15"/>
        <v>4424.59</v>
      </c>
      <c r="AD50" s="8">
        <f>IFERROR(AC50/AC445, "NA")</f>
        <v>5.7992143007590279E-2</v>
      </c>
    </row>
    <row r="51" spans="1:30" ht="16.5" customHeight="1" x14ac:dyDescent="0.45">
      <c r="A51" s="17" t="s">
        <v>49</v>
      </c>
      <c r="B51" s="7">
        <v>1782.56</v>
      </c>
      <c r="C51" s="8">
        <f>IFERROR(B51/B445, "NA")</f>
        <v>2.9985917943021467E-3</v>
      </c>
      <c r="D51" s="9"/>
      <c r="E51" s="7">
        <v>0</v>
      </c>
      <c r="F51" s="8">
        <f>IFERROR(E51/E445, "NA")</f>
        <v>0</v>
      </c>
      <c r="G51" s="9"/>
      <c r="H51" s="10">
        <f t="shared" si="12"/>
        <v>1782.56</v>
      </c>
      <c r="I51" s="8">
        <f>IFERROR(H51/H445, "NA")</f>
        <v>-3.2876684031857152E-2</v>
      </c>
      <c r="J51" s="9"/>
      <c r="K51" s="7">
        <v>3032.11</v>
      </c>
      <c r="L51" s="8">
        <f>IFERROR(K51/K445, "NA")</f>
        <v>5.1037078051494583E-3</v>
      </c>
      <c r="M51" s="9"/>
      <c r="N51" s="10">
        <f t="shared" si="13"/>
        <v>-1249.5500000000002</v>
      </c>
      <c r="O51" s="8">
        <f>IFERROR(N51/N445, "NA")</f>
        <v>-3.4116474635493126</v>
      </c>
      <c r="P51" s="9"/>
      <c r="Q51" s="7">
        <v>10773.62</v>
      </c>
      <c r="R51" s="8">
        <f>IFERROR(Q51/Q445, "NA")</f>
        <v>3.673283830718133E-3</v>
      </c>
      <c r="S51" s="9"/>
      <c r="T51" s="7">
        <v>0</v>
      </c>
      <c r="U51" s="8">
        <f>IFERROR(T51/T445, "NA")</f>
        <v>0</v>
      </c>
      <c r="V51" s="9"/>
      <c r="W51" s="10">
        <f t="shared" si="14"/>
        <v>10773.62</v>
      </c>
      <c r="X51" s="8">
        <f>IFERROR(W51/W445, "NA")</f>
        <v>-7.9886449574590068E-2</v>
      </c>
      <c r="Y51" s="9"/>
      <c r="Z51" s="7">
        <v>16256.98</v>
      </c>
      <c r="AA51" s="8">
        <f>IFERROR(Z51/Z445, "NA")</f>
        <v>5.6908837258434165E-3</v>
      </c>
      <c r="AB51" s="9"/>
      <c r="AC51" s="10">
        <f t="shared" si="15"/>
        <v>-5483.3599999999988</v>
      </c>
      <c r="AD51" s="8">
        <f>IFERROR(AC51/AC445, "NA")</f>
        <v>-7.1869212126343937E-2</v>
      </c>
    </row>
    <row r="52" spans="1:30" ht="16.5" customHeight="1" x14ac:dyDescent="0.45">
      <c r="A52" s="17" t="s">
        <v>50</v>
      </c>
      <c r="B52" s="7">
        <v>0</v>
      </c>
      <c r="C52" s="8">
        <f>IFERROR(B52/B445, "NA")</f>
        <v>0</v>
      </c>
      <c r="D52" s="9"/>
      <c r="E52" s="7">
        <v>0</v>
      </c>
      <c r="F52" s="8">
        <f>IFERROR(E52/E445, "NA")</f>
        <v>0</v>
      </c>
      <c r="G52" s="9"/>
      <c r="H52" s="10">
        <f t="shared" si="12"/>
        <v>0</v>
      </c>
      <c r="I52" s="8">
        <f>IFERROR(H52/H445, "NA")</f>
        <v>0</v>
      </c>
      <c r="J52" s="9"/>
      <c r="K52" s="7">
        <v>0</v>
      </c>
      <c r="L52" s="8">
        <f>IFERROR(K52/K445, "NA")</f>
        <v>0</v>
      </c>
      <c r="M52" s="9"/>
      <c r="N52" s="10">
        <f t="shared" si="13"/>
        <v>0</v>
      </c>
      <c r="O52" s="8">
        <f>IFERROR(N52/N445, "NA")</f>
        <v>0</v>
      </c>
      <c r="P52" s="9"/>
      <c r="Q52" s="7">
        <v>28300</v>
      </c>
      <c r="R52" s="8">
        <f>IFERROR(Q52/Q445, "NA")</f>
        <v>9.6489325230816707E-3</v>
      </c>
      <c r="S52" s="9"/>
      <c r="T52" s="7">
        <v>0</v>
      </c>
      <c r="U52" s="8">
        <f>IFERROR(T52/T445, "NA")</f>
        <v>0</v>
      </c>
      <c r="V52" s="9"/>
      <c r="W52" s="10">
        <f t="shared" si="14"/>
        <v>28300</v>
      </c>
      <c r="X52" s="8">
        <f>IFERROR(W52/W445, "NA")</f>
        <v>-0.20984465044812226</v>
      </c>
      <c r="Y52" s="9"/>
      <c r="Z52" s="7">
        <v>0</v>
      </c>
      <c r="AA52" s="8">
        <f>IFERROR(Z52/Z445, "NA")</f>
        <v>0</v>
      </c>
      <c r="AB52" s="9"/>
      <c r="AC52" s="10">
        <f t="shared" si="15"/>
        <v>28300</v>
      </c>
      <c r="AD52" s="8">
        <f>IFERROR(AC52/AC445, "NA")</f>
        <v>0.37092197177926201</v>
      </c>
    </row>
    <row r="53" spans="1:30" ht="16.5" customHeight="1" x14ac:dyDescent="0.45">
      <c r="A53" s="17" t="s">
        <v>51</v>
      </c>
      <c r="B53" s="7">
        <v>6870.15</v>
      </c>
      <c r="C53" s="8">
        <f>IFERROR(B53/B445, "NA")</f>
        <v>1.1556848249497854E-2</v>
      </c>
      <c r="D53" s="9"/>
      <c r="E53" s="7">
        <v>0</v>
      </c>
      <c r="F53" s="8">
        <f>IFERROR(E53/E445, "NA")</f>
        <v>0</v>
      </c>
      <c r="G53" s="9"/>
      <c r="H53" s="10">
        <f t="shared" si="12"/>
        <v>6870.15</v>
      </c>
      <c r="I53" s="8">
        <f>IFERROR(H53/H445, "NA")</f>
        <v>-0.12670976056989017</v>
      </c>
      <c r="J53" s="9"/>
      <c r="K53" s="7">
        <v>4000</v>
      </c>
      <c r="L53" s="8">
        <f>IFERROR(K53/K445, "NA")</f>
        <v>6.7328794867593305E-3</v>
      </c>
      <c r="M53" s="9"/>
      <c r="N53" s="10">
        <f t="shared" si="13"/>
        <v>2870.1499999999996</v>
      </c>
      <c r="O53" s="8">
        <f>IFERROR(N53/N445, "NA")</f>
        <v>7.8363730683094373</v>
      </c>
      <c r="P53" s="9"/>
      <c r="Q53" s="7">
        <v>6870.15</v>
      </c>
      <c r="R53" s="8">
        <f>IFERROR(Q53/Q445, "NA")</f>
        <v>2.3423891792738352E-3</v>
      </c>
      <c r="S53" s="9"/>
      <c r="T53" s="7">
        <v>0</v>
      </c>
      <c r="U53" s="8">
        <f>IFERROR(T53/T445, "NA")</f>
        <v>0</v>
      </c>
      <c r="V53" s="9"/>
      <c r="W53" s="10">
        <f t="shared" si="14"/>
        <v>6870.15</v>
      </c>
      <c r="X53" s="8">
        <f>IFERROR(W53/W445, "NA")</f>
        <v>-5.0942198773009435E-2</v>
      </c>
      <c r="Y53" s="9"/>
      <c r="Z53" s="7">
        <v>4000</v>
      </c>
      <c r="AA53" s="8">
        <f>IFERROR(Z53/Z445, "NA")</f>
        <v>1.4002314638619023E-3</v>
      </c>
      <c r="AB53" s="9"/>
      <c r="AC53" s="10">
        <f t="shared" si="15"/>
        <v>2870.1499999999996</v>
      </c>
      <c r="AD53" s="8">
        <f>IFERROR(AC53/AC445, "NA")</f>
        <v>3.7618434533648361E-2</v>
      </c>
    </row>
    <row r="54" spans="1:30" ht="16.5" customHeight="1" x14ac:dyDescent="0.45">
      <c r="A54" s="17" t="s">
        <v>52</v>
      </c>
      <c r="B54" s="7">
        <v>0</v>
      </c>
      <c r="C54" s="8">
        <f>IFERROR(B54/B445, "NA")</f>
        <v>0</v>
      </c>
      <c r="D54" s="9"/>
      <c r="E54" s="7">
        <v>0</v>
      </c>
      <c r="F54" s="8">
        <f>IFERROR(E54/E445, "NA")</f>
        <v>0</v>
      </c>
      <c r="G54" s="9"/>
      <c r="H54" s="10">
        <f t="shared" si="12"/>
        <v>0</v>
      </c>
      <c r="I54" s="8">
        <f>IFERROR(H54/H445, "NA")</f>
        <v>0</v>
      </c>
      <c r="J54" s="9"/>
      <c r="K54" s="7">
        <v>15.3</v>
      </c>
      <c r="L54" s="8">
        <f>IFERROR(K54/K445, "NA")</f>
        <v>2.5753264036854439E-5</v>
      </c>
      <c r="M54" s="9"/>
      <c r="N54" s="10">
        <f t="shared" si="13"/>
        <v>-15.3</v>
      </c>
      <c r="O54" s="8">
        <f>IFERROR(N54/N445, "NA")</f>
        <v>-4.1773603451085974E-2</v>
      </c>
      <c r="P54" s="9"/>
      <c r="Q54" s="7">
        <v>0</v>
      </c>
      <c r="R54" s="8">
        <f>IFERROR(Q54/Q445, "NA")</f>
        <v>0</v>
      </c>
      <c r="S54" s="9"/>
      <c r="T54" s="7">
        <v>0</v>
      </c>
      <c r="U54" s="8">
        <f>IFERROR(T54/T445, "NA")</f>
        <v>0</v>
      </c>
      <c r="V54" s="9"/>
      <c r="W54" s="10">
        <f t="shared" si="14"/>
        <v>0</v>
      </c>
      <c r="X54" s="8">
        <f>IFERROR(W54/W445, "NA")</f>
        <v>0</v>
      </c>
      <c r="Y54" s="9"/>
      <c r="Z54" s="7">
        <v>77.75</v>
      </c>
      <c r="AA54" s="8">
        <f>IFERROR(Z54/Z445, "NA")</f>
        <v>2.7216999078815726E-5</v>
      </c>
      <c r="AB54" s="9"/>
      <c r="AC54" s="10">
        <f t="shared" si="15"/>
        <v>-77.75</v>
      </c>
      <c r="AD54" s="8">
        <f>IFERROR(AC54/AC445, "NA")</f>
        <v>-1.0190524136338382E-3</v>
      </c>
    </row>
    <row r="55" spans="1:30" ht="16.5" customHeight="1" x14ac:dyDescent="0.45">
      <c r="A55" s="17" t="s">
        <v>53</v>
      </c>
      <c r="B55" s="7">
        <v>164.05</v>
      </c>
      <c r="C55" s="8">
        <f>IFERROR(B55/B445, "NA")</f>
        <v>2.7596209039542415E-4</v>
      </c>
      <c r="D55" s="9"/>
      <c r="E55" s="7">
        <v>0</v>
      </c>
      <c r="F55" s="8">
        <f>IFERROR(E55/E445, "NA")</f>
        <v>0</v>
      </c>
      <c r="G55" s="9"/>
      <c r="H55" s="10">
        <f t="shared" si="12"/>
        <v>164.05</v>
      </c>
      <c r="I55" s="8">
        <f>IFERROR(H55/H445, "NA")</f>
        <v>-3.025659733992778E-3</v>
      </c>
      <c r="J55" s="9"/>
      <c r="K55" s="7">
        <v>196.2</v>
      </c>
      <c r="L55" s="8">
        <f>IFERROR(K55/K445, "NA")</f>
        <v>3.3024773882554511E-4</v>
      </c>
      <c r="M55" s="9"/>
      <c r="N55" s="10">
        <f t="shared" si="13"/>
        <v>-32.149999999999977</v>
      </c>
      <c r="O55" s="8">
        <f>IFERROR(N55/N445, "NA")</f>
        <v>-8.7779173264863591E-2</v>
      </c>
      <c r="P55" s="9"/>
      <c r="Q55" s="7">
        <v>6271.76</v>
      </c>
      <c r="R55" s="8">
        <f>IFERROR(Q55/Q445, "NA")</f>
        <v>2.1383671039209434E-3</v>
      </c>
      <c r="S55" s="9"/>
      <c r="T55" s="7">
        <v>0</v>
      </c>
      <c r="U55" s="8">
        <f>IFERROR(T55/T445, "NA")</f>
        <v>0</v>
      </c>
      <c r="V55" s="9"/>
      <c r="W55" s="10">
        <f t="shared" si="14"/>
        <v>6271.76</v>
      </c>
      <c r="X55" s="8">
        <f>IFERROR(W55/W445, "NA")</f>
        <v>-4.6505133741855664E-2</v>
      </c>
      <c r="Y55" s="9"/>
      <c r="Z55" s="7">
        <v>1909.38</v>
      </c>
      <c r="AA55" s="8">
        <f>IFERROR(Z55/Z445, "NA")</f>
        <v>6.6839348811715974E-4</v>
      </c>
      <c r="AB55" s="9"/>
      <c r="AC55" s="10">
        <f t="shared" si="15"/>
        <v>4362.38</v>
      </c>
      <c r="AD55" s="8">
        <f>IFERROR(AC55/AC445, "NA")</f>
        <v>5.7176770008848653E-2</v>
      </c>
    </row>
    <row r="56" spans="1:30" ht="16.5" customHeight="1" x14ac:dyDescent="0.45">
      <c r="A56" s="17" t="s">
        <v>54</v>
      </c>
      <c r="B56" s="7">
        <v>0</v>
      </c>
      <c r="C56" s="8">
        <f>IFERROR(B56/B445, "NA")</f>
        <v>0</v>
      </c>
      <c r="D56" s="9"/>
      <c r="E56" s="7">
        <v>0</v>
      </c>
      <c r="F56" s="8">
        <f>IFERROR(E56/E445, "NA")</f>
        <v>0</v>
      </c>
      <c r="G56" s="9"/>
      <c r="H56" s="10">
        <f t="shared" si="12"/>
        <v>0</v>
      </c>
      <c r="I56" s="8">
        <f>IFERROR(H56/H445, "NA")</f>
        <v>0</v>
      </c>
      <c r="J56" s="9"/>
      <c r="K56" s="7">
        <v>16</v>
      </c>
      <c r="L56" s="8">
        <f>IFERROR(K56/K445, "NA")</f>
        <v>2.6931517947037321E-5</v>
      </c>
      <c r="M56" s="9"/>
      <c r="N56" s="10">
        <f t="shared" si="13"/>
        <v>-16</v>
      </c>
      <c r="O56" s="8">
        <f>IFERROR(N56/N445, "NA")</f>
        <v>-4.3684814066495131E-2</v>
      </c>
      <c r="P56" s="9"/>
      <c r="Q56" s="7">
        <v>0</v>
      </c>
      <c r="R56" s="8">
        <f>IFERROR(Q56/Q445, "NA")</f>
        <v>0</v>
      </c>
      <c r="S56" s="9"/>
      <c r="T56" s="7">
        <v>0</v>
      </c>
      <c r="U56" s="8">
        <f>IFERROR(T56/T445, "NA")</f>
        <v>0</v>
      </c>
      <c r="V56" s="9"/>
      <c r="W56" s="10">
        <f t="shared" si="14"/>
        <v>0</v>
      </c>
      <c r="X56" s="8">
        <f>IFERROR(W56/W445, "NA")</f>
        <v>0</v>
      </c>
      <c r="Y56" s="9"/>
      <c r="Z56" s="7">
        <v>155.60000000000002</v>
      </c>
      <c r="AA56" s="8">
        <f>IFERROR(Z56/Z445, "NA")</f>
        <v>5.4469003944228004E-5</v>
      </c>
      <c r="AB56" s="9"/>
      <c r="AC56" s="10">
        <f t="shared" si="15"/>
        <v>-155.60000000000002</v>
      </c>
      <c r="AD56" s="8">
        <f>IFERROR(AC56/AC445, "NA")</f>
        <v>-2.0394155056131865E-3</v>
      </c>
    </row>
    <row r="57" spans="1:30" ht="16.5" customHeight="1" x14ac:dyDescent="0.45">
      <c r="A57" s="17" t="s">
        <v>55</v>
      </c>
      <c r="B57" s="7">
        <v>0</v>
      </c>
      <c r="C57" s="8">
        <f>IFERROR(B57/B445, "NA")</f>
        <v>0</v>
      </c>
      <c r="D57" s="9"/>
      <c r="E57" s="7">
        <v>0</v>
      </c>
      <c r="F57" s="8">
        <f>IFERROR(E57/E445, "NA")</f>
        <v>0</v>
      </c>
      <c r="G57" s="9"/>
      <c r="H57" s="10">
        <f t="shared" si="12"/>
        <v>0</v>
      </c>
      <c r="I57" s="8">
        <f>IFERROR(H57/H445, "NA")</f>
        <v>0</v>
      </c>
      <c r="J57" s="9"/>
      <c r="K57" s="7">
        <v>0</v>
      </c>
      <c r="L57" s="8">
        <f>IFERROR(K57/K445, "NA")</f>
        <v>0</v>
      </c>
      <c r="M57" s="9"/>
      <c r="N57" s="10">
        <f t="shared" si="13"/>
        <v>0</v>
      </c>
      <c r="O57" s="8">
        <f>IFERROR(N57/N445, "NA")</f>
        <v>0</v>
      </c>
      <c r="P57" s="9"/>
      <c r="Q57" s="7">
        <v>3735.79</v>
      </c>
      <c r="R57" s="8">
        <f>IFERROR(Q57/Q445, "NA")</f>
        <v>1.2737238738658402E-3</v>
      </c>
      <c r="S57" s="9"/>
      <c r="T57" s="7">
        <v>0</v>
      </c>
      <c r="U57" s="8">
        <f>IFERROR(T57/T445, "NA")</f>
        <v>0</v>
      </c>
      <c r="V57" s="9"/>
      <c r="W57" s="10">
        <f t="shared" si="14"/>
        <v>3735.79</v>
      </c>
      <c r="X57" s="8">
        <f>IFERROR(W57/W445, "NA")</f>
        <v>-2.7700902710162213E-2</v>
      </c>
      <c r="Y57" s="9"/>
      <c r="Z57" s="7">
        <v>3139.49</v>
      </c>
      <c r="AA57" s="8">
        <f>IFERROR(Z57/Z445, "NA")</f>
        <v>1.0990031696199508E-3</v>
      </c>
      <c r="AB57" s="9"/>
      <c r="AC57" s="10">
        <f t="shared" si="15"/>
        <v>596.30000000000018</v>
      </c>
      <c r="AD57" s="8">
        <f>IFERROR(AC57/AC445, "NA")</f>
        <v>7.8155749742746996E-3</v>
      </c>
    </row>
    <row r="58" spans="1:30" ht="16.5" customHeight="1" x14ac:dyDescent="0.45">
      <c r="A58" s="17" t="s">
        <v>56</v>
      </c>
      <c r="B58" s="7">
        <v>0</v>
      </c>
      <c r="C58" s="8">
        <f>IFERROR(B58/B445, "NA")</f>
        <v>0</v>
      </c>
      <c r="D58" s="9"/>
      <c r="E58" s="7">
        <v>0</v>
      </c>
      <c r="F58" s="8">
        <f>IFERROR(E58/E445, "NA")</f>
        <v>0</v>
      </c>
      <c r="G58" s="9"/>
      <c r="H58" s="10">
        <f t="shared" si="12"/>
        <v>0</v>
      </c>
      <c r="I58" s="8">
        <f>IFERROR(H58/H445, "NA")</f>
        <v>0</v>
      </c>
      <c r="J58" s="9"/>
      <c r="K58" s="7">
        <v>155</v>
      </c>
      <c r="L58" s="8">
        <f>IFERROR(K58/K445, "NA")</f>
        <v>2.6089908011192402E-4</v>
      </c>
      <c r="M58" s="9"/>
      <c r="N58" s="10">
        <f t="shared" si="13"/>
        <v>-155</v>
      </c>
      <c r="O58" s="8">
        <f>IFERROR(N58/N445, "NA")</f>
        <v>-0.42319663626917159</v>
      </c>
      <c r="P58" s="9"/>
      <c r="Q58" s="7">
        <v>0</v>
      </c>
      <c r="R58" s="8">
        <f>IFERROR(Q58/Q445, "NA")</f>
        <v>0</v>
      </c>
      <c r="S58" s="9"/>
      <c r="T58" s="7">
        <v>0</v>
      </c>
      <c r="U58" s="8">
        <f>IFERROR(T58/T445, "NA")</f>
        <v>0</v>
      </c>
      <c r="V58" s="9"/>
      <c r="W58" s="10">
        <f t="shared" si="14"/>
        <v>0</v>
      </c>
      <c r="X58" s="8">
        <f>IFERROR(W58/W445, "NA")</f>
        <v>0</v>
      </c>
      <c r="Y58" s="9"/>
      <c r="Z58" s="7">
        <v>290</v>
      </c>
      <c r="AA58" s="8">
        <f>IFERROR(Z58/Z445, "NA")</f>
        <v>1.015167811299879E-4</v>
      </c>
      <c r="AB58" s="9"/>
      <c r="AC58" s="10">
        <f t="shared" si="15"/>
        <v>-290</v>
      </c>
      <c r="AD58" s="8">
        <f>IFERROR(AC58/AC445, "NA")</f>
        <v>-3.8009672019783032E-3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IFERROR(B59/B445, "NA")</f>
        <v>0</v>
      </c>
      <c r="D59" s="9"/>
      <c r="E59" s="7">
        <v>0</v>
      </c>
      <c r="F59" s="8">
        <f>IFERROR(E59/E445, "NA")</f>
        <v>0</v>
      </c>
      <c r="G59" s="9"/>
      <c r="H59" s="10">
        <f t="shared" si="12"/>
        <v>0</v>
      </c>
      <c r="I59" s="8">
        <f>IFERROR(H59/H445, "NA")</f>
        <v>0</v>
      </c>
      <c r="J59" s="9"/>
      <c r="K59" s="7">
        <v>0</v>
      </c>
      <c r="L59" s="8">
        <f>IFERROR(K59/K445, "NA")</f>
        <v>0</v>
      </c>
      <c r="M59" s="9"/>
      <c r="N59" s="10">
        <f t="shared" si="13"/>
        <v>0</v>
      </c>
      <c r="O59" s="8">
        <f>IFERROR(N59/N445, "NA")</f>
        <v>0</v>
      </c>
      <c r="P59" s="9"/>
      <c r="Q59" s="7">
        <v>0</v>
      </c>
      <c r="R59" s="8">
        <f>IFERROR(Q59/Q445, "NA")</f>
        <v>0</v>
      </c>
      <c r="S59" s="9"/>
      <c r="T59" s="7">
        <v>0</v>
      </c>
      <c r="U59" s="8">
        <f>IFERROR(T59/T445, "NA")</f>
        <v>0</v>
      </c>
      <c r="V59" s="9"/>
      <c r="W59" s="10">
        <f t="shared" si="14"/>
        <v>0</v>
      </c>
      <c r="X59" s="8">
        <f>IFERROR(W59/W445, "NA")</f>
        <v>0</v>
      </c>
      <c r="Y59" s="9"/>
      <c r="Z59" s="7">
        <v>0</v>
      </c>
      <c r="AA59" s="8">
        <f>IFERROR(Z59/Z445, "NA")</f>
        <v>0</v>
      </c>
      <c r="AB59" s="9"/>
      <c r="AC59" s="10">
        <f t="shared" si="15"/>
        <v>0</v>
      </c>
      <c r="AD59" s="8">
        <f>IFERROR(AC59/AC445, "NA")</f>
        <v>0</v>
      </c>
    </row>
    <row r="60" spans="1:30" ht="16.5" customHeight="1" x14ac:dyDescent="0.45">
      <c r="A60" s="17" t="s">
        <v>58</v>
      </c>
      <c r="B60" s="7">
        <v>0</v>
      </c>
      <c r="C60" s="8">
        <f>IFERROR(B60/B445, "NA")</f>
        <v>0</v>
      </c>
      <c r="D60" s="9"/>
      <c r="E60" s="7">
        <v>0</v>
      </c>
      <c r="F60" s="8">
        <f>IFERROR(E60/E445, "NA")</f>
        <v>0</v>
      </c>
      <c r="G60" s="9"/>
      <c r="H60" s="10">
        <f t="shared" si="12"/>
        <v>0</v>
      </c>
      <c r="I60" s="8">
        <f>IFERROR(H60/H445, "NA")</f>
        <v>0</v>
      </c>
      <c r="J60" s="9"/>
      <c r="K60" s="7">
        <v>0</v>
      </c>
      <c r="L60" s="8">
        <f>IFERROR(K60/K445, "NA")</f>
        <v>0</v>
      </c>
      <c r="M60" s="9"/>
      <c r="N60" s="10">
        <f t="shared" si="13"/>
        <v>0</v>
      </c>
      <c r="O60" s="8">
        <f>IFERROR(N60/N445, "NA")</f>
        <v>0</v>
      </c>
      <c r="P60" s="9"/>
      <c r="Q60" s="7">
        <v>1329.49</v>
      </c>
      <c r="R60" s="8">
        <f>IFERROR(Q60/Q445, "NA")</f>
        <v>4.5329184806048944E-4</v>
      </c>
      <c r="S60" s="9"/>
      <c r="T60" s="7">
        <v>0</v>
      </c>
      <c r="U60" s="8">
        <f>IFERROR(T60/T445, "NA")</f>
        <v>0</v>
      </c>
      <c r="V60" s="9"/>
      <c r="W60" s="10">
        <f t="shared" si="14"/>
        <v>1329.49</v>
      </c>
      <c r="X60" s="8">
        <f>IFERROR(W60/W445, "NA")</f>
        <v>-9.8581754178188718E-3</v>
      </c>
      <c r="Y60" s="9"/>
      <c r="Z60" s="7">
        <v>0</v>
      </c>
      <c r="AA60" s="8">
        <f>IFERROR(Z60/Z445, "NA")</f>
        <v>0</v>
      </c>
      <c r="AB60" s="9"/>
      <c r="AC60" s="10">
        <f t="shared" si="15"/>
        <v>1329.49</v>
      </c>
      <c r="AD60" s="8">
        <f>IFERROR(AC60/AC445, "NA")</f>
        <v>1.7425337535717705E-2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89609.61</v>
      </c>
      <c r="C61" s="15">
        <f>IFERROR(B61/B445, "NA")</f>
        <v>0.15073974577944957</v>
      </c>
      <c r="D61" s="2"/>
      <c r="E61" s="14">
        <f>IFERROR(E46+E47+E48+E49+E50+E51+E52+E53+E54+E55+E56+E57+E58+E59+E60, "NA")</f>
        <v>0</v>
      </c>
      <c r="F61" s="15">
        <f>IFERROR(E61/E445, "NA")</f>
        <v>0</v>
      </c>
      <c r="G61" s="2"/>
      <c r="H61" s="14">
        <f t="shared" si="12"/>
        <v>89609.61</v>
      </c>
      <c r="I61" s="15">
        <f>IFERROR(H61/H445, "NA")</f>
        <v>-1.6527167860761753</v>
      </c>
      <c r="J61" s="2"/>
      <c r="K61" s="14">
        <f>IFERROR(K46+K47+K48+K49+K50+K51+K52+K53+K54+K55+K56+K57+K58+K59+K60, "NA")</f>
        <v>123747.77</v>
      </c>
      <c r="L61" s="15">
        <f>IFERROR(K61/K445, "NA")</f>
        <v>0.20829470554130292</v>
      </c>
      <c r="M61" s="2"/>
      <c r="N61" s="14">
        <f t="shared" si="13"/>
        <v>-34138.160000000003</v>
      </c>
      <c r="O61" s="15">
        <f>IFERROR(N61/N445, "NA")</f>
        <v>-93.207448260766355</v>
      </c>
      <c r="P61" s="2"/>
      <c r="Q61" s="14">
        <f>IFERROR(Q46+Q47+Q48+Q49+Q50+Q51+Q52+Q53+Q54+Q55+Q56+Q57+Q58+Q59+Q60, "NA")</f>
        <v>489816.48</v>
      </c>
      <c r="R61" s="15">
        <f>IFERROR(Q61/Q445, "NA")</f>
        <v>0.16700375138563189</v>
      </c>
      <c r="S61" s="2"/>
      <c r="T61" s="14">
        <f>IFERROR(T46+T47+T48+T49+T50+T51+T52+T53+T54+T55+T56+T57+T58+T59+T60, "NA")</f>
        <v>0</v>
      </c>
      <c r="U61" s="15">
        <f>IFERROR(T61/T445, "NA")</f>
        <v>0</v>
      </c>
      <c r="V61" s="2"/>
      <c r="W61" s="14">
        <f t="shared" si="14"/>
        <v>489816.48</v>
      </c>
      <c r="X61" s="15">
        <f>IFERROR(W61/W445, "NA")</f>
        <v>-3.631991803156525</v>
      </c>
      <c r="Y61" s="2"/>
      <c r="Z61" s="14">
        <f>IFERROR(Z46+Z47+Z48+Z49+Z50+Z51+Z52+Z53+Z54+Z55+Z56+Z57+Z58+Z59+Z60, "NA")</f>
        <v>492940.99999999994</v>
      </c>
      <c r="AA61" s="15">
        <f>IFERROR(Z61/Z445, "NA")</f>
        <v>0.17255787450688748</v>
      </c>
      <c r="AB61" s="2"/>
      <c r="AC61" s="14">
        <f t="shared" si="15"/>
        <v>-3124.5199999999604</v>
      </c>
      <c r="AD61" s="15">
        <f>IFERROR(AC61/AC445, "NA")</f>
        <v>-4.0952407041121026E-2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117265.59</v>
      </c>
      <c r="C62" s="15">
        <f>IFERROR(B62/B445, "NA")</f>
        <v>0.19726215999910235</v>
      </c>
      <c r="D62" s="2"/>
      <c r="E62" s="14">
        <f>IFERROR(E42+E43+E44+E46+E47+E48+E49+E50+E51+E52+E53+E54+E55+E56+E57+E58+E59+E60, "NA")</f>
        <v>153299.34999999998</v>
      </c>
      <c r="F62" s="15">
        <f>IFERROR(E62/E445, "NA")</f>
        <v>0.2363231483174221</v>
      </c>
      <c r="G62" s="2"/>
      <c r="H62" s="14">
        <f t="shared" si="12"/>
        <v>-36033.75999999998</v>
      </c>
      <c r="I62" s="15">
        <f>IFERROR(H62/H445, "NA")</f>
        <v>0.66458943429661399</v>
      </c>
      <c r="J62" s="2"/>
      <c r="K62" s="14">
        <f>IFERROR(K42+K43+K44+K46+K47+K48+K49+K50+K51+K52+K53+K54+K55+K56+K57+K58+K59+K60, "NA")</f>
        <v>156062.29999999996</v>
      </c>
      <c r="L62" s="15">
        <f>IFERROR(K62/K445, "NA")</f>
        <v>0.26268716458162006</v>
      </c>
      <c r="M62" s="2"/>
      <c r="N62" s="14">
        <f t="shared" si="13"/>
        <v>-38796.709999999963</v>
      </c>
      <c r="O62" s="15">
        <f>IFERROR(N62/N445, "NA")</f>
        <v>-105.92669142135817</v>
      </c>
      <c r="P62" s="2"/>
      <c r="Q62" s="14">
        <f>IFERROR(Q42+Q43+Q44+Q46+Q47+Q48+Q49+Q50+Q51+Q52+Q53+Q54+Q55+Q56+Q57+Q58+Q59+Q60, "NA")</f>
        <v>607038.7300000001</v>
      </c>
      <c r="R62" s="15">
        <f>IFERROR(Q62/Q445, "NA")</f>
        <v>0.20697087436986553</v>
      </c>
      <c r="S62" s="2"/>
      <c r="T62" s="14">
        <f>IFERROR(T42+T43+T44+T46+T47+T48+T49+T50+T51+T52+T53+T54+T55+T56+T57+T58+T59+T60, "NA")</f>
        <v>732621.72</v>
      </c>
      <c r="U62" s="15">
        <f>IFERROR(T62/T445, "NA")</f>
        <v>0.23880790471801458</v>
      </c>
      <c r="V62" s="2"/>
      <c r="W62" s="14">
        <f t="shared" si="14"/>
        <v>-125582.98999999987</v>
      </c>
      <c r="X62" s="15">
        <f>IFERROR(W62/W445, "NA")</f>
        <v>0.93119853847279177</v>
      </c>
      <c r="Y62" s="2"/>
      <c r="Z62" s="14">
        <f>IFERROR(Z42+Z43+Z44+Z46+Z47+Z48+Z49+Z50+Z51+Z52+Z53+Z54+Z55+Z56+Z57+Z58+Z59+Z60, "NA")</f>
        <v>642531.57999999984</v>
      </c>
      <c r="AA62" s="15">
        <f>IFERROR(Z62/Z445, "NA")</f>
        <v>0.22492323371022518</v>
      </c>
      <c r="AB62" s="2"/>
      <c r="AC62" s="14">
        <f t="shared" si="15"/>
        <v>-35492.849999999744</v>
      </c>
      <c r="AD62" s="15">
        <f>IFERROR(AC62/AC445, "NA")</f>
        <v>-0.46519709915425739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IFERROR(B64/B445, "NA")</f>
        <v>0</v>
      </c>
      <c r="D64" s="9"/>
      <c r="E64" s="7">
        <v>49827.03</v>
      </c>
      <c r="F64" s="8">
        <f>IFERROR(E64/E445, "NA")</f>
        <v>7.6812332217368454E-2</v>
      </c>
      <c r="G64" s="9"/>
      <c r="H64" s="10">
        <f t="shared" ref="H64:H73" si="16">IFERROR(B64-E64, "NA")</f>
        <v>-49827.03</v>
      </c>
      <c r="I64" s="8">
        <f>IFERROR(H64/H445, "NA")</f>
        <v>0.91898590878055564</v>
      </c>
      <c r="J64" s="9"/>
      <c r="K64" s="7">
        <v>0</v>
      </c>
      <c r="L64" s="8">
        <f>IFERROR(K64/K445, "NA")</f>
        <v>0</v>
      </c>
      <c r="M64" s="9"/>
      <c r="N64" s="10">
        <f t="shared" ref="N64:N73" si="17">IFERROR(B64-K64, "NA")</f>
        <v>0</v>
      </c>
      <c r="O64" s="8">
        <f>IFERROR(N64/N445, "NA")</f>
        <v>0</v>
      </c>
      <c r="P64" s="9"/>
      <c r="Q64" s="7">
        <v>0</v>
      </c>
      <c r="R64" s="8">
        <f>IFERROR(Q64/Q445, "NA")</f>
        <v>0</v>
      </c>
      <c r="S64" s="9"/>
      <c r="T64" s="7">
        <v>239189</v>
      </c>
      <c r="U64" s="8">
        <f>IFERROR(T64/T445, "NA")</f>
        <v>7.7966872073622379E-2</v>
      </c>
      <c r="V64" s="9"/>
      <c r="W64" s="10">
        <f t="shared" ref="W64:W73" si="18">IFERROR(Q64-T64, "NA")</f>
        <v>-239189</v>
      </c>
      <c r="X64" s="8">
        <f>IFERROR(W64/W445, "NA")</f>
        <v>1.7735877065737071</v>
      </c>
      <c r="Y64" s="9"/>
      <c r="Z64" s="7">
        <v>0</v>
      </c>
      <c r="AA64" s="8">
        <f>IFERROR(Z64/Z445, "NA")</f>
        <v>0</v>
      </c>
      <c r="AB64" s="9"/>
      <c r="AC64" s="10">
        <f t="shared" ref="AC64:AC73" si="19">IFERROR(Q64-Z64, "NA")</f>
        <v>0</v>
      </c>
      <c r="AD64" s="8">
        <f>IFERROR(AC64/AC445, "NA")</f>
        <v>0</v>
      </c>
    </row>
    <row r="65" spans="1:30" ht="16.5" customHeight="1" x14ac:dyDescent="0.45">
      <c r="A65" s="12" t="s">
        <v>62</v>
      </c>
      <c r="B65" s="7">
        <v>20140.32</v>
      </c>
      <c r="C65" s="8">
        <f>IFERROR(B65/B445, "NA")</f>
        <v>3.3879700142839184E-2</v>
      </c>
      <c r="D65" s="9"/>
      <c r="E65" s="7">
        <v>0</v>
      </c>
      <c r="F65" s="8">
        <f>IFERROR(E65/E445, "NA")</f>
        <v>0</v>
      </c>
      <c r="G65" s="9"/>
      <c r="H65" s="10">
        <f t="shared" si="16"/>
        <v>20140.32</v>
      </c>
      <c r="I65" s="8">
        <f>IFERROR(H65/H445, "NA")</f>
        <v>-0.37145842885540636</v>
      </c>
      <c r="J65" s="9"/>
      <c r="K65" s="7">
        <v>13756.070000000002</v>
      </c>
      <c r="L65" s="8">
        <f>IFERROR(K65/K445, "NA")</f>
        <v>2.3154490380356357E-2</v>
      </c>
      <c r="M65" s="9"/>
      <c r="N65" s="10">
        <f t="shared" si="17"/>
        <v>6384.2499999999982</v>
      </c>
      <c r="O65" s="8">
        <f>IFERROR(N65/N445, "NA")</f>
        <v>17.430923387751342</v>
      </c>
      <c r="P65" s="9"/>
      <c r="Q65" s="7">
        <v>102901.48</v>
      </c>
      <c r="R65" s="8">
        <f>IFERROR(Q65/Q445, "NA")</f>
        <v>3.5084432404425374E-2</v>
      </c>
      <c r="S65" s="9"/>
      <c r="T65" s="7">
        <v>0</v>
      </c>
      <c r="U65" s="8">
        <f>IFERROR(T65/T445, "NA")</f>
        <v>0</v>
      </c>
      <c r="V65" s="9"/>
      <c r="W65" s="10">
        <f t="shared" si="18"/>
        <v>102901.48</v>
      </c>
      <c r="X65" s="8">
        <f>IFERROR(W65/W445, "NA")</f>
        <v>-0.76301502124361986</v>
      </c>
      <c r="Y65" s="9"/>
      <c r="Z65" s="7">
        <v>30554.98</v>
      </c>
      <c r="AA65" s="8">
        <f>IFERROR(Z65/Z445, "NA")</f>
        <v>1.0696011093417786E-2</v>
      </c>
      <c r="AB65" s="9"/>
      <c r="AC65" s="10">
        <f t="shared" si="19"/>
        <v>72346.5</v>
      </c>
      <c r="AD65" s="8">
        <f>IFERROR(AC65/AC445, "NA")</f>
        <v>0.94822990923421835</v>
      </c>
    </row>
    <row r="66" spans="1:30" ht="16.5" customHeight="1" x14ac:dyDescent="0.45">
      <c r="A66" s="12" t="s">
        <v>63</v>
      </c>
      <c r="B66" s="7">
        <v>9359.4</v>
      </c>
      <c r="C66" s="8">
        <f>IFERROR(B66/B445, "NA")</f>
        <v>1.5744221815586299E-2</v>
      </c>
      <c r="D66" s="9"/>
      <c r="E66" s="7">
        <v>0</v>
      </c>
      <c r="F66" s="8">
        <f>IFERROR(E66/E445, "NA")</f>
        <v>0</v>
      </c>
      <c r="G66" s="9"/>
      <c r="H66" s="10">
        <f t="shared" si="16"/>
        <v>9359.4</v>
      </c>
      <c r="I66" s="8">
        <f>IFERROR(H66/H445, "NA")</f>
        <v>-0.17262029694807682</v>
      </c>
      <c r="J66" s="9"/>
      <c r="K66" s="7">
        <v>21855.66</v>
      </c>
      <c r="L66" s="8">
        <f>IFERROR(K66/K445, "NA")</f>
        <v>3.6787881220896608E-2</v>
      </c>
      <c r="M66" s="9"/>
      <c r="N66" s="10">
        <f t="shared" si="17"/>
        <v>-12496.26</v>
      </c>
      <c r="O66" s="8">
        <f>IFERROR(N66/N445, "NA")</f>
        <v>-34.118549664161279</v>
      </c>
      <c r="P66" s="9"/>
      <c r="Q66" s="7">
        <v>74203.820000000007</v>
      </c>
      <c r="R66" s="8">
        <f>IFERROR(Q66/Q445, "NA")</f>
        <v>2.5299917036568843E-2</v>
      </c>
      <c r="S66" s="9"/>
      <c r="T66" s="7">
        <v>0</v>
      </c>
      <c r="U66" s="8">
        <f>IFERROR(T66/T445, "NA")</f>
        <v>0</v>
      </c>
      <c r="V66" s="9"/>
      <c r="W66" s="10">
        <f t="shared" si="18"/>
        <v>74203.820000000007</v>
      </c>
      <c r="X66" s="8">
        <f>IFERROR(W66/W445, "NA")</f>
        <v>-0.55022171978146239</v>
      </c>
      <c r="Y66" s="9"/>
      <c r="Z66" s="7">
        <v>92657.600000000006</v>
      </c>
      <c r="AA66" s="8">
        <f>IFERROR(Z66/Z445, "NA")</f>
        <v>3.2435521721482646E-2</v>
      </c>
      <c r="AB66" s="9"/>
      <c r="AC66" s="10">
        <f t="shared" si="19"/>
        <v>-18453.78</v>
      </c>
      <c r="AD66" s="8">
        <f>IFERROR(AC66/AC445, "NA")</f>
        <v>-0.24186969838801092</v>
      </c>
    </row>
    <row r="67" spans="1:30" ht="16.5" customHeight="1" x14ac:dyDescent="0.45">
      <c r="A67" s="12" t="s">
        <v>64</v>
      </c>
      <c r="B67" s="7">
        <v>0</v>
      </c>
      <c r="C67" s="8">
        <f>IFERROR(B67/B445, "NA")</f>
        <v>0</v>
      </c>
      <c r="D67" s="9"/>
      <c r="E67" s="7">
        <v>0</v>
      </c>
      <c r="F67" s="8">
        <f>IFERROR(E67/E445, "NA")</f>
        <v>0</v>
      </c>
      <c r="G67" s="9"/>
      <c r="H67" s="10">
        <f t="shared" si="16"/>
        <v>0</v>
      </c>
      <c r="I67" s="8">
        <f>IFERROR(H67/H445, "NA")</f>
        <v>0</v>
      </c>
      <c r="J67" s="9"/>
      <c r="K67" s="7">
        <v>0</v>
      </c>
      <c r="L67" s="8">
        <f>IFERROR(K67/K445, "NA")</f>
        <v>0</v>
      </c>
      <c r="M67" s="9"/>
      <c r="N67" s="10">
        <f t="shared" si="17"/>
        <v>0</v>
      </c>
      <c r="O67" s="8">
        <f>IFERROR(N67/N445, "NA")</f>
        <v>0</v>
      </c>
      <c r="P67" s="9"/>
      <c r="Q67" s="7">
        <v>0</v>
      </c>
      <c r="R67" s="8">
        <f>IFERROR(Q67/Q445, "NA")</f>
        <v>0</v>
      </c>
      <c r="S67" s="9"/>
      <c r="T67" s="7">
        <v>0</v>
      </c>
      <c r="U67" s="8">
        <f>IFERROR(T67/T445, "NA")</f>
        <v>0</v>
      </c>
      <c r="V67" s="9"/>
      <c r="W67" s="10">
        <f t="shared" si="18"/>
        <v>0</v>
      </c>
      <c r="X67" s="8">
        <f>IFERROR(W67/W445, "NA")</f>
        <v>0</v>
      </c>
      <c r="Y67" s="9"/>
      <c r="Z67" s="7">
        <v>9882.75</v>
      </c>
      <c r="AA67" s="8">
        <f>IFERROR(Z67/Z445, "NA")</f>
        <v>3.4595343748703034E-3</v>
      </c>
      <c r="AB67" s="9"/>
      <c r="AC67" s="10">
        <f t="shared" si="19"/>
        <v>-9882.75</v>
      </c>
      <c r="AD67" s="8">
        <f>IFERROR(AC67/AC445, "NA")</f>
        <v>-0.12953106419086577</v>
      </c>
    </row>
    <row r="68" spans="1:30" ht="16.5" customHeight="1" x14ac:dyDescent="0.45">
      <c r="A68" s="12" t="s">
        <v>65</v>
      </c>
      <c r="B68" s="7">
        <v>12724.02</v>
      </c>
      <c r="C68" s="8">
        <f>IFERROR(B68/B445, "NA")</f>
        <v>2.140412775027848E-2</v>
      </c>
      <c r="D68" s="9"/>
      <c r="E68" s="7">
        <v>0</v>
      </c>
      <c r="F68" s="8">
        <f>IFERROR(E68/E445, "NA")</f>
        <v>0</v>
      </c>
      <c r="G68" s="9"/>
      <c r="H68" s="10">
        <f t="shared" si="16"/>
        <v>12724.02</v>
      </c>
      <c r="I68" s="8">
        <f>IFERROR(H68/H445, "NA")</f>
        <v>-0.23467573891203161</v>
      </c>
      <c r="J68" s="9"/>
      <c r="K68" s="7">
        <v>3016.0499999999997</v>
      </c>
      <c r="L68" s="8">
        <f>IFERROR(K68/K445, "NA")</f>
        <v>5.0766752940101193E-3</v>
      </c>
      <c r="M68" s="9"/>
      <c r="N68" s="10">
        <f t="shared" si="17"/>
        <v>9707.9700000000012</v>
      </c>
      <c r="O68" s="8">
        <f>IFERROR(N68/N445, "NA")</f>
        <v>26.50567902581955</v>
      </c>
      <c r="P68" s="9"/>
      <c r="Q68" s="7">
        <v>31152.43</v>
      </c>
      <c r="R68" s="8">
        <f>IFERROR(Q68/Q445, "NA")</f>
        <v>1.0621473321555658E-2</v>
      </c>
      <c r="S68" s="9"/>
      <c r="T68" s="7">
        <v>0</v>
      </c>
      <c r="U68" s="8">
        <f>IFERROR(T68/T445, "NA")</f>
        <v>0</v>
      </c>
      <c r="V68" s="9"/>
      <c r="W68" s="10">
        <f t="shared" si="18"/>
        <v>31152.43</v>
      </c>
      <c r="X68" s="8">
        <f>IFERROR(W68/W445, "NA")</f>
        <v>-0.23099543406217657</v>
      </c>
      <c r="Y68" s="9"/>
      <c r="Z68" s="7">
        <v>3016.0499999999997</v>
      </c>
      <c r="AA68" s="8">
        <f>IFERROR(Z68/Z445, "NA")</f>
        <v>1.0557920266451725E-3</v>
      </c>
      <c r="AB68" s="9"/>
      <c r="AC68" s="10">
        <f t="shared" si="19"/>
        <v>28136.38</v>
      </c>
      <c r="AD68" s="8">
        <f>IFERROR(AC68/AC445, "NA")</f>
        <v>0.36877743987033895</v>
      </c>
    </row>
    <row r="69" spans="1:30" ht="16.5" customHeight="1" x14ac:dyDescent="0.45">
      <c r="A69" s="12" t="s">
        <v>66</v>
      </c>
      <c r="B69" s="7">
        <v>0</v>
      </c>
      <c r="C69" s="8">
        <f>IFERROR(B69/B445, "NA")</f>
        <v>0</v>
      </c>
      <c r="D69" s="9"/>
      <c r="E69" s="7">
        <v>0</v>
      </c>
      <c r="F69" s="8">
        <f>IFERROR(E69/E445, "NA")</f>
        <v>0</v>
      </c>
      <c r="G69" s="9"/>
      <c r="H69" s="10">
        <f t="shared" si="16"/>
        <v>0</v>
      </c>
      <c r="I69" s="8">
        <f>IFERROR(H69/H445, "NA")</f>
        <v>0</v>
      </c>
      <c r="J69" s="9"/>
      <c r="K69" s="7">
        <v>0</v>
      </c>
      <c r="L69" s="8">
        <f>IFERROR(K69/K445, "NA")</f>
        <v>0</v>
      </c>
      <c r="M69" s="9"/>
      <c r="N69" s="10">
        <f t="shared" si="17"/>
        <v>0</v>
      </c>
      <c r="O69" s="8">
        <f>IFERROR(N69/N445, "NA")</f>
        <v>0</v>
      </c>
      <c r="P69" s="9"/>
      <c r="Q69" s="7">
        <v>20847.150000000001</v>
      </c>
      <c r="R69" s="8">
        <f>IFERROR(Q69/Q445, "NA")</f>
        <v>7.107870800302547E-3</v>
      </c>
      <c r="S69" s="9"/>
      <c r="T69" s="7">
        <v>0</v>
      </c>
      <c r="U69" s="8">
        <f>IFERROR(T69/T445, "NA")</f>
        <v>0</v>
      </c>
      <c r="V69" s="9"/>
      <c r="W69" s="10">
        <f t="shared" si="18"/>
        <v>20847.150000000001</v>
      </c>
      <c r="X69" s="8">
        <f>IFERROR(W69/W445, "NA")</f>
        <v>-0.15458172807737003</v>
      </c>
      <c r="Y69" s="9"/>
      <c r="Z69" s="7">
        <v>0</v>
      </c>
      <c r="AA69" s="8">
        <f>IFERROR(Z69/Z445, "NA")</f>
        <v>0</v>
      </c>
      <c r="AB69" s="9"/>
      <c r="AC69" s="10">
        <f t="shared" si="19"/>
        <v>20847.150000000001</v>
      </c>
      <c r="AD69" s="8">
        <f>IFERROR(AC69/AC445, "NA")</f>
        <v>0.27323908070593789</v>
      </c>
    </row>
    <row r="70" spans="1:30" ht="16.5" customHeight="1" x14ac:dyDescent="0.45">
      <c r="A70" s="12" t="s">
        <v>67</v>
      </c>
      <c r="B70" s="7">
        <v>4320</v>
      </c>
      <c r="C70" s="8">
        <f>IFERROR(B70/B445, "NA")</f>
        <v>7.2670297501263772E-3</v>
      </c>
      <c r="D70" s="9"/>
      <c r="E70" s="7">
        <v>0</v>
      </c>
      <c r="F70" s="8">
        <f>IFERROR(E70/E445, "NA")</f>
        <v>0</v>
      </c>
      <c r="G70" s="9"/>
      <c r="H70" s="10">
        <f t="shared" si="16"/>
        <v>4320</v>
      </c>
      <c r="I70" s="8">
        <f>IFERROR(H70/H445, "NA")</f>
        <v>-7.9676013720504715E-2</v>
      </c>
      <c r="J70" s="9"/>
      <c r="K70" s="7">
        <v>0</v>
      </c>
      <c r="L70" s="8">
        <f>IFERROR(K70/K445, "NA")</f>
        <v>0</v>
      </c>
      <c r="M70" s="9"/>
      <c r="N70" s="10">
        <f t="shared" si="17"/>
        <v>4320</v>
      </c>
      <c r="O70" s="8">
        <f>IFERROR(N70/N445, "NA")</f>
        <v>11.794899797953686</v>
      </c>
      <c r="P70" s="9"/>
      <c r="Q70" s="7">
        <v>22113.5</v>
      </c>
      <c r="R70" s="8">
        <f>IFERROR(Q70/Q445, "NA")</f>
        <v>7.5396349593345067E-3</v>
      </c>
      <c r="S70" s="9"/>
      <c r="T70" s="7">
        <v>0</v>
      </c>
      <c r="U70" s="8">
        <f>IFERROR(T70/T445, "NA")</f>
        <v>0</v>
      </c>
      <c r="V70" s="9"/>
      <c r="W70" s="10">
        <f t="shared" si="18"/>
        <v>22113.5</v>
      </c>
      <c r="X70" s="8">
        <f>IFERROR(W70/W445, "NA")</f>
        <v>-0.16397172005952479</v>
      </c>
      <c r="Y70" s="9"/>
      <c r="Z70" s="7">
        <v>0</v>
      </c>
      <c r="AA70" s="8">
        <f>IFERROR(Z70/Z445, "NA")</f>
        <v>0</v>
      </c>
      <c r="AB70" s="9"/>
      <c r="AC70" s="10">
        <f t="shared" si="19"/>
        <v>22113.5</v>
      </c>
      <c r="AD70" s="8">
        <f>IFERROR(AC70/AC445, "NA")</f>
        <v>0.2898368559343007</v>
      </c>
    </row>
    <row r="71" spans="1:30" ht="16.5" customHeight="1" x14ac:dyDescent="0.45">
      <c r="A71" s="12" t="s">
        <v>68</v>
      </c>
      <c r="B71" s="7">
        <v>4650.38</v>
      </c>
      <c r="C71" s="8">
        <f>IFERROR(B71/B445, "NA")</f>
        <v>7.8227893077297932E-3</v>
      </c>
      <c r="D71" s="9"/>
      <c r="E71" s="7">
        <v>0</v>
      </c>
      <c r="F71" s="8">
        <f>IFERROR(E71/E445, "NA")</f>
        <v>0</v>
      </c>
      <c r="G71" s="9"/>
      <c r="H71" s="10">
        <f t="shared" si="16"/>
        <v>4650.38</v>
      </c>
      <c r="I71" s="8">
        <f>IFERROR(H71/H445, "NA")</f>
        <v>-8.5769384417953884E-2</v>
      </c>
      <c r="J71" s="9"/>
      <c r="K71" s="7">
        <v>0</v>
      </c>
      <c r="L71" s="8">
        <f>IFERROR(K71/K445, "NA")</f>
        <v>0</v>
      </c>
      <c r="M71" s="9"/>
      <c r="N71" s="10">
        <f t="shared" si="17"/>
        <v>4650.38</v>
      </c>
      <c r="O71" s="8">
        <f>IFERROR(N71/N445, "NA")</f>
        <v>12.696936602409227</v>
      </c>
      <c r="P71" s="9"/>
      <c r="Q71" s="7">
        <v>11918.27</v>
      </c>
      <c r="R71" s="8">
        <f>IFERROR(Q71/Q445, "NA")</f>
        <v>4.0635541703840494E-3</v>
      </c>
      <c r="S71" s="9"/>
      <c r="T71" s="7">
        <v>0</v>
      </c>
      <c r="U71" s="8">
        <f>IFERROR(T71/T445, "NA")</f>
        <v>0</v>
      </c>
      <c r="V71" s="9"/>
      <c r="W71" s="10">
        <f t="shared" si="18"/>
        <v>11918.27</v>
      </c>
      <c r="X71" s="8">
        <f>IFERROR(W71/W445, "NA")</f>
        <v>-8.837403540976474E-2</v>
      </c>
      <c r="Y71" s="9"/>
      <c r="Z71" s="7">
        <v>0</v>
      </c>
      <c r="AA71" s="8">
        <f>IFERROR(Z71/Z445, "NA")</f>
        <v>0</v>
      </c>
      <c r="AB71" s="9"/>
      <c r="AC71" s="10">
        <f t="shared" si="19"/>
        <v>11918.27</v>
      </c>
      <c r="AD71" s="8">
        <f>IFERROR(AC71/AC445, "NA")</f>
        <v>0.15621018404938605</v>
      </c>
    </row>
    <row r="72" spans="1:30" ht="16.5" customHeight="1" x14ac:dyDescent="0.45">
      <c r="A72" s="12" t="s">
        <v>69</v>
      </c>
      <c r="B72" s="7">
        <v>7313.5</v>
      </c>
      <c r="C72" s="8">
        <f>IFERROR(B72/B445, "NA")</f>
        <v>1.2302643999432698E-2</v>
      </c>
      <c r="D72" s="9"/>
      <c r="E72" s="7">
        <v>0</v>
      </c>
      <c r="F72" s="8">
        <f>IFERROR(E72/E445, "NA")</f>
        <v>0</v>
      </c>
      <c r="G72" s="9"/>
      <c r="H72" s="10">
        <f t="shared" si="16"/>
        <v>7313.5</v>
      </c>
      <c r="I72" s="8">
        <f>IFERROR(H72/H445, "NA")</f>
        <v>-0.1348866959131739</v>
      </c>
      <c r="J72" s="9"/>
      <c r="K72" s="7">
        <v>0</v>
      </c>
      <c r="L72" s="8">
        <f>IFERROR(K72/K445, "NA")</f>
        <v>0</v>
      </c>
      <c r="M72" s="9"/>
      <c r="N72" s="10">
        <f t="shared" si="17"/>
        <v>7313.5</v>
      </c>
      <c r="O72" s="8">
        <f>IFERROR(N72/N445, "NA")</f>
        <v>19.968055479707012</v>
      </c>
      <c r="P72" s="9"/>
      <c r="Q72" s="7">
        <v>12836.1</v>
      </c>
      <c r="R72" s="8">
        <f>IFERROR(Q72/Q445, "NA")</f>
        <v>4.376489850160023E-3</v>
      </c>
      <c r="S72" s="9"/>
      <c r="T72" s="7">
        <v>0</v>
      </c>
      <c r="U72" s="8">
        <f>IFERROR(T72/T445, "NA")</f>
        <v>0</v>
      </c>
      <c r="V72" s="9"/>
      <c r="W72" s="10">
        <f t="shared" si="18"/>
        <v>12836.1</v>
      </c>
      <c r="X72" s="8">
        <f>IFERROR(W72/W445, "NA")</f>
        <v>-9.5179749739121633E-2</v>
      </c>
      <c r="Y72" s="9"/>
      <c r="Z72" s="7">
        <v>0</v>
      </c>
      <c r="AA72" s="8">
        <f>IFERROR(Z72/Z445, "NA")</f>
        <v>0</v>
      </c>
      <c r="AB72" s="9"/>
      <c r="AC72" s="10">
        <f t="shared" si="19"/>
        <v>12836.1</v>
      </c>
      <c r="AD72" s="8">
        <f>IFERROR(AC72/AC445, "NA")</f>
        <v>0.16823998310797827</v>
      </c>
    </row>
    <row r="73" spans="1:30" ht="16.5" customHeight="1" x14ac:dyDescent="0.45">
      <c r="A73" s="13" t="s">
        <v>70</v>
      </c>
      <c r="B73" s="14">
        <f>IFERROR(B64+B65+B66+B67+B68+B69+B70+B71+B72, "NA")</f>
        <v>58507.62</v>
      </c>
      <c r="C73" s="15">
        <f>IFERROR(B73/B445, "NA")</f>
        <v>9.842051276599284E-2</v>
      </c>
      <c r="D73" s="2"/>
      <c r="E73" s="14">
        <f>IFERROR(E64+E65+E66+E67+E68+E69+E70+E71+E72, "NA")</f>
        <v>49827.03</v>
      </c>
      <c r="F73" s="15">
        <f>IFERROR(E73/E445, "NA")</f>
        <v>7.6812332217368454E-2</v>
      </c>
      <c r="G73" s="2"/>
      <c r="H73" s="14">
        <f t="shared" si="16"/>
        <v>8680.5900000000038</v>
      </c>
      <c r="I73" s="15">
        <f>IFERROR(H73/H445, "NA")</f>
        <v>-0.16010064998659176</v>
      </c>
      <c r="J73" s="2"/>
      <c r="K73" s="14">
        <f>IFERROR(K64+K65+K66+K67+K68+K69+K70+K71+K72, "NA")</f>
        <v>38627.780000000006</v>
      </c>
      <c r="L73" s="15">
        <f>IFERROR(K73/K445, "NA")</f>
        <v>6.5019046895263083E-2</v>
      </c>
      <c r="M73" s="2"/>
      <c r="N73" s="14">
        <f t="shared" si="17"/>
        <v>19879.839999999997</v>
      </c>
      <c r="O73" s="15">
        <f>IFERROR(N73/N445, "NA")</f>
        <v>54.277944629479528</v>
      </c>
      <c r="P73" s="2"/>
      <c r="Q73" s="14">
        <f>IFERROR(Q64+Q65+Q66+Q67+Q68+Q69+Q70+Q71+Q72, "NA")</f>
        <v>275972.74999999994</v>
      </c>
      <c r="R73" s="15">
        <f>IFERROR(Q73/Q445, "NA")</f>
        <v>9.409337254273098E-2</v>
      </c>
      <c r="S73" s="2"/>
      <c r="T73" s="14">
        <f>IFERROR(T64+T65+T66+T67+T68+T69+T70+T71+T72, "NA")</f>
        <v>239189</v>
      </c>
      <c r="U73" s="15">
        <f>IFERROR(T73/T445, "NA")</f>
        <v>7.7966872073622379E-2</v>
      </c>
      <c r="V73" s="2"/>
      <c r="W73" s="14">
        <f t="shared" si="18"/>
        <v>36783.749999999942</v>
      </c>
      <c r="X73" s="15">
        <f>IFERROR(W73/W445, "NA")</f>
        <v>-0.27275170179933234</v>
      </c>
      <c r="Y73" s="2"/>
      <c r="Z73" s="14">
        <f>IFERROR(Z64+Z65+Z66+Z67+Z68+Z69+Z70+Z71+Z72, "NA")</f>
        <v>136111.38</v>
      </c>
      <c r="AA73" s="15">
        <f>IFERROR(Z73/Z445, "NA")</f>
        <v>4.7646859216415913E-2</v>
      </c>
      <c r="AB73" s="2"/>
      <c r="AC73" s="14">
        <f t="shared" si="19"/>
        <v>139861.36999999994</v>
      </c>
      <c r="AD73" s="15">
        <f>IFERROR(AC73/AC445, "NA")</f>
        <v>1.8331326903232825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IFERROR(B75/B445, "NA")</f>
        <v>0</v>
      </c>
      <c r="D75" s="9"/>
      <c r="E75" s="7">
        <v>11438.11</v>
      </c>
      <c r="F75" s="8">
        <f>IFERROR(E75/E445, "NA")</f>
        <v>1.7632756864272351E-2</v>
      </c>
      <c r="G75" s="9"/>
      <c r="H75" s="10">
        <f t="shared" ref="H75:H92" si="20">IFERROR(B75-E75, "NA")</f>
        <v>-11438.11</v>
      </c>
      <c r="I75" s="8">
        <f>IFERROR(H75/H445, "NA")</f>
        <v>0.2109590299297783</v>
      </c>
      <c r="J75" s="9"/>
      <c r="K75" s="7">
        <v>0</v>
      </c>
      <c r="L75" s="8">
        <f>IFERROR(K75/K445, "NA")</f>
        <v>0</v>
      </c>
      <c r="M75" s="9"/>
      <c r="N75" s="10">
        <f t="shared" ref="N75:N92" si="21">IFERROR(B75-K75, "NA")</f>
        <v>0</v>
      </c>
      <c r="O75" s="8">
        <f>IFERROR(N75/N445, "NA")</f>
        <v>0</v>
      </c>
      <c r="P75" s="9"/>
      <c r="Q75" s="7">
        <v>0</v>
      </c>
      <c r="R75" s="8">
        <f>IFERROR(Q75/Q445, "NA")</f>
        <v>0</v>
      </c>
      <c r="S75" s="9"/>
      <c r="T75" s="7">
        <v>54815.64</v>
      </c>
      <c r="U75" s="8">
        <f>IFERROR(T75/T445, "NA")</f>
        <v>1.78678952272627E-2</v>
      </c>
      <c r="V75" s="9"/>
      <c r="W75" s="10">
        <f t="shared" ref="W75:W92" si="22">IFERROR(Q75-T75, "NA")</f>
        <v>-54815.64</v>
      </c>
      <c r="X75" s="8">
        <f>IFERROR(W75/W445, "NA")</f>
        <v>0.40645826201025115</v>
      </c>
      <c r="Y75" s="9"/>
      <c r="Z75" s="7">
        <v>0</v>
      </c>
      <c r="AA75" s="8">
        <f>IFERROR(Z75/Z445, "NA")</f>
        <v>0</v>
      </c>
      <c r="AB75" s="9"/>
      <c r="AC75" s="10">
        <f t="shared" ref="AC75:AC92" si="23">IFERROR(Q75-Z75, "NA")</f>
        <v>0</v>
      </c>
      <c r="AD75" s="8">
        <f>IFERROR(AC75/AC445,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IFERROR(B76/B445, "NA")</f>
        <v>0</v>
      </c>
      <c r="D76" s="9"/>
      <c r="E76" s="7">
        <v>0</v>
      </c>
      <c r="F76" s="8">
        <f>IFERROR(E76/E445, "NA")</f>
        <v>0</v>
      </c>
      <c r="G76" s="9"/>
      <c r="H76" s="10">
        <f t="shared" si="20"/>
        <v>0</v>
      </c>
      <c r="I76" s="8">
        <f>IFERROR(H76/H445, "NA")</f>
        <v>0</v>
      </c>
      <c r="J76" s="9"/>
      <c r="K76" s="7">
        <v>0</v>
      </c>
      <c r="L76" s="8">
        <f>IFERROR(K76/K445, "NA")</f>
        <v>0</v>
      </c>
      <c r="M76" s="9"/>
      <c r="N76" s="10">
        <f t="shared" si="21"/>
        <v>0</v>
      </c>
      <c r="O76" s="8">
        <f>IFERROR(N76/N445, "NA")</f>
        <v>0</v>
      </c>
      <c r="P76" s="9"/>
      <c r="Q76" s="7">
        <v>0</v>
      </c>
      <c r="R76" s="8">
        <f>IFERROR(Q76/Q445, "NA")</f>
        <v>0</v>
      </c>
      <c r="S76" s="9"/>
      <c r="T76" s="7">
        <v>0</v>
      </c>
      <c r="U76" s="8">
        <f>IFERROR(T76/T445, "NA")</f>
        <v>0</v>
      </c>
      <c r="V76" s="9"/>
      <c r="W76" s="10">
        <f t="shared" si="22"/>
        <v>0</v>
      </c>
      <c r="X76" s="8">
        <f>IFERROR(W76/W445, "NA")</f>
        <v>0</v>
      </c>
      <c r="Y76" s="9"/>
      <c r="Z76" s="7">
        <v>0</v>
      </c>
      <c r="AA76" s="8">
        <f>IFERROR(Z76/Z445, "NA")</f>
        <v>0</v>
      </c>
      <c r="AB76" s="9"/>
      <c r="AC76" s="10">
        <f t="shared" si="23"/>
        <v>0</v>
      </c>
      <c r="AD76" s="8">
        <f>IFERROR(AC76/AC445, "NA")</f>
        <v>0</v>
      </c>
    </row>
    <row r="77" spans="1:30" ht="16.5" customHeight="1" x14ac:dyDescent="0.45">
      <c r="A77" s="12" t="s">
        <v>73</v>
      </c>
      <c r="B77" s="7">
        <v>1930.22</v>
      </c>
      <c r="C77" s="8">
        <f>IFERROR(B77/B445, "NA")</f>
        <v>3.2469829084002168E-3</v>
      </c>
      <c r="D77" s="9"/>
      <c r="E77" s="7">
        <v>0</v>
      </c>
      <c r="F77" s="8">
        <f>IFERROR(E77/E445, "NA")</f>
        <v>0</v>
      </c>
      <c r="G77" s="9"/>
      <c r="H77" s="10">
        <f t="shared" si="20"/>
        <v>1930.22</v>
      </c>
      <c r="I77" s="8">
        <f>IFERROR(H77/H445, "NA")</f>
        <v>-3.5600054445276072E-2</v>
      </c>
      <c r="J77" s="9"/>
      <c r="K77" s="7">
        <v>2812.91</v>
      </c>
      <c r="L77" s="8">
        <f>IFERROR(K77/K445, "NA")</f>
        <v>4.7347460092750466E-3</v>
      </c>
      <c r="M77" s="9"/>
      <c r="N77" s="10">
        <f t="shared" si="21"/>
        <v>-882.68999999999983</v>
      </c>
      <c r="O77" s="8">
        <f>IFERROR(N77/N445, "NA")</f>
        <v>-2.4100092830221613</v>
      </c>
      <c r="P77" s="9"/>
      <c r="Q77" s="7">
        <v>9264.01</v>
      </c>
      <c r="R77" s="8">
        <f>IFERROR(Q77/Q445, "NA")</f>
        <v>3.1585797661891814E-3</v>
      </c>
      <c r="S77" s="9"/>
      <c r="T77" s="7">
        <v>0</v>
      </c>
      <c r="U77" s="8">
        <f>IFERROR(T77/T445, "NA")</f>
        <v>0</v>
      </c>
      <c r="V77" s="9"/>
      <c r="W77" s="10">
        <f t="shared" si="22"/>
        <v>9264.01</v>
      </c>
      <c r="X77" s="8">
        <f>IFERROR(W77/W445, "NA")</f>
        <v>-6.8692683399219398E-2</v>
      </c>
      <c r="Y77" s="9"/>
      <c r="Z77" s="7">
        <v>12319.11</v>
      </c>
      <c r="AA77" s="8">
        <f>IFERROR(Z77/Z445, "NA")</f>
        <v>4.3124013571939493E-3</v>
      </c>
      <c r="AB77" s="9"/>
      <c r="AC77" s="10">
        <f t="shared" si="23"/>
        <v>-3055.1000000000004</v>
      </c>
      <c r="AD77" s="8">
        <f>IFERROR(AC77/AC445, "NA")</f>
        <v>-4.0042534133668671E-2</v>
      </c>
    </row>
    <row r="78" spans="1:30" ht="16.5" customHeight="1" x14ac:dyDescent="0.45">
      <c r="A78" s="12" t="s">
        <v>74</v>
      </c>
      <c r="B78" s="7">
        <v>25</v>
      </c>
      <c r="C78" s="8">
        <f>IFERROR(B78/B445, "NA")</f>
        <v>4.2054570313231347E-5</v>
      </c>
      <c r="D78" s="9"/>
      <c r="E78" s="7">
        <v>0</v>
      </c>
      <c r="F78" s="8">
        <f>IFERROR(E78/E445, "NA")</f>
        <v>0</v>
      </c>
      <c r="G78" s="9"/>
      <c r="H78" s="10">
        <f t="shared" si="20"/>
        <v>25</v>
      </c>
      <c r="I78" s="8">
        <f>IFERROR(H78/H445, "NA")</f>
        <v>-4.6108804236403195E-4</v>
      </c>
      <c r="J78" s="9"/>
      <c r="K78" s="7">
        <v>50</v>
      </c>
      <c r="L78" s="8">
        <f>IFERROR(K78/K445, "NA")</f>
        <v>8.4160993584491626E-5</v>
      </c>
      <c r="M78" s="9"/>
      <c r="N78" s="10">
        <f t="shared" si="21"/>
        <v>-25</v>
      </c>
      <c r="O78" s="8">
        <f>IFERROR(N78/N445, "NA")</f>
        <v>-6.8257521978898644E-2</v>
      </c>
      <c r="P78" s="9"/>
      <c r="Q78" s="7">
        <v>75</v>
      </c>
      <c r="R78" s="8">
        <f>IFERROR(Q78/Q445, "NA")</f>
        <v>2.5571375944562732E-5</v>
      </c>
      <c r="S78" s="9"/>
      <c r="T78" s="7">
        <v>0</v>
      </c>
      <c r="U78" s="8">
        <f>IFERROR(T78/T445, "NA")</f>
        <v>0</v>
      </c>
      <c r="V78" s="9"/>
      <c r="W78" s="10">
        <f t="shared" si="22"/>
        <v>75</v>
      </c>
      <c r="X78" s="8">
        <f>IFERROR(W78/W445, "NA")</f>
        <v>-5.561253987141049E-4</v>
      </c>
      <c r="Y78" s="9"/>
      <c r="Z78" s="7">
        <v>275</v>
      </c>
      <c r="AA78" s="8">
        <f>IFERROR(Z78/Z445, "NA")</f>
        <v>9.6265913140505783E-5</v>
      </c>
      <c r="AB78" s="9"/>
      <c r="AC78" s="10">
        <f t="shared" si="23"/>
        <v>-200</v>
      </c>
      <c r="AD78" s="8">
        <f>IFERROR(AC78/AC445, "NA")</f>
        <v>-2.6213566910195194E-3</v>
      </c>
    </row>
    <row r="79" spans="1:30" ht="16.5" customHeight="1" x14ac:dyDescent="0.45">
      <c r="A79" s="12" t="s">
        <v>75</v>
      </c>
      <c r="B79" s="7">
        <v>0</v>
      </c>
      <c r="C79" s="8">
        <f>IFERROR(B79/B445, "NA")</f>
        <v>0</v>
      </c>
      <c r="D79" s="9"/>
      <c r="E79" s="7">
        <v>0</v>
      </c>
      <c r="F79" s="8">
        <f>IFERROR(E79/E445, "NA")</f>
        <v>0</v>
      </c>
      <c r="G79" s="9"/>
      <c r="H79" s="10">
        <f t="shared" si="20"/>
        <v>0</v>
      </c>
      <c r="I79" s="8">
        <f>IFERROR(H79/H445, "NA")</f>
        <v>0</v>
      </c>
      <c r="J79" s="9"/>
      <c r="K79" s="7">
        <v>5.1100000000000003</v>
      </c>
      <c r="L79" s="8">
        <f>IFERROR(K79/K445, "NA")</f>
        <v>8.6012535443350441E-6</v>
      </c>
      <c r="M79" s="9"/>
      <c r="N79" s="10">
        <f t="shared" si="21"/>
        <v>-5.1100000000000003</v>
      </c>
      <c r="O79" s="8">
        <f>IFERROR(N79/N445, "NA")</f>
        <v>-1.3951837492486885E-2</v>
      </c>
      <c r="P79" s="9"/>
      <c r="Q79" s="7">
        <v>0</v>
      </c>
      <c r="R79" s="8">
        <f>IFERROR(Q79/Q445, "NA")</f>
        <v>0</v>
      </c>
      <c r="S79" s="9"/>
      <c r="T79" s="7">
        <v>0</v>
      </c>
      <c r="U79" s="8">
        <f>IFERROR(T79/T445, "NA")</f>
        <v>0</v>
      </c>
      <c r="V79" s="9"/>
      <c r="W79" s="10">
        <f t="shared" si="22"/>
        <v>0</v>
      </c>
      <c r="X79" s="8">
        <f>IFERROR(W79/W445, "NA")</f>
        <v>0</v>
      </c>
      <c r="Y79" s="9"/>
      <c r="Z79" s="7">
        <v>5.1100000000000003</v>
      </c>
      <c r="AA79" s="8">
        <f>IFERROR(Z79/Z445, "NA")</f>
        <v>1.7887956950835802E-6</v>
      </c>
      <c r="AB79" s="9"/>
      <c r="AC79" s="10">
        <f t="shared" si="23"/>
        <v>-5.1100000000000003</v>
      </c>
      <c r="AD79" s="8">
        <f>IFERROR(AC79/AC445, "NA")</f>
        <v>-6.6975663455548721E-5</v>
      </c>
    </row>
    <row r="80" spans="1:30" ht="16.5" customHeight="1" x14ac:dyDescent="0.45">
      <c r="A80" s="12" t="s">
        <v>76</v>
      </c>
      <c r="B80" s="7">
        <v>6967.6899999999987</v>
      </c>
      <c r="C80" s="8">
        <f>IFERROR(B80/B445, "NA")</f>
        <v>1.1720928361031956E-2</v>
      </c>
      <c r="D80" s="9"/>
      <c r="E80" s="7">
        <v>0</v>
      </c>
      <c r="F80" s="8">
        <f>IFERROR(E80/E445, "NA")</f>
        <v>0</v>
      </c>
      <c r="G80" s="9"/>
      <c r="H80" s="10">
        <f t="shared" si="20"/>
        <v>6967.6899999999987</v>
      </c>
      <c r="I80" s="8">
        <f>IFERROR(H80/H445, "NA")</f>
        <v>-0.12850874167597764</v>
      </c>
      <c r="J80" s="9"/>
      <c r="K80" s="7">
        <v>8636.1299999999992</v>
      </c>
      <c r="L80" s="8">
        <f>IFERROR(K80/K445, "NA")</f>
        <v>1.4536505630496712E-2</v>
      </c>
      <c r="M80" s="9"/>
      <c r="N80" s="10">
        <f t="shared" si="21"/>
        <v>-1668.4400000000005</v>
      </c>
      <c r="O80" s="8">
        <f>IFERROR(N80/N445, "NA")</f>
        <v>-4.5553431988189477</v>
      </c>
      <c r="P80" s="9"/>
      <c r="Q80" s="7">
        <v>40546.19</v>
      </c>
      <c r="R80" s="8">
        <f>IFERROR(Q80/Q445, "NA")</f>
        <v>1.3824291568128933E-2</v>
      </c>
      <c r="S80" s="9"/>
      <c r="T80" s="7">
        <v>0</v>
      </c>
      <c r="U80" s="8">
        <f>IFERROR(T80/T445, "NA")</f>
        <v>0</v>
      </c>
      <c r="V80" s="9"/>
      <c r="W80" s="10">
        <f t="shared" si="22"/>
        <v>40546.19</v>
      </c>
      <c r="X80" s="8">
        <f>IFERROR(W80/W445, "NA")</f>
        <v>-0.3006502144011714</v>
      </c>
      <c r="Y80" s="9"/>
      <c r="Z80" s="7">
        <v>38549.31</v>
      </c>
      <c r="AA80" s="8">
        <f>IFERROR(Z80/Z445, "NA")</f>
        <v>1.3494489193041566E-2</v>
      </c>
      <c r="AB80" s="9"/>
      <c r="AC80" s="10">
        <f t="shared" si="23"/>
        <v>1996.8800000000047</v>
      </c>
      <c r="AD80" s="8">
        <f>IFERROR(AC80/AC445, "NA")</f>
        <v>2.6172673745815351E-2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IFERROR(B81/B445, "NA")</f>
        <v>0</v>
      </c>
      <c r="D81" s="9"/>
      <c r="E81" s="7">
        <v>0</v>
      </c>
      <c r="F81" s="8">
        <f>IFERROR(E81/E445, "NA")</f>
        <v>0</v>
      </c>
      <c r="G81" s="9"/>
      <c r="H81" s="10">
        <f t="shared" si="20"/>
        <v>0</v>
      </c>
      <c r="I81" s="8">
        <f>IFERROR(H81/H445, "NA")</f>
        <v>0</v>
      </c>
      <c r="J81" s="9"/>
      <c r="K81" s="7">
        <v>0</v>
      </c>
      <c r="L81" s="8">
        <f>IFERROR(K81/K445, "NA")</f>
        <v>0</v>
      </c>
      <c r="M81" s="9"/>
      <c r="N81" s="10">
        <f t="shared" si="21"/>
        <v>0</v>
      </c>
      <c r="O81" s="8">
        <f>IFERROR(N81/N445, "NA")</f>
        <v>0</v>
      </c>
      <c r="P81" s="9"/>
      <c r="Q81" s="7">
        <v>0</v>
      </c>
      <c r="R81" s="8">
        <f>IFERROR(Q81/Q445, "NA")</f>
        <v>0</v>
      </c>
      <c r="S81" s="9"/>
      <c r="T81" s="7">
        <v>0</v>
      </c>
      <c r="U81" s="8">
        <f>IFERROR(T81/T445, "NA")</f>
        <v>0</v>
      </c>
      <c r="V81" s="9"/>
      <c r="W81" s="10">
        <f t="shared" si="22"/>
        <v>0</v>
      </c>
      <c r="X81" s="8">
        <f>IFERROR(W81/W445, "NA")</f>
        <v>0</v>
      </c>
      <c r="Y81" s="9"/>
      <c r="Z81" s="7">
        <v>0</v>
      </c>
      <c r="AA81" s="8">
        <f>IFERROR(Z81/Z445, "NA")</f>
        <v>0</v>
      </c>
      <c r="AB81" s="9"/>
      <c r="AC81" s="10">
        <f t="shared" si="23"/>
        <v>0</v>
      </c>
      <c r="AD81" s="8">
        <f>IFERROR(AC81/AC445,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IFERROR(B82/B445, "NA")</f>
        <v>0</v>
      </c>
      <c r="D82" s="9"/>
      <c r="E82" s="7">
        <v>0</v>
      </c>
      <c r="F82" s="8">
        <f>IFERROR(E82/E445, "NA")</f>
        <v>0</v>
      </c>
      <c r="G82" s="9"/>
      <c r="H82" s="10">
        <f t="shared" si="20"/>
        <v>0</v>
      </c>
      <c r="I82" s="8">
        <f>IFERROR(H82/H445, "NA")</f>
        <v>0</v>
      </c>
      <c r="J82" s="9"/>
      <c r="K82" s="7">
        <v>0</v>
      </c>
      <c r="L82" s="8">
        <f>IFERROR(K82/K445, "NA")</f>
        <v>0</v>
      </c>
      <c r="M82" s="9"/>
      <c r="N82" s="10">
        <f t="shared" si="21"/>
        <v>0</v>
      </c>
      <c r="O82" s="8">
        <f>IFERROR(N82/N445, "NA")</f>
        <v>0</v>
      </c>
      <c r="P82" s="9"/>
      <c r="Q82" s="7">
        <v>0</v>
      </c>
      <c r="R82" s="8">
        <f>IFERROR(Q82/Q445, "NA")</f>
        <v>0</v>
      </c>
      <c r="S82" s="9"/>
      <c r="T82" s="7">
        <v>0</v>
      </c>
      <c r="U82" s="8">
        <f>IFERROR(T82/T445, "NA")</f>
        <v>0</v>
      </c>
      <c r="V82" s="9"/>
      <c r="W82" s="10">
        <f t="shared" si="22"/>
        <v>0</v>
      </c>
      <c r="X82" s="8">
        <f>IFERROR(W82/W445, "NA")</f>
        <v>0</v>
      </c>
      <c r="Y82" s="9"/>
      <c r="Z82" s="7">
        <v>25</v>
      </c>
      <c r="AA82" s="8">
        <f>IFERROR(Z82/Z445, "NA")</f>
        <v>8.7514466491368889E-6</v>
      </c>
      <c r="AB82" s="9"/>
      <c r="AC82" s="10">
        <f t="shared" si="23"/>
        <v>-25</v>
      </c>
      <c r="AD82" s="8">
        <f>IFERROR(AC82/AC445, "NA")</f>
        <v>-3.2766958637743993E-4</v>
      </c>
    </row>
    <row r="83" spans="1:30" ht="16.5" customHeight="1" x14ac:dyDescent="0.45">
      <c r="A83" s="12" t="s">
        <v>79</v>
      </c>
      <c r="B83" s="7">
        <v>104.8</v>
      </c>
      <c r="C83" s="8">
        <f>IFERROR(B83/B445, "NA")</f>
        <v>1.7629275875306581E-4</v>
      </c>
      <c r="D83" s="9"/>
      <c r="E83" s="7">
        <v>0</v>
      </c>
      <c r="F83" s="8">
        <f>IFERROR(E83/E445, "NA")</f>
        <v>0</v>
      </c>
      <c r="G83" s="9"/>
      <c r="H83" s="10">
        <f t="shared" si="20"/>
        <v>104.8</v>
      </c>
      <c r="I83" s="8">
        <f>IFERROR(H83/H445, "NA")</f>
        <v>-1.9328810735900219E-3</v>
      </c>
      <c r="J83" s="9"/>
      <c r="K83" s="7">
        <v>0</v>
      </c>
      <c r="L83" s="8">
        <f>IFERROR(K83/K445, "NA")</f>
        <v>0</v>
      </c>
      <c r="M83" s="9"/>
      <c r="N83" s="10">
        <f t="shared" si="21"/>
        <v>104.8</v>
      </c>
      <c r="O83" s="8">
        <f>IFERROR(N83/N445, "NA")</f>
        <v>0.2861355321355431</v>
      </c>
      <c r="P83" s="9"/>
      <c r="Q83" s="7">
        <v>630.77</v>
      </c>
      <c r="R83" s="8">
        <f>IFERROR(Q83/Q445, "NA")</f>
        <v>2.1506209072735778E-4</v>
      </c>
      <c r="S83" s="9"/>
      <c r="T83" s="7">
        <v>0</v>
      </c>
      <c r="U83" s="8">
        <f>IFERROR(T83/T445, "NA")</f>
        <v>0</v>
      </c>
      <c r="V83" s="9"/>
      <c r="W83" s="10">
        <f t="shared" si="22"/>
        <v>630.77</v>
      </c>
      <c r="X83" s="8">
        <f>IFERROR(W83/W445, "NA")</f>
        <v>-4.6771629032919459E-3</v>
      </c>
      <c r="Y83" s="9"/>
      <c r="Z83" s="7">
        <v>0</v>
      </c>
      <c r="AA83" s="8">
        <f>IFERROR(Z83/Z445, "NA")</f>
        <v>0</v>
      </c>
      <c r="AB83" s="9"/>
      <c r="AC83" s="10">
        <f t="shared" si="23"/>
        <v>630.77</v>
      </c>
      <c r="AD83" s="8">
        <f>IFERROR(AC83/AC445, "NA")</f>
        <v>8.2673657999719104E-3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IFERROR(B84/B445, "NA")</f>
        <v>0</v>
      </c>
      <c r="D84" s="9"/>
      <c r="E84" s="7">
        <v>0</v>
      </c>
      <c r="F84" s="8">
        <f>IFERROR(E84/E445, "NA")</f>
        <v>0</v>
      </c>
      <c r="G84" s="9"/>
      <c r="H84" s="10">
        <f t="shared" si="20"/>
        <v>0</v>
      </c>
      <c r="I84" s="8">
        <f>IFERROR(H84/H445, "NA")</f>
        <v>0</v>
      </c>
      <c r="J84" s="9"/>
      <c r="K84" s="7">
        <v>0</v>
      </c>
      <c r="L84" s="8">
        <f>IFERROR(K84/K445, "NA")</f>
        <v>0</v>
      </c>
      <c r="M84" s="9"/>
      <c r="N84" s="10">
        <f t="shared" si="21"/>
        <v>0</v>
      </c>
      <c r="O84" s="8">
        <f>IFERROR(N84/N445, "NA")</f>
        <v>0</v>
      </c>
      <c r="P84" s="9"/>
      <c r="Q84" s="7">
        <v>0</v>
      </c>
      <c r="R84" s="8">
        <f>IFERROR(Q84/Q445, "NA")</f>
        <v>0</v>
      </c>
      <c r="S84" s="9"/>
      <c r="T84" s="7">
        <v>0</v>
      </c>
      <c r="U84" s="8">
        <f>IFERROR(T84/T445, "NA")</f>
        <v>0</v>
      </c>
      <c r="V84" s="9"/>
      <c r="W84" s="10">
        <f t="shared" si="22"/>
        <v>0</v>
      </c>
      <c r="X84" s="8">
        <f>IFERROR(W84/W445, "NA")</f>
        <v>0</v>
      </c>
      <c r="Y84" s="9"/>
      <c r="Z84" s="7">
        <v>0</v>
      </c>
      <c r="AA84" s="8">
        <f>IFERROR(Z84/Z445, "NA")</f>
        <v>0</v>
      </c>
      <c r="AB84" s="9"/>
      <c r="AC84" s="10">
        <f t="shared" si="23"/>
        <v>0</v>
      </c>
      <c r="AD84" s="8">
        <f>IFERROR(AC84/AC445,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IFERROR(B85/B445, "NA")</f>
        <v>0</v>
      </c>
      <c r="D85" s="9"/>
      <c r="E85" s="7">
        <v>0</v>
      </c>
      <c r="F85" s="8">
        <f>IFERROR(E85/E445, "NA")</f>
        <v>0</v>
      </c>
      <c r="G85" s="9"/>
      <c r="H85" s="10">
        <f t="shared" si="20"/>
        <v>0</v>
      </c>
      <c r="I85" s="8">
        <f>IFERROR(H85/H445, "NA")</f>
        <v>0</v>
      </c>
      <c r="J85" s="9"/>
      <c r="K85" s="7">
        <v>0</v>
      </c>
      <c r="L85" s="8">
        <f>IFERROR(K85/K445, "NA")</f>
        <v>0</v>
      </c>
      <c r="M85" s="9"/>
      <c r="N85" s="10">
        <f t="shared" si="21"/>
        <v>0</v>
      </c>
      <c r="O85" s="8">
        <f>IFERROR(N85/N445, "NA")</f>
        <v>0</v>
      </c>
      <c r="P85" s="9"/>
      <c r="Q85" s="7">
        <v>0</v>
      </c>
      <c r="R85" s="8">
        <f>IFERROR(Q85/Q445, "NA")</f>
        <v>0</v>
      </c>
      <c r="S85" s="9"/>
      <c r="T85" s="7">
        <v>0</v>
      </c>
      <c r="U85" s="8">
        <f>IFERROR(T85/T445, "NA")</f>
        <v>0</v>
      </c>
      <c r="V85" s="9"/>
      <c r="W85" s="10">
        <f t="shared" si="22"/>
        <v>0</v>
      </c>
      <c r="X85" s="8">
        <f>IFERROR(W85/W445, "NA")</f>
        <v>0</v>
      </c>
      <c r="Y85" s="9"/>
      <c r="Z85" s="7">
        <v>0</v>
      </c>
      <c r="AA85" s="8">
        <f>IFERROR(Z85/Z445, "NA")</f>
        <v>0</v>
      </c>
      <c r="AB85" s="9"/>
      <c r="AC85" s="10">
        <f t="shared" si="23"/>
        <v>0</v>
      </c>
      <c r="AD85" s="8">
        <f>IFERROR(AC85/AC445,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IFERROR(B86/B445, "NA")</f>
        <v>0</v>
      </c>
      <c r="D86" s="9"/>
      <c r="E86" s="7">
        <v>0</v>
      </c>
      <c r="F86" s="8">
        <f>IFERROR(E86/E445, "NA")</f>
        <v>0</v>
      </c>
      <c r="G86" s="9"/>
      <c r="H86" s="10">
        <f t="shared" si="20"/>
        <v>0</v>
      </c>
      <c r="I86" s="8">
        <f>IFERROR(H86/H445, "NA")</f>
        <v>0</v>
      </c>
      <c r="J86" s="9"/>
      <c r="K86" s="7">
        <v>0</v>
      </c>
      <c r="L86" s="8">
        <f>IFERROR(K86/K445, "NA")</f>
        <v>0</v>
      </c>
      <c r="M86" s="9"/>
      <c r="N86" s="10">
        <f t="shared" si="21"/>
        <v>0</v>
      </c>
      <c r="O86" s="8">
        <f>IFERROR(N86/N445, "NA")</f>
        <v>0</v>
      </c>
      <c r="P86" s="9"/>
      <c r="Q86" s="7">
        <v>50</v>
      </c>
      <c r="R86" s="8">
        <f>IFERROR(Q86/Q445, "NA")</f>
        <v>1.704758396304182E-5</v>
      </c>
      <c r="S86" s="9"/>
      <c r="T86" s="7">
        <v>0</v>
      </c>
      <c r="U86" s="8">
        <f>IFERROR(T86/T445, "NA")</f>
        <v>0</v>
      </c>
      <c r="V86" s="9"/>
      <c r="W86" s="10">
        <f t="shared" si="22"/>
        <v>50</v>
      </c>
      <c r="X86" s="8">
        <f>IFERROR(W86/W445, "NA")</f>
        <v>-3.7075026580940328E-4</v>
      </c>
      <c r="Y86" s="9"/>
      <c r="Z86" s="7">
        <v>50</v>
      </c>
      <c r="AA86" s="8">
        <f>IFERROR(Z86/Z445, "NA")</f>
        <v>1.7502893298273778E-5</v>
      </c>
      <c r="AB86" s="9"/>
      <c r="AC86" s="10">
        <f t="shared" si="23"/>
        <v>0</v>
      </c>
      <c r="AD86" s="8">
        <f>IFERROR(AC86/AC445,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IFERROR(B87/B445, "NA")</f>
        <v>0</v>
      </c>
      <c r="D87" s="9"/>
      <c r="E87" s="7">
        <v>0</v>
      </c>
      <c r="F87" s="8">
        <f>IFERROR(E87/E445, "NA")</f>
        <v>0</v>
      </c>
      <c r="G87" s="9"/>
      <c r="H87" s="10">
        <f t="shared" si="20"/>
        <v>0</v>
      </c>
      <c r="I87" s="8">
        <f>IFERROR(H87/H445, "NA")</f>
        <v>0</v>
      </c>
      <c r="J87" s="9"/>
      <c r="K87" s="7">
        <v>0</v>
      </c>
      <c r="L87" s="8">
        <f>IFERROR(K87/K445, "NA")</f>
        <v>0</v>
      </c>
      <c r="M87" s="9"/>
      <c r="N87" s="10">
        <f t="shared" si="21"/>
        <v>0</v>
      </c>
      <c r="O87" s="8">
        <f>IFERROR(N87/N445, "NA")</f>
        <v>0</v>
      </c>
      <c r="P87" s="9"/>
      <c r="Q87" s="7">
        <v>0</v>
      </c>
      <c r="R87" s="8">
        <f>IFERROR(Q87/Q445, "NA")</f>
        <v>0</v>
      </c>
      <c r="S87" s="9"/>
      <c r="T87" s="7">
        <v>0</v>
      </c>
      <c r="U87" s="8">
        <f>IFERROR(T87/T445, "NA")</f>
        <v>0</v>
      </c>
      <c r="V87" s="9"/>
      <c r="W87" s="10">
        <f t="shared" si="22"/>
        <v>0</v>
      </c>
      <c r="X87" s="8">
        <f>IFERROR(W87/W445, "NA")</f>
        <v>0</v>
      </c>
      <c r="Y87" s="9"/>
      <c r="Z87" s="7">
        <v>988.28</v>
      </c>
      <c r="AA87" s="8">
        <f>IFERROR(Z87/Z445, "NA")</f>
        <v>3.4595518777636017E-4</v>
      </c>
      <c r="AB87" s="9"/>
      <c r="AC87" s="10">
        <f t="shared" si="23"/>
        <v>-988.28</v>
      </c>
      <c r="AD87" s="8">
        <f>IFERROR(AC87/AC445, "NA")</f>
        <v>-1.2953171953003852E-2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9027.7099999999973</v>
      </c>
      <c r="C88" s="15">
        <f>IFERROR(B88/B445, "NA")</f>
        <v>1.5186258598498467E-2</v>
      </c>
      <c r="D88" s="2"/>
      <c r="E88" s="14">
        <f>IFERROR(E75+E76+E77+E78+E79+E80+E81+E82+E83+E84+E85+E86+E87, "NA")</f>
        <v>11438.11</v>
      </c>
      <c r="F88" s="15">
        <f>IFERROR(E88/E445, "NA")</f>
        <v>1.7632756864272351E-2</v>
      </c>
      <c r="G88" s="2"/>
      <c r="H88" s="14">
        <f t="shared" si="20"/>
        <v>-2410.4000000000033</v>
      </c>
      <c r="I88" s="15">
        <f>IFERROR(H88/H445, "NA")</f>
        <v>4.4456264692570566E-2</v>
      </c>
      <c r="J88" s="2"/>
      <c r="K88" s="14">
        <f>IFERROR(K75+K76+K77+K78+K79+K80+K81+K82+K83+K84+K85+K86+K87, "NA")</f>
        <v>11504.15</v>
      </c>
      <c r="L88" s="15">
        <f>IFERROR(K88/K445, "NA")</f>
        <v>1.9364013886900587E-2</v>
      </c>
      <c r="M88" s="2"/>
      <c r="N88" s="14">
        <f t="shared" si="21"/>
        <v>-2476.4400000000023</v>
      </c>
      <c r="O88" s="15">
        <f>IFERROR(N88/N445, "NA")</f>
        <v>-6.7614263091769571</v>
      </c>
      <c r="P88" s="2"/>
      <c r="Q88" s="14">
        <f>IFERROR(Q75+Q76+Q77+Q78+Q79+Q80+Q81+Q82+Q83+Q84+Q85+Q86+Q87, "NA")</f>
        <v>50565.97</v>
      </c>
      <c r="R88" s="15">
        <f>IFERROR(Q88/Q445, "NA")</f>
        <v>1.7240552384953079E-2</v>
      </c>
      <c r="S88" s="2"/>
      <c r="T88" s="14">
        <f>IFERROR(T75+T76+T77+T78+T79+T80+T81+T82+T83+T84+T85+T86+T87, "NA")</f>
        <v>54815.64</v>
      </c>
      <c r="U88" s="15">
        <f>IFERROR(T88/T445, "NA")</f>
        <v>1.78678952272627E-2</v>
      </c>
      <c r="V88" s="2"/>
      <c r="W88" s="14">
        <f t="shared" si="22"/>
        <v>-4249.6699999999983</v>
      </c>
      <c r="X88" s="15">
        <f>IFERROR(W88/W445, "NA")</f>
        <v>3.1511325642044924E-2</v>
      </c>
      <c r="Y88" s="2"/>
      <c r="Z88" s="14">
        <f>IFERROR(Z75+Z76+Z77+Z78+Z79+Z80+Z81+Z82+Z83+Z84+Z85+Z86+Z87, "NA")</f>
        <v>52211.81</v>
      </c>
      <c r="AA88" s="15">
        <f>IFERROR(Z88/Z445, "NA")</f>
        <v>1.8277154786794876E-2</v>
      </c>
      <c r="AB88" s="2"/>
      <c r="AC88" s="14">
        <f t="shared" si="23"/>
        <v>-1645.8399999999965</v>
      </c>
      <c r="AD88" s="15">
        <f>IFERROR(AC88/AC445, "NA")</f>
        <v>-2.1571668481737784E-2</v>
      </c>
    </row>
    <row r="89" spans="1:30" ht="16.5" customHeight="1" x14ac:dyDescent="0.45">
      <c r="A89" s="6" t="s">
        <v>85</v>
      </c>
      <c r="B89" s="7">
        <v>0</v>
      </c>
      <c r="C89" s="8">
        <f>IFERROR(B89/B445, "NA")</f>
        <v>0</v>
      </c>
      <c r="D89" s="9"/>
      <c r="E89" s="7">
        <v>0</v>
      </c>
      <c r="F89" s="8">
        <f>IFERROR(E89/E445, "NA")</f>
        <v>0</v>
      </c>
      <c r="G89" s="9"/>
      <c r="H89" s="10">
        <f t="shared" si="20"/>
        <v>0</v>
      </c>
      <c r="I89" s="8">
        <f>IFERROR(H89/H445, "NA")</f>
        <v>0</v>
      </c>
      <c r="J89" s="9"/>
      <c r="K89" s="7">
        <v>30.290000000000003</v>
      </c>
      <c r="L89" s="8">
        <f>IFERROR(K89/K445, "NA")</f>
        <v>5.0984729913485033E-5</v>
      </c>
      <c r="M89" s="9"/>
      <c r="N89" s="10">
        <f t="shared" si="21"/>
        <v>-30.290000000000003</v>
      </c>
      <c r="O89" s="8">
        <f>IFERROR(N89/N445, "NA")</f>
        <v>-8.2700813629633607E-2</v>
      </c>
      <c r="P89" s="9"/>
      <c r="Q89" s="7">
        <v>-170.06</v>
      </c>
      <c r="R89" s="8">
        <f>IFERROR(Q89/Q445, "NA")</f>
        <v>-5.7982242575097848E-5</v>
      </c>
      <c r="S89" s="9"/>
      <c r="T89" s="7">
        <v>0</v>
      </c>
      <c r="U89" s="8">
        <f>IFERROR(T89/T445, "NA")</f>
        <v>0</v>
      </c>
      <c r="V89" s="9"/>
      <c r="W89" s="10">
        <f t="shared" si="22"/>
        <v>-170.06</v>
      </c>
      <c r="X89" s="8">
        <f>IFERROR(W89/W445, "NA")</f>
        <v>1.2609958040709424E-3</v>
      </c>
      <c r="Y89" s="9"/>
      <c r="Z89" s="7">
        <v>-268.99</v>
      </c>
      <c r="AA89" s="8">
        <f>IFERROR(Z89/Z445, "NA")</f>
        <v>-9.4162065366053266E-5</v>
      </c>
      <c r="AB89" s="9"/>
      <c r="AC89" s="10">
        <f t="shared" si="23"/>
        <v>98.93</v>
      </c>
      <c r="AD89" s="8">
        <f>IFERROR(AC89/AC445, "NA")</f>
        <v>1.2966540872128053E-3</v>
      </c>
    </row>
    <row r="90" spans="1:30" ht="16.5" customHeight="1" x14ac:dyDescent="0.45">
      <c r="A90" s="6" t="s">
        <v>86</v>
      </c>
      <c r="B90" s="7">
        <v>38.240000000000009</v>
      </c>
      <c r="C90" s="8">
        <f>IFERROR(B90/B445, "NA")</f>
        <v>6.432667075111869E-5</v>
      </c>
      <c r="D90" s="9"/>
      <c r="E90" s="7">
        <v>0</v>
      </c>
      <c r="F90" s="8">
        <f>IFERROR(E90/E445, "NA")</f>
        <v>0</v>
      </c>
      <c r="G90" s="9"/>
      <c r="H90" s="10">
        <f t="shared" si="20"/>
        <v>38.240000000000009</v>
      </c>
      <c r="I90" s="8">
        <f>IFERROR(H90/H445, "NA")</f>
        <v>-7.0528026960002348E-4</v>
      </c>
      <c r="J90" s="9"/>
      <c r="K90" s="7">
        <v>0</v>
      </c>
      <c r="L90" s="8">
        <f>IFERROR(K90/K445, "NA")</f>
        <v>0</v>
      </c>
      <c r="M90" s="9"/>
      <c r="N90" s="10">
        <f t="shared" si="21"/>
        <v>38.240000000000009</v>
      </c>
      <c r="O90" s="8">
        <f>IFERROR(N90/N445, "NA")</f>
        <v>0.10440670561892339</v>
      </c>
      <c r="P90" s="9"/>
      <c r="Q90" s="7">
        <v>-2041.2400000000002</v>
      </c>
      <c r="R90" s="8">
        <f>IFERROR(Q90/Q445, "NA")</f>
        <v>-6.959642057743898E-4</v>
      </c>
      <c r="S90" s="9"/>
      <c r="T90" s="7">
        <v>0</v>
      </c>
      <c r="U90" s="8">
        <f>IFERROR(T90/T445, "NA")</f>
        <v>0</v>
      </c>
      <c r="V90" s="9"/>
      <c r="W90" s="10">
        <f t="shared" si="22"/>
        <v>-2041.2400000000002</v>
      </c>
      <c r="X90" s="8">
        <f>IFERROR(W90/W445, "NA")</f>
        <v>1.5135805451615728E-2</v>
      </c>
      <c r="Y90" s="9"/>
      <c r="Z90" s="7">
        <v>0</v>
      </c>
      <c r="AA90" s="8">
        <f>IFERROR(Z90/Z445, "NA")</f>
        <v>0</v>
      </c>
      <c r="AB90" s="9"/>
      <c r="AC90" s="10">
        <f t="shared" si="23"/>
        <v>-2041.2400000000002</v>
      </c>
      <c r="AD90" s="8">
        <f>IFERROR(AC90/AC445, "NA")</f>
        <v>-2.6754090659883423E-2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IFERROR(B91/B445, "NA")</f>
        <v>0</v>
      </c>
      <c r="D91" s="9"/>
      <c r="E91" s="7">
        <v>0</v>
      </c>
      <c r="F91" s="8">
        <f>IFERROR(E91/E445, "NA")</f>
        <v>0</v>
      </c>
      <c r="G91" s="9"/>
      <c r="H91" s="10">
        <f t="shared" si="20"/>
        <v>0</v>
      </c>
      <c r="I91" s="8">
        <f>IFERROR(H91/H445, "NA")</f>
        <v>0</v>
      </c>
      <c r="J91" s="9"/>
      <c r="K91" s="7">
        <v>0</v>
      </c>
      <c r="L91" s="8">
        <f>IFERROR(K91/K445, "NA")</f>
        <v>0</v>
      </c>
      <c r="M91" s="9"/>
      <c r="N91" s="10">
        <f t="shared" si="21"/>
        <v>0</v>
      </c>
      <c r="O91" s="8">
        <f>IFERROR(N91/N445, "NA")</f>
        <v>0</v>
      </c>
      <c r="P91" s="9"/>
      <c r="Q91" s="7">
        <v>0</v>
      </c>
      <c r="R91" s="8">
        <f>IFERROR(Q91/Q445, "NA")</f>
        <v>0</v>
      </c>
      <c r="S91" s="9"/>
      <c r="T91" s="7">
        <v>0</v>
      </c>
      <c r="U91" s="8">
        <f>IFERROR(T91/T445, "NA")</f>
        <v>0</v>
      </c>
      <c r="V91" s="9"/>
      <c r="W91" s="10">
        <f t="shared" si="22"/>
        <v>0</v>
      </c>
      <c r="X91" s="8">
        <f>IFERROR(W91/W445, "NA")</f>
        <v>0</v>
      </c>
      <c r="Y91" s="9"/>
      <c r="Z91" s="7">
        <v>0</v>
      </c>
      <c r="AA91" s="8">
        <f>IFERROR(Z91/Z445, "NA")</f>
        <v>0</v>
      </c>
      <c r="AB91" s="9"/>
      <c r="AC91" s="10">
        <f t="shared" si="23"/>
        <v>0</v>
      </c>
      <c r="AD91" s="8">
        <f>IFERROR(AC91/AC445,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IFERROR(B92/B445, "NA")</f>
        <v>0</v>
      </c>
      <c r="D92" s="9"/>
      <c r="E92" s="7">
        <v>0</v>
      </c>
      <c r="F92" s="8">
        <f>IFERROR(E92/E445, "NA")</f>
        <v>0</v>
      </c>
      <c r="G92" s="9"/>
      <c r="H92" s="10">
        <f t="shared" si="20"/>
        <v>0</v>
      </c>
      <c r="I92" s="8">
        <f>IFERROR(H92/H445, "NA")</f>
        <v>0</v>
      </c>
      <c r="J92" s="9"/>
      <c r="K92" s="7">
        <v>0</v>
      </c>
      <c r="L92" s="8">
        <f>IFERROR(K92/K445, "NA")</f>
        <v>0</v>
      </c>
      <c r="M92" s="9"/>
      <c r="N92" s="10">
        <f t="shared" si="21"/>
        <v>0</v>
      </c>
      <c r="O92" s="8">
        <f>IFERROR(N92/N445, "NA")</f>
        <v>0</v>
      </c>
      <c r="P92" s="9"/>
      <c r="Q92" s="7">
        <v>0</v>
      </c>
      <c r="R92" s="8">
        <f>IFERROR(Q92/Q445, "NA")</f>
        <v>0</v>
      </c>
      <c r="S92" s="9"/>
      <c r="T92" s="7">
        <v>0</v>
      </c>
      <c r="U92" s="8">
        <f>IFERROR(T92/T445, "NA")</f>
        <v>0</v>
      </c>
      <c r="V92" s="9"/>
      <c r="W92" s="10">
        <f t="shared" si="22"/>
        <v>0</v>
      </c>
      <c r="X92" s="8">
        <f>IFERROR(W92/W445, "NA")</f>
        <v>0</v>
      </c>
      <c r="Y92" s="9"/>
      <c r="Z92" s="7">
        <v>0</v>
      </c>
      <c r="AA92" s="8">
        <f>IFERROR(Z92/Z445, "NA")</f>
        <v>0</v>
      </c>
      <c r="AB92" s="9"/>
      <c r="AC92" s="10">
        <f t="shared" si="23"/>
        <v>0</v>
      </c>
      <c r="AD92" s="8">
        <f>IFERROR(AC92/AC445,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IFERROR(B94/B445, "NA")</f>
        <v>0</v>
      </c>
      <c r="D94" s="9"/>
      <c r="E94" s="7">
        <v>-33160.43</v>
      </c>
      <c r="F94" s="8">
        <f>IFERROR(E94/E445, "NA")</f>
        <v>-5.1119441909959137E-2</v>
      </c>
      <c r="G94" s="9"/>
      <c r="H94" s="10">
        <f t="shared" ref="H94:H124" si="24">IFERROR(B94-E94, "NA")</f>
        <v>33160.43</v>
      </c>
      <c r="I94" s="8">
        <f>IFERROR(H94/H445, "NA")</f>
        <v>-0.61159511010598067</v>
      </c>
      <c r="J94" s="9"/>
      <c r="K94" s="7">
        <v>0</v>
      </c>
      <c r="L94" s="8">
        <f>IFERROR(K94/K445, "NA")</f>
        <v>0</v>
      </c>
      <c r="M94" s="9"/>
      <c r="N94" s="10">
        <f t="shared" ref="N94:N124" si="25">IFERROR(B94-K94, "NA")</f>
        <v>0</v>
      </c>
      <c r="O94" s="8">
        <f>IFERROR(N94/N445, "NA")</f>
        <v>0</v>
      </c>
      <c r="P94" s="9"/>
      <c r="Q94" s="7">
        <v>0</v>
      </c>
      <c r="R94" s="8">
        <f>IFERROR(Q94/Q445, "NA")</f>
        <v>0</v>
      </c>
      <c r="S94" s="9"/>
      <c r="T94" s="7">
        <v>-155494.10999999999</v>
      </c>
      <c r="U94" s="8">
        <f>IFERROR(T94/T445, "NA")</f>
        <v>-5.0685396830839897E-2</v>
      </c>
      <c r="V94" s="9"/>
      <c r="W94" s="10">
        <f t="shared" ref="W94:W124" si="26">IFERROR(Q94-T94, "NA")</f>
        <v>155494.10999999999</v>
      </c>
      <c r="X94" s="8">
        <f>IFERROR(W94/W445, "NA")</f>
        <v>-1.1529896522859318</v>
      </c>
      <c r="Y94" s="9"/>
      <c r="Z94" s="7">
        <v>0</v>
      </c>
      <c r="AA94" s="8">
        <f>IFERROR(Z94/Z445, "NA")</f>
        <v>0</v>
      </c>
      <c r="AB94" s="9"/>
      <c r="AC94" s="10">
        <f t="shared" ref="AC94:AC124" si="27">IFERROR(Q94-Z94, "NA")</f>
        <v>0</v>
      </c>
      <c r="AD94" s="8">
        <f>IFERROR(AC94/AC445,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IFERROR(B95/B445, "NA")</f>
        <v>0</v>
      </c>
      <c r="D95" s="9"/>
      <c r="E95" s="7">
        <v>0</v>
      </c>
      <c r="F95" s="8">
        <f>IFERROR(E95/E445, "NA")</f>
        <v>0</v>
      </c>
      <c r="G95" s="9"/>
      <c r="H95" s="10">
        <f t="shared" si="24"/>
        <v>0</v>
      </c>
      <c r="I95" s="8">
        <f>IFERROR(H95/H445, "NA")</f>
        <v>0</v>
      </c>
      <c r="J95" s="9"/>
      <c r="K95" s="7">
        <v>0</v>
      </c>
      <c r="L95" s="8">
        <f>IFERROR(K95/K445, "NA")</f>
        <v>0</v>
      </c>
      <c r="M95" s="9"/>
      <c r="N95" s="10">
        <f t="shared" si="25"/>
        <v>0</v>
      </c>
      <c r="O95" s="8">
        <f>IFERROR(N95/N445, "NA")</f>
        <v>0</v>
      </c>
      <c r="P95" s="9"/>
      <c r="Q95" s="7">
        <v>0</v>
      </c>
      <c r="R95" s="8">
        <f>IFERROR(Q95/Q445, "NA")</f>
        <v>0</v>
      </c>
      <c r="S95" s="9"/>
      <c r="T95" s="7">
        <v>0</v>
      </c>
      <c r="U95" s="8">
        <f>IFERROR(T95/T445, "NA")</f>
        <v>0</v>
      </c>
      <c r="V95" s="9"/>
      <c r="W95" s="10">
        <f t="shared" si="26"/>
        <v>0</v>
      </c>
      <c r="X95" s="8">
        <f>IFERROR(W95/W445, "NA")</f>
        <v>0</v>
      </c>
      <c r="Y95" s="9"/>
      <c r="Z95" s="7">
        <v>0</v>
      </c>
      <c r="AA95" s="8">
        <f>IFERROR(Z95/Z445, "NA")</f>
        <v>0</v>
      </c>
      <c r="AB95" s="9"/>
      <c r="AC95" s="10">
        <f t="shared" si="27"/>
        <v>0</v>
      </c>
      <c r="AD95" s="8">
        <f>IFERROR(AC95/AC445, "NA")</f>
        <v>0</v>
      </c>
    </row>
    <row r="96" spans="1:30" ht="16.5" customHeight="1" x14ac:dyDescent="0.45">
      <c r="A96" s="12" t="s">
        <v>91</v>
      </c>
      <c r="B96" s="7">
        <v>-5411.22</v>
      </c>
      <c r="C96" s="8">
        <f>IFERROR(B96/B445, "NA")</f>
        <v>-9.102661278814551E-3</v>
      </c>
      <c r="D96" s="9"/>
      <c r="E96" s="7">
        <v>0</v>
      </c>
      <c r="F96" s="8">
        <f>IFERROR(E96/E445, "NA")</f>
        <v>0</v>
      </c>
      <c r="G96" s="9"/>
      <c r="H96" s="10">
        <f t="shared" si="24"/>
        <v>-5411.22</v>
      </c>
      <c r="I96" s="8">
        <f>IFERROR(H96/H445, "NA")</f>
        <v>9.9801953464043885E-2</v>
      </c>
      <c r="J96" s="9"/>
      <c r="K96" s="7">
        <v>-6016.4</v>
      </c>
      <c r="L96" s="8">
        <f>IFERROR(K96/K445, "NA")</f>
        <v>-1.0126924036034707E-2</v>
      </c>
      <c r="M96" s="9"/>
      <c r="N96" s="10">
        <f t="shared" si="25"/>
        <v>605.17999999999938</v>
      </c>
      <c r="O96" s="8">
        <f>IFERROR(N96/N445, "NA")</f>
        <v>1.6523234860475937</v>
      </c>
      <c r="P96" s="9"/>
      <c r="Q96" s="7">
        <v>-30784.649999999994</v>
      </c>
      <c r="R96" s="8">
        <f>IFERROR(Q96/Q445, "NA")</f>
        <v>-1.0496078112957106E-2</v>
      </c>
      <c r="S96" s="9"/>
      <c r="T96" s="7">
        <v>0</v>
      </c>
      <c r="U96" s="8">
        <f>IFERROR(T96/T445, "NA")</f>
        <v>0</v>
      </c>
      <c r="V96" s="9"/>
      <c r="W96" s="10">
        <f t="shared" si="26"/>
        <v>-30784.649999999994</v>
      </c>
      <c r="X96" s="8">
        <f>IFERROR(W96/W445, "NA")</f>
        <v>0.2282683434069889</v>
      </c>
      <c r="Y96" s="9"/>
      <c r="Z96" s="7">
        <v>-39075.159999999996</v>
      </c>
      <c r="AA96" s="8">
        <f>IFERROR(Z96/Z445, "NA")</f>
        <v>-1.3678567121859509E-2</v>
      </c>
      <c r="AB96" s="9"/>
      <c r="AC96" s="10">
        <f t="shared" si="27"/>
        <v>8290.510000000002</v>
      </c>
      <c r="AD96" s="8">
        <f>IFERROR(AC96/AC445, "NA")</f>
        <v>0.10866191930232121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IFERROR(B97/B445, "NA")</f>
        <v>0</v>
      </c>
      <c r="D97" s="9"/>
      <c r="E97" s="7">
        <v>0</v>
      </c>
      <c r="F97" s="8">
        <f>IFERROR(E97/E445, "NA")</f>
        <v>0</v>
      </c>
      <c r="G97" s="9"/>
      <c r="H97" s="10">
        <f t="shared" si="24"/>
        <v>0</v>
      </c>
      <c r="I97" s="8">
        <f>IFERROR(H97/H445, "NA")</f>
        <v>0</v>
      </c>
      <c r="J97" s="9"/>
      <c r="K97" s="7">
        <v>0</v>
      </c>
      <c r="L97" s="8">
        <f>IFERROR(K97/K445, "NA")</f>
        <v>0</v>
      </c>
      <c r="M97" s="9"/>
      <c r="N97" s="10">
        <f t="shared" si="25"/>
        <v>0</v>
      </c>
      <c r="O97" s="8">
        <f>IFERROR(N97/N445, "NA")</f>
        <v>0</v>
      </c>
      <c r="P97" s="9"/>
      <c r="Q97" s="7">
        <v>0</v>
      </c>
      <c r="R97" s="8">
        <f>IFERROR(Q97/Q445, "NA")</f>
        <v>0</v>
      </c>
      <c r="S97" s="9"/>
      <c r="T97" s="7">
        <v>0</v>
      </c>
      <c r="U97" s="8">
        <f>IFERROR(T97/T445, "NA")</f>
        <v>0</v>
      </c>
      <c r="V97" s="9"/>
      <c r="W97" s="10">
        <f t="shared" si="26"/>
        <v>0</v>
      </c>
      <c r="X97" s="8">
        <f>IFERROR(W97/W445, "NA")</f>
        <v>0</v>
      </c>
      <c r="Y97" s="9"/>
      <c r="Z97" s="7">
        <v>0</v>
      </c>
      <c r="AA97" s="8">
        <f>IFERROR(Z97/Z445, "NA")</f>
        <v>0</v>
      </c>
      <c r="AB97" s="9"/>
      <c r="AC97" s="10">
        <f t="shared" si="27"/>
        <v>0</v>
      </c>
      <c r="AD97" s="8">
        <f>IFERROR(AC97/AC445, "NA")</f>
        <v>0</v>
      </c>
    </row>
    <row r="98" spans="1:30" ht="16.5" customHeight="1" x14ac:dyDescent="0.45">
      <c r="A98" s="12" t="s">
        <v>93</v>
      </c>
      <c r="B98" s="7">
        <v>-8092.41</v>
      </c>
      <c r="C98" s="8">
        <f>IFERROR(B98/B445, "NA")</f>
        <v>-1.361291301393986E-2</v>
      </c>
      <c r="D98" s="9"/>
      <c r="E98" s="7">
        <v>0</v>
      </c>
      <c r="F98" s="8">
        <f>IFERROR(E98/E445, "NA")</f>
        <v>0</v>
      </c>
      <c r="G98" s="9"/>
      <c r="H98" s="10">
        <f t="shared" si="24"/>
        <v>-8092.41</v>
      </c>
      <c r="I98" s="8">
        <f>IFERROR(H98/H445, "NA")</f>
        <v>0.14925253939628463</v>
      </c>
      <c r="J98" s="9"/>
      <c r="K98" s="7">
        <v>-9774.31</v>
      </c>
      <c r="L98" s="8">
        <f>IFERROR(K98/K445, "NA")</f>
        <v>-1.6452312824056646E-2</v>
      </c>
      <c r="M98" s="9"/>
      <c r="N98" s="10">
        <f t="shared" si="25"/>
        <v>1681.8999999999996</v>
      </c>
      <c r="O98" s="8">
        <f>IFERROR(N98/N445, "NA")</f>
        <v>4.5920930486523845</v>
      </c>
      <c r="P98" s="9"/>
      <c r="Q98" s="7">
        <v>-35069.53</v>
      </c>
      <c r="R98" s="8">
        <f>IFERROR(Q98/Q445, "NA")</f>
        <v>-1.1957015144388281E-2</v>
      </c>
      <c r="S98" s="9"/>
      <c r="T98" s="7">
        <v>0</v>
      </c>
      <c r="U98" s="8">
        <f>IFERROR(T98/T445, "NA")</f>
        <v>0</v>
      </c>
      <c r="V98" s="9"/>
      <c r="W98" s="10">
        <f t="shared" si="26"/>
        <v>-35069.53</v>
      </c>
      <c r="X98" s="8">
        <f>IFERROR(W98/W445, "NA")</f>
        <v>0.26004075138621685</v>
      </c>
      <c r="Y98" s="9"/>
      <c r="Z98" s="7">
        <v>-48161.789999999994</v>
      </c>
      <c r="AA98" s="8">
        <f>IFERROR(Z98/Z445, "NA")</f>
        <v>-1.6859413428477379E-2</v>
      </c>
      <c r="AB98" s="9"/>
      <c r="AC98" s="10">
        <f t="shared" si="27"/>
        <v>13092.259999999995</v>
      </c>
      <c r="AD98" s="8">
        <f>IFERROR(AC98/AC445, "NA")</f>
        <v>0.17159741675783599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IFERROR(B99/B445, "NA")</f>
        <v>0</v>
      </c>
      <c r="D99" s="9"/>
      <c r="E99" s="7">
        <v>0</v>
      </c>
      <c r="F99" s="8">
        <f>IFERROR(E99/E445, "NA")</f>
        <v>0</v>
      </c>
      <c r="G99" s="9"/>
      <c r="H99" s="10">
        <f t="shared" si="24"/>
        <v>0</v>
      </c>
      <c r="I99" s="8">
        <f>IFERROR(H99/H445, "NA")</f>
        <v>0</v>
      </c>
      <c r="J99" s="9"/>
      <c r="K99" s="7">
        <v>0</v>
      </c>
      <c r="L99" s="8">
        <f>IFERROR(K99/K445, "NA")</f>
        <v>0</v>
      </c>
      <c r="M99" s="9"/>
      <c r="N99" s="10">
        <f t="shared" si="25"/>
        <v>0</v>
      </c>
      <c r="O99" s="8">
        <f>IFERROR(N99/N445, "NA")</f>
        <v>0</v>
      </c>
      <c r="P99" s="9"/>
      <c r="Q99" s="7">
        <v>0</v>
      </c>
      <c r="R99" s="8">
        <f>IFERROR(Q99/Q445, "NA")</f>
        <v>0</v>
      </c>
      <c r="S99" s="9"/>
      <c r="T99" s="7">
        <v>0</v>
      </c>
      <c r="U99" s="8">
        <f>IFERROR(T99/T445, "NA")</f>
        <v>0</v>
      </c>
      <c r="V99" s="9"/>
      <c r="W99" s="10">
        <f t="shared" si="26"/>
        <v>0</v>
      </c>
      <c r="X99" s="8">
        <f>IFERROR(W99/W445, "NA")</f>
        <v>0</v>
      </c>
      <c r="Y99" s="9"/>
      <c r="Z99" s="7">
        <v>0</v>
      </c>
      <c r="AA99" s="8">
        <f>IFERROR(Z99/Z445, "NA")</f>
        <v>0</v>
      </c>
      <c r="AB99" s="9"/>
      <c r="AC99" s="10">
        <f t="shared" si="27"/>
        <v>0</v>
      </c>
      <c r="AD99" s="8">
        <f>IFERROR(AC99/AC445, "NA")</f>
        <v>0</v>
      </c>
    </row>
    <row r="100" spans="1:30" ht="16.5" customHeight="1" x14ac:dyDescent="0.45">
      <c r="A100" s="12" t="s">
        <v>95</v>
      </c>
      <c r="B100" s="7">
        <v>-498.88</v>
      </c>
      <c r="C100" s="8">
        <f>IFERROR(B100/B445, "NA")</f>
        <v>-8.3920736151459421E-4</v>
      </c>
      <c r="D100" s="9"/>
      <c r="E100" s="7">
        <v>0</v>
      </c>
      <c r="F100" s="8">
        <f>IFERROR(E100/E445, "NA")</f>
        <v>0</v>
      </c>
      <c r="G100" s="9"/>
      <c r="H100" s="10">
        <f t="shared" si="24"/>
        <v>-498.88</v>
      </c>
      <c r="I100" s="8">
        <f>IFERROR(H100/H445, "NA")</f>
        <v>9.2011041029827299E-3</v>
      </c>
      <c r="J100" s="9"/>
      <c r="K100" s="7">
        <v>-1239.21</v>
      </c>
      <c r="L100" s="8">
        <f>IFERROR(K100/K445, "NA")</f>
        <v>-2.0858628971967574E-3</v>
      </c>
      <c r="M100" s="9"/>
      <c r="N100" s="10">
        <f t="shared" si="25"/>
        <v>740.33</v>
      </c>
      <c r="O100" s="8">
        <f>IFERROR(N100/N445, "NA")</f>
        <v>2.0213236498655216</v>
      </c>
      <c r="P100" s="9"/>
      <c r="Q100" s="7">
        <v>-4146.76</v>
      </c>
      <c r="R100" s="8">
        <f>IFERROR(Q100/Q445, "NA")</f>
        <v>-1.4138447854916661E-3</v>
      </c>
      <c r="S100" s="9"/>
      <c r="T100" s="7">
        <v>0</v>
      </c>
      <c r="U100" s="8">
        <f>IFERROR(T100/T445, "NA")</f>
        <v>0</v>
      </c>
      <c r="V100" s="9"/>
      <c r="W100" s="10">
        <f t="shared" si="26"/>
        <v>-4146.76</v>
      </c>
      <c r="X100" s="8">
        <f>IFERROR(W100/W445, "NA")</f>
        <v>3.0748247444956023E-2</v>
      </c>
      <c r="Y100" s="9"/>
      <c r="Z100" s="7">
        <v>-9071.2999999999993</v>
      </c>
      <c r="AA100" s="8">
        <f>IFERROR(Z100/Z445, "NA")</f>
        <v>-3.1754799195326182E-3</v>
      </c>
      <c r="AB100" s="9"/>
      <c r="AC100" s="10">
        <f t="shared" si="27"/>
        <v>4924.5399999999991</v>
      </c>
      <c r="AD100" s="8">
        <f>IFERROR(AC100/AC445, "NA")</f>
        <v>6.4544879395966301E-2</v>
      </c>
    </row>
    <row r="101" spans="1:30" ht="16.5" customHeight="1" x14ac:dyDescent="0.45">
      <c r="A101" s="12" t="s">
        <v>96</v>
      </c>
      <c r="B101" s="7">
        <v>0</v>
      </c>
      <c r="C101" s="8">
        <f>IFERROR(B101/B445, "NA")</f>
        <v>0</v>
      </c>
      <c r="D101" s="9"/>
      <c r="E101" s="7">
        <v>0</v>
      </c>
      <c r="F101" s="8">
        <f>IFERROR(E101/E445, "NA")</f>
        <v>0</v>
      </c>
      <c r="G101" s="9"/>
      <c r="H101" s="10">
        <f t="shared" si="24"/>
        <v>0</v>
      </c>
      <c r="I101" s="8">
        <f>IFERROR(H101/H445, "NA")</f>
        <v>0</v>
      </c>
      <c r="J101" s="9"/>
      <c r="K101" s="7">
        <v>0</v>
      </c>
      <c r="L101" s="8">
        <f>IFERROR(K101/K445, "NA")</f>
        <v>0</v>
      </c>
      <c r="M101" s="9"/>
      <c r="N101" s="10">
        <f t="shared" si="25"/>
        <v>0</v>
      </c>
      <c r="O101" s="8">
        <f>IFERROR(N101/N445, "NA")</f>
        <v>0</v>
      </c>
      <c r="P101" s="9"/>
      <c r="Q101" s="7">
        <v>-394.36</v>
      </c>
      <c r="R101" s="8">
        <f>IFERROR(Q101/Q445, "NA")</f>
        <v>-1.3445770423330347E-4</v>
      </c>
      <c r="S101" s="9"/>
      <c r="T101" s="7">
        <v>0</v>
      </c>
      <c r="U101" s="8">
        <f>IFERROR(T101/T445, "NA")</f>
        <v>0</v>
      </c>
      <c r="V101" s="9"/>
      <c r="W101" s="10">
        <f t="shared" si="26"/>
        <v>-394.36</v>
      </c>
      <c r="X101" s="8">
        <f>IFERROR(W101/W445, "NA")</f>
        <v>2.9241814964919258E-3</v>
      </c>
      <c r="Y101" s="9"/>
      <c r="Z101" s="7">
        <v>0</v>
      </c>
      <c r="AA101" s="8">
        <f>IFERROR(Z101/Z445, "NA")</f>
        <v>0</v>
      </c>
      <c r="AB101" s="9"/>
      <c r="AC101" s="10">
        <f t="shared" si="27"/>
        <v>-394.36</v>
      </c>
      <c r="AD101" s="8">
        <f>IFERROR(AC101/AC445, "NA")</f>
        <v>-5.1687911233522883E-3</v>
      </c>
    </row>
    <row r="102" spans="1:30" ht="16.5" customHeight="1" x14ac:dyDescent="0.45">
      <c r="A102" s="12" t="s">
        <v>97</v>
      </c>
      <c r="B102" s="7">
        <v>-4410.9399999999996</v>
      </c>
      <c r="C102" s="8">
        <f>IFERROR(B102/B445, "NA")</f>
        <v>-7.4200074550977869E-3</v>
      </c>
      <c r="D102" s="9"/>
      <c r="E102" s="7">
        <v>0</v>
      </c>
      <c r="F102" s="8">
        <f>IFERROR(E102/E445, "NA")</f>
        <v>0</v>
      </c>
      <c r="G102" s="9"/>
      <c r="H102" s="10">
        <f t="shared" si="24"/>
        <v>-4410.9399999999996</v>
      </c>
      <c r="I102" s="8">
        <f>IFERROR(H102/H445, "NA")</f>
        <v>8.135326758340812E-2</v>
      </c>
      <c r="J102" s="9"/>
      <c r="K102" s="7">
        <v>-5343.1999999999989</v>
      </c>
      <c r="L102" s="8">
        <f>IFERROR(K102/K445, "NA")</f>
        <v>-8.9937804184131113E-3</v>
      </c>
      <c r="M102" s="9"/>
      <c r="N102" s="10">
        <f t="shared" si="25"/>
        <v>932.25999999999931</v>
      </c>
      <c r="O102" s="8">
        <f>IFERROR(N102/N445, "NA")</f>
        <v>2.54535029760192</v>
      </c>
      <c r="P102" s="9"/>
      <c r="Q102" s="7">
        <v>-23027.339999999997</v>
      </c>
      <c r="R102" s="8">
        <f>IFERROR(Q102/Q445, "NA")</f>
        <v>-7.8512102419102288E-3</v>
      </c>
      <c r="S102" s="9"/>
      <c r="T102" s="7">
        <v>0</v>
      </c>
      <c r="U102" s="8">
        <f>IFERROR(T102/T445, "NA")</f>
        <v>0</v>
      </c>
      <c r="V102" s="9"/>
      <c r="W102" s="10">
        <f t="shared" si="26"/>
        <v>-23027.339999999997</v>
      </c>
      <c r="X102" s="8">
        <f>IFERROR(W102/W445, "NA")</f>
        <v>0.17074784851767005</v>
      </c>
      <c r="Y102" s="9"/>
      <c r="Z102" s="7">
        <v>-26184.66</v>
      </c>
      <c r="AA102" s="8">
        <f>IFERROR(Z102/Z445, "NA")</f>
        <v>-9.1661462006315496E-3</v>
      </c>
      <c r="AB102" s="9"/>
      <c r="AC102" s="10">
        <f t="shared" si="27"/>
        <v>3157.3200000000033</v>
      </c>
      <c r="AD102" s="8">
        <f>IFERROR(AC102/AC445, "NA")</f>
        <v>4.1382309538448792E-2</v>
      </c>
    </row>
    <row r="103" spans="1:30" ht="16.5" customHeight="1" x14ac:dyDescent="0.45">
      <c r="A103" s="12" t="s">
        <v>98</v>
      </c>
      <c r="B103" s="7">
        <v>-40.56</v>
      </c>
      <c r="C103" s="8">
        <f>IFERROR(B103/B445, "NA")</f>
        <v>-6.8229334876186541E-5</v>
      </c>
      <c r="D103" s="9"/>
      <c r="E103" s="7">
        <v>0</v>
      </c>
      <c r="F103" s="8">
        <f>IFERROR(E103/E445, "NA")</f>
        <v>0</v>
      </c>
      <c r="G103" s="9"/>
      <c r="H103" s="10">
        <f t="shared" si="24"/>
        <v>-40.56</v>
      </c>
      <c r="I103" s="8">
        <f>IFERROR(H103/H445, "NA")</f>
        <v>7.4806923993140544E-4</v>
      </c>
      <c r="J103" s="9"/>
      <c r="K103" s="7">
        <v>0</v>
      </c>
      <c r="L103" s="8">
        <f>IFERROR(K103/K445, "NA")</f>
        <v>0</v>
      </c>
      <c r="M103" s="9"/>
      <c r="N103" s="10">
        <f t="shared" si="25"/>
        <v>-40.56</v>
      </c>
      <c r="O103" s="8">
        <f>IFERROR(N103/N445, "NA")</f>
        <v>-0.11074100365856517</v>
      </c>
      <c r="P103" s="9"/>
      <c r="Q103" s="7">
        <v>-336.56</v>
      </c>
      <c r="R103" s="8">
        <f>IFERROR(Q103/Q445, "NA")</f>
        <v>-1.1475069717202711E-4</v>
      </c>
      <c r="S103" s="9"/>
      <c r="T103" s="7">
        <v>0</v>
      </c>
      <c r="U103" s="8">
        <f>IFERROR(T103/T445, "NA")</f>
        <v>0</v>
      </c>
      <c r="V103" s="9"/>
      <c r="W103" s="10">
        <f t="shared" si="26"/>
        <v>-336.56</v>
      </c>
      <c r="X103" s="8">
        <f>IFERROR(W103/W445, "NA")</f>
        <v>2.4955941892162554E-3</v>
      </c>
      <c r="Y103" s="9"/>
      <c r="Z103" s="7">
        <v>0</v>
      </c>
      <c r="AA103" s="8">
        <f>IFERROR(Z103/Z445, "NA")</f>
        <v>0</v>
      </c>
      <c r="AB103" s="9"/>
      <c r="AC103" s="10">
        <f t="shared" si="27"/>
        <v>-336.56</v>
      </c>
      <c r="AD103" s="8">
        <f>IFERROR(AC103/AC445, "NA")</f>
        <v>-4.4112190396476472E-3</v>
      </c>
    </row>
    <row r="104" spans="1:30" ht="16.5" customHeight="1" x14ac:dyDescent="0.45">
      <c r="A104" s="12" t="s">
        <v>99</v>
      </c>
      <c r="B104" s="7">
        <v>-1719.11</v>
      </c>
      <c r="C104" s="8">
        <f>IFERROR(B104/B445, "NA")</f>
        <v>-2.8918572948471656E-3</v>
      </c>
      <c r="D104" s="9"/>
      <c r="E104" s="7">
        <v>0</v>
      </c>
      <c r="F104" s="8">
        <f>IFERROR(E104/E445, "NA")</f>
        <v>0</v>
      </c>
      <c r="G104" s="9"/>
      <c r="H104" s="10">
        <f t="shared" si="24"/>
        <v>-1719.11</v>
      </c>
      <c r="I104" s="8">
        <f>IFERROR(H104/H445, "NA")</f>
        <v>3.1706442580337238E-2</v>
      </c>
      <c r="J104" s="9"/>
      <c r="K104" s="7">
        <v>-3225.92</v>
      </c>
      <c r="L104" s="8">
        <f>IFERROR(K104/K445, "NA")</f>
        <v>-5.4299326484816644E-3</v>
      </c>
      <c r="M104" s="9"/>
      <c r="N104" s="10">
        <f t="shared" si="25"/>
        <v>1506.8100000000002</v>
      </c>
      <c r="O104" s="8">
        <f>IFERROR(N104/N445, "NA")</f>
        <v>4.1140446677209717</v>
      </c>
      <c r="P104" s="9"/>
      <c r="Q104" s="7">
        <v>-10886.83</v>
      </c>
      <c r="R104" s="8">
        <f>IFERROR(Q104/Q445, "NA")</f>
        <v>-3.7118829703272518E-3</v>
      </c>
      <c r="S104" s="9"/>
      <c r="T104" s="7">
        <v>0</v>
      </c>
      <c r="U104" s="8">
        <f>IFERROR(T104/T445, "NA")</f>
        <v>0</v>
      </c>
      <c r="V104" s="9"/>
      <c r="W104" s="10">
        <f t="shared" si="26"/>
        <v>-10886.83</v>
      </c>
      <c r="X104" s="8">
        <f>IFERROR(W104/W445, "NA")</f>
        <v>8.0725902326435714E-2</v>
      </c>
      <c r="Y104" s="9"/>
      <c r="Z104" s="7">
        <v>-17312.61</v>
      </c>
      <c r="AA104" s="8">
        <f>IFERROR(Z104/Z445, "NA")</f>
        <v>-6.0604153108925517E-3</v>
      </c>
      <c r="AB104" s="9"/>
      <c r="AC104" s="10">
        <f t="shared" si="27"/>
        <v>6425.7800000000007</v>
      </c>
      <c r="AD104" s="8">
        <f>IFERROR(AC104/AC445, "NA")</f>
        <v>8.4221306990097042E-2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IFERROR(B105/B445, "NA")</f>
        <v>0</v>
      </c>
      <c r="D105" s="9"/>
      <c r="E105" s="7">
        <v>0</v>
      </c>
      <c r="F105" s="8">
        <f>IFERROR(E105/E445, "NA")</f>
        <v>0</v>
      </c>
      <c r="G105" s="9"/>
      <c r="H105" s="10">
        <f t="shared" si="24"/>
        <v>0</v>
      </c>
      <c r="I105" s="8">
        <f>IFERROR(H105/H445, "NA")</f>
        <v>0</v>
      </c>
      <c r="J105" s="9"/>
      <c r="K105" s="7">
        <v>0</v>
      </c>
      <c r="L105" s="8">
        <f>IFERROR(K105/K445, "NA")</f>
        <v>0</v>
      </c>
      <c r="M105" s="9"/>
      <c r="N105" s="10">
        <f t="shared" si="25"/>
        <v>0</v>
      </c>
      <c r="O105" s="8">
        <f>IFERROR(N105/N445, "NA")</f>
        <v>0</v>
      </c>
      <c r="P105" s="9"/>
      <c r="Q105" s="7">
        <v>0</v>
      </c>
      <c r="R105" s="8">
        <f>IFERROR(Q105/Q445, "NA")</f>
        <v>0</v>
      </c>
      <c r="S105" s="9"/>
      <c r="T105" s="7">
        <v>0</v>
      </c>
      <c r="U105" s="8">
        <f>IFERROR(T105/T445, "NA")</f>
        <v>0</v>
      </c>
      <c r="V105" s="9"/>
      <c r="W105" s="10">
        <f t="shared" si="26"/>
        <v>0</v>
      </c>
      <c r="X105" s="8">
        <f>IFERROR(W105/W445, "NA")</f>
        <v>0</v>
      </c>
      <c r="Y105" s="9"/>
      <c r="Z105" s="7">
        <v>0</v>
      </c>
      <c r="AA105" s="8">
        <f>IFERROR(Z105/Z445, "NA")</f>
        <v>0</v>
      </c>
      <c r="AB105" s="9"/>
      <c r="AC105" s="10">
        <f t="shared" si="27"/>
        <v>0</v>
      </c>
      <c r="AD105" s="8">
        <f>IFERROR(AC105/AC445, "NA")</f>
        <v>0</v>
      </c>
    </row>
    <row r="106" spans="1:30" ht="16.5" customHeight="1" x14ac:dyDescent="0.45">
      <c r="A106" s="12" t="s">
        <v>101</v>
      </c>
      <c r="B106" s="7">
        <v>-437.19</v>
      </c>
      <c r="C106" s="8">
        <f>IFERROR(B106/B445, "NA")</f>
        <v>-7.3543350380966452E-4</v>
      </c>
      <c r="D106" s="9"/>
      <c r="E106" s="7">
        <v>0</v>
      </c>
      <c r="F106" s="8">
        <f>IFERROR(E106/E445, "NA")</f>
        <v>0</v>
      </c>
      <c r="G106" s="9"/>
      <c r="H106" s="10">
        <f t="shared" si="24"/>
        <v>-437.19</v>
      </c>
      <c r="I106" s="8">
        <f>IFERROR(H106/H445, "NA")</f>
        <v>8.0633232496452444E-3</v>
      </c>
      <c r="J106" s="9"/>
      <c r="K106" s="7">
        <v>-1025.97</v>
      </c>
      <c r="L106" s="8">
        <f>IFERROR(K106/K445, "NA")</f>
        <v>-1.7269330917576175E-3</v>
      </c>
      <c r="M106" s="9"/>
      <c r="N106" s="10">
        <f t="shared" si="25"/>
        <v>588.78</v>
      </c>
      <c r="O106" s="8">
        <f>IFERROR(N106/N445, "NA")</f>
        <v>1.6075465516294378</v>
      </c>
      <c r="P106" s="9"/>
      <c r="Q106" s="7">
        <v>-1801.91</v>
      </c>
      <c r="R106" s="8">
        <f>IFERROR(Q106/Q445, "NA")</f>
        <v>-6.1436424037689379E-4</v>
      </c>
      <c r="S106" s="9"/>
      <c r="T106" s="7">
        <v>0</v>
      </c>
      <c r="U106" s="8">
        <f>IFERROR(T106/T445, "NA")</f>
        <v>0</v>
      </c>
      <c r="V106" s="9"/>
      <c r="W106" s="10">
        <f t="shared" si="26"/>
        <v>-1801.91</v>
      </c>
      <c r="X106" s="8">
        <f>IFERROR(W106/W445, "NA")</f>
        <v>1.3361172229292438E-2</v>
      </c>
      <c r="Y106" s="9"/>
      <c r="Z106" s="7">
        <v>-3933.7400000000002</v>
      </c>
      <c r="AA106" s="8">
        <f>IFERROR(Z106/Z445, "NA")</f>
        <v>-1.3770366296630299E-3</v>
      </c>
      <c r="AB106" s="9"/>
      <c r="AC106" s="10">
        <f t="shared" si="27"/>
        <v>2131.83</v>
      </c>
      <c r="AD106" s="8">
        <f>IFERROR(AC106/AC445, "NA")</f>
        <v>2.7941434173080711E-2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IFERROR(B107/B445, "NA")</f>
        <v>0</v>
      </c>
      <c r="D107" s="9"/>
      <c r="E107" s="7">
        <v>0</v>
      </c>
      <c r="F107" s="8">
        <f>IFERROR(E107/E445, "NA")</f>
        <v>0</v>
      </c>
      <c r="G107" s="9"/>
      <c r="H107" s="10">
        <f t="shared" si="24"/>
        <v>0</v>
      </c>
      <c r="I107" s="8">
        <f>IFERROR(H107/H445, "NA")</f>
        <v>0</v>
      </c>
      <c r="J107" s="9"/>
      <c r="K107" s="7">
        <v>0</v>
      </c>
      <c r="L107" s="8">
        <f>IFERROR(K107/K445, "NA")</f>
        <v>0</v>
      </c>
      <c r="M107" s="9"/>
      <c r="N107" s="10">
        <f t="shared" si="25"/>
        <v>0</v>
      </c>
      <c r="O107" s="8">
        <f>IFERROR(N107/N445, "NA")</f>
        <v>0</v>
      </c>
      <c r="P107" s="9"/>
      <c r="Q107" s="7">
        <v>0</v>
      </c>
      <c r="R107" s="8">
        <f>IFERROR(Q107/Q445, "NA")</f>
        <v>0</v>
      </c>
      <c r="S107" s="9"/>
      <c r="T107" s="7">
        <v>0</v>
      </c>
      <c r="U107" s="8">
        <f>IFERROR(T107/T445, "NA")</f>
        <v>0</v>
      </c>
      <c r="V107" s="9"/>
      <c r="W107" s="10">
        <f t="shared" si="26"/>
        <v>0</v>
      </c>
      <c r="X107" s="8">
        <f>IFERROR(W107/W445, "NA")</f>
        <v>0</v>
      </c>
      <c r="Y107" s="9"/>
      <c r="Z107" s="7">
        <v>0</v>
      </c>
      <c r="AA107" s="8">
        <f>IFERROR(Z107/Z445, "NA")</f>
        <v>0</v>
      </c>
      <c r="AB107" s="9"/>
      <c r="AC107" s="10">
        <f t="shared" si="27"/>
        <v>0</v>
      </c>
      <c r="AD107" s="8">
        <f>IFERROR(AC107/AC445,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IFERROR(B108/B445, "NA")</f>
        <v>0</v>
      </c>
      <c r="D108" s="9"/>
      <c r="E108" s="7">
        <v>0</v>
      </c>
      <c r="F108" s="8">
        <f>IFERROR(E108/E445, "NA")</f>
        <v>0</v>
      </c>
      <c r="G108" s="9"/>
      <c r="H108" s="10">
        <f t="shared" si="24"/>
        <v>0</v>
      </c>
      <c r="I108" s="8">
        <f>IFERROR(H108/H445, "NA")</f>
        <v>0</v>
      </c>
      <c r="J108" s="9"/>
      <c r="K108" s="7">
        <v>0</v>
      </c>
      <c r="L108" s="8">
        <f>IFERROR(K108/K445, "NA")</f>
        <v>0</v>
      </c>
      <c r="M108" s="9"/>
      <c r="N108" s="10">
        <f t="shared" si="25"/>
        <v>0</v>
      </c>
      <c r="O108" s="8">
        <f>IFERROR(N108/N445, "NA")</f>
        <v>0</v>
      </c>
      <c r="P108" s="9"/>
      <c r="Q108" s="7">
        <v>0</v>
      </c>
      <c r="R108" s="8">
        <f>IFERROR(Q108/Q445, "NA")</f>
        <v>0</v>
      </c>
      <c r="S108" s="9"/>
      <c r="T108" s="7">
        <v>0</v>
      </c>
      <c r="U108" s="8">
        <f>IFERROR(T108/T445, "NA")</f>
        <v>0</v>
      </c>
      <c r="V108" s="9"/>
      <c r="W108" s="10">
        <f t="shared" si="26"/>
        <v>0</v>
      </c>
      <c r="X108" s="8">
        <f>IFERROR(W108/W445, "NA")</f>
        <v>0</v>
      </c>
      <c r="Y108" s="9"/>
      <c r="Z108" s="7">
        <v>0</v>
      </c>
      <c r="AA108" s="8">
        <f>IFERROR(Z108/Z445, "NA")</f>
        <v>0</v>
      </c>
      <c r="AB108" s="9"/>
      <c r="AC108" s="10">
        <f t="shared" si="27"/>
        <v>0</v>
      </c>
      <c r="AD108" s="8">
        <f>IFERROR(AC108/AC445,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IFERROR(B109/B445, "NA")</f>
        <v>0</v>
      </c>
      <c r="D109" s="9"/>
      <c r="E109" s="7">
        <v>0</v>
      </c>
      <c r="F109" s="8">
        <f>IFERROR(E109/E445, "NA")</f>
        <v>0</v>
      </c>
      <c r="G109" s="9"/>
      <c r="H109" s="10">
        <f t="shared" si="24"/>
        <v>0</v>
      </c>
      <c r="I109" s="8">
        <f>IFERROR(H109/H445, "NA")</f>
        <v>0</v>
      </c>
      <c r="J109" s="9"/>
      <c r="K109" s="7">
        <v>0</v>
      </c>
      <c r="L109" s="8">
        <f>IFERROR(K109/K445, "NA")</f>
        <v>0</v>
      </c>
      <c r="M109" s="9"/>
      <c r="N109" s="10">
        <f t="shared" si="25"/>
        <v>0</v>
      </c>
      <c r="O109" s="8">
        <f>IFERROR(N109/N445, "NA")</f>
        <v>0</v>
      </c>
      <c r="P109" s="9"/>
      <c r="Q109" s="7">
        <v>0</v>
      </c>
      <c r="R109" s="8">
        <f>IFERROR(Q109/Q445, "NA")</f>
        <v>0</v>
      </c>
      <c r="S109" s="9"/>
      <c r="T109" s="7">
        <v>0</v>
      </c>
      <c r="U109" s="8">
        <f>IFERROR(T109/T445, "NA")</f>
        <v>0</v>
      </c>
      <c r="V109" s="9"/>
      <c r="W109" s="10">
        <f t="shared" si="26"/>
        <v>0</v>
      </c>
      <c r="X109" s="8">
        <f>IFERROR(W109/W445, "NA")</f>
        <v>0</v>
      </c>
      <c r="Y109" s="9"/>
      <c r="Z109" s="7">
        <v>0</v>
      </c>
      <c r="AA109" s="8">
        <f>IFERROR(Z109/Z445, "NA")</f>
        <v>0</v>
      </c>
      <c r="AB109" s="9"/>
      <c r="AC109" s="10">
        <f t="shared" si="27"/>
        <v>0</v>
      </c>
      <c r="AD109" s="8">
        <f>IFERROR(AC109/AC445,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IFERROR(B110/B445, "NA")</f>
        <v>0</v>
      </c>
      <c r="D110" s="9"/>
      <c r="E110" s="7">
        <v>0</v>
      </c>
      <c r="F110" s="8">
        <f>IFERROR(E110/E445, "NA")</f>
        <v>0</v>
      </c>
      <c r="G110" s="9"/>
      <c r="H110" s="10">
        <f t="shared" si="24"/>
        <v>0</v>
      </c>
      <c r="I110" s="8">
        <f>IFERROR(H110/H445, "NA")</f>
        <v>0</v>
      </c>
      <c r="J110" s="9"/>
      <c r="K110" s="7">
        <v>0</v>
      </c>
      <c r="L110" s="8">
        <f>IFERROR(K110/K445, "NA")</f>
        <v>0</v>
      </c>
      <c r="M110" s="9"/>
      <c r="N110" s="10">
        <f t="shared" si="25"/>
        <v>0</v>
      </c>
      <c r="O110" s="8">
        <f>IFERROR(N110/N445, "NA")</f>
        <v>0</v>
      </c>
      <c r="P110" s="9"/>
      <c r="Q110" s="7">
        <v>0</v>
      </c>
      <c r="R110" s="8">
        <f>IFERROR(Q110/Q445, "NA")</f>
        <v>0</v>
      </c>
      <c r="S110" s="9"/>
      <c r="T110" s="7">
        <v>0</v>
      </c>
      <c r="U110" s="8">
        <f>IFERROR(T110/T445, "NA")</f>
        <v>0</v>
      </c>
      <c r="V110" s="9"/>
      <c r="W110" s="10">
        <f t="shared" si="26"/>
        <v>0</v>
      </c>
      <c r="X110" s="8">
        <f>IFERROR(W110/W445, "NA")</f>
        <v>0</v>
      </c>
      <c r="Y110" s="9"/>
      <c r="Z110" s="7">
        <v>0</v>
      </c>
      <c r="AA110" s="8">
        <f>IFERROR(Z110/Z445, "NA")</f>
        <v>0</v>
      </c>
      <c r="AB110" s="9"/>
      <c r="AC110" s="10">
        <f t="shared" si="27"/>
        <v>0</v>
      </c>
      <c r="AD110" s="8">
        <f>IFERROR(AC110/AC445,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IFERROR(B111/B445, "NA")</f>
        <v>0</v>
      </c>
      <c r="D111" s="9"/>
      <c r="E111" s="7">
        <v>0</v>
      </c>
      <c r="F111" s="8">
        <f>IFERROR(E111/E445, "NA")</f>
        <v>0</v>
      </c>
      <c r="G111" s="9"/>
      <c r="H111" s="10">
        <f t="shared" si="24"/>
        <v>0</v>
      </c>
      <c r="I111" s="8">
        <f>IFERROR(H111/H445, "NA")</f>
        <v>0</v>
      </c>
      <c r="J111" s="9"/>
      <c r="K111" s="7">
        <v>0</v>
      </c>
      <c r="L111" s="8">
        <f>IFERROR(K111/K445, "NA")</f>
        <v>0</v>
      </c>
      <c r="M111" s="9"/>
      <c r="N111" s="10">
        <f t="shared" si="25"/>
        <v>0</v>
      </c>
      <c r="O111" s="8">
        <f>IFERROR(N111/N445, "NA")</f>
        <v>0</v>
      </c>
      <c r="P111" s="9"/>
      <c r="Q111" s="7">
        <v>0</v>
      </c>
      <c r="R111" s="8">
        <f>IFERROR(Q111/Q445, "NA")</f>
        <v>0</v>
      </c>
      <c r="S111" s="9"/>
      <c r="T111" s="7">
        <v>0</v>
      </c>
      <c r="U111" s="8">
        <f>IFERROR(T111/T445, "NA")</f>
        <v>0</v>
      </c>
      <c r="V111" s="9"/>
      <c r="W111" s="10">
        <f t="shared" si="26"/>
        <v>0</v>
      </c>
      <c r="X111" s="8">
        <f>IFERROR(W111/W445, "NA")</f>
        <v>0</v>
      </c>
      <c r="Y111" s="9"/>
      <c r="Z111" s="7">
        <v>0</v>
      </c>
      <c r="AA111" s="8">
        <f>IFERROR(Z111/Z445, "NA")</f>
        <v>0</v>
      </c>
      <c r="AB111" s="9"/>
      <c r="AC111" s="10">
        <f t="shared" si="27"/>
        <v>0</v>
      </c>
      <c r="AD111" s="8">
        <f>IFERROR(AC111/AC445,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IFERROR(B112/B445, "NA")</f>
        <v>0</v>
      </c>
      <c r="D112" s="9"/>
      <c r="E112" s="7">
        <v>0</v>
      </c>
      <c r="F112" s="8">
        <f>IFERROR(E112/E445, "NA")</f>
        <v>0</v>
      </c>
      <c r="G112" s="9"/>
      <c r="H112" s="10">
        <f t="shared" si="24"/>
        <v>0</v>
      </c>
      <c r="I112" s="8">
        <f>IFERROR(H112/H445, "NA")</f>
        <v>0</v>
      </c>
      <c r="J112" s="9"/>
      <c r="K112" s="7">
        <v>0</v>
      </c>
      <c r="L112" s="8">
        <f>IFERROR(K112/K445, "NA")</f>
        <v>0</v>
      </c>
      <c r="M112" s="9"/>
      <c r="N112" s="10">
        <f t="shared" si="25"/>
        <v>0</v>
      </c>
      <c r="O112" s="8">
        <f>IFERROR(N112/N445, "NA")</f>
        <v>0</v>
      </c>
      <c r="P112" s="9"/>
      <c r="Q112" s="7">
        <v>0</v>
      </c>
      <c r="R112" s="8">
        <f>IFERROR(Q112/Q445, "NA")</f>
        <v>0</v>
      </c>
      <c r="S112" s="9"/>
      <c r="T112" s="7">
        <v>0</v>
      </c>
      <c r="U112" s="8">
        <f>IFERROR(T112/T445, "NA")</f>
        <v>0</v>
      </c>
      <c r="V112" s="9"/>
      <c r="W112" s="10">
        <f t="shared" si="26"/>
        <v>0</v>
      </c>
      <c r="X112" s="8">
        <f>IFERROR(W112/W445, "NA")</f>
        <v>0</v>
      </c>
      <c r="Y112" s="9"/>
      <c r="Z112" s="7">
        <v>0</v>
      </c>
      <c r="AA112" s="8">
        <f>IFERROR(Z112/Z445, "NA")</f>
        <v>0</v>
      </c>
      <c r="AB112" s="9"/>
      <c r="AC112" s="10">
        <f t="shared" si="27"/>
        <v>0</v>
      </c>
      <c r="AD112" s="8">
        <f>IFERROR(AC112/AC445,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IFERROR(B113/B445, "NA")</f>
        <v>0</v>
      </c>
      <c r="D113" s="9"/>
      <c r="E113" s="7">
        <v>0</v>
      </c>
      <c r="F113" s="8">
        <f>IFERROR(E113/E445, "NA")</f>
        <v>0</v>
      </c>
      <c r="G113" s="9"/>
      <c r="H113" s="10">
        <f t="shared" si="24"/>
        <v>0</v>
      </c>
      <c r="I113" s="8">
        <f>IFERROR(H113/H445, "NA")</f>
        <v>0</v>
      </c>
      <c r="J113" s="9"/>
      <c r="K113" s="7">
        <v>0</v>
      </c>
      <c r="L113" s="8">
        <f>IFERROR(K113/K445, "NA")</f>
        <v>0</v>
      </c>
      <c r="M113" s="9"/>
      <c r="N113" s="10">
        <f t="shared" si="25"/>
        <v>0</v>
      </c>
      <c r="O113" s="8">
        <f>IFERROR(N113/N445, "NA")</f>
        <v>0</v>
      </c>
      <c r="P113" s="9"/>
      <c r="Q113" s="7">
        <v>0</v>
      </c>
      <c r="R113" s="8">
        <f>IFERROR(Q113/Q445, "NA")</f>
        <v>0</v>
      </c>
      <c r="S113" s="9"/>
      <c r="T113" s="7">
        <v>0</v>
      </c>
      <c r="U113" s="8">
        <f>IFERROR(T113/T445, "NA")</f>
        <v>0</v>
      </c>
      <c r="V113" s="9"/>
      <c r="W113" s="10">
        <f t="shared" si="26"/>
        <v>0</v>
      </c>
      <c r="X113" s="8">
        <f>IFERROR(W113/W445, "NA")</f>
        <v>0</v>
      </c>
      <c r="Y113" s="9"/>
      <c r="Z113" s="7">
        <v>0</v>
      </c>
      <c r="AA113" s="8">
        <f>IFERROR(Z113/Z445, "NA")</f>
        <v>0</v>
      </c>
      <c r="AB113" s="9"/>
      <c r="AC113" s="10">
        <f t="shared" si="27"/>
        <v>0</v>
      </c>
      <c r="AD113" s="8">
        <f>IFERROR(AC113/AC445,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IFERROR(B114/B445, "NA")</f>
        <v>0</v>
      </c>
      <c r="D114" s="9"/>
      <c r="E114" s="7">
        <v>0</v>
      </c>
      <c r="F114" s="8">
        <f>IFERROR(E114/E445, "NA")</f>
        <v>0</v>
      </c>
      <c r="G114" s="9"/>
      <c r="H114" s="10">
        <f t="shared" si="24"/>
        <v>0</v>
      </c>
      <c r="I114" s="8">
        <f>IFERROR(H114/H445, "NA")</f>
        <v>0</v>
      </c>
      <c r="J114" s="9"/>
      <c r="K114" s="7">
        <v>0</v>
      </c>
      <c r="L114" s="8">
        <f>IFERROR(K114/K445, "NA")</f>
        <v>0</v>
      </c>
      <c r="M114" s="9"/>
      <c r="N114" s="10">
        <f t="shared" si="25"/>
        <v>0</v>
      </c>
      <c r="O114" s="8">
        <f>IFERROR(N114/N445, "NA")</f>
        <v>0</v>
      </c>
      <c r="P114" s="9"/>
      <c r="Q114" s="7">
        <v>0</v>
      </c>
      <c r="R114" s="8">
        <f>IFERROR(Q114/Q445, "NA")</f>
        <v>0</v>
      </c>
      <c r="S114" s="9"/>
      <c r="T114" s="7">
        <v>0</v>
      </c>
      <c r="U114" s="8">
        <f>IFERROR(T114/T445, "NA")</f>
        <v>0</v>
      </c>
      <c r="V114" s="9"/>
      <c r="W114" s="10">
        <f t="shared" si="26"/>
        <v>0</v>
      </c>
      <c r="X114" s="8">
        <f>IFERROR(W114/W445, "NA")</f>
        <v>0</v>
      </c>
      <c r="Y114" s="9"/>
      <c r="Z114" s="7">
        <v>0</v>
      </c>
      <c r="AA114" s="8">
        <f>IFERROR(Z114/Z445, "NA")</f>
        <v>0</v>
      </c>
      <c r="AB114" s="9"/>
      <c r="AC114" s="10">
        <f t="shared" si="27"/>
        <v>0</v>
      </c>
      <c r="AD114" s="8">
        <f>IFERROR(AC114/AC445,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IFERROR(B115/B445, "NA")</f>
        <v>0</v>
      </c>
      <c r="D115" s="9"/>
      <c r="E115" s="7">
        <v>0</v>
      </c>
      <c r="F115" s="8">
        <f>IFERROR(E115/E445, "NA")</f>
        <v>0</v>
      </c>
      <c r="G115" s="9"/>
      <c r="H115" s="10">
        <f t="shared" si="24"/>
        <v>0</v>
      </c>
      <c r="I115" s="8">
        <f>IFERROR(H115/H445, "NA")</f>
        <v>0</v>
      </c>
      <c r="J115" s="9"/>
      <c r="K115" s="7">
        <v>0</v>
      </c>
      <c r="L115" s="8">
        <f>IFERROR(K115/K445, "NA")</f>
        <v>0</v>
      </c>
      <c r="M115" s="9"/>
      <c r="N115" s="10">
        <f t="shared" si="25"/>
        <v>0</v>
      </c>
      <c r="O115" s="8">
        <f>IFERROR(N115/N445, "NA")</f>
        <v>0</v>
      </c>
      <c r="P115" s="9"/>
      <c r="Q115" s="7">
        <v>0</v>
      </c>
      <c r="R115" s="8">
        <f>IFERROR(Q115/Q445, "NA")</f>
        <v>0</v>
      </c>
      <c r="S115" s="9"/>
      <c r="T115" s="7">
        <v>0</v>
      </c>
      <c r="U115" s="8">
        <f>IFERROR(T115/T445, "NA")</f>
        <v>0</v>
      </c>
      <c r="V115" s="9"/>
      <c r="W115" s="10">
        <f t="shared" si="26"/>
        <v>0</v>
      </c>
      <c r="X115" s="8">
        <f>IFERROR(W115/W445, "NA")</f>
        <v>0</v>
      </c>
      <c r="Y115" s="9"/>
      <c r="Z115" s="7">
        <v>0</v>
      </c>
      <c r="AA115" s="8">
        <f>IFERROR(Z115/Z445, "NA")</f>
        <v>0</v>
      </c>
      <c r="AB115" s="9"/>
      <c r="AC115" s="10">
        <f t="shared" si="27"/>
        <v>0</v>
      </c>
      <c r="AD115" s="8">
        <f>IFERROR(AC115/AC445,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IFERROR(B116/B445, "NA")</f>
        <v>0</v>
      </c>
      <c r="D116" s="9"/>
      <c r="E116" s="7">
        <v>0</v>
      </c>
      <c r="F116" s="8">
        <f>IFERROR(E116/E445, "NA")</f>
        <v>0</v>
      </c>
      <c r="G116" s="9"/>
      <c r="H116" s="10">
        <f t="shared" si="24"/>
        <v>0</v>
      </c>
      <c r="I116" s="8">
        <f>IFERROR(H116/H445, "NA")</f>
        <v>0</v>
      </c>
      <c r="J116" s="9"/>
      <c r="K116" s="7">
        <v>0</v>
      </c>
      <c r="L116" s="8">
        <f>IFERROR(K116/K445, "NA")</f>
        <v>0</v>
      </c>
      <c r="M116" s="9"/>
      <c r="N116" s="10">
        <f t="shared" si="25"/>
        <v>0</v>
      </c>
      <c r="O116" s="8">
        <f>IFERROR(N116/N445, "NA")</f>
        <v>0</v>
      </c>
      <c r="P116" s="9"/>
      <c r="Q116" s="7">
        <v>0</v>
      </c>
      <c r="R116" s="8">
        <f>IFERROR(Q116/Q445, "NA")</f>
        <v>0</v>
      </c>
      <c r="S116" s="9"/>
      <c r="T116" s="7">
        <v>0</v>
      </c>
      <c r="U116" s="8">
        <f>IFERROR(T116/T445, "NA")</f>
        <v>0</v>
      </c>
      <c r="V116" s="9"/>
      <c r="W116" s="10">
        <f t="shared" si="26"/>
        <v>0</v>
      </c>
      <c r="X116" s="8">
        <f>IFERROR(W116/W445, "NA")</f>
        <v>0</v>
      </c>
      <c r="Y116" s="9"/>
      <c r="Z116" s="7">
        <v>0</v>
      </c>
      <c r="AA116" s="8">
        <f>IFERROR(Z116/Z445, "NA")</f>
        <v>0</v>
      </c>
      <c r="AB116" s="9"/>
      <c r="AC116" s="10">
        <f t="shared" si="27"/>
        <v>0</v>
      </c>
      <c r="AD116" s="8">
        <f>IFERROR(AC116/AC445,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IFERROR(B117/B445, "NA")</f>
        <v>0</v>
      </c>
      <c r="D117" s="9"/>
      <c r="E117" s="7">
        <v>0</v>
      </c>
      <c r="F117" s="8">
        <f>IFERROR(E117/E445, "NA")</f>
        <v>0</v>
      </c>
      <c r="G117" s="9"/>
      <c r="H117" s="10">
        <f t="shared" si="24"/>
        <v>0</v>
      </c>
      <c r="I117" s="8">
        <f>IFERROR(H117/H445, "NA")</f>
        <v>0</v>
      </c>
      <c r="J117" s="9"/>
      <c r="K117" s="7">
        <v>0</v>
      </c>
      <c r="L117" s="8">
        <f>IFERROR(K117/K445, "NA")</f>
        <v>0</v>
      </c>
      <c r="M117" s="9"/>
      <c r="N117" s="10">
        <f t="shared" si="25"/>
        <v>0</v>
      </c>
      <c r="O117" s="8">
        <f>IFERROR(N117/N445, "NA")</f>
        <v>0</v>
      </c>
      <c r="P117" s="9"/>
      <c r="Q117" s="7">
        <v>0</v>
      </c>
      <c r="R117" s="8">
        <f>IFERROR(Q117/Q445, "NA")</f>
        <v>0</v>
      </c>
      <c r="S117" s="9"/>
      <c r="T117" s="7">
        <v>0</v>
      </c>
      <c r="U117" s="8">
        <f>IFERROR(T117/T445, "NA")</f>
        <v>0</v>
      </c>
      <c r="V117" s="9"/>
      <c r="W117" s="10">
        <f t="shared" si="26"/>
        <v>0</v>
      </c>
      <c r="X117" s="8">
        <f>IFERROR(W117/W445, "NA")</f>
        <v>0</v>
      </c>
      <c r="Y117" s="9"/>
      <c r="Z117" s="7">
        <v>0</v>
      </c>
      <c r="AA117" s="8">
        <f>IFERROR(Z117/Z445, "NA")</f>
        <v>0</v>
      </c>
      <c r="AB117" s="9"/>
      <c r="AC117" s="10">
        <f t="shared" si="27"/>
        <v>0</v>
      </c>
      <c r="AD117" s="8">
        <f>IFERROR(AC117/AC445,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-20610.310000000001</v>
      </c>
      <c r="C118" s="15">
        <f>IFERROR(B118/B445, "NA")</f>
        <v>-3.4670309242899808E-2</v>
      </c>
      <c r="D118" s="2"/>
      <c r="E118" s="14">
        <f>IFERROR(E94+E95+E96+E97+E98+E99+E100+E101+E102+E103+E104+E105+E106+E107+E108+E109+E110+E111+E112+E113+E114+E115+E116+E117, "NA")</f>
        <v>-33160.43</v>
      </c>
      <c r="F118" s="15">
        <f>IFERROR(E118/E445, "NA")</f>
        <v>-5.1119441909959137E-2</v>
      </c>
      <c r="G118" s="2"/>
      <c r="H118" s="14">
        <f t="shared" si="24"/>
        <v>12550.119999999999</v>
      </c>
      <c r="I118" s="15">
        <f>IFERROR(H118/H445, "NA")</f>
        <v>-0.23146841048934735</v>
      </c>
      <c r="J118" s="2"/>
      <c r="K118" s="14">
        <f>IFERROR(K94+K95+K96+K97+K98+K99+K100+K101+K102+K103+K104+K105+K106+K107+K108+K109+K110+K111+K112+K113+K114+K115+K116+K117, "NA")</f>
        <v>-26625.009999999995</v>
      </c>
      <c r="L118" s="15">
        <f>IFERROR(K118/K445, "NA")</f>
        <v>-4.4815745915940501E-2</v>
      </c>
      <c r="M118" s="2"/>
      <c r="N118" s="14">
        <f t="shared" si="25"/>
        <v>6014.6999999999935</v>
      </c>
      <c r="O118" s="15">
        <f>IFERROR(N118/N445, "NA")</f>
        <v>16.421940697859249</v>
      </c>
      <c r="P118" s="2"/>
      <c r="Q118" s="14">
        <f>IFERROR(Q94+Q95+Q96+Q97+Q98+Q99+Q100+Q101+Q102+Q103+Q104+Q105+Q106+Q107+Q108+Q109+Q110+Q111+Q112+Q113+Q114+Q115+Q116+Q117, "NA")</f>
        <v>-106447.93999999999</v>
      </c>
      <c r="R118" s="15">
        <f>IFERROR(Q118/Q445, "NA")</f>
        <v>-3.6293603896856756E-2</v>
      </c>
      <c r="S118" s="2"/>
      <c r="T118" s="14">
        <f>IFERROR(T94+T95+T96+T97+T98+T99+T100+T101+T102+T103+T104+T105+T106+T107+T108+T109+T110+T111+T112+T113+T114+T115+T116+T117, "NA")</f>
        <v>-155494.10999999999</v>
      </c>
      <c r="U118" s="15">
        <f>IFERROR(T118/T445, "NA")</f>
        <v>-5.0685396830839897E-2</v>
      </c>
      <c r="V118" s="2"/>
      <c r="W118" s="14">
        <f t="shared" si="26"/>
        <v>49046.17</v>
      </c>
      <c r="X118" s="15">
        <f>IFERROR(W118/W445, "NA")</f>
        <v>-0.3636776112886636</v>
      </c>
      <c r="Y118" s="2"/>
      <c r="Z118" s="14">
        <f>IFERROR(Z94+Z95+Z96+Z97+Z98+Z99+Z100+Z101+Z102+Z103+Z104+Z105+Z106+Z107+Z108+Z109+Z110+Z111+Z112+Z113+Z114+Z115+Z116+Z117, "NA")</f>
        <v>-143739.25999999998</v>
      </c>
      <c r="AA118" s="15">
        <f>IFERROR(Z118/Z445, "NA")</f>
        <v>-5.0317058611056634E-2</v>
      </c>
      <c r="AB118" s="2"/>
      <c r="AC118" s="14">
        <f t="shared" si="27"/>
        <v>37291.319999999992</v>
      </c>
      <c r="AD118" s="15">
        <f>IFERROR(AC118/AC445, "NA")</f>
        <v>0.48876925599475002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IFERROR(B119/B445, "NA")</f>
        <v>0</v>
      </c>
      <c r="D119" s="9"/>
      <c r="E119" s="7">
        <v>0</v>
      </c>
      <c r="F119" s="8">
        <f>IFERROR(E119/E445, "NA")</f>
        <v>0</v>
      </c>
      <c r="G119" s="9"/>
      <c r="H119" s="10">
        <f t="shared" si="24"/>
        <v>0</v>
      </c>
      <c r="I119" s="8">
        <f>IFERROR(H119/H445, "NA")</f>
        <v>0</v>
      </c>
      <c r="J119" s="9"/>
      <c r="K119" s="7">
        <v>0</v>
      </c>
      <c r="L119" s="8">
        <f>IFERROR(K119/K445, "NA")</f>
        <v>0</v>
      </c>
      <c r="M119" s="9"/>
      <c r="N119" s="10">
        <f t="shared" si="25"/>
        <v>0</v>
      </c>
      <c r="O119" s="8">
        <f>IFERROR(N119/N445, "NA")</f>
        <v>0</v>
      </c>
      <c r="P119" s="9"/>
      <c r="Q119" s="7">
        <v>0</v>
      </c>
      <c r="R119" s="8">
        <f>IFERROR(Q119/Q445, "NA")</f>
        <v>0</v>
      </c>
      <c r="S119" s="9"/>
      <c r="T119" s="7">
        <v>0</v>
      </c>
      <c r="U119" s="8">
        <f>IFERROR(T119/T445, "NA")</f>
        <v>0</v>
      </c>
      <c r="V119" s="9"/>
      <c r="W119" s="10">
        <f t="shared" si="26"/>
        <v>0</v>
      </c>
      <c r="X119" s="8">
        <f>IFERROR(W119/W445, "NA")</f>
        <v>0</v>
      </c>
      <c r="Y119" s="9"/>
      <c r="Z119" s="7">
        <v>0</v>
      </c>
      <c r="AA119" s="8">
        <f>IFERROR(Z119/Z445, "NA")</f>
        <v>0</v>
      </c>
      <c r="AB119" s="9"/>
      <c r="AC119" s="10">
        <f t="shared" si="27"/>
        <v>0</v>
      </c>
      <c r="AD119" s="8">
        <f>IFERROR(AC119/AC445,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IFERROR(B120/B445, "NA")</f>
        <v>0</v>
      </c>
      <c r="D120" s="9"/>
      <c r="E120" s="7">
        <v>0</v>
      </c>
      <c r="F120" s="8">
        <f>IFERROR(E120/E445, "NA")</f>
        <v>0</v>
      </c>
      <c r="G120" s="9"/>
      <c r="H120" s="10">
        <f t="shared" si="24"/>
        <v>0</v>
      </c>
      <c r="I120" s="8">
        <f>IFERROR(H120/H445, "NA")</f>
        <v>0</v>
      </c>
      <c r="J120" s="9"/>
      <c r="K120" s="7">
        <v>0</v>
      </c>
      <c r="L120" s="8">
        <f>IFERROR(K120/K445, "NA")</f>
        <v>0</v>
      </c>
      <c r="M120" s="9"/>
      <c r="N120" s="10">
        <f t="shared" si="25"/>
        <v>0</v>
      </c>
      <c r="O120" s="8">
        <f>IFERROR(N120/N445, "NA")</f>
        <v>0</v>
      </c>
      <c r="P120" s="9"/>
      <c r="Q120" s="7">
        <v>0</v>
      </c>
      <c r="R120" s="8">
        <f>IFERROR(Q120/Q445, "NA")</f>
        <v>0</v>
      </c>
      <c r="S120" s="9"/>
      <c r="T120" s="7">
        <v>0</v>
      </c>
      <c r="U120" s="8">
        <f>IFERROR(T120/T445, "NA")</f>
        <v>0</v>
      </c>
      <c r="V120" s="9"/>
      <c r="W120" s="10">
        <f t="shared" si="26"/>
        <v>0</v>
      </c>
      <c r="X120" s="8">
        <f>IFERROR(W120/W445, "NA")</f>
        <v>0</v>
      </c>
      <c r="Y120" s="9"/>
      <c r="Z120" s="7">
        <v>0</v>
      </c>
      <c r="AA120" s="8">
        <f>IFERROR(Z120/Z445, "NA")</f>
        <v>0</v>
      </c>
      <c r="AB120" s="9"/>
      <c r="AC120" s="10">
        <f t="shared" si="27"/>
        <v>0</v>
      </c>
      <c r="AD120" s="8">
        <f>IFERROR(AC120/AC445,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IFERROR(B121/B445, "NA")</f>
        <v>0</v>
      </c>
      <c r="D121" s="9"/>
      <c r="E121" s="7">
        <v>0</v>
      </c>
      <c r="F121" s="8">
        <f>IFERROR(E121/E445, "NA")</f>
        <v>0</v>
      </c>
      <c r="G121" s="9"/>
      <c r="H121" s="10">
        <f t="shared" si="24"/>
        <v>0</v>
      </c>
      <c r="I121" s="8">
        <f>IFERROR(H121/H445, "NA")</f>
        <v>0</v>
      </c>
      <c r="J121" s="9"/>
      <c r="K121" s="7">
        <v>0</v>
      </c>
      <c r="L121" s="8">
        <f>IFERROR(K121/K445, "NA")</f>
        <v>0</v>
      </c>
      <c r="M121" s="9"/>
      <c r="N121" s="10">
        <f t="shared" si="25"/>
        <v>0</v>
      </c>
      <c r="O121" s="8">
        <f>IFERROR(N121/N445, "NA")</f>
        <v>0</v>
      </c>
      <c r="P121" s="9"/>
      <c r="Q121" s="7">
        <v>0</v>
      </c>
      <c r="R121" s="8">
        <f>IFERROR(Q121/Q445, "NA")</f>
        <v>0</v>
      </c>
      <c r="S121" s="9"/>
      <c r="T121" s="7">
        <v>0</v>
      </c>
      <c r="U121" s="8">
        <f>IFERROR(T121/T445, "NA")</f>
        <v>0</v>
      </c>
      <c r="V121" s="9"/>
      <c r="W121" s="10">
        <f t="shared" si="26"/>
        <v>0</v>
      </c>
      <c r="X121" s="8">
        <f>IFERROR(W121/W445, "NA")</f>
        <v>0</v>
      </c>
      <c r="Y121" s="9"/>
      <c r="Z121" s="7">
        <v>0</v>
      </c>
      <c r="AA121" s="8">
        <f>IFERROR(Z121/Z445, "NA")</f>
        <v>0</v>
      </c>
      <c r="AB121" s="9"/>
      <c r="AC121" s="10">
        <f t="shared" si="27"/>
        <v>0</v>
      </c>
      <c r="AD121" s="8">
        <f>IFERROR(AC121/AC445,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594465.71000000008</v>
      </c>
      <c r="C122" s="15">
        <f>IFERROR(B122/B445,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648685.29</v>
      </c>
      <c r="F122" s="15">
        <f>IFERROR(E122/E445, "NA")</f>
        <v>1</v>
      </c>
      <c r="G122" s="2"/>
      <c r="H122" s="14">
        <f t="shared" si="24"/>
        <v>-54219.579999999958</v>
      </c>
      <c r="I122" s="15">
        <f>IFERROR(H122/H445,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594099.45000000019</v>
      </c>
      <c r="L122" s="15">
        <f>IFERROR(K122/K445, "NA")</f>
        <v>1.0000000000000004</v>
      </c>
      <c r="M122" s="2"/>
      <c r="N122" s="14">
        <f t="shared" si="25"/>
        <v>366.2599999998929</v>
      </c>
      <c r="O122" s="15">
        <f>IFERROR(N122/N445, "NA")</f>
        <v>0.99999999999936429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2932966.93</v>
      </c>
      <c r="R122" s="15">
        <f>IFERROR(Q122/Q445,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3067828.6000000006</v>
      </c>
      <c r="U122" s="15">
        <f>IFERROR(T122/T445, "NA")</f>
        <v>1.0000000000000002</v>
      </c>
      <c r="V122" s="2"/>
      <c r="W122" s="14">
        <f t="shared" si="26"/>
        <v>-134861.67000000039</v>
      </c>
      <c r="X122" s="15">
        <f>IFERROR(W122/W445, "NA")</f>
        <v>1.0000000000000036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2856670.5599999996</v>
      </c>
      <c r="AA122" s="15">
        <f>IFERROR(Z122/Z445, "NA")</f>
        <v>0.99999999999999989</v>
      </c>
      <c r="AB122" s="2"/>
      <c r="AC122" s="14">
        <f t="shared" si="27"/>
        <v>76296.370000000577</v>
      </c>
      <c r="AD122" s="15">
        <f>IFERROR(AC122/AC445, "NA")</f>
        <v>1.0000000000000122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IFERROR(B123/B445, "NA")</f>
        <v>0</v>
      </c>
      <c r="D123" s="9"/>
      <c r="E123" s="7">
        <v>0</v>
      </c>
      <c r="F123" s="8">
        <f>IFERROR(E123/E445, "NA")</f>
        <v>0</v>
      </c>
      <c r="G123" s="9"/>
      <c r="H123" s="10">
        <f t="shared" si="24"/>
        <v>0</v>
      </c>
      <c r="I123" s="8">
        <f>IFERROR(H123/H445, "NA")</f>
        <v>0</v>
      </c>
      <c r="J123" s="9"/>
      <c r="K123" s="7">
        <v>0</v>
      </c>
      <c r="L123" s="8">
        <f>IFERROR(K123/K445, "NA")</f>
        <v>0</v>
      </c>
      <c r="M123" s="9"/>
      <c r="N123" s="10">
        <f t="shared" si="25"/>
        <v>0</v>
      </c>
      <c r="O123" s="8">
        <f>IFERROR(N123/N445, "NA")</f>
        <v>0</v>
      </c>
      <c r="P123" s="9"/>
      <c r="Q123" s="7">
        <v>0</v>
      </c>
      <c r="R123" s="8">
        <f>IFERROR(Q123/Q445, "NA")</f>
        <v>0</v>
      </c>
      <c r="S123" s="9"/>
      <c r="T123" s="7">
        <v>0</v>
      </c>
      <c r="U123" s="8">
        <f>IFERROR(T123/T445, "NA")</f>
        <v>0</v>
      </c>
      <c r="V123" s="9"/>
      <c r="W123" s="10">
        <f t="shared" si="26"/>
        <v>0</v>
      </c>
      <c r="X123" s="8">
        <f>IFERROR(W123/W445, "NA")</f>
        <v>0</v>
      </c>
      <c r="Y123" s="9"/>
      <c r="Z123" s="7">
        <v>0</v>
      </c>
      <c r="AA123" s="8">
        <f>IFERROR(Z123/Z445, "NA")</f>
        <v>0</v>
      </c>
      <c r="AB123" s="9"/>
      <c r="AC123" s="10">
        <f t="shared" si="27"/>
        <v>0</v>
      </c>
      <c r="AD123" s="8">
        <f>IFERROR(AC123/AC445,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594465.71000000008</v>
      </c>
      <c r="C124" s="15">
        <f>IFERROR(B124/B445,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648685.29</v>
      </c>
      <c r="F124" s="15">
        <f>IFERROR(E124/E445, "NA")</f>
        <v>1</v>
      </c>
      <c r="G124" s="2"/>
      <c r="H124" s="14">
        <f t="shared" si="24"/>
        <v>-54219.579999999958</v>
      </c>
      <c r="I124" s="15">
        <f>IFERROR(H124/H445,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594099.45000000019</v>
      </c>
      <c r="L124" s="15">
        <f>IFERROR(K124/K445, "NA")</f>
        <v>1.0000000000000004</v>
      </c>
      <c r="M124" s="2"/>
      <c r="N124" s="14">
        <f t="shared" si="25"/>
        <v>366.2599999998929</v>
      </c>
      <c r="O124" s="15">
        <f>IFERROR(N124/N445, "NA")</f>
        <v>0.99999999999936429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2932966.93</v>
      </c>
      <c r="R124" s="15">
        <f>IFERROR(Q124/Q445,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3067828.6000000006</v>
      </c>
      <c r="U124" s="15">
        <f>IFERROR(T124/T445, "NA")</f>
        <v>1.0000000000000002</v>
      </c>
      <c r="V124" s="2"/>
      <c r="W124" s="14">
        <f t="shared" si="26"/>
        <v>-134861.67000000039</v>
      </c>
      <c r="X124" s="15">
        <f>IFERROR(W124/W445, "NA")</f>
        <v>1.0000000000000036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2856670.5599999996</v>
      </c>
      <c r="AA124" s="15">
        <f>IFERROR(Z124/Z445, "NA")</f>
        <v>0.99999999999999989</v>
      </c>
      <c r="AB124" s="2"/>
      <c r="AC124" s="14">
        <f t="shared" si="27"/>
        <v>76296.370000000577</v>
      </c>
      <c r="AD124" s="15">
        <f>IFERROR(AC124/AC445, "NA")</f>
        <v>1.0000000000000122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IFERROR(B127/B445, "NA")</f>
        <v>0</v>
      </c>
      <c r="D127" s="9"/>
      <c r="E127" s="7">
        <v>0</v>
      </c>
      <c r="F127" s="8">
        <f>IFERROR(E127/E445, "NA")</f>
        <v>0</v>
      </c>
      <c r="G127" s="9"/>
      <c r="H127" s="10">
        <f>IFERROR(-(B127-E127), "NA")</f>
        <v>0</v>
      </c>
      <c r="I127" s="8">
        <f>IFERROR(H127/H445, "NA")</f>
        <v>0</v>
      </c>
      <c r="J127" s="9"/>
      <c r="K127" s="7">
        <v>0</v>
      </c>
      <c r="L127" s="8">
        <f>IFERROR(K127/K445, "NA")</f>
        <v>0</v>
      </c>
      <c r="M127" s="9"/>
      <c r="N127" s="10">
        <f>IFERROR(-(B127-K127), "NA")</f>
        <v>0</v>
      </c>
      <c r="O127" s="8">
        <f>IFERROR(N127/N445, "NA")</f>
        <v>0</v>
      </c>
      <c r="P127" s="9"/>
      <c r="Q127" s="7">
        <v>0</v>
      </c>
      <c r="R127" s="8">
        <f>IFERROR(Q127/Q445, "NA")</f>
        <v>0</v>
      </c>
      <c r="S127" s="9"/>
      <c r="T127" s="7">
        <v>0</v>
      </c>
      <c r="U127" s="8">
        <f>IFERROR(T127/T445, "NA")</f>
        <v>0</v>
      </c>
      <c r="V127" s="9"/>
      <c r="W127" s="10">
        <f>IFERROR(-(Q127-T127), "NA")</f>
        <v>0</v>
      </c>
      <c r="X127" s="8">
        <f>IFERROR(W127/W445, "NA")</f>
        <v>0</v>
      </c>
      <c r="Y127" s="9"/>
      <c r="Z127" s="7">
        <v>0</v>
      </c>
      <c r="AA127" s="8">
        <f>IFERROR(Z127/Z445, "NA")</f>
        <v>0</v>
      </c>
      <c r="AB127" s="9"/>
      <c r="AC127" s="10">
        <f>IFERROR(-(Q127-Z127), "NA")</f>
        <v>0</v>
      </c>
      <c r="AD127" s="8">
        <f>IFERROR(AC127/AC445,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IFERROR(B129/B445, "NA")</f>
        <v>0</v>
      </c>
      <c r="D129" s="9"/>
      <c r="E129" s="7">
        <v>136547.46</v>
      </c>
      <c r="F129" s="8">
        <f>IFERROR(E129/E445, "NA")</f>
        <v>0.21049877668722838</v>
      </c>
      <c r="G129" s="9"/>
      <c r="H129" s="10">
        <f t="shared" ref="H129:H141" si="28">IFERROR(-(B129-E129), "NA")</f>
        <v>136547.46</v>
      </c>
      <c r="I129" s="8">
        <f>IFERROR(H129/H445, "NA")</f>
        <v>-2.5184160408472382</v>
      </c>
      <c r="J129" s="9"/>
      <c r="K129" s="7">
        <v>0</v>
      </c>
      <c r="L129" s="8">
        <f>IFERROR(K129/K445, "NA")</f>
        <v>0</v>
      </c>
      <c r="M129" s="9"/>
      <c r="N129" s="10">
        <f t="shared" ref="N129:N141" si="29">IFERROR(-(B129-K129), "NA")</f>
        <v>0</v>
      </c>
      <c r="O129" s="8">
        <f>IFERROR(N129/N445, "NA")</f>
        <v>0</v>
      </c>
      <c r="P129" s="9"/>
      <c r="Q129" s="7">
        <v>0</v>
      </c>
      <c r="R129" s="8">
        <f>IFERROR(Q129/Q445, "NA")</f>
        <v>0</v>
      </c>
      <c r="S129" s="9"/>
      <c r="T129" s="7">
        <v>649978.5</v>
      </c>
      <c r="U129" s="8">
        <f>IFERROR(T129/T445, "NA")</f>
        <v>0.21186923545859115</v>
      </c>
      <c r="V129" s="9"/>
      <c r="W129" s="10">
        <f t="shared" ref="W129:W141" si="30">IFERROR(-(Q129-T129), "NA")</f>
        <v>649978.5</v>
      </c>
      <c r="X129" s="8">
        <f>IFERROR(W129/W445, "NA")</f>
        <v>-4.8195940329079443</v>
      </c>
      <c r="Y129" s="9"/>
      <c r="Z129" s="7">
        <v>0</v>
      </c>
      <c r="AA129" s="8">
        <f>IFERROR(Z129/Z445, "NA")</f>
        <v>0</v>
      </c>
      <c r="AB129" s="9"/>
      <c r="AC129" s="10">
        <f t="shared" ref="AC129:AC141" si="31">IFERROR(-(Q129-Z129), "NA")</f>
        <v>0</v>
      </c>
      <c r="AD129" s="8">
        <f>IFERROR(AC129/AC445, "NA")</f>
        <v>0</v>
      </c>
    </row>
    <row r="130" spans="1:30" ht="16.5" customHeight="1" x14ac:dyDescent="0.45">
      <c r="A130" s="12" t="s">
        <v>122</v>
      </c>
      <c r="B130" s="7">
        <v>31010.190000000002</v>
      </c>
      <c r="C130" s="8">
        <f>IFERROR(B130/B445, "NA")</f>
        <v>5.2164808631266553E-2</v>
      </c>
      <c r="D130" s="9"/>
      <c r="E130" s="7">
        <v>0</v>
      </c>
      <c r="F130" s="8">
        <f>IFERROR(E130/E445, "NA")</f>
        <v>0</v>
      </c>
      <c r="G130" s="9"/>
      <c r="H130" s="10">
        <f t="shared" si="28"/>
        <v>-31010.190000000002</v>
      </c>
      <c r="I130" s="8">
        <f>IFERROR(H130/H445, "NA")</f>
        <v>0.57193711201746722</v>
      </c>
      <c r="J130" s="9"/>
      <c r="K130" s="7">
        <v>31670.840000000004</v>
      </c>
      <c r="L130" s="8">
        <f>IFERROR(K130/K445, "NA")</f>
        <v>5.3308987241109225E-2</v>
      </c>
      <c r="M130" s="9"/>
      <c r="N130" s="10">
        <f t="shared" si="29"/>
        <v>660.65000000000146</v>
      </c>
      <c r="O130" s="8">
        <f>IFERROR(N130/N445, "NA")</f>
        <v>1.8037732758143796</v>
      </c>
      <c r="P130" s="9"/>
      <c r="Q130" s="7">
        <v>144257.27000000002</v>
      </c>
      <c r="R130" s="8">
        <f>IFERROR(Q130/Q445, "NA")</f>
        <v>4.9184758452083886E-2</v>
      </c>
      <c r="S130" s="9"/>
      <c r="T130" s="7">
        <v>0</v>
      </c>
      <c r="U130" s="8">
        <f>IFERROR(T130/T445, "NA")</f>
        <v>0</v>
      </c>
      <c r="V130" s="9"/>
      <c r="W130" s="10">
        <f t="shared" si="30"/>
        <v>-144257.27000000002</v>
      </c>
      <c r="X130" s="8">
        <f>IFERROR(W130/W445, "NA")</f>
        <v>1.0696684239487773</v>
      </c>
      <c r="Y130" s="9"/>
      <c r="Z130" s="7">
        <v>160651.27000000002</v>
      </c>
      <c r="AA130" s="8">
        <f>IFERROR(Z130/Z445, "NA")</f>
        <v>5.6237240740843429E-2</v>
      </c>
      <c r="AB130" s="9"/>
      <c r="AC130" s="10">
        <f t="shared" si="31"/>
        <v>16394</v>
      </c>
      <c r="AD130" s="8">
        <f>IFERROR(AC130/AC445, "NA")</f>
        <v>0.21487260796287</v>
      </c>
    </row>
    <row r="131" spans="1:30" ht="16.5" customHeight="1" x14ac:dyDescent="0.45">
      <c r="A131" s="12" t="s">
        <v>123</v>
      </c>
      <c r="B131" s="7">
        <v>15754.5</v>
      </c>
      <c r="C131" s="8">
        <f>IFERROR(B131/B445, "NA")</f>
        <v>2.6501949119992131E-2</v>
      </c>
      <c r="D131" s="9"/>
      <c r="E131" s="7">
        <v>0</v>
      </c>
      <c r="F131" s="8">
        <f>IFERROR(E131/E445, "NA")</f>
        <v>0</v>
      </c>
      <c r="G131" s="9"/>
      <c r="H131" s="10">
        <f t="shared" si="28"/>
        <v>-15754.5</v>
      </c>
      <c r="I131" s="8">
        <f>IFERROR(H131/H445, "NA")</f>
        <v>0.29056846253696567</v>
      </c>
      <c r="J131" s="9"/>
      <c r="K131" s="7">
        <v>19057.440000000002</v>
      </c>
      <c r="L131" s="8">
        <f>IFERROR(K131/K445, "NA")</f>
        <v>3.2077861711536683E-2</v>
      </c>
      <c r="M131" s="9"/>
      <c r="N131" s="10">
        <f t="shared" si="29"/>
        <v>3302.9400000000023</v>
      </c>
      <c r="O131" s="8">
        <f>IFERROR(N131/N445, "NA")</f>
        <v>9.0180199857993468</v>
      </c>
      <c r="P131" s="9"/>
      <c r="Q131" s="7">
        <v>79559.83</v>
      </c>
      <c r="R131" s="8">
        <f>IFERROR(Q131/Q445, "NA")</f>
        <v>2.7126057640206674E-2</v>
      </c>
      <c r="S131" s="9"/>
      <c r="T131" s="7">
        <v>0</v>
      </c>
      <c r="U131" s="8">
        <f>IFERROR(T131/T445, "NA")</f>
        <v>0</v>
      </c>
      <c r="V131" s="9"/>
      <c r="W131" s="10">
        <f t="shared" si="30"/>
        <v>-79559.83</v>
      </c>
      <c r="X131" s="8">
        <f>IFERROR(W131/W445, "NA")</f>
        <v>0.58993656240501879</v>
      </c>
      <c r="Y131" s="9"/>
      <c r="Z131" s="7">
        <v>88748.57</v>
      </c>
      <c r="AA131" s="8">
        <f>IFERROR(Z131/Z445, "NA")</f>
        <v>3.1067135021687627E-2</v>
      </c>
      <c r="AB131" s="9"/>
      <c r="AC131" s="10">
        <f t="shared" si="31"/>
        <v>9188.7400000000052</v>
      </c>
      <c r="AD131" s="8">
        <f>IFERROR(AC131/AC445, "NA")</f>
        <v>0.12043482540519355</v>
      </c>
    </row>
    <row r="132" spans="1:30" ht="16.5" customHeight="1" x14ac:dyDescent="0.45">
      <c r="A132" s="12" t="s">
        <v>124</v>
      </c>
      <c r="B132" s="7">
        <v>25896.850000000002</v>
      </c>
      <c r="C132" s="8">
        <f>IFERROR(B132/B445, "NA")</f>
        <v>4.3563235968648216E-2</v>
      </c>
      <c r="D132" s="9"/>
      <c r="E132" s="7">
        <v>0</v>
      </c>
      <c r="F132" s="8">
        <f>IFERROR(E132/E445, "NA")</f>
        <v>0</v>
      </c>
      <c r="G132" s="9"/>
      <c r="H132" s="10">
        <f t="shared" si="28"/>
        <v>-25896.850000000002</v>
      </c>
      <c r="I132" s="8">
        <f>IFERROR(H132/H445, "NA")</f>
        <v>0.47762911479579928</v>
      </c>
      <c r="J132" s="9"/>
      <c r="K132" s="7">
        <v>29635.140000000003</v>
      </c>
      <c r="L132" s="8">
        <f>IFERROR(K132/K445, "NA")</f>
        <v>4.9882456548310229E-2</v>
      </c>
      <c r="M132" s="9"/>
      <c r="N132" s="10">
        <f t="shared" si="29"/>
        <v>3738.2900000000009</v>
      </c>
      <c r="O132" s="8">
        <f>IFERROR(N132/N445, "NA")</f>
        <v>10.206656473539883</v>
      </c>
      <c r="P132" s="9"/>
      <c r="Q132" s="7">
        <v>111046.41</v>
      </c>
      <c r="R132" s="8">
        <f>IFERROR(Q132/Q445, "NA")</f>
        <v>3.786145996538734E-2</v>
      </c>
      <c r="S132" s="9"/>
      <c r="T132" s="7">
        <v>0</v>
      </c>
      <c r="U132" s="8">
        <f>IFERROR(T132/T445, "NA")</f>
        <v>0</v>
      </c>
      <c r="V132" s="9"/>
      <c r="W132" s="10">
        <f t="shared" si="30"/>
        <v>-111046.41</v>
      </c>
      <c r="X132" s="8">
        <f>IFERROR(W132/W445, "NA")</f>
        <v>0.82340972049359962</v>
      </c>
      <c r="Y132" s="9"/>
      <c r="Z132" s="7">
        <v>116142.09</v>
      </c>
      <c r="AA132" s="8">
        <f>IFERROR(Z132/Z445, "NA")</f>
        <v>4.0656452174170195E-2</v>
      </c>
      <c r="AB132" s="9"/>
      <c r="AC132" s="10">
        <f t="shared" si="31"/>
        <v>5095.679999999993</v>
      </c>
      <c r="AD132" s="8">
        <f>IFERROR(AC132/AC445, "NA")</f>
        <v>6.6787974316471627E-2</v>
      </c>
    </row>
    <row r="133" spans="1:30" ht="16.5" customHeight="1" x14ac:dyDescent="0.45">
      <c r="A133" s="12" t="s">
        <v>125</v>
      </c>
      <c r="B133" s="7">
        <v>13292.82</v>
      </c>
      <c r="C133" s="8">
        <f>IFERROR(B133/B445, "NA")</f>
        <v>2.2360953334045117E-2</v>
      </c>
      <c r="D133" s="9"/>
      <c r="E133" s="7">
        <v>0</v>
      </c>
      <c r="F133" s="8">
        <f>IFERROR(E133/E445, "NA")</f>
        <v>0</v>
      </c>
      <c r="G133" s="9"/>
      <c r="H133" s="10">
        <f t="shared" si="28"/>
        <v>-13292.82</v>
      </c>
      <c r="I133" s="8">
        <f>IFERROR(H133/H445, "NA")</f>
        <v>0.24516641405189804</v>
      </c>
      <c r="J133" s="9"/>
      <c r="K133" s="7">
        <v>14197.13</v>
      </c>
      <c r="L133" s="8">
        <f>IFERROR(K133/K445, "NA")</f>
        <v>2.389689133696387E-2</v>
      </c>
      <c r="M133" s="9"/>
      <c r="N133" s="10">
        <f t="shared" si="29"/>
        <v>904.30999999999949</v>
      </c>
      <c r="O133" s="8">
        <f>IFERROR(N133/N445, "NA")</f>
        <v>2.4690383880295119</v>
      </c>
      <c r="P133" s="9"/>
      <c r="Q133" s="7">
        <v>65351.659999999996</v>
      </c>
      <c r="R133" s="8">
        <f>IFERROR(Q133/Q445, "NA")</f>
        <v>2.2281758219483232E-2</v>
      </c>
      <c r="S133" s="9"/>
      <c r="T133" s="7">
        <v>0</v>
      </c>
      <c r="U133" s="8">
        <f>IFERROR(T133/T445, "NA")</f>
        <v>0</v>
      </c>
      <c r="V133" s="9"/>
      <c r="W133" s="10">
        <f t="shared" si="30"/>
        <v>-65351.659999999996</v>
      </c>
      <c r="X133" s="8">
        <f>IFERROR(W133/W445, "NA")</f>
        <v>0.48458290632171491</v>
      </c>
      <c r="Y133" s="9"/>
      <c r="Z133" s="7">
        <v>66301.87</v>
      </c>
      <c r="AA133" s="8">
        <f>IFERROR(Z133/Z445, "NA")</f>
        <v>2.3209491121720383E-2</v>
      </c>
      <c r="AB133" s="9"/>
      <c r="AC133" s="10">
        <f t="shared" si="31"/>
        <v>950.20999999999913</v>
      </c>
      <c r="AD133" s="8">
        <f>IFERROR(AC133/AC445, "NA")</f>
        <v>1.2454196706868276E-2</v>
      </c>
    </row>
    <row r="134" spans="1:30" ht="16.5" customHeight="1" x14ac:dyDescent="0.45">
      <c r="A134" s="12" t="s">
        <v>126</v>
      </c>
      <c r="B134" s="7">
        <v>7178.59</v>
      </c>
      <c r="C134" s="8">
        <f>IFERROR(B134/B445, "NA")</f>
        <v>1.2075700716194378E-2</v>
      </c>
      <c r="D134" s="9"/>
      <c r="E134" s="7">
        <v>0</v>
      </c>
      <c r="F134" s="8">
        <f>IFERROR(E134/E445, "NA")</f>
        <v>0</v>
      </c>
      <c r="G134" s="9"/>
      <c r="H134" s="10">
        <f t="shared" si="28"/>
        <v>-7178.59</v>
      </c>
      <c r="I134" s="8">
        <f>IFERROR(H134/H445, "NA")</f>
        <v>0.13239848040136065</v>
      </c>
      <c r="J134" s="9"/>
      <c r="K134" s="7">
        <v>5375.61</v>
      </c>
      <c r="L134" s="8">
        <f>IFERROR(K134/K445, "NA")</f>
        <v>9.0483335744545798E-3</v>
      </c>
      <c r="M134" s="9"/>
      <c r="N134" s="10">
        <f t="shared" si="29"/>
        <v>-1802.9800000000005</v>
      </c>
      <c r="O134" s="8">
        <f>IFERROR(N134/N445, "NA")</f>
        <v>-4.922677879100589</v>
      </c>
      <c r="P134" s="9"/>
      <c r="Q134" s="7">
        <v>32384.109999999997</v>
      </c>
      <c r="R134" s="8">
        <f>IFERROR(Q134/Q445, "NA")</f>
        <v>1.1041416685867644E-2</v>
      </c>
      <c r="S134" s="9"/>
      <c r="T134" s="7">
        <v>0</v>
      </c>
      <c r="U134" s="8">
        <f>IFERROR(T134/T445, "NA")</f>
        <v>0</v>
      </c>
      <c r="V134" s="9"/>
      <c r="W134" s="10">
        <f t="shared" si="30"/>
        <v>-32384.109999999997</v>
      </c>
      <c r="X134" s="8">
        <f>IFERROR(W134/W445, "NA")</f>
        <v>0.24012834781001907</v>
      </c>
      <c r="Y134" s="9"/>
      <c r="Z134" s="7">
        <v>24486.420000000002</v>
      </c>
      <c r="AA134" s="8">
        <f>IFERROR(Z134/Z445, "NA")</f>
        <v>8.571663930334341E-3</v>
      </c>
      <c r="AB134" s="9"/>
      <c r="AC134" s="10">
        <f t="shared" si="31"/>
        <v>-7897.6899999999951</v>
      </c>
      <c r="AD134" s="8">
        <f>IFERROR(AC134/AC445, "NA")</f>
        <v>-0.10351331262548967</v>
      </c>
    </row>
    <row r="135" spans="1:30" ht="16.5" customHeight="1" x14ac:dyDescent="0.45">
      <c r="A135" s="12" t="s">
        <v>127</v>
      </c>
      <c r="B135" s="7">
        <v>4409.83</v>
      </c>
      <c r="C135" s="8">
        <f>IFERROR(B135/B445, "NA")</f>
        <v>7.4181402321758802E-3</v>
      </c>
      <c r="D135" s="9"/>
      <c r="E135" s="7">
        <v>0</v>
      </c>
      <c r="F135" s="8">
        <f>IFERROR(E135/E445, "NA")</f>
        <v>0</v>
      </c>
      <c r="G135" s="9"/>
      <c r="H135" s="10">
        <f t="shared" si="28"/>
        <v>-4409.83</v>
      </c>
      <c r="I135" s="8">
        <f>IFERROR(H135/H445, "NA")</f>
        <v>8.1332795274327158E-2</v>
      </c>
      <c r="J135" s="9"/>
      <c r="K135" s="7">
        <v>4621.51</v>
      </c>
      <c r="L135" s="8">
        <f>IFERROR(K135/K445, "NA")</f>
        <v>7.7790174692132785E-3</v>
      </c>
      <c r="M135" s="9"/>
      <c r="N135" s="10">
        <f t="shared" si="29"/>
        <v>211.68000000000029</v>
      </c>
      <c r="O135" s="8">
        <f>IFERROR(N135/N445, "NA")</f>
        <v>0.57795009009973142</v>
      </c>
      <c r="P135" s="9"/>
      <c r="Q135" s="7">
        <v>23385.08</v>
      </c>
      <c r="R135" s="8">
        <f>IFERROR(Q135/Q445, "NA")</f>
        <v>7.9731822956490006E-3</v>
      </c>
      <c r="S135" s="9"/>
      <c r="T135" s="7">
        <v>0</v>
      </c>
      <c r="U135" s="8">
        <f>IFERROR(T135/T445, "NA")</f>
        <v>0</v>
      </c>
      <c r="V135" s="9"/>
      <c r="W135" s="10">
        <f t="shared" si="30"/>
        <v>-23385.08</v>
      </c>
      <c r="X135" s="8">
        <f>IFERROR(W135/W445, "NA")</f>
        <v>0.17340049251948322</v>
      </c>
      <c r="Y135" s="9"/>
      <c r="Z135" s="7">
        <v>23876.06</v>
      </c>
      <c r="AA135" s="8">
        <f>IFERROR(Z135/Z445, "NA")</f>
        <v>8.3580026112636523E-3</v>
      </c>
      <c r="AB135" s="9"/>
      <c r="AC135" s="10">
        <f t="shared" si="31"/>
        <v>490.97999999999956</v>
      </c>
      <c r="AD135" s="8">
        <f>IFERROR(AC135/AC445, "NA")</f>
        <v>6.4351685407838125E-3</v>
      </c>
    </row>
    <row r="136" spans="1:30" ht="16.5" customHeight="1" x14ac:dyDescent="0.45">
      <c r="A136" s="12" t="s">
        <v>128</v>
      </c>
      <c r="B136" s="7">
        <v>0</v>
      </c>
      <c r="C136" s="8">
        <f>IFERROR(B136/B445, "NA")</f>
        <v>0</v>
      </c>
      <c r="D136" s="9"/>
      <c r="E136" s="7">
        <v>0</v>
      </c>
      <c r="F136" s="8">
        <f>IFERROR(E136/E445, "NA")</f>
        <v>0</v>
      </c>
      <c r="G136" s="9"/>
      <c r="H136" s="10">
        <f t="shared" si="28"/>
        <v>0</v>
      </c>
      <c r="I136" s="8">
        <f>IFERROR(H136/H445, "NA")</f>
        <v>0</v>
      </c>
      <c r="J136" s="9"/>
      <c r="K136" s="7">
        <v>3886.76</v>
      </c>
      <c r="L136" s="8">
        <f>IFERROR(K136/K445, "NA")</f>
        <v>6.5422716684891743E-3</v>
      </c>
      <c r="M136" s="9"/>
      <c r="N136" s="10">
        <f t="shared" si="29"/>
        <v>3886.76</v>
      </c>
      <c r="O136" s="8">
        <f>IFERROR(N136/N445, "NA")</f>
        <v>10.612024245068165</v>
      </c>
      <c r="P136" s="9"/>
      <c r="Q136" s="7">
        <v>0</v>
      </c>
      <c r="R136" s="8">
        <f>IFERROR(Q136/Q445, "NA")</f>
        <v>0</v>
      </c>
      <c r="S136" s="9"/>
      <c r="T136" s="7">
        <v>0</v>
      </c>
      <c r="U136" s="8">
        <f>IFERROR(T136/T445, "NA")</f>
        <v>0</v>
      </c>
      <c r="V136" s="9"/>
      <c r="W136" s="10">
        <f t="shared" si="30"/>
        <v>0</v>
      </c>
      <c r="X136" s="8">
        <f>IFERROR(W136/W445, "NA")</f>
        <v>0</v>
      </c>
      <c r="Y136" s="9"/>
      <c r="Z136" s="7">
        <v>24929.230000000003</v>
      </c>
      <c r="AA136" s="8">
        <f>IFERROR(Z136/Z445, "NA")</f>
        <v>8.7266730539625123E-3</v>
      </c>
      <c r="AB136" s="9"/>
      <c r="AC136" s="10">
        <f t="shared" si="31"/>
        <v>24929.230000000003</v>
      </c>
      <c r="AD136" s="8">
        <f>IFERROR(AC136/AC445, "NA")</f>
        <v>0.32674201931232272</v>
      </c>
    </row>
    <row r="137" spans="1:30" ht="16.5" customHeight="1" x14ac:dyDescent="0.45">
      <c r="A137" s="12" t="s">
        <v>129</v>
      </c>
      <c r="B137" s="7">
        <v>2802.29</v>
      </c>
      <c r="C137" s="8">
        <f>IFERROR(B137/B445, "NA")</f>
        <v>4.7139640737226029E-3</v>
      </c>
      <c r="D137" s="9"/>
      <c r="E137" s="7">
        <v>0</v>
      </c>
      <c r="F137" s="8">
        <f>IFERROR(E137/E445, "NA")</f>
        <v>0</v>
      </c>
      <c r="G137" s="9"/>
      <c r="H137" s="10">
        <f t="shared" si="28"/>
        <v>-2802.29</v>
      </c>
      <c r="I137" s="8">
        <f>IFERROR(H137/H445, "NA")</f>
        <v>5.1684096409452124E-2</v>
      </c>
      <c r="J137" s="9"/>
      <c r="K137" s="7">
        <v>3333.5099999999998</v>
      </c>
      <c r="L137" s="8">
        <f>IFERROR(K137/K445, "NA")</f>
        <v>5.6110302744767733E-3</v>
      </c>
      <c r="M137" s="9"/>
      <c r="N137" s="10">
        <f t="shared" si="29"/>
        <v>531.2199999999998</v>
      </c>
      <c r="O137" s="8">
        <f>IFERROR(N137/N445, "NA")</f>
        <v>1.4503904330252211</v>
      </c>
      <c r="P137" s="9"/>
      <c r="Q137" s="7">
        <v>13926.839999999998</v>
      </c>
      <c r="R137" s="8">
        <f>IFERROR(Q137/Q445, "NA")</f>
        <v>4.7483794847969869E-3</v>
      </c>
      <c r="S137" s="9"/>
      <c r="T137" s="7">
        <v>0</v>
      </c>
      <c r="U137" s="8">
        <f>IFERROR(T137/T445, "NA")</f>
        <v>0</v>
      </c>
      <c r="V137" s="9"/>
      <c r="W137" s="10">
        <f t="shared" si="30"/>
        <v>-13926.839999999998</v>
      </c>
      <c r="X137" s="8">
        <f>IFERROR(W137/W445, "NA")</f>
        <v>0.10326759263770059</v>
      </c>
      <c r="Y137" s="9"/>
      <c r="Z137" s="7">
        <v>15138.03</v>
      </c>
      <c r="AA137" s="8">
        <f>IFERROR(Z137/Z445, "NA")</f>
        <v>5.2991864767213482E-3</v>
      </c>
      <c r="AB137" s="9"/>
      <c r="AC137" s="10">
        <f t="shared" si="31"/>
        <v>1211.1900000000023</v>
      </c>
      <c r="AD137" s="8">
        <f>IFERROR(AC137/AC445, "NA")</f>
        <v>1.5874805052979689E-2</v>
      </c>
    </row>
    <row r="138" spans="1:30" ht="16.5" customHeight="1" x14ac:dyDescent="0.45">
      <c r="A138" s="12" t="s">
        <v>130</v>
      </c>
      <c r="B138" s="7">
        <v>35182.720000000001</v>
      </c>
      <c r="C138" s="8">
        <f>IFERROR(B138/B445, "NA")</f>
        <v>5.918376688202924E-2</v>
      </c>
      <c r="D138" s="9"/>
      <c r="E138" s="7">
        <v>0</v>
      </c>
      <c r="F138" s="8">
        <f>IFERROR(E138/E445, "NA")</f>
        <v>0</v>
      </c>
      <c r="G138" s="9"/>
      <c r="H138" s="10">
        <f t="shared" si="28"/>
        <v>-35182.720000000001</v>
      </c>
      <c r="I138" s="8">
        <f>IFERROR(H138/H445, "NA")</f>
        <v>0.64889325959367494</v>
      </c>
      <c r="J138" s="9"/>
      <c r="K138" s="7">
        <v>37168.660000000003</v>
      </c>
      <c r="L138" s="8">
        <f>IFERROR(K138/K445, "NA")</f>
        <v>6.2563027116083011E-2</v>
      </c>
      <c r="M138" s="9"/>
      <c r="N138" s="10">
        <f t="shared" si="29"/>
        <v>1985.9400000000023</v>
      </c>
      <c r="O138" s="8">
        <f>IFERROR(N138/N445, "NA")</f>
        <v>5.4222137279509655</v>
      </c>
      <c r="P138" s="9"/>
      <c r="Q138" s="7">
        <v>189096.5</v>
      </c>
      <c r="R138" s="8">
        <f>IFERROR(Q138/Q445, "NA")</f>
        <v>6.4472769217346751E-2</v>
      </c>
      <c r="S138" s="9"/>
      <c r="T138" s="7">
        <v>0</v>
      </c>
      <c r="U138" s="8">
        <f>IFERROR(T138/T445, "NA")</f>
        <v>0</v>
      </c>
      <c r="V138" s="9"/>
      <c r="W138" s="10">
        <f t="shared" si="30"/>
        <v>-189096.5</v>
      </c>
      <c r="X138" s="8">
        <f>IFERROR(W138/W445, "NA")</f>
        <v>1.4021515527725565</v>
      </c>
      <c r="Y138" s="9"/>
      <c r="Z138" s="7">
        <v>166370.04999999999</v>
      </c>
      <c r="AA138" s="8">
        <f>IFERROR(Z138/Z445, "NA")</f>
        <v>5.8239144663569463E-2</v>
      </c>
      <c r="AB138" s="9"/>
      <c r="AC138" s="10">
        <f t="shared" si="31"/>
        <v>-22726.450000000012</v>
      </c>
      <c r="AD138" s="8">
        <f>IFERROR(AC138/AC445, "NA")</f>
        <v>-0.29787065885310293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IFERROR(B139/B445, "NA")</f>
        <v>0</v>
      </c>
      <c r="D139" s="9"/>
      <c r="E139" s="7">
        <v>0</v>
      </c>
      <c r="F139" s="8">
        <f>IFERROR(E139/E445, "NA")</f>
        <v>0</v>
      </c>
      <c r="G139" s="9"/>
      <c r="H139" s="10">
        <f t="shared" si="28"/>
        <v>0</v>
      </c>
      <c r="I139" s="8">
        <f>IFERROR(H139/H445, "NA")</f>
        <v>0</v>
      </c>
      <c r="J139" s="9"/>
      <c r="K139" s="7">
        <v>0</v>
      </c>
      <c r="L139" s="8">
        <f>IFERROR(K139/K445, "NA")</f>
        <v>0</v>
      </c>
      <c r="M139" s="9"/>
      <c r="N139" s="10">
        <f t="shared" si="29"/>
        <v>0</v>
      </c>
      <c r="O139" s="8">
        <f>IFERROR(N139/N445, "NA")</f>
        <v>0</v>
      </c>
      <c r="P139" s="9"/>
      <c r="Q139" s="7">
        <v>0</v>
      </c>
      <c r="R139" s="8">
        <f>IFERROR(Q139/Q445, "NA")</f>
        <v>0</v>
      </c>
      <c r="S139" s="9"/>
      <c r="T139" s="7">
        <v>0</v>
      </c>
      <c r="U139" s="8">
        <f>IFERROR(T139/T445, "NA")</f>
        <v>0</v>
      </c>
      <c r="V139" s="9"/>
      <c r="W139" s="10">
        <f t="shared" si="30"/>
        <v>0</v>
      </c>
      <c r="X139" s="8">
        <f>IFERROR(W139/W445, "NA")</f>
        <v>0</v>
      </c>
      <c r="Y139" s="9"/>
      <c r="Z139" s="7">
        <v>0</v>
      </c>
      <c r="AA139" s="8">
        <f>IFERROR(Z139/Z445, "NA")</f>
        <v>0</v>
      </c>
      <c r="AB139" s="9"/>
      <c r="AC139" s="10">
        <f t="shared" si="31"/>
        <v>0</v>
      </c>
      <c r="AD139" s="8">
        <f>IFERROR(AC139/AC445,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IFERROR(B140/B445, "NA")</f>
        <v>0</v>
      </c>
      <c r="D140" s="9"/>
      <c r="E140" s="7">
        <v>0</v>
      </c>
      <c r="F140" s="8">
        <f>IFERROR(E140/E445, "NA")</f>
        <v>0</v>
      </c>
      <c r="G140" s="9"/>
      <c r="H140" s="10">
        <f t="shared" si="28"/>
        <v>0</v>
      </c>
      <c r="I140" s="8">
        <f>IFERROR(H140/H445, "NA")</f>
        <v>0</v>
      </c>
      <c r="J140" s="9"/>
      <c r="K140" s="7">
        <v>0</v>
      </c>
      <c r="L140" s="8">
        <f>IFERROR(K140/K445, "NA")</f>
        <v>0</v>
      </c>
      <c r="M140" s="9"/>
      <c r="N140" s="10">
        <f t="shared" si="29"/>
        <v>0</v>
      </c>
      <c r="O140" s="8">
        <f>IFERROR(N140/N445, "NA")</f>
        <v>0</v>
      </c>
      <c r="P140" s="9"/>
      <c r="Q140" s="7">
        <v>0</v>
      </c>
      <c r="R140" s="8">
        <f>IFERROR(Q140/Q445, "NA")</f>
        <v>0</v>
      </c>
      <c r="S140" s="9"/>
      <c r="T140" s="7">
        <v>0</v>
      </c>
      <c r="U140" s="8">
        <f>IFERROR(T140/T445, "NA")</f>
        <v>0</v>
      </c>
      <c r="V140" s="9"/>
      <c r="W140" s="10">
        <f t="shared" si="30"/>
        <v>0</v>
      </c>
      <c r="X140" s="8">
        <f>IFERROR(W140/W445, "NA")</f>
        <v>0</v>
      </c>
      <c r="Y140" s="9"/>
      <c r="Z140" s="7">
        <v>71.56</v>
      </c>
      <c r="AA140" s="8">
        <f>IFERROR(Z140/Z445, "NA")</f>
        <v>2.5050140888489432E-5</v>
      </c>
      <c r="AB140" s="9"/>
      <c r="AC140" s="10">
        <f t="shared" si="31"/>
        <v>71.56</v>
      </c>
      <c r="AD140" s="8">
        <f>IFERROR(AC140/AC445, "NA")</f>
        <v>9.379214240467841E-4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135527.79</v>
      </c>
      <c r="C141" s="15">
        <f>IFERROR(B141/B445, "NA")</f>
        <v>0.22798251895807412</v>
      </c>
      <c r="D141" s="2"/>
      <c r="E141" s="14">
        <f>IFERROR(E129+E130+E131+E132+E133+E134+E135+E136+E137+E138+E139+E140, "NA")</f>
        <v>136547.46</v>
      </c>
      <c r="F141" s="15">
        <f>IFERROR(E141/E445, "NA")</f>
        <v>0.21049877668722838</v>
      </c>
      <c r="G141" s="2"/>
      <c r="H141" s="14">
        <f t="shared" si="28"/>
        <v>1019.6699999999837</v>
      </c>
      <c r="I141" s="15">
        <f>IFERROR(H141/H445, "NA")</f>
        <v>-1.8806305766292997E-2</v>
      </c>
      <c r="J141" s="2"/>
      <c r="K141" s="14">
        <f>IFERROR(K129+K130+K131+K132+K133+K134+K135+K136+K137+K138+K139+K140, "NA")</f>
        <v>148946.6</v>
      </c>
      <c r="L141" s="15">
        <f>IFERROR(K141/K445, "NA")</f>
        <v>0.25070987694063684</v>
      </c>
      <c r="M141" s="2"/>
      <c r="N141" s="14">
        <f t="shared" si="29"/>
        <v>13418.809999999998</v>
      </c>
      <c r="O141" s="15">
        <f>IFERROR(N141/N445, "NA")</f>
        <v>36.637388740226591</v>
      </c>
      <c r="P141" s="2"/>
      <c r="Q141" s="14">
        <f>IFERROR(Q129+Q130+Q131+Q132+Q133+Q134+Q135+Q136+Q137+Q138+Q139+Q140, "NA")</f>
        <v>659007.69999999995</v>
      </c>
      <c r="R141" s="15">
        <f>IFERROR(Q141/Q445, "NA")</f>
        <v>0.22468978196082151</v>
      </c>
      <c r="S141" s="2"/>
      <c r="T141" s="14">
        <f>IFERROR(T129+T130+T131+T132+T133+T134+T135+T136+T137+T138+T139+T140, "NA")</f>
        <v>649978.5</v>
      </c>
      <c r="U141" s="15">
        <f>IFERROR(T141/T445, "NA")</f>
        <v>0.21186923545859115</v>
      </c>
      <c r="V141" s="2"/>
      <c r="W141" s="14">
        <f t="shared" si="30"/>
        <v>-9029.1999999999534</v>
      </c>
      <c r="X141" s="15">
        <f>IFERROR(W141/W445, "NA")</f>
        <v>6.6951566000924931E-2</v>
      </c>
      <c r="Y141" s="2"/>
      <c r="Z141" s="14">
        <f>IFERROR(Z129+Z130+Z131+Z132+Z133+Z134+Z135+Z136+Z137+Z138+Z139+Z140, "NA")</f>
        <v>686715.15000000014</v>
      </c>
      <c r="AA141" s="15">
        <f>IFERROR(Z141/Z445, "NA")</f>
        <v>0.24039003993516148</v>
      </c>
      <c r="AB141" s="2"/>
      <c r="AC141" s="14">
        <f t="shared" si="31"/>
        <v>27707.450000000186</v>
      </c>
      <c r="AD141" s="15">
        <f>IFERROR(AC141/AC445, "NA")</f>
        <v>0.36315554724294635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IFERROR(B143/B445, "NA")</f>
        <v>0</v>
      </c>
      <c r="D143" s="9"/>
      <c r="E143" s="7">
        <v>6938.4000000000005</v>
      </c>
      <c r="F143" s="8">
        <f>IFERROR(E143/E445, "NA")</f>
        <v>1.069609579091889E-2</v>
      </c>
      <c r="G143" s="9"/>
      <c r="H143" s="10">
        <f t="shared" ref="H143:H149" si="32">IFERROR(-(B143-E143), "NA")</f>
        <v>6938.4000000000005</v>
      </c>
      <c r="I143" s="8">
        <f>IFERROR(H143/H445, "NA")</f>
        <v>-0.12796853092554397</v>
      </c>
      <c r="J143" s="9"/>
      <c r="K143" s="7">
        <v>0</v>
      </c>
      <c r="L143" s="8">
        <f>IFERROR(K143/K445, "NA")</f>
        <v>0</v>
      </c>
      <c r="M143" s="9"/>
      <c r="N143" s="10">
        <f t="shared" ref="N143:N149" si="33">IFERROR(-(B143-K143), "NA")</f>
        <v>0</v>
      </c>
      <c r="O143" s="8">
        <f>IFERROR(N143/N445, "NA")</f>
        <v>0</v>
      </c>
      <c r="P143" s="9"/>
      <c r="Q143" s="7">
        <v>0</v>
      </c>
      <c r="R143" s="8">
        <f>IFERROR(Q143/Q445, "NA")</f>
        <v>0</v>
      </c>
      <c r="S143" s="9"/>
      <c r="T143" s="7">
        <v>32746.359999999997</v>
      </c>
      <c r="U143" s="8">
        <f>IFERROR(T143/T445, "NA")</f>
        <v>1.0674116539626757E-2</v>
      </c>
      <c r="V143" s="9"/>
      <c r="W143" s="10">
        <f t="shared" ref="W143:W149" si="34">IFERROR(-(Q143-T143), "NA")</f>
        <v>32746.359999999997</v>
      </c>
      <c r="X143" s="8">
        <f>IFERROR(W143/W445, "NA")</f>
        <v>-0.2428144334858082</v>
      </c>
      <c r="Y143" s="9"/>
      <c r="Z143" s="7">
        <v>0</v>
      </c>
      <c r="AA143" s="8">
        <f>IFERROR(Z143/Z445, "NA")</f>
        <v>0</v>
      </c>
      <c r="AB143" s="9"/>
      <c r="AC143" s="10">
        <f t="shared" ref="AC143:AC149" si="35">IFERROR(-(Q143-Z143), "NA")</f>
        <v>0</v>
      </c>
      <c r="AD143" s="8">
        <f>IFERROR(AC143/AC445, "NA")</f>
        <v>0</v>
      </c>
    </row>
    <row r="144" spans="1:30" ht="16.5" customHeight="1" x14ac:dyDescent="0.45">
      <c r="A144" s="12" t="s">
        <v>135</v>
      </c>
      <c r="B144" s="7">
        <v>6706.82</v>
      </c>
      <c r="C144" s="8">
        <f>IFERROR(B144/B445, "NA")</f>
        <v>1.128209733072745E-2</v>
      </c>
      <c r="D144" s="9"/>
      <c r="E144" s="7">
        <v>0</v>
      </c>
      <c r="F144" s="8">
        <f>IFERROR(E144/E445, "NA")</f>
        <v>0</v>
      </c>
      <c r="G144" s="9"/>
      <c r="H144" s="10">
        <f t="shared" si="32"/>
        <v>-6706.82</v>
      </c>
      <c r="I144" s="8">
        <f>IFERROR(H144/H445, "NA")</f>
        <v>0.12369738017151746</v>
      </c>
      <c r="J144" s="9"/>
      <c r="K144" s="7">
        <v>8898.1</v>
      </c>
      <c r="L144" s="8">
        <f>IFERROR(K144/K445, "NA")</f>
        <v>1.4977458740283299E-2</v>
      </c>
      <c r="M144" s="9"/>
      <c r="N144" s="10">
        <f t="shared" si="33"/>
        <v>2191.2800000000007</v>
      </c>
      <c r="O144" s="8">
        <f>IFERROR(N144/N445, "NA")</f>
        <v>5.9828537104768431</v>
      </c>
      <c r="P144" s="9"/>
      <c r="Q144" s="7">
        <v>34343.94</v>
      </c>
      <c r="R144" s="8">
        <f>IFERROR(Q144/Q445, "NA")</f>
        <v>1.1709624015433412E-2</v>
      </c>
      <c r="S144" s="9"/>
      <c r="T144" s="7">
        <v>0</v>
      </c>
      <c r="U144" s="8">
        <f>IFERROR(T144/T445, "NA")</f>
        <v>0</v>
      </c>
      <c r="V144" s="9"/>
      <c r="W144" s="10">
        <f t="shared" si="34"/>
        <v>-34343.94</v>
      </c>
      <c r="X144" s="8">
        <f>IFERROR(W144/W445, "NA")</f>
        <v>0.25466049767884397</v>
      </c>
      <c r="Y144" s="9"/>
      <c r="Z144" s="7">
        <v>36050.36</v>
      </c>
      <c r="AA144" s="8">
        <f>IFERROR(Z144/Z445, "NA")</f>
        <v>1.2619712088887141E-2</v>
      </c>
      <c r="AB144" s="9"/>
      <c r="AC144" s="10">
        <f t="shared" si="35"/>
        <v>1706.4199999999983</v>
      </c>
      <c r="AD144" s="8">
        <f>IFERROR(AC144/AC445, "NA")</f>
        <v>2.2365677423447618E-2</v>
      </c>
    </row>
    <row r="145" spans="1:30" ht="16.5" customHeight="1" x14ac:dyDescent="0.45">
      <c r="A145" s="12" t="s">
        <v>136</v>
      </c>
      <c r="B145" s="7">
        <v>274.95</v>
      </c>
      <c r="C145" s="8">
        <f>IFERROR(B145/B445, "NA")</f>
        <v>4.6251616430491836E-4</v>
      </c>
      <c r="D145" s="9"/>
      <c r="E145" s="7">
        <v>0</v>
      </c>
      <c r="F145" s="8">
        <f>IFERROR(E145/E445, "NA")</f>
        <v>0</v>
      </c>
      <c r="G145" s="9"/>
      <c r="H145" s="10">
        <f t="shared" si="32"/>
        <v>-274.95</v>
      </c>
      <c r="I145" s="8">
        <f>IFERROR(H145/H445, "NA")</f>
        <v>5.0710462899196231E-3</v>
      </c>
      <c r="J145" s="9"/>
      <c r="K145" s="7">
        <v>1804.92</v>
      </c>
      <c r="L145" s="8">
        <f>IFERROR(K145/K445, "NA")</f>
        <v>3.0380772108104127E-3</v>
      </c>
      <c r="M145" s="9"/>
      <c r="N145" s="10">
        <f t="shared" si="33"/>
        <v>1529.97</v>
      </c>
      <c r="O145" s="8">
        <f>IFERROR(N145/N445, "NA")</f>
        <v>4.1772784360822222</v>
      </c>
      <c r="P145" s="9"/>
      <c r="Q145" s="7">
        <v>1338.51</v>
      </c>
      <c r="R145" s="8">
        <f>IFERROR(Q145/Q445, "NA")</f>
        <v>4.5636723220742218E-4</v>
      </c>
      <c r="S145" s="9"/>
      <c r="T145" s="7">
        <v>0</v>
      </c>
      <c r="U145" s="8">
        <f>IFERROR(T145/T445, "NA")</f>
        <v>0</v>
      </c>
      <c r="V145" s="9"/>
      <c r="W145" s="10">
        <f t="shared" si="34"/>
        <v>-1338.51</v>
      </c>
      <c r="X145" s="8">
        <f>IFERROR(W145/W445, "NA")</f>
        <v>9.9250587657708882E-3</v>
      </c>
      <c r="Y145" s="9"/>
      <c r="Z145" s="7">
        <v>1937.98</v>
      </c>
      <c r="AA145" s="8">
        <f>IFERROR(Z145/Z445, "NA")</f>
        <v>6.7840514308377235E-4</v>
      </c>
      <c r="AB145" s="9"/>
      <c r="AC145" s="10">
        <f t="shared" si="35"/>
        <v>599.47</v>
      </c>
      <c r="AD145" s="8">
        <f>IFERROR(AC145/AC445, "NA")</f>
        <v>7.8571234778273564E-3</v>
      </c>
    </row>
    <row r="146" spans="1:30" ht="16.5" customHeight="1" x14ac:dyDescent="0.45">
      <c r="A146" s="12" t="s">
        <v>137</v>
      </c>
      <c r="B146" s="7">
        <v>57.289999999999992</v>
      </c>
      <c r="C146" s="8">
        <f>IFERROR(B146/B445, "NA")</f>
        <v>9.6372253329800949E-5</v>
      </c>
      <c r="D146" s="9"/>
      <c r="E146" s="7">
        <v>0</v>
      </c>
      <c r="F146" s="8">
        <f>IFERROR(E146/E445, "NA")</f>
        <v>0</v>
      </c>
      <c r="G146" s="9"/>
      <c r="H146" s="10">
        <f t="shared" si="32"/>
        <v>-57.289999999999992</v>
      </c>
      <c r="I146" s="8">
        <f>IFERROR(H146/H445, "NA")</f>
        <v>1.0566293578814154E-3</v>
      </c>
      <c r="J146" s="9"/>
      <c r="K146" s="7">
        <v>783.43999999999994</v>
      </c>
      <c r="L146" s="8">
        <f>IFERROR(K146/K445, "NA")</f>
        <v>1.3187017762766823E-3</v>
      </c>
      <c r="M146" s="9"/>
      <c r="N146" s="10">
        <f t="shared" si="33"/>
        <v>726.15</v>
      </c>
      <c r="O146" s="8">
        <f>IFERROR(N146/N445, "NA")</f>
        <v>1.9826079833990899</v>
      </c>
      <c r="P146" s="9"/>
      <c r="Q146" s="7">
        <v>392.40999999999997</v>
      </c>
      <c r="R146" s="8">
        <f>IFERROR(Q146/Q445, "NA")</f>
        <v>1.3379284845874481E-4</v>
      </c>
      <c r="S146" s="9"/>
      <c r="T146" s="7">
        <v>0</v>
      </c>
      <c r="U146" s="8">
        <f>IFERROR(T146/T445, "NA")</f>
        <v>0</v>
      </c>
      <c r="V146" s="9"/>
      <c r="W146" s="10">
        <f t="shared" si="34"/>
        <v>-392.40999999999997</v>
      </c>
      <c r="X146" s="8">
        <f>IFERROR(W146/W445, "NA")</f>
        <v>2.9097222361253584E-3</v>
      </c>
      <c r="Y146" s="9"/>
      <c r="Z146" s="7">
        <v>2867.3</v>
      </c>
      <c r="AA146" s="8">
        <f>IFERROR(Z146/Z445, "NA")</f>
        <v>1.0037209190828082E-3</v>
      </c>
      <c r="AB146" s="9"/>
      <c r="AC146" s="10">
        <f t="shared" si="35"/>
        <v>2474.8900000000003</v>
      </c>
      <c r="AD146" s="8">
        <f>IFERROR(AC146/AC445, "NA")</f>
        <v>3.2437847305186493E-2</v>
      </c>
    </row>
    <row r="147" spans="1:30" ht="16.5" customHeight="1" x14ac:dyDescent="0.45">
      <c r="A147" s="12" t="s">
        <v>138</v>
      </c>
      <c r="B147" s="7">
        <v>-101.63000000000001</v>
      </c>
      <c r="C147" s="8">
        <f>IFERROR(B147/B445, "NA")</f>
        <v>-1.7096023923734809E-4</v>
      </c>
      <c r="D147" s="9"/>
      <c r="E147" s="7">
        <v>0</v>
      </c>
      <c r="F147" s="8">
        <f>IFERROR(E147/E445, "NA")</f>
        <v>0</v>
      </c>
      <c r="G147" s="9"/>
      <c r="H147" s="10">
        <f t="shared" si="32"/>
        <v>101.63000000000001</v>
      </c>
      <c r="I147" s="8">
        <f>IFERROR(H147/H445, "NA")</f>
        <v>-1.8744151098182629E-3</v>
      </c>
      <c r="J147" s="9"/>
      <c r="K147" s="7">
        <v>-35.83</v>
      </c>
      <c r="L147" s="8">
        <f>IFERROR(K147/K445, "NA")</f>
        <v>-6.0309768002646696E-5</v>
      </c>
      <c r="M147" s="9"/>
      <c r="N147" s="10">
        <f t="shared" si="33"/>
        <v>65.800000000000011</v>
      </c>
      <c r="O147" s="8">
        <f>IFERROR(N147/N445, "NA")</f>
        <v>0.17965379784846128</v>
      </c>
      <c r="P147" s="9"/>
      <c r="Q147" s="7">
        <v>286.64999999999998</v>
      </c>
      <c r="R147" s="8">
        <f>IFERROR(Q147/Q445, "NA")</f>
        <v>9.7733798860118756E-5</v>
      </c>
      <c r="S147" s="9"/>
      <c r="T147" s="7">
        <v>0</v>
      </c>
      <c r="U147" s="8">
        <f>IFERROR(T147/T445, "NA")</f>
        <v>0</v>
      </c>
      <c r="V147" s="9"/>
      <c r="W147" s="10">
        <f t="shared" si="34"/>
        <v>-286.64999999999998</v>
      </c>
      <c r="X147" s="8">
        <f>IFERROR(W147/W445, "NA")</f>
        <v>2.125511273885309E-3</v>
      </c>
      <c r="Y147" s="9"/>
      <c r="Z147" s="7">
        <v>506.59000000000003</v>
      </c>
      <c r="AA147" s="8">
        <f>IFERROR(Z147/Z445, "NA")</f>
        <v>1.7733581431945026E-4</v>
      </c>
      <c r="AB147" s="9"/>
      <c r="AC147" s="10">
        <f t="shared" si="35"/>
        <v>219.94000000000005</v>
      </c>
      <c r="AD147" s="8">
        <f>IFERROR(AC147/AC445, "NA")</f>
        <v>2.8827059531141663E-3</v>
      </c>
    </row>
    <row r="148" spans="1:30" ht="16.5" customHeight="1" x14ac:dyDescent="0.45">
      <c r="A148" s="13" t="s">
        <v>139</v>
      </c>
      <c r="B148" s="14">
        <f>IFERROR(B143+B144+B145+B146+B147, "NA")</f>
        <v>6937.4299999999994</v>
      </c>
      <c r="C148" s="15">
        <f>IFERROR(B148/B445, "NA")</f>
        <v>1.1670025509124821E-2</v>
      </c>
      <c r="D148" s="2"/>
      <c r="E148" s="14">
        <f>IFERROR(E143+E144+E145+E146+E147, "NA")</f>
        <v>6938.4000000000005</v>
      </c>
      <c r="F148" s="15">
        <f>IFERROR(E148/E445, "NA")</f>
        <v>1.069609579091889E-2</v>
      </c>
      <c r="G148" s="2"/>
      <c r="H148" s="14">
        <f t="shared" si="32"/>
        <v>0.97000000000116415</v>
      </c>
      <c r="I148" s="15">
        <f>IFERROR(H148/H445, "NA")</f>
        <v>-1.7890216043745912E-5</v>
      </c>
      <c r="J148" s="2"/>
      <c r="K148" s="14">
        <f>IFERROR(K143+K144+K145+K146+K147, "NA")</f>
        <v>11450.630000000001</v>
      </c>
      <c r="L148" s="15">
        <f>IFERROR(K148/K445, "NA")</f>
        <v>1.9273927959367748E-2</v>
      </c>
      <c r="M148" s="2"/>
      <c r="N148" s="14">
        <f t="shared" si="33"/>
        <v>4513.2000000000016</v>
      </c>
      <c r="O148" s="15">
        <f>IFERROR(N148/N445, "NA")</f>
        <v>12.322393927806619</v>
      </c>
      <c r="P148" s="2"/>
      <c r="Q148" s="14">
        <f>IFERROR(Q143+Q144+Q145+Q146+Q147, "NA")</f>
        <v>36361.510000000009</v>
      </c>
      <c r="R148" s="15">
        <f>IFERROR(Q148/Q445, "NA")</f>
        <v>1.23975178949597E-2</v>
      </c>
      <c r="S148" s="2"/>
      <c r="T148" s="14">
        <f>IFERROR(T143+T144+T145+T146+T147, "NA")</f>
        <v>32746.359999999997</v>
      </c>
      <c r="U148" s="15">
        <f>IFERROR(T148/T445, "NA")</f>
        <v>1.0674116539626757E-2</v>
      </c>
      <c r="V148" s="2"/>
      <c r="W148" s="14">
        <f t="shared" si="34"/>
        <v>-3615.1500000000124</v>
      </c>
      <c r="X148" s="15">
        <f>IFERROR(W148/W445, "NA")</f>
        <v>2.6806356468817377E-2</v>
      </c>
      <c r="Y148" s="2"/>
      <c r="Z148" s="14">
        <f>IFERROR(Z143+Z144+Z145+Z146+Z147, "NA")</f>
        <v>41362.230000000003</v>
      </c>
      <c r="AA148" s="15">
        <f>IFERROR(Z148/Z445, "NA")</f>
        <v>1.4479173965373173E-2</v>
      </c>
      <c r="AB148" s="2"/>
      <c r="AC148" s="14">
        <f t="shared" si="35"/>
        <v>5000.7199999999939</v>
      </c>
      <c r="AD148" s="15">
        <f>IFERROR(AC148/AC445, "NA")</f>
        <v>6.5543354159575573E-2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142465.22000000003</v>
      </c>
      <c r="C149" s="15">
        <f>IFERROR(B149/B445, "NA")</f>
        <v>0.23965254446719897</v>
      </c>
      <c r="D149" s="2"/>
      <c r="E149" s="14">
        <f>IFERROR(E127+E129+E130+E131+E132+E133+E134+E135+E136+E137+E138+E139+E140+E143+E144+E145+E146+E147, "NA")</f>
        <v>143485.85999999999</v>
      </c>
      <c r="F149" s="15">
        <f>IFERROR(E149/E445, "NA")</f>
        <v>0.22119487247814726</v>
      </c>
      <c r="G149" s="2"/>
      <c r="H149" s="14">
        <f t="shared" si="32"/>
        <v>1020.6399999999558</v>
      </c>
      <c r="I149" s="15">
        <f>IFERROR(H149/H445, "NA")</f>
        <v>-1.8824195982336207E-2</v>
      </c>
      <c r="J149" s="2"/>
      <c r="K149" s="14">
        <f>IFERROR(K127+K129+K130+K131+K132+K133+K134+K135+K136+K137+K138+K139+K140+K143+K144+K145+K146+K147, "NA")</f>
        <v>160397.23000000004</v>
      </c>
      <c r="L149" s="15">
        <f>IFERROR(K149/K445, "NA")</f>
        <v>0.26998380490000462</v>
      </c>
      <c r="M149" s="2"/>
      <c r="N149" s="14">
        <f t="shared" si="33"/>
        <v>17932.010000000009</v>
      </c>
      <c r="O149" s="15">
        <f>IFERROR(N149/N445, "NA")</f>
        <v>48.959782668033235</v>
      </c>
      <c r="P149" s="2"/>
      <c r="Q149" s="14">
        <f>IFERROR(Q127+Q129+Q130+Q131+Q132+Q133+Q134+Q135+Q136+Q137+Q138+Q139+Q140+Q143+Q144+Q145+Q146+Q147, "NA")</f>
        <v>695369.21</v>
      </c>
      <c r="R149" s="15">
        <f>IFERROR(Q149/Q445, "NA")</f>
        <v>0.2370872998557812</v>
      </c>
      <c r="S149" s="2"/>
      <c r="T149" s="14">
        <f>IFERROR(T127+T129+T130+T131+T132+T133+T134+T135+T136+T137+T138+T139+T140+T143+T144+T145+T146+T147, "NA")</f>
        <v>682724.86</v>
      </c>
      <c r="U149" s="15">
        <f>IFERROR(T149/T445, "NA")</f>
        <v>0.22254335199821793</v>
      </c>
      <c r="V149" s="2"/>
      <c r="W149" s="14">
        <f t="shared" si="34"/>
        <v>-12644.349999999977</v>
      </c>
      <c r="X149" s="15">
        <f>IFERROR(W149/W445, "NA")</f>
        <v>9.3757922469742391E-2</v>
      </c>
      <c r="Y149" s="2"/>
      <c r="Z149" s="14">
        <f>IFERROR(Z127+Z129+Z130+Z131+Z132+Z133+Z134+Z135+Z136+Z137+Z138+Z139+Z140+Z143+Z144+Z145+Z146+Z147, "NA")</f>
        <v>728077.38000000012</v>
      </c>
      <c r="AA149" s="15">
        <f>IFERROR(Z149/Z445, "NA")</f>
        <v>0.25486921390053463</v>
      </c>
      <c r="AB149" s="2"/>
      <c r="AC149" s="14">
        <f t="shared" si="35"/>
        <v>32708.170000000158</v>
      </c>
      <c r="AD149" s="15">
        <f>IFERROR(AC149/AC445, "NA")</f>
        <v>0.42869890140252165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IFERROR(B151/B445, "NA")</f>
        <v>0</v>
      </c>
      <c r="D151" s="9"/>
      <c r="E151" s="7">
        <v>0</v>
      </c>
      <c r="F151" s="8">
        <f>IFERROR(E151/E445, "NA")</f>
        <v>0</v>
      </c>
      <c r="G151" s="9"/>
      <c r="H151" s="10">
        <f>IFERROR(-(B151-E151), "NA")</f>
        <v>0</v>
      </c>
      <c r="I151" s="8">
        <f>IFERROR(H151/H445, "NA")</f>
        <v>0</v>
      </c>
      <c r="J151" s="9"/>
      <c r="K151" s="7">
        <v>0</v>
      </c>
      <c r="L151" s="8">
        <f>IFERROR(K151/K445, "NA")</f>
        <v>0</v>
      </c>
      <c r="M151" s="9"/>
      <c r="N151" s="10">
        <f>IFERROR(-(B151-K151), "NA")</f>
        <v>0</v>
      </c>
      <c r="O151" s="8">
        <f>IFERROR(N151/N445, "NA")</f>
        <v>0</v>
      </c>
      <c r="P151" s="9"/>
      <c r="Q151" s="7">
        <v>0</v>
      </c>
      <c r="R151" s="8">
        <f>IFERROR(Q151/Q445, "NA")</f>
        <v>0</v>
      </c>
      <c r="S151" s="9"/>
      <c r="T151" s="7">
        <v>0</v>
      </c>
      <c r="U151" s="8">
        <f>IFERROR(T151/T445, "NA")</f>
        <v>0</v>
      </c>
      <c r="V151" s="9"/>
      <c r="W151" s="10">
        <f>IFERROR(-(Q151-T151), "NA")</f>
        <v>0</v>
      </c>
      <c r="X151" s="8">
        <f>IFERROR(W151/W445, "NA")</f>
        <v>0</v>
      </c>
      <c r="Y151" s="9"/>
      <c r="Z151" s="7">
        <v>0</v>
      </c>
      <c r="AA151" s="8">
        <f>IFERROR(Z151/Z445, "NA")</f>
        <v>0</v>
      </c>
      <c r="AB151" s="9"/>
      <c r="AC151" s="10">
        <f>IFERROR(-(Q151-Z151), "NA")</f>
        <v>0</v>
      </c>
      <c r="AD151" s="8">
        <f>IFERROR(AC151/AC445,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IFERROR(B153/B445, "NA")</f>
        <v>0</v>
      </c>
      <c r="D153" s="9"/>
      <c r="E153" s="7">
        <v>26645.45</v>
      </c>
      <c r="F153" s="8">
        <f>IFERROR(E153/E445, "NA")</f>
        <v>4.1076081746820557E-2</v>
      </c>
      <c r="G153" s="9"/>
      <c r="H153" s="10">
        <f t="shared" ref="H153:H158" si="36">IFERROR(-(B153-E153), "NA")</f>
        <v>26645.45</v>
      </c>
      <c r="I153" s="8">
        <f>IFERROR(H153/H445, "NA")</f>
        <v>-0.49143593513634781</v>
      </c>
      <c r="J153" s="9"/>
      <c r="K153" s="7">
        <v>0</v>
      </c>
      <c r="L153" s="8">
        <f>IFERROR(K153/K445, "NA")</f>
        <v>0</v>
      </c>
      <c r="M153" s="9"/>
      <c r="N153" s="10">
        <f t="shared" ref="N153:N158" si="37">IFERROR(-(B153-K153), "NA")</f>
        <v>0</v>
      </c>
      <c r="O153" s="8">
        <f>IFERROR(N153/N445, "NA")</f>
        <v>0</v>
      </c>
      <c r="P153" s="9"/>
      <c r="Q153" s="7">
        <v>0</v>
      </c>
      <c r="R153" s="8">
        <f>IFERROR(Q153/Q445, "NA")</f>
        <v>0</v>
      </c>
      <c r="S153" s="9"/>
      <c r="T153" s="7">
        <v>125933.23999999998</v>
      </c>
      <c r="U153" s="8">
        <f>IFERROR(T153/T445, "NA")</f>
        <v>4.1049633607301267E-2</v>
      </c>
      <c r="V153" s="9"/>
      <c r="W153" s="10">
        <f t="shared" ref="W153:W158" si="38">IFERROR(-(Q153-T153), "NA")</f>
        <v>125933.23999999998</v>
      </c>
      <c r="X153" s="8">
        <f>IFERROR(W153/W445, "NA")</f>
        <v>-0.93379564408478732</v>
      </c>
      <c r="Y153" s="9"/>
      <c r="Z153" s="7">
        <v>0</v>
      </c>
      <c r="AA153" s="8">
        <f>IFERROR(Z153/Z445, "NA")</f>
        <v>0</v>
      </c>
      <c r="AB153" s="9"/>
      <c r="AC153" s="10">
        <f t="shared" ref="AC153:AC158" si="39">IFERROR(-(Q153-Z153), "NA")</f>
        <v>0</v>
      </c>
      <c r="AD153" s="8">
        <f>IFERROR(AC153/AC445, "NA")</f>
        <v>0</v>
      </c>
    </row>
    <row r="154" spans="1:30" ht="16.5" customHeight="1" x14ac:dyDescent="0.45">
      <c r="A154" s="12" t="s">
        <v>143</v>
      </c>
      <c r="B154" s="7">
        <v>17611.23</v>
      </c>
      <c r="C154" s="8">
        <f>IFERROR(B154/B445, "NA")</f>
        <v>2.9625308413499574E-2</v>
      </c>
      <c r="D154" s="9"/>
      <c r="E154" s="7">
        <v>0</v>
      </c>
      <c r="F154" s="8">
        <f>IFERROR(E154/E445, "NA")</f>
        <v>0</v>
      </c>
      <c r="G154" s="9"/>
      <c r="H154" s="10">
        <f t="shared" si="36"/>
        <v>-17611.23</v>
      </c>
      <c r="I154" s="8">
        <f>IFERROR(H154/H445, "NA")</f>
        <v>0.32481310257290841</v>
      </c>
      <c r="J154" s="9"/>
      <c r="K154" s="7">
        <v>18753.7</v>
      </c>
      <c r="L154" s="8">
        <f>IFERROR(K154/K445, "NA")</f>
        <v>3.1566600507709611E-2</v>
      </c>
      <c r="M154" s="9"/>
      <c r="N154" s="10">
        <f t="shared" si="37"/>
        <v>1142.4700000000012</v>
      </c>
      <c r="O154" s="8">
        <f>IFERROR(N154/N445, "NA")</f>
        <v>3.1192868454092966</v>
      </c>
      <c r="P154" s="9"/>
      <c r="Q154" s="7">
        <v>84109.1</v>
      </c>
      <c r="R154" s="8">
        <f>IFERROR(Q154/Q445, "NA")</f>
        <v>2.8677138886117618E-2</v>
      </c>
      <c r="S154" s="9"/>
      <c r="T154" s="7">
        <v>0</v>
      </c>
      <c r="U154" s="8">
        <f>IFERROR(T154/T445, "NA")</f>
        <v>0</v>
      </c>
      <c r="V154" s="9"/>
      <c r="W154" s="10">
        <f t="shared" si="38"/>
        <v>-84109.1</v>
      </c>
      <c r="X154" s="8">
        <f>IFERROR(W154/W445, "NA")</f>
        <v>0.62366942363979372</v>
      </c>
      <c r="Y154" s="9"/>
      <c r="Z154" s="7">
        <v>90631.82</v>
      </c>
      <c r="AA154" s="8">
        <f>IFERROR(Z154/Z445, "NA")</f>
        <v>3.172638149776711E-2</v>
      </c>
      <c r="AB154" s="9"/>
      <c r="AC154" s="10">
        <f t="shared" si="39"/>
        <v>6522.7200000000012</v>
      </c>
      <c r="AD154" s="8">
        <f>IFERROR(AC154/AC445, "NA")</f>
        <v>8.5491878578234218E-2</v>
      </c>
    </row>
    <row r="155" spans="1:30" ht="16.5" customHeight="1" x14ac:dyDescent="0.45">
      <c r="A155" s="12" t="s">
        <v>144</v>
      </c>
      <c r="B155" s="7">
        <v>6332.2400000000007</v>
      </c>
      <c r="C155" s="8">
        <f>IFERROR(B155/B445, "NA")</f>
        <v>1.0651985292810244E-2</v>
      </c>
      <c r="D155" s="9"/>
      <c r="E155" s="7">
        <v>0</v>
      </c>
      <c r="F155" s="8">
        <f>IFERROR(E155/E445, "NA")</f>
        <v>0</v>
      </c>
      <c r="G155" s="9"/>
      <c r="H155" s="10">
        <f t="shared" si="36"/>
        <v>-6332.2400000000007</v>
      </c>
      <c r="I155" s="8">
        <f>IFERROR(H155/H445, "NA")</f>
        <v>0.11678880581516872</v>
      </c>
      <c r="J155" s="9"/>
      <c r="K155" s="7">
        <v>6326.26</v>
      </c>
      <c r="L155" s="8">
        <f>IFERROR(K155/K445, "NA")</f>
        <v>1.064848654547652E-2</v>
      </c>
      <c r="M155" s="9"/>
      <c r="N155" s="10">
        <f t="shared" si="37"/>
        <v>-5.9800000000004729</v>
      </c>
      <c r="O155" s="8">
        <f>IFERROR(N155/N445, "NA")</f>
        <v>-1.6327199257353847E-2</v>
      </c>
      <c r="P155" s="9"/>
      <c r="Q155" s="7">
        <v>36866.71</v>
      </c>
      <c r="R155" s="8">
        <f>IFERROR(Q155/Q445, "NA")</f>
        <v>1.2569766683322272E-2</v>
      </c>
      <c r="S155" s="9"/>
      <c r="T155" s="7">
        <v>0</v>
      </c>
      <c r="U155" s="8">
        <f>IFERROR(T155/T445, "NA")</f>
        <v>0</v>
      </c>
      <c r="V155" s="9"/>
      <c r="W155" s="10">
        <f t="shared" si="38"/>
        <v>-36866.71</v>
      </c>
      <c r="X155" s="8">
        <f>IFERROR(W155/W445, "NA")</f>
        <v>0.2733668506403637</v>
      </c>
      <c r="Y155" s="9"/>
      <c r="Z155" s="7">
        <v>32289.9</v>
      </c>
      <c r="AA155" s="8">
        <f>IFERROR(Z155/Z445, "NA")</f>
        <v>1.1303333486238609E-2</v>
      </c>
      <c r="AB155" s="9"/>
      <c r="AC155" s="10">
        <f t="shared" si="39"/>
        <v>-4576.8099999999977</v>
      </c>
      <c r="AD155" s="8">
        <f>IFERROR(AC155/AC445, "NA")</f>
        <v>-5.99872575851252E-2</v>
      </c>
    </row>
    <row r="156" spans="1:30" ht="16.5" customHeight="1" x14ac:dyDescent="0.45">
      <c r="A156" s="12" t="s">
        <v>145</v>
      </c>
      <c r="B156" s="7">
        <v>0</v>
      </c>
      <c r="C156" s="8">
        <f>IFERROR(B156/B445, "NA")</f>
        <v>0</v>
      </c>
      <c r="D156" s="9"/>
      <c r="E156" s="7">
        <v>0</v>
      </c>
      <c r="F156" s="8">
        <f>IFERROR(E156/E445, "NA")</f>
        <v>0</v>
      </c>
      <c r="G156" s="9"/>
      <c r="H156" s="10">
        <f t="shared" si="36"/>
        <v>0</v>
      </c>
      <c r="I156" s="8">
        <f>IFERROR(H156/H445, "NA")</f>
        <v>0</v>
      </c>
      <c r="J156" s="9"/>
      <c r="K156" s="7">
        <v>0</v>
      </c>
      <c r="L156" s="8">
        <f>IFERROR(K156/K445, "NA")</f>
        <v>0</v>
      </c>
      <c r="M156" s="9"/>
      <c r="N156" s="10">
        <f t="shared" si="37"/>
        <v>0</v>
      </c>
      <c r="O156" s="8">
        <f>IFERROR(N156/N445, "NA")</f>
        <v>0</v>
      </c>
      <c r="P156" s="9"/>
      <c r="Q156" s="7">
        <v>271.11</v>
      </c>
      <c r="R156" s="8">
        <f>IFERROR(Q156/Q445, "NA")</f>
        <v>9.2435409764405368E-5</v>
      </c>
      <c r="S156" s="9"/>
      <c r="T156" s="7">
        <v>0</v>
      </c>
      <c r="U156" s="8">
        <f>IFERROR(T156/T445, "NA")</f>
        <v>0</v>
      </c>
      <c r="V156" s="9"/>
      <c r="W156" s="10">
        <f t="shared" si="38"/>
        <v>-271.11</v>
      </c>
      <c r="X156" s="8">
        <f>IFERROR(W156/W445, "NA")</f>
        <v>2.0102820912717466E-3</v>
      </c>
      <c r="Y156" s="9"/>
      <c r="Z156" s="7">
        <v>0</v>
      </c>
      <c r="AA156" s="8">
        <f>IFERROR(Z156/Z445, "NA")</f>
        <v>0</v>
      </c>
      <c r="AB156" s="9"/>
      <c r="AC156" s="10">
        <f t="shared" si="39"/>
        <v>-271.11</v>
      </c>
      <c r="AD156" s="8">
        <f>IFERROR(AC156/AC445, "NA")</f>
        <v>-3.5533800625115095E-3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IFERROR(B157/B445, "NA")</f>
        <v>0</v>
      </c>
      <c r="D157" s="9"/>
      <c r="E157" s="7">
        <v>0</v>
      </c>
      <c r="F157" s="8">
        <f>IFERROR(E157/E445, "NA")</f>
        <v>0</v>
      </c>
      <c r="G157" s="9"/>
      <c r="H157" s="10">
        <f t="shared" si="36"/>
        <v>0</v>
      </c>
      <c r="I157" s="8">
        <f>IFERROR(H157/H445, "NA")</f>
        <v>0</v>
      </c>
      <c r="J157" s="9"/>
      <c r="K157" s="7">
        <v>0</v>
      </c>
      <c r="L157" s="8">
        <f>IFERROR(K157/K445, "NA")</f>
        <v>0</v>
      </c>
      <c r="M157" s="9"/>
      <c r="N157" s="10">
        <f t="shared" si="37"/>
        <v>0</v>
      </c>
      <c r="O157" s="8">
        <f>IFERROR(N157/N445, "NA")</f>
        <v>0</v>
      </c>
      <c r="P157" s="9"/>
      <c r="Q157" s="7">
        <v>0</v>
      </c>
      <c r="R157" s="8">
        <f>IFERROR(Q157/Q445, "NA")</f>
        <v>0</v>
      </c>
      <c r="S157" s="9"/>
      <c r="T157" s="7">
        <v>0</v>
      </c>
      <c r="U157" s="8">
        <f>IFERROR(T157/T445, "NA")</f>
        <v>0</v>
      </c>
      <c r="V157" s="9"/>
      <c r="W157" s="10">
        <f t="shared" si="38"/>
        <v>0</v>
      </c>
      <c r="X157" s="8">
        <f>IFERROR(W157/W445, "NA")</f>
        <v>0</v>
      </c>
      <c r="Y157" s="9"/>
      <c r="Z157" s="7">
        <v>0</v>
      </c>
      <c r="AA157" s="8">
        <f>IFERROR(Z157/Z445, "NA")</f>
        <v>0</v>
      </c>
      <c r="AB157" s="9"/>
      <c r="AC157" s="10">
        <f t="shared" si="39"/>
        <v>0</v>
      </c>
      <c r="AD157" s="8">
        <f>IFERROR(AC157/AC445,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23943.47</v>
      </c>
      <c r="C158" s="15">
        <f>IFERROR(B158/B445, "NA")</f>
        <v>4.0277293706309822E-2</v>
      </c>
      <c r="D158" s="2"/>
      <c r="E158" s="14">
        <f>IFERROR(E153+E154+E155+E156+E157, "NA")</f>
        <v>26645.45</v>
      </c>
      <c r="F158" s="15">
        <f>IFERROR(E158/E445, "NA")</f>
        <v>4.1076081746820557E-2</v>
      </c>
      <c r="G158" s="2"/>
      <c r="H158" s="14">
        <f t="shared" si="36"/>
        <v>2701.9799999999996</v>
      </c>
      <c r="I158" s="15">
        <f>IFERROR(H158/H445, "NA")</f>
        <v>-4.9834026748270671E-2</v>
      </c>
      <c r="J158" s="2"/>
      <c r="K158" s="14">
        <f>IFERROR(K153+K154+K155+K156+K157, "NA")</f>
        <v>25079.96</v>
      </c>
      <c r="L158" s="15">
        <f>IFERROR(K158/K445, "NA")</f>
        <v>4.2215087053186127E-2</v>
      </c>
      <c r="M158" s="2"/>
      <c r="N158" s="14">
        <f t="shared" si="37"/>
        <v>1136.489999999998</v>
      </c>
      <c r="O158" s="15">
        <f>IFERROR(N158/N445, "NA")</f>
        <v>3.1029596461519353</v>
      </c>
      <c r="P158" s="2"/>
      <c r="Q158" s="14">
        <f>IFERROR(Q153+Q154+Q155+Q156+Q157, "NA")</f>
        <v>121246.92</v>
      </c>
      <c r="R158" s="15">
        <f>IFERROR(Q158/Q445, "NA")</f>
        <v>4.1339340979204296E-2</v>
      </c>
      <c r="S158" s="2"/>
      <c r="T158" s="14">
        <f>IFERROR(T153+T154+T155+T156+T157, "NA")</f>
        <v>125933.23999999998</v>
      </c>
      <c r="U158" s="15">
        <f>IFERROR(T158/T445, "NA")</f>
        <v>4.1049633607301267E-2</v>
      </c>
      <c r="V158" s="2"/>
      <c r="W158" s="14">
        <f t="shared" si="38"/>
        <v>4686.3199999999779</v>
      </c>
      <c r="X158" s="15">
        <f>IFERROR(W158/W445, "NA")</f>
        <v>-3.4749087713358294E-2</v>
      </c>
      <c r="Y158" s="2"/>
      <c r="Z158" s="14">
        <f>IFERROR(Z153+Z154+Z155+Z156+Z157, "NA")</f>
        <v>122921.72</v>
      </c>
      <c r="AA158" s="15">
        <f>IFERROR(Z158/Z445, "NA")</f>
        <v>4.3029714984005714E-2</v>
      </c>
      <c r="AB158" s="2"/>
      <c r="AC158" s="14">
        <f t="shared" si="39"/>
        <v>1674.8000000000029</v>
      </c>
      <c r="AD158" s="15">
        <f>IFERROR(AC158/AC445, "NA")</f>
        <v>2.1951240930597492E-2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IFERROR(B160/B445, "NA")</f>
        <v>0</v>
      </c>
      <c r="D160" s="9"/>
      <c r="E160" s="7">
        <v>0</v>
      </c>
      <c r="F160" s="8">
        <f>IFERROR(E160/E445, "NA")</f>
        <v>0</v>
      </c>
      <c r="G160" s="9"/>
      <c r="H160" s="10">
        <f t="shared" ref="H160:H171" si="40">IFERROR(-(B160-E160), "NA")</f>
        <v>0</v>
      </c>
      <c r="I160" s="8">
        <f>IFERROR(H160/H445, "NA")</f>
        <v>0</v>
      </c>
      <c r="J160" s="9"/>
      <c r="K160" s="7">
        <v>0</v>
      </c>
      <c r="L160" s="8">
        <f>IFERROR(K160/K445, "NA")</f>
        <v>0</v>
      </c>
      <c r="M160" s="9"/>
      <c r="N160" s="10">
        <f t="shared" ref="N160:N171" si="41">IFERROR(-(B160-K160), "NA")</f>
        <v>0</v>
      </c>
      <c r="O160" s="8">
        <f>IFERROR(N160/N445, "NA")</f>
        <v>0</v>
      </c>
      <c r="P160" s="9"/>
      <c r="Q160" s="7">
        <v>0</v>
      </c>
      <c r="R160" s="8">
        <f>IFERROR(Q160/Q445, "NA")</f>
        <v>0</v>
      </c>
      <c r="S160" s="9"/>
      <c r="T160" s="7">
        <v>0</v>
      </c>
      <c r="U160" s="8">
        <f>IFERROR(T160/T445, "NA")</f>
        <v>0</v>
      </c>
      <c r="V160" s="9"/>
      <c r="W160" s="10">
        <f t="shared" ref="W160:W171" si="42">IFERROR(-(Q160-T160), "NA")</f>
        <v>0</v>
      </c>
      <c r="X160" s="8">
        <f>IFERROR(W160/W445, "NA")</f>
        <v>0</v>
      </c>
      <c r="Y160" s="9"/>
      <c r="Z160" s="7">
        <v>0</v>
      </c>
      <c r="AA160" s="8">
        <f>IFERROR(Z160/Z445, "NA")</f>
        <v>0</v>
      </c>
      <c r="AB160" s="9"/>
      <c r="AC160" s="10">
        <f t="shared" ref="AC160:AC171" si="43">IFERROR(-(Q160-Z160), "NA")</f>
        <v>0</v>
      </c>
      <c r="AD160" s="8">
        <f>IFERROR(AC160/AC445, "NA")</f>
        <v>0</v>
      </c>
    </row>
    <row r="161" spans="1:30" ht="16.5" customHeight="1" x14ac:dyDescent="0.45">
      <c r="A161" s="12" t="s">
        <v>149</v>
      </c>
      <c r="B161" s="7">
        <v>2208.06</v>
      </c>
      <c r="C161" s="8">
        <f>IFERROR(B161/B445, "NA")</f>
        <v>3.7143605810333446E-3</v>
      </c>
      <c r="D161" s="9"/>
      <c r="E161" s="7">
        <v>0</v>
      </c>
      <c r="F161" s="8">
        <f>IFERROR(E161/E445, "NA")</f>
        <v>0</v>
      </c>
      <c r="G161" s="9"/>
      <c r="H161" s="10">
        <f t="shared" si="40"/>
        <v>-2208.06</v>
      </c>
      <c r="I161" s="8">
        <f>IFERROR(H161/H445, "NA")</f>
        <v>4.0724402512892971E-2</v>
      </c>
      <c r="J161" s="9"/>
      <c r="K161" s="7">
        <v>1938.8500000000001</v>
      </c>
      <c r="L161" s="8">
        <f>IFERROR(K161/K445, "NA")</f>
        <v>3.2635108482258319E-3</v>
      </c>
      <c r="M161" s="9"/>
      <c r="N161" s="10">
        <f t="shared" si="41"/>
        <v>-269.20999999999981</v>
      </c>
      <c r="O161" s="8">
        <f>IFERROR(N161/N445, "NA")</f>
        <v>-0.73502429967757166</v>
      </c>
      <c r="P161" s="9"/>
      <c r="Q161" s="7">
        <v>8409.34</v>
      </c>
      <c r="R161" s="8">
        <f>IFERROR(Q161/Q445, "NA")</f>
        <v>2.8671785944753224E-3</v>
      </c>
      <c r="S161" s="9"/>
      <c r="T161" s="7">
        <v>0</v>
      </c>
      <c r="U161" s="8">
        <f>IFERROR(T161/T445, "NA")</f>
        <v>0</v>
      </c>
      <c r="V161" s="9"/>
      <c r="W161" s="10">
        <f t="shared" si="42"/>
        <v>-8409.34</v>
      </c>
      <c r="X161" s="8">
        <f>IFERROR(W161/W445, "NA")</f>
        <v>6.2355300805632945E-2</v>
      </c>
      <c r="Y161" s="9"/>
      <c r="Z161" s="7">
        <v>7953.17</v>
      </c>
      <c r="AA161" s="8">
        <f>IFERROR(Z161/Z445, "NA")</f>
        <v>2.7840697178606413E-3</v>
      </c>
      <c r="AB161" s="9"/>
      <c r="AC161" s="10">
        <f t="shared" si="43"/>
        <v>-456.17000000000007</v>
      </c>
      <c r="AD161" s="8">
        <f>IFERROR(AC161/AC445, "NA")</f>
        <v>-5.9789214087118715E-3</v>
      </c>
    </row>
    <row r="162" spans="1:30" ht="16.5" customHeight="1" x14ac:dyDescent="0.45">
      <c r="A162" s="12" t="s">
        <v>150</v>
      </c>
      <c r="B162" s="7">
        <v>7.53</v>
      </c>
      <c r="C162" s="8">
        <f>IFERROR(B162/B445, "NA")</f>
        <v>1.2666836578345283E-5</v>
      </c>
      <c r="D162" s="9"/>
      <c r="E162" s="7">
        <v>0</v>
      </c>
      <c r="F162" s="8">
        <f>IFERROR(E162/E445, "NA")</f>
        <v>0</v>
      </c>
      <c r="G162" s="9"/>
      <c r="H162" s="10">
        <f t="shared" si="40"/>
        <v>-7.53</v>
      </c>
      <c r="I162" s="8">
        <f>IFERROR(H162/H445, "NA")</f>
        <v>1.3887971836004643E-4</v>
      </c>
      <c r="J162" s="9"/>
      <c r="K162" s="7">
        <v>0</v>
      </c>
      <c r="L162" s="8">
        <f>IFERROR(K162/K445, "NA")</f>
        <v>0</v>
      </c>
      <c r="M162" s="9"/>
      <c r="N162" s="10">
        <f t="shared" si="41"/>
        <v>-7.53</v>
      </c>
      <c r="O162" s="8">
        <f>IFERROR(N162/N445, "NA")</f>
        <v>-2.0559165620044274E-2</v>
      </c>
      <c r="P162" s="9"/>
      <c r="Q162" s="7">
        <v>20.64</v>
      </c>
      <c r="R162" s="8">
        <f>IFERROR(Q162/Q445, "NA")</f>
        <v>7.0372426599436642E-6</v>
      </c>
      <c r="S162" s="9"/>
      <c r="T162" s="7">
        <v>0</v>
      </c>
      <c r="U162" s="8">
        <f>IFERROR(T162/T445, "NA")</f>
        <v>0</v>
      </c>
      <c r="V162" s="9"/>
      <c r="W162" s="10">
        <f t="shared" si="42"/>
        <v>-20.64</v>
      </c>
      <c r="X162" s="8">
        <f>IFERROR(W162/W445, "NA")</f>
        <v>1.5304570972612169E-4</v>
      </c>
      <c r="Y162" s="9"/>
      <c r="Z162" s="7">
        <v>0</v>
      </c>
      <c r="AA162" s="8">
        <f>IFERROR(Z162/Z445, "NA")</f>
        <v>0</v>
      </c>
      <c r="AB162" s="9"/>
      <c r="AC162" s="10">
        <f t="shared" si="43"/>
        <v>-20.64</v>
      </c>
      <c r="AD162" s="8">
        <f>IFERROR(AC162/AC445, "NA")</f>
        <v>-2.7052401051321439E-4</v>
      </c>
    </row>
    <row r="163" spans="1:30" ht="16.5" customHeight="1" x14ac:dyDescent="0.45">
      <c r="A163" s="12" t="s">
        <v>151</v>
      </c>
      <c r="B163" s="7">
        <v>0</v>
      </c>
      <c r="C163" s="8">
        <f>IFERROR(B163/B445, "NA")</f>
        <v>0</v>
      </c>
      <c r="D163" s="9"/>
      <c r="E163" s="7">
        <v>0</v>
      </c>
      <c r="F163" s="8">
        <f>IFERROR(E163/E445, "NA")</f>
        <v>0</v>
      </c>
      <c r="G163" s="9"/>
      <c r="H163" s="10">
        <f t="shared" si="40"/>
        <v>0</v>
      </c>
      <c r="I163" s="8">
        <f>IFERROR(H163/H445, "NA")</f>
        <v>0</v>
      </c>
      <c r="J163" s="9"/>
      <c r="K163" s="7">
        <v>0</v>
      </c>
      <c r="L163" s="8">
        <f>IFERROR(K163/K445, "NA")</f>
        <v>0</v>
      </c>
      <c r="M163" s="9"/>
      <c r="N163" s="10">
        <f t="shared" si="41"/>
        <v>0</v>
      </c>
      <c r="O163" s="8">
        <f>IFERROR(N163/N445, "NA")</f>
        <v>0</v>
      </c>
      <c r="P163" s="9"/>
      <c r="Q163" s="7">
        <v>1.4</v>
      </c>
      <c r="R163" s="8">
        <f>IFERROR(Q163/Q445, "NA")</f>
        <v>4.7733235096517096E-7</v>
      </c>
      <c r="S163" s="9"/>
      <c r="T163" s="7">
        <v>0</v>
      </c>
      <c r="U163" s="8">
        <f>IFERROR(T163/T445, "NA")</f>
        <v>0</v>
      </c>
      <c r="V163" s="9"/>
      <c r="W163" s="10">
        <f t="shared" si="42"/>
        <v>-1.4</v>
      </c>
      <c r="X163" s="8">
        <f>IFERROR(W163/W445, "NA")</f>
        <v>1.0381007442663291E-5</v>
      </c>
      <c r="Y163" s="9"/>
      <c r="Z163" s="7">
        <v>0</v>
      </c>
      <c r="AA163" s="8">
        <f>IFERROR(Z163/Z445, "NA")</f>
        <v>0</v>
      </c>
      <c r="AB163" s="9"/>
      <c r="AC163" s="10">
        <f t="shared" si="43"/>
        <v>-1.4</v>
      </c>
      <c r="AD163" s="8">
        <f>IFERROR(AC163/AC445, "NA")</f>
        <v>-1.8349496837136635E-5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IFERROR(B164/B445, "NA")</f>
        <v>0</v>
      </c>
      <c r="D164" s="9"/>
      <c r="E164" s="7">
        <v>0</v>
      </c>
      <c r="F164" s="8">
        <f>IFERROR(E164/E445, "NA")</f>
        <v>0</v>
      </c>
      <c r="G164" s="9"/>
      <c r="H164" s="10">
        <f t="shared" si="40"/>
        <v>0</v>
      </c>
      <c r="I164" s="8">
        <f>IFERROR(H164/H445, "NA")</f>
        <v>0</v>
      </c>
      <c r="J164" s="9"/>
      <c r="K164" s="7">
        <v>0</v>
      </c>
      <c r="L164" s="8">
        <f>IFERROR(K164/K445, "NA")</f>
        <v>0</v>
      </c>
      <c r="M164" s="9"/>
      <c r="N164" s="10">
        <f t="shared" si="41"/>
        <v>0</v>
      </c>
      <c r="O164" s="8">
        <f>IFERROR(N164/N445, "NA")</f>
        <v>0</v>
      </c>
      <c r="P164" s="9"/>
      <c r="Q164" s="7">
        <v>0</v>
      </c>
      <c r="R164" s="8">
        <f>IFERROR(Q164/Q445, "NA")</f>
        <v>0</v>
      </c>
      <c r="S164" s="9"/>
      <c r="T164" s="7">
        <v>0</v>
      </c>
      <c r="U164" s="8">
        <f>IFERROR(T164/T445, "NA")</f>
        <v>0</v>
      </c>
      <c r="V164" s="9"/>
      <c r="W164" s="10">
        <f t="shared" si="42"/>
        <v>0</v>
      </c>
      <c r="X164" s="8">
        <f>IFERROR(W164/W445, "NA")</f>
        <v>0</v>
      </c>
      <c r="Y164" s="9"/>
      <c r="Z164" s="7">
        <v>0</v>
      </c>
      <c r="AA164" s="8">
        <f>IFERROR(Z164/Z445, "NA")</f>
        <v>0</v>
      </c>
      <c r="AB164" s="9"/>
      <c r="AC164" s="10">
        <f t="shared" si="43"/>
        <v>0</v>
      </c>
      <c r="AD164" s="8">
        <f>IFERROR(AC164/AC445,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IFERROR(B165/B445, "NA")</f>
        <v>0</v>
      </c>
      <c r="D165" s="9"/>
      <c r="E165" s="7">
        <v>0</v>
      </c>
      <c r="F165" s="8">
        <f>IFERROR(E165/E445, "NA")</f>
        <v>0</v>
      </c>
      <c r="G165" s="9"/>
      <c r="H165" s="10">
        <f t="shared" si="40"/>
        <v>0</v>
      </c>
      <c r="I165" s="8">
        <f>IFERROR(H165/H445, "NA")</f>
        <v>0</v>
      </c>
      <c r="J165" s="9"/>
      <c r="K165" s="7">
        <v>0</v>
      </c>
      <c r="L165" s="8">
        <f>IFERROR(K165/K445, "NA")</f>
        <v>0</v>
      </c>
      <c r="M165" s="9"/>
      <c r="N165" s="10">
        <f t="shared" si="41"/>
        <v>0</v>
      </c>
      <c r="O165" s="8">
        <f>IFERROR(N165/N445, "NA")</f>
        <v>0</v>
      </c>
      <c r="P165" s="9"/>
      <c r="Q165" s="7">
        <v>0</v>
      </c>
      <c r="R165" s="8">
        <f>IFERROR(Q165/Q445, "NA")</f>
        <v>0</v>
      </c>
      <c r="S165" s="9"/>
      <c r="T165" s="7">
        <v>0</v>
      </c>
      <c r="U165" s="8">
        <f>IFERROR(T165/T445, "NA")</f>
        <v>0</v>
      </c>
      <c r="V165" s="9"/>
      <c r="W165" s="10">
        <f t="shared" si="42"/>
        <v>0</v>
      </c>
      <c r="X165" s="8">
        <f>IFERROR(W165/W445, "NA")</f>
        <v>0</v>
      </c>
      <c r="Y165" s="9"/>
      <c r="Z165" s="7">
        <v>0</v>
      </c>
      <c r="AA165" s="8">
        <f>IFERROR(Z165/Z445, "NA")</f>
        <v>0</v>
      </c>
      <c r="AB165" s="9"/>
      <c r="AC165" s="10">
        <f t="shared" si="43"/>
        <v>0</v>
      </c>
      <c r="AD165" s="8">
        <f>IFERROR(AC165/AC445,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2215.59</v>
      </c>
      <c r="C166" s="15">
        <f>IFERROR(B166/B445, "NA")</f>
        <v>3.72702741761169E-3</v>
      </c>
      <c r="D166" s="2"/>
      <c r="E166" s="14">
        <f>IFERROR(E160+E161+E162+E163+E164+E165, "NA")</f>
        <v>0</v>
      </c>
      <c r="F166" s="15">
        <f>IFERROR(E166/E445, "NA")</f>
        <v>0</v>
      </c>
      <c r="G166" s="2"/>
      <c r="H166" s="14">
        <f t="shared" si="40"/>
        <v>-2215.59</v>
      </c>
      <c r="I166" s="15">
        <f>IFERROR(H166/H445, "NA")</f>
        <v>4.0863282231253024E-2</v>
      </c>
      <c r="J166" s="2"/>
      <c r="K166" s="14">
        <f>IFERROR(K160+K161+K162+K163+K164+K165, "NA")</f>
        <v>1938.8500000000001</v>
      </c>
      <c r="L166" s="15">
        <f>IFERROR(K166/K445, "NA")</f>
        <v>3.2635108482258319E-3</v>
      </c>
      <c r="M166" s="2"/>
      <c r="N166" s="14">
        <f t="shared" si="41"/>
        <v>-276.74</v>
      </c>
      <c r="O166" s="15">
        <f>IFERROR(N166/N445, "NA")</f>
        <v>-0.75558346529761644</v>
      </c>
      <c r="P166" s="2"/>
      <c r="Q166" s="14">
        <f>IFERROR(Q160+Q161+Q162+Q163+Q164+Q165, "NA")</f>
        <v>8431.3799999999992</v>
      </c>
      <c r="R166" s="15">
        <f>IFERROR(Q166/Q445, "NA")</f>
        <v>2.8746931694862308E-3</v>
      </c>
      <c r="S166" s="2"/>
      <c r="T166" s="14">
        <f>IFERROR(T160+T161+T162+T163+T164+T165, "NA")</f>
        <v>0</v>
      </c>
      <c r="U166" s="15">
        <f>IFERROR(T166/T445, "NA")</f>
        <v>0</v>
      </c>
      <c r="V166" s="2"/>
      <c r="W166" s="14">
        <f t="shared" si="42"/>
        <v>-8431.3799999999992</v>
      </c>
      <c r="X166" s="15">
        <f>IFERROR(W166/W445, "NA")</f>
        <v>6.2518727522801729E-2</v>
      </c>
      <c r="Y166" s="2"/>
      <c r="Z166" s="14">
        <f>IFERROR(Z160+Z161+Z162+Z163+Z164+Z165, "NA")</f>
        <v>7953.17</v>
      </c>
      <c r="AA166" s="15">
        <f>IFERROR(Z166/Z445, "NA")</f>
        <v>2.7840697178606413E-3</v>
      </c>
      <c r="AB166" s="2"/>
      <c r="AC166" s="14">
        <f t="shared" si="43"/>
        <v>-478.20999999999913</v>
      </c>
      <c r="AD166" s="15">
        <f>IFERROR(AC166/AC445, "NA")</f>
        <v>-6.2677949160622106E-3</v>
      </c>
    </row>
    <row r="167" spans="1:30" ht="16.5" customHeight="1" x14ac:dyDescent="0.45">
      <c r="A167" s="6" t="s">
        <v>155</v>
      </c>
      <c r="B167" s="7">
        <v>750.47</v>
      </c>
      <c r="C167" s="8">
        <f>IFERROR(B167/B445, "NA")</f>
        <v>1.2624277353188293E-3</v>
      </c>
      <c r="D167" s="9"/>
      <c r="E167" s="7">
        <v>0</v>
      </c>
      <c r="F167" s="8">
        <f>IFERROR(E167/E445, "NA")</f>
        <v>0</v>
      </c>
      <c r="G167" s="9"/>
      <c r="H167" s="10">
        <f t="shared" si="40"/>
        <v>-750.47</v>
      </c>
      <c r="I167" s="8">
        <f>IFERROR(H167/H445, "NA")</f>
        <v>1.3841309726117404E-2</v>
      </c>
      <c r="J167" s="9"/>
      <c r="K167" s="7">
        <v>724.32999999999993</v>
      </c>
      <c r="L167" s="8">
        <f>IFERROR(K167/K445, "NA")</f>
        <v>1.2192066496610962E-3</v>
      </c>
      <c r="M167" s="9"/>
      <c r="N167" s="10">
        <f t="shared" si="41"/>
        <v>-26.1400000000001</v>
      </c>
      <c r="O167" s="8">
        <f>IFERROR(N167/N445, "NA")</f>
        <v>-7.1370064981136697E-2</v>
      </c>
      <c r="P167" s="9"/>
      <c r="Q167" s="7">
        <v>4194.83</v>
      </c>
      <c r="R167" s="8">
        <f>IFERROR(Q167/Q445, "NA")</f>
        <v>1.4302343327137344E-3</v>
      </c>
      <c r="S167" s="9"/>
      <c r="T167" s="7">
        <v>0</v>
      </c>
      <c r="U167" s="8">
        <f>IFERROR(T167/T445, "NA")</f>
        <v>0</v>
      </c>
      <c r="V167" s="9"/>
      <c r="W167" s="10">
        <f t="shared" si="42"/>
        <v>-4194.83</v>
      </c>
      <c r="X167" s="8">
        <f>IFERROR(W167/W445, "NA")</f>
        <v>3.1104686750505182E-2</v>
      </c>
      <c r="Y167" s="9"/>
      <c r="Z167" s="7">
        <v>3906.2100000000005</v>
      </c>
      <c r="AA167" s="8">
        <f>IFERROR(Z167/Z445, "NA")</f>
        <v>1.3673995366130004E-3</v>
      </c>
      <c r="AB167" s="9"/>
      <c r="AC167" s="10">
        <f t="shared" si="43"/>
        <v>-288.61999999999944</v>
      </c>
      <c r="AD167" s="8">
        <f>IFERROR(AC167/AC445, "NA")</f>
        <v>-3.7828798408102611E-3</v>
      </c>
    </row>
    <row r="168" spans="1:30" ht="16.5" customHeight="1" x14ac:dyDescent="0.45">
      <c r="A168" s="6" t="s">
        <v>156</v>
      </c>
      <c r="B168" s="7">
        <v>735.75</v>
      </c>
      <c r="C168" s="8">
        <f>IFERROR(B168/B445, "NA")</f>
        <v>1.2376660043183986E-3</v>
      </c>
      <c r="D168" s="9"/>
      <c r="E168" s="7">
        <v>0</v>
      </c>
      <c r="F168" s="8">
        <f>IFERROR(E168/E445, "NA")</f>
        <v>0</v>
      </c>
      <c r="G168" s="9"/>
      <c r="H168" s="10">
        <f t="shared" si="40"/>
        <v>-735.75</v>
      </c>
      <c r="I168" s="8">
        <f>IFERROR(H168/H445, "NA")</f>
        <v>1.3569821086773461E-2</v>
      </c>
      <c r="J168" s="9"/>
      <c r="K168" s="7">
        <v>193.8</v>
      </c>
      <c r="L168" s="8">
        <f>IFERROR(K168/K445, "NA")</f>
        <v>3.2620801113348956E-4</v>
      </c>
      <c r="M168" s="9"/>
      <c r="N168" s="10">
        <f t="shared" si="41"/>
        <v>-541.95000000000005</v>
      </c>
      <c r="O168" s="8">
        <f>IFERROR(N168/N445, "NA")</f>
        <v>-1.479686561458565</v>
      </c>
      <c r="P168" s="9"/>
      <c r="Q168" s="7">
        <v>2621.3000000000002</v>
      </c>
      <c r="R168" s="8">
        <f>IFERROR(Q168/Q445, "NA")</f>
        <v>8.9373663684643063E-4</v>
      </c>
      <c r="S168" s="9"/>
      <c r="T168" s="7">
        <v>0</v>
      </c>
      <c r="U168" s="8">
        <f>IFERROR(T168/T445, "NA")</f>
        <v>0</v>
      </c>
      <c r="V168" s="9"/>
      <c r="W168" s="10">
        <f t="shared" si="42"/>
        <v>-2621.3000000000002</v>
      </c>
      <c r="X168" s="8">
        <f>IFERROR(W168/W445, "NA")</f>
        <v>1.9436953435323777E-2</v>
      </c>
      <c r="Y168" s="9"/>
      <c r="Z168" s="7">
        <v>1010.5999999999999</v>
      </c>
      <c r="AA168" s="8">
        <f>IFERROR(Z168/Z445, "NA")</f>
        <v>3.5376847934470956E-4</v>
      </c>
      <c r="AB168" s="9"/>
      <c r="AC168" s="10">
        <f t="shared" si="43"/>
        <v>-1610.7000000000003</v>
      </c>
      <c r="AD168" s="8">
        <f>IFERROR(AC168/AC445, "NA")</f>
        <v>-2.1111096111125702E-2</v>
      </c>
    </row>
    <row r="169" spans="1:30" ht="16.5" customHeight="1" x14ac:dyDescent="0.45">
      <c r="A169" s="6" t="s">
        <v>157</v>
      </c>
      <c r="B169" s="7">
        <v>-5141.0899999999992</v>
      </c>
      <c r="C169" s="8">
        <f>IFERROR(B169/B445, "NA")</f>
        <v>-8.6482532356660213E-3</v>
      </c>
      <c r="D169" s="9"/>
      <c r="E169" s="7">
        <v>0</v>
      </c>
      <c r="F169" s="8">
        <f>IFERROR(E169/E445, "NA")</f>
        <v>0</v>
      </c>
      <c r="G169" s="9"/>
      <c r="H169" s="10">
        <f t="shared" si="40"/>
        <v>5141.0899999999992</v>
      </c>
      <c r="I169" s="8">
        <f>IFERROR(H169/H445, "NA")</f>
        <v>-9.4819804948692021E-2</v>
      </c>
      <c r="J169" s="9"/>
      <c r="K169" s="7">
        <v>-6647.9400000000005</v>
      </c>
      <c r="L169" s="8">
        <f>IFERROR(K169/K445, "NA")</f>
        <v>-1.1189944713801706E-2</v>
      </c>
      <c r="M169" s="9"/>
      <c r="N169" s="10">
        <f t="shared" si="41"/>
        <v>-1506.8500000000013</v>
      </c>
      <c r="O169" s="8">
        <f>IFERROR(N169/N445, "NA")</f>
        <v>-4.1141538797561408</v>
      </c>
      <c r="P169" s="9"/>
      <c r="Q169" s="7">
        <v>-25661.85</v>
      </c>
      <c r="R169" s="8">
        <f>IFERROR(Q169/Q445, "NA")</f>
        <v>-8.749450850439695E-3</v>
      </c>
      <c r="S169" s="9"/>
      <c r="T169" s="7">
        <v>0</v>
      </c>
      <c r="U169" s="8">
        <f>IFERROR(T169/T445, "NA")</f>
        <v>0</v>
      </c>
      <c r="V169" s="9"/>
      <c r="W169" s="10">
        <f t="shared" si="42"/>
        <v>25661.85</v>
      </c>
      <c r="X169" s="8">
        <f>IFERROR(W169/W445, "NA")</f>
        <v>-0.19028275417322069</v>
      </c>
      <c r="Y169" s="9"/>
      <c r="Z169" s="7">
        <v>-53840.44</v>
      </c>
      <c r="AA169" s="8">
        <f>IFERROR(Z169/Z445, "NA")</f>
        <v>-1.884726952904223E-2</v>
      </c>
      <c r="AB169" s="9"/>
      <c r="AC169" s="10">
        <f t="shared" si="43"/>
        <v>-28178.590000000004</v>
      </c>
      <c r="AD169" s="8">
        <f>IFERROR(AC169/AC445, "NA")</f>
        <v>-0.36933067719997864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22504.190000000002</v>
      </c>
      <c r="C170" s="15">
        <f>IFERROR(B170/B445, "NA")</f>
        <v>3.7856161627892716E-2</v>
      </c>
      <c r="D170" s="2"/>
      <c r="E170" s="14">
        <f>IFERROR(E151+E153+E154+E155+E156+E157+E160+E161+E162+E163+E164+E165+E167+E168+E169, "NA")</f>
        <v>26645.45</v>
      </c>
      <c r="F170" s="15">
        <f>IFERROR(E170/E445, "NA")</f>
        <v>4.1076081746820557E-2</v>
      </c>
      <c r="G170" s="2"/>
      <c r="H170" s="14">
        <f t="shared" si="40"/>
        <v>4141.2599999999984</v>
      </c>
      <c r="I170" s="15">
        <f>IFERROR(H170/H445, "NA")</f>
        <v>-7.6379418652818803E-2</v>
      </c>
      <c r="J170" s="2"/>
      <c r="K170" s="14">
        <f>IFERROR(K151+K153+K154+K155+K156+K157+K160+K161+K162+K163+K164+K165+K167+K168+K169, "NA")</f>
        <v>21289</v>
      </c>
      <c r="L170" s="15">
        <f>IFERROR(K170/K445, "NA")</f>
        <v>3.5834067848404844E-2</v>
      </c>
      <c r="M170" s="2"/>
      <c r="N170" s="14">
        <f t="shared" si="41"/>
        <v>-1215.1900000000023</v>
      </c>
      <c r="O170" s="15">
        <f>IFERROR(N170/N445, "NA")</f>
        <v>-3.3178343253415203</v>
      </c>
      <c r="P170" s="2"/>
      <c r="Q170" s="14">
        <f>IFERROR(Q151+Q153+Q154+Q155+Q156+Q157+Q160+Q161+Q162+Q163+Q164+Q165+Q167+Q168+Q169, "NA")</f>
        <v>110832.57999999996</v>
      </c>
      <c r="R170" s="15">
        <f>IFERROR(Q170/Q445, "NA")</f>
        <v>3.7788554267810984E-2</v>
      </c>
      <c r="S170" s="2"/>
      <c r="T170" s="14">
        <f>IFERROR(T151+T153+T154+T155+T156+T157+T160+T161+T162+T163+T164+T165+T167+T168+T169, "NA")</f>
        <v>125933.23999999998</v>
      </c>
      <c r="U170" s="15">
        <f>IFERROR(T170/T445, "NA")</f>
        <v>4.1049633607301267E-2</v>
      </c>
      <c r="V170" s="2"/>
      <c r="W170" s="14">
        <f t="shared" si="42"/>
        <v>15100.660000000018</v>
      </c>
      <c r="X170" s="15">
        <f>IFERROR(W170/W445, "NA")</f>
        <v>-0.1119714741779486</v>
      </c>
      <c r="Y170" s="2"/>
      <c r="Z170" s="14">
        <f>IFERROR(Z151+Z153+Z154+Z155+Z156+Z157+Z160+Z161+Z162+Z163+Z164+Z165+Z167+Z168+Z169, "NA")</f>
        <v>81951.260000000009</v>
      </c>
      <c r="AA170" s="15">
        <f>IFERROR(Z170/Z445, "NA")</f>
        <v>2.8687683188781839E-2</v>
      </c>
      <c r="AB170" s="2"/>
      <c r="AC170" s="14">
        <f t="shared" si="43"/>
        <v>-28881.319999999949</v>
      </c>
      <c r="AD170" s="15">
        <f>IFERROR(AC170/AC445, "NA")</f>
        <v>-0.37854120713737865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164969.41000000003</v>
      </c>
      <c r="C171" s="15">
        <f>IFERROR(B171/B445, "NA")</f>
        <v>0.27750870609509171</v>
      </c>
      <c r="D171" s="2"/>
      <c r="E171" s="14">
        <f>IFERROR(E127+E129+E130+E131+E132+E133+E134+E135+E136+E137+E138+E139+E140+E143+E144+E145+E146+E147+E151+E153+E154+E155+E156+E157+E160+E161+E162+E163+E164+E165+E167+E168+E169, "NA")</f>
        <v>170131.31</v>
      </c>
      <c r="F171" s="15">
        <f>IFERROR(E171/E445, "NA")</f>
        <v>0.26227095422496782</v>
      </c>
      <c r="G171" s="2"/>
      <c r="H171" s="14">
        <f t="shared" si="40"/>
        <v>5161.8999999999651</v>
      </c>
      <c r="I171" s="15">
        <f>IFERROR(H171/H445, "NA")</f>
        <v>-9.5203614635155212E-2</v>
      </c>
      <c r="J171" s="2"/>
      <c r="K171" s="14">
        <f>IFERROR(K127+K129+K130+K131+K132+K133+K134+K135+K136+K137+K138+K139+K140+K143+K144+K145+K146+K147+K151+K153+K154+K155+K156+K157+K160+K161+K162+K163+K164+K165+K167+K168+K169, "NA")</f>
        <v>181686.23000000004</v>
      </c>
      <c r="L171" s="15">
        <f>IFERROR(K171/K445, "NA")</f>
        <v>0.30581787274840949</v>
      </c>
      <c r="M171" s="2"/>
      <c r="N171" s="14">
        <f t="shared" si="41"/>
        <v>16716.820000000007</v>
      </c>
      <c r="O171" s="15">
        <f>IFERROR(N171/N445, "NA")</f>
        <v>45.64194834269172</v>
      </c>
      <c r="P171" s="2"/>
      <c r="Q171" s="14">
        <f>IFERROR(Q127+Q129+Q130+Q131+Q132+Q133+Q134+Q135+Q136+Q137+Q138+Q139+Q140+Q143+Q144+Q145+Q146+Q147+Q151+Q153+Q154+Q155+Q156+Q157+Q160+Q161+Q162+Q163+Q164+Q165+Q167+Q168+Q169, "NA")</f>
        <v>806201.78999999992</v>
      </c>
      <c r="R171" s="15">
        <f>IFERROR(Q171/Q445, "NA")</f>
        <v>0.27487585412359217</v>
      </c>
      <c r="S171" s="2"/>
      <c r="T171" s="14">
        <f>IFERROR(T127+T129+T130+T131+T132+T133+T134+T135+T136+T137+T138+T139+T140+T143+T144+T145+T146+T147+T151+T153+T154+T155+T156+T157+T160+T161+T162+T163+T164+T165+T167+T168+T169, "NA")</f>
        <v>808658.1</v>
      </c>
      <c r="U171" s="15">
        <f>IFERROR(T171/T445, "NA")</f>
        <v>0.26359298560551919</v>
      </c>
      <c r="V171" s="2"/>
      <c r="W171" s="14">
        <f t="shared" si="42"/>
        <v>2456.3100000000559</v>
      </c>
      <c r="X171" s="15">
        <f>IFERROR(W171/W445, "NA")</f>
        <v>-1.8213551708206321E-2</v>
      </c>
      <c r="Y171" s="2"/>
      <c r="Z171" s="14">
        <f>IFERROR(Z127+Z129+Z130+Z131+Z132+Z133+Z134+Z135+Z136+Z137+Z138+Z139+Z140+Z143+Z144+Z145+Z146+Z147+Z151+Z153+Z154+Z155+Z156+Z157+Z160+Z161+Z162+Z163+Z164+Z165+Z167+Z168+Z169, "NA")</f>
        <v>810028.64000000013</v>
      </c>
      <c r="AA171" s="15">
        <f>IFERROR(Z171/Z445, "NA")</f>
        <v>0.28355689708931647</v>
      </c>
      <c r="AB171" s="2"/>
      <c r="AC171" s="14">
        <f t="shared" si="43"/>
        <v>3826.8500000002095</v>
      </c>
      <c r="AD171" s="15">
        <f>IFERROR(AC171/AC445, "NA")</f>
        <v>5.0157694265142987E-2</v>
      </c>
    </row>
    <row r="172" spans="1:30" ht="16.5" customHeight="1" x14ac:dyDescent="0.45">
      <c r="A172" s="22" t="s">
        <v>160</v>
      </c>
      <c r="B172" s="23">
        <f>IFERROR(B124-B171, "NA")</f>
        <v>429496.30000000005</v>
      </c>
      <c r="C172" s="24">
        <f>IFERROR(B172/B445, "NA")</f>
        <v>0.72249129390490829</v>
      </c>
      <c r="D172" s="25"/>
      <c r="E172" s="23">
        <f>IFERROR(E124-E171, "NA")</f>
        <v>478553.98000000004</v>
      </c>
      <c r="F172" s="24">
        <f>IFERROR(E172/E445, "NA")</f>
        <v>0.73772904577503218</v>
      </c>
      <c r="G172" s="25"/>
      <c r="H172" s="23">
        <f>IFERROR(B172-E172, "NA")</f>
        <v>-49057.679999999993</v>
      </c>
      <c r="I172" s="24">
        <f>IFERROR(H172/H445, "NA")</f>
        <v>0.90479638536484475</v>
      </c>
      <c r="J172" s="25"/>
      <c r="K172" s="23">
        <f>IFERROR(K124-K171, "NA")</f>
        <v>412413.22000000015</v>
      </c>
      <c r="L172" s="24">
        <f>IFERROR(K172/K445, "NA")</f>
        <v>0.6941821272515909</v>
      </c>
      <c r="M172" s="25"/>
      <c r="N172" s="23">
        <f>IFERROR(B172-K172, "NA")</f>
        <v>17083.0799999999</v>
      </c>
      <c r="O172" s="24">
        <f>IFERROR(N172/N445, "NA")</f>
        <v>46.64194834269108</v>
      </c>
      <c r="P172" s="25"/>
      <c r="Q172" s="23">
        <f>IFERROR(Q124-Q171, "NA")</f>
        <v>2126765.14</v>
      </c>
      <c r="R172" s="24">
        <f>IFERROR(Q172/Q445, "NA")</f>
        <v>0.72512414587640794</v>
      </c>
      <c r="S172" s="25"/>
      <c r="T172" s="23">
        <f>IFERROR(T124-T171, "NA")</f>
        <v>2259170.5000000005</v>
      </c>
      <c r="U172" s="24">
        <f>IFERROR(T172/T445, "NA")</f>
        <v>0.73640701439448109</v>
      </c>
      <c r="V172" s="25"/>
      <c r="W172" s="23">
        <f>IFERROR(Q172-T172, "NA")</f>
        <v>-132405.36000000034</v>
      </c>
      <c r="X172" s="24">
        <f>IFERROR(W172/W445, "NA")</f>
        <v>0.98178644829179718</v>
      </c>
      <c r="Y172" s="25"/>
      <c r="Z172" s="23">
        <f>IFERROR(Z124-Z171, "NA")</f>
        <v>2046641.9199999995</v>
      </c>
      <c r="AA172" s="24">
        <f>IFERROR(Z172/Z445, "NA")</f>
        <v>0.71644310291068336</v>
      </c>
      <c r="AB172" s="25"/>
      <c r="AC172" s="23">
        <f>IFERROR(Q172-Z172, "NA")</f>
        <v>80123.220000000671</v>
      </c>
      <c r="AD172" s="24">
        <f>IFERROR(AC172/AC445, "NA")</f>
        <v>1.0501576942651536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IFERROR(B175/B445, "NA")</f>
        <v>0</v>
      </c>
      <c r="D175" s="9"/>
      <c r="E175" s="7">
        <v>0</v>
      </c>
      <c r="F175" s="8">
        <f>IFERROR(E175/E445, "NA")</f>
        <v>0</v>
      </c>
      <c r="G175" s="9"/>
      <c r="H175" s="10">
        <f>IFERROR(-(B175-E175), "NA")</f>
        <v>0</v>
      </c>
      <c r="I175" s="8">
        <f>IFERROR(H175/H445, "NA")</f>
        <v>0</v>
      </c>
      <c r="J175" s="9"/>
      <c r="K175" s="7">
        <v>0</v>
      </c>
      <c r="L175" s="8">
        <f>IFERROR(K175/K445, "NA")</f>
        <v>0</v>
      </c>
      <c r="M175" s="9"/>
      <c r="N175" s="10">
        <f>IFERROR(-(B175-K175), "NA")</f>
        <v>0</v>
      </c>
      <c r="O175" s="8">
        <f>IFERROR(N175/N445, "NA")</f>
        <v>0</v>
      </c>
      <c r="P175" s="9"/>
      <c r="Q175" s="7">
        <v>0</v>
      </c>
      <c r="R175" s="8">
        <f>IFERROR(Q175/Q445, "NA")</f>
        <v>0</v>
      </c>
      <c r="S175" s="9"/>
      <c r="T175" s="7">
        <v>0</v>
      </c>
      <c r="U175" s="8">
        <f>IFERROR(T175/T445, "NA")</f>
        <v>0</v>
      </c>
      <c r="V175" s="9"/>
      <c r="W175" s="10">
        <f>IFERROR(-(Q175-T175), "NA")</f>
        <v>0</v>
      </c>
      <c r="X175" s="8">
        <f>IFERROR(W175/W445, "NA")</f>
        <v>0</v>
      </c>
      <c r="Y175" s="9"/>
      <c r="Z175" s="7">
        <v>0</v>
      </c>
      <c r="AA175" s="8">
        <f>IFERROR(Z175/Z445, "NA")</f>
        <v>0</v>
      </c>
      <c r="AB175" s="9"/>
      <c r="AC175" s="10">
        <f>IFERROR(-(Q175-Z175), "NA")</f>
        <v>0</v>
      </c>
      <c r="AD175" s="8">
        <f>IFERROR(AC175/AC445,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IFERROR(B177/B445, "NA")</f>
        <v>0</v>
      </c>
      <c r="D177" s="9"/>
      <c r="E177" s="7">
        <v>0</v>
      </c>
      <c r="F177" s="8">
        <f>IFERROR(E177/E445, "NA")</f>
        <v>0</v>
      </c>
      <c r="G177" s="9"/>
      <c r="H177" s="10">
        <f t="shared" ref="H177:H184" si="44">IFERROR(-(B177-E177), "NA")</f>
        <v>0</v>
      </c>
      <c r="I177" s="8">
        <f>IFERROR(H177/H445, "NA")</f>
        <v>0</v>
      </c>
      <c r="J177" s="9"/>
      <c r="K177" s="7">
        <v>0</v>
      </c>
      <c r="L177" s="8">
        <f>IFERROR(K177/K445, "NA")</f>
        <v>0</v>
      </c>
      <c r="M177" s="9"/>
      <c r="N177" s="10">
        <f t="shared" ref="N177:N184" si="45">IFERROR(-(B177-K177), "NA")</f>
        <v>0</v>
      </c>
      <c r="O177" s="8">
        <f>IFERROR(N177/N445, "NA")</f>
        <v>0</v>
      </c>
      <c r="P177" s="9"/>
      <c r="Q177" s="7">
        <v>0</v>
      </c>
      <c r="R177" s="8">
        <f>IFERROR(Q177/Q445, "NA")</f>
        <v>0</v>
      </c>
      <c r="S177" s="9"/>
      <c r="T177" s="7">
        <v>0</v>
      </c>
      <c r="U177" s="8">
        <f>IFERROR(T177/T445, "NA")</f>
        <v>0</v>
      </c>
      <c r="V177" s="9"/>
      <c r="W177" s="10">
        <f t="shared" ref="W177:W184" si="46">IFERROR(-(Q177-T177), "NA")</f>
        <v>0</v>
      </c>
      <c r="X177" s="8">
        <f>IFERROR(W177/W445, "NA")</f>
        <v>0</v>
      </c>
      <c r="Y177" s="9"/>
      <c r="Z177" s="7">
        <v>0</v>
      </c>
      <c r="AA177" s="8">
        <f>IFERROR(Z177/Z445, "NA")</f>
        <v>0</v>
      </c>
      <c r="AB177" s="9"/>
      <c r="AC177" s="10">
        <f t="shared" ref="AC177:AC184" si="47">IFERROR(-(Q177-Z177), "NA")</f>
        <v>0</v>
      </c>
      <c r="AD177" s="8">
        <f>IFERROR(AC177/AC445, "NA")</f>
        <v>0</v>
      </c>
    </row>
    <row r="178" spans="1:30" ht="16.5" customHeight="1" x14ac:dyDescent="0.45">
      <c r="A178" s="12" t="s">
        <v>163</v>
      </c>
      <c r="B178" s="7">
        <v>31405.24</v>
      </c>
      <c r="C178" s="8">
        <f>IFERROR(B178/B445, "NA")</f>
        <v>5.2829354951356232E-2</v>
      </c>
      <c r="D178" s="9"/>
      <c r="E178" s="7">
        <v>31572.34</v>
      </c>
      <c r="F178" s="8">
        <f>IFERROR(E178/E445, "NA")</f>
        <v>4.8671274787193027E-2</v>
      </c>
      <c r="G178" s="9"/>
      <c r="H178" s="10">
        <f t="shared" si="44"/>
        <v>167.09999999999854</v>
      </c>
      <c r="I178" s="8">
        <f>IFERROR(H178/H445, "NA")</f>
        <v>-3.0819124751611626E-3</v>
      </c>
      <c r="J178" s="9"/>
      <c r="K178" s="7">
        <v>31370.799999999999</v>
      </c>
      <c r="L178" s="8">
        <f>IFERROR(K178/K445, "NA")</f>
        <v>5.2803953950807399E-2</v>
      </c>
      <c r="M178" s="9"/>
      <c r="N178" s="10">
        <f t="shared" si="45"/>
        <v>-34.440000000002328</v>
      </c>
      <c r="O178" s="8">
        <f>IFERROR(N178/N445, "NA")</f>
        <v>-9.4031562278137137E-2</v>
      </c>
      <c r="P178" s="9"/>
      <c r="Q178" s="7">
        <v>165838.44</v>
      </c>
      <c r="R178" s="8">
        <f>IFERROR(Q178/Q445, "NA")</f>
        <v>5.6542894603997466E-2</v>
      </c>
      <c r="S178" s="9"/>
      <c r="T178" s="7">
        <v>165099.78</v>
      </c>
      <c r="U178" s="8">
        <f>IFERROR(T178/T445, "NA")</f>
        <v>5.381649418093306E-2</v>
      </c>
      <c r="V178" s="9"/>
      <c r="W178" s="10">
        <f t="shared" si="46"/>
        <v>-738.66000000000349</v>
      </c>
      <c r="X178" s="8">
        <f>IFERROR(W178/W445, "NA")</f>
        <v>5.4771678268555023E-3</v>
      </c>
      <c r="Y178" s="9"/>
      <c r="Z178" s="7">
        <v>164696.69999999998</v>
      </c>
      <c r="AA178" s="8">
        <f>IFERROR(Z178/Z445, "NA")</f>
        <v>5.7653375333556134E-2</v>
      </c>
      <c r="AB178" s="9"/>
      <c r="AC178" s="10">
        <f t="shared" si="47"/>
        <v>-1141.7400000000198</v>
      </c>
      <c r="AD178" s="8">
        <f>IFERROR(AC178/AC445, "NA")</f>
        <v>-1.4964538942023389E-2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IFERROR(B179/B445, "NA")</f>
        <v>0</v>
      </c>
      <c r="D179" s="9"/>
      <c r="E179" s="7">
        <v>0</v>
      </c>
      <c r="F179" s="8">
        <f>IFERROR(E179/E445, "NA")</f>
        <v>0</v>
      </c>
      <c r="G179" s="9"/>
      <c r="H179" s="10">
        <f t="shared" si="44"/>
        <v>0</v>
      </c>
      <c r="I179" s="8">
        <f>IFERROR(H179/H445, "NA")</f>
        <v>0</v>
      </c>
      <c r="J179" s="9"/>
      <c r="K179" s="7">
        <v>0</v>
      </c>
      <c r="L179" s="8">
        <f>IFERROR(K179/K445, "NA")</f>
        <v>0</v>
      </c>
      <c r="M179" s="9"/>
      <c r="N179" s="10">
        <f t="shared" si="45"/>
        <v>0</v>
      </c>
      <c r="O179" s="8">
        <f>IFERROR(N179/N445, "NA")</f>
        <v>0</v>
      </c>
      <c r="P179" s="9"/>
      <c r="Q179" s="7">
        <v>0</v>
      </c>
      <c r="R179" s="8">
        <f>IFERROR(Q179/Q445, "NA")</f>
        <v>0</v>
      </c>
      <c r="S179" s="9"/>
      <c r="T179" s="7">
        <v>0</v>
      </c>
      <c r="U179" s="8">
        <f>IFERROR(T179/T445, "NA")</f>
        <v>0</v>
      </c>
      <c r="V179" s="9"/>
      <c r="W179" s="10">
        <f t="shared" si="46"/>
        <v>0</v>
      </c>
      <c r="X179" s="8">
        <f>IFERROR(W179/W445, "NA")</f>
        <v>0</v>
      </c>
      <c r="Y179" s="9"/>
      <c r="Z179" s="7">
        <v>0</v>
      </c>
      <c r="AA179" s="8">
        <f>IFERROR(Z179/Z445, "NA")</f>
        <v>0</v>
      </c>
      <c r="AB179" s="9"/>
      <c r="AC179" s="10">
        <f t="shared" si="47"/>
        <v>0</v>
      </c>
      <c r="AD179" s="8">
        <f>IFERROR(AC179/AC445, "NA")</f>
        <v>0</v>
      </c>
    </row>
    <row r="180" spans="1:30" ht="16.5" customHeight="1" x14ac:dyDescent="0.45">
      <c r="A180" s="12" t="s">
        <v>165</v>
      </c>
      <c r="B180" s="7">
        <v>105215.67000000001</v>
      </c>
      <c r="C180" s="8">
        <f>IFERROR(B180/B445, "NA")</f>
        <v>0.17699199168274987</v>
      </c>
      <c r="D180" s="9"/>
      <c r="E180" s="7">
        <v>118507.94</v>
      </c>
      <c r="F180" s="8">
        <f>IFERROR(E180/E445, "NA")</f>
        <v>0.18268942093630641</v>
      </c>
      <c r="G180" s="9"/>
      <c r="H180" s="10">
        <f t="shared" si="44"/>
        <v>13292.26999999999</v>
      </c>
      <c r="I180" s="8">
        <f>IFERROR(H180/H445, "NA")</f>
        <v>-0.24515627011496585</v>
      </c>
      <c r="J180" s="9"/>
      <c r="K180" s="7">
        <v>111972.41</v>
      </c>
      <c r="L180" s="8">
        <f>IFERROR(K180/K445, "NA")</f>
        <v>0.18847418559300133</v>
      </c>
      <c r="M180" s="9"/>
      <c r="N180" s="10">
        <f t="shared" si="45"/>
        <v>6756.7399999999907</v>
      </c>
      <c r="O180" s="8">
        <f>IFERROR(N180/N445, "NA")</f>
        <v>18.447933162228122</v>
      </c>
      <c r="P180" s="9"/>
      <c r="Q180" s="7">
        <v>517234.68000000005</v>
      </c>
      <c r="R180" s="8">
        <f>IFERROR(Q180/Q445, "NA")</f>
        <v>0.17635203271794139</v>
      </c>
      <c r="S180" s="9"/>
      <c r="T180" s="7">
        <v>558728.0199999999</v>
      </c>
      <c r="U180" s="8">
        <f>IFERROR(T180/T445, "NA")</f>
        <v>0.1821249140189905</v>
      </c>
      <c r="V180" s="9"/>
      <c r="W180" s="10">
        <f t="shared" si="46"/>
        <v>41493.339999999851</v>
      </c>
      <c r="X180" s="8">
        <f>IFERROR(W180/W445, "NA")</f>
        <v>-0.30767333668639779</v>
      </c>
      <c r="Y180" s="9"/>
      <c r="Z180" s="7">
        <v>534763.32999999996</v>
      </c>
      <c r="AA180" s="8">
        <f>IFERROR(Z180/Z445, "NA")</f>
        <v>0.18719811009639137</v>
      </c>
      <c r="AB180" s="9"/>
      <c r="AC180" s="10">
        <f t="shared" si="47"/>
        <v>17528.649999999907</v>
      </c>
      <c r="AD180" s="8">
        <f>IFERROR(AC180/AC445, "NA")</f>
        <v>0.22974421981019527</v>
      </c>
    </row>
    <row r="181" spans="1:30" ht="16.5" customHeight="1" x14ac:dyDescent="0.45">
      <c r="A181" s="12" t="s">
        <v>166</v>
      </c>
      <c r="B181" s="7">
        <v>1754.5700000000002</v>
      </c>
      <c r="C181" s="8">
        <f>IFERROR(B181/B445, "NA")</f>
        <v>2.9515074973794535E-3</v>
      </c>
      <c r="D181" s="9"/>
      <c r="E181" s="7">
        <v>0</v>
      </c>
      <c r="F181" s="8">
        <f>IFERROR(E181/E445, "NA")</f>
        <v>0</v>
      </c>
      <c r="G181" s="9"/>
      <c r="H181" s="10">
        <f t="shared" si="44"/>
        <v>-1754.5700000000002</v>
      </c>
      <c r="I181" s="8">
        <f>IFERROR(H181/H445, "NA")</f>
        <v>3.2360449859626383E-2</v>
      </c>
      <c r="J181" s="9"/>
      <c r="K181" s="7">
        <v>2320.21</v>
      </c>
      <c r="L181" s="8">
        <f>IFERROR(K181/K445, "NA")</f>
        <v>3.9054235784934666E-3</v>
      </c>
      <c r="M181" s="9"/>
      <c r="N181" s="10">
        <f t="shared" si="45"/>
        <v>565.63999999999987</v>
      </c>
      <c r="O181" s="8">
        <f>IFERROR(N181/N445, "NA")</f>
        <v>1.5443673892857688</v>
      </c>
      <c r="P181" s="9"/>
      <c r="Q181" s="7">
        <v>6460.3600000000006</v>
      </c>
      <c r="R181" s="8">
        <f>IFERROR(Q181/Q445, "NA")</f>
        <v>2.2026705906295374E-3</v>
      </c>
      <c r="S181" s="9"/>
      <c r="T181" s="7">
        <v>0</v>
      </c>
      <c r="U181" s="8">
        <f>IFERROR(T181/T445, "NA")</f>
        <v>0</v>
      </c>
      <c r="V181" s="9"/>
      <c r="W181" s="10">
        <f t="shared" si="46"/>
        <v>-6460.3600000000006</v>
      </c>
      <c r="X181" s="8">
        <f>IFERROR(W181/W445, "NA")</f>
        <v>4.7903603744488737E-2</v>
      </c>
      <c r="Y181" s="9"/>
      <c r="Z181" s="7">
        <v>6768.1100000000006</v>
      </c>
      <c r="AA181" s="8">
        <f>IFERROR(Z181/Z445, "NA")</f>
        <v>2.369230143219595E-3</v>
      </c>
      <c r="AB181" s="9"/>
      <c r="AC181" s="10">
        <f t="shared" si="47"/>
        <v>307.75</v>
      </c>
      <c r="AD181" s="8">
        <f>IFERROR(AC181/AC445, "NA")</f>
        <v>4.0336126083062853E-3</v>
      </c>
    </row>
    <row r="182" spans="1:30" ht="16.5" customHeight="1" x14ac:dyDescent="0.45">
      <c r="A182" s="13" t="s">
        <v>167</v>
      </c>
      <c r="B182" s="14">
        <f>IFERROR(B177+B178+B179+B180+B181, "NA")</f>
        <v>138375.48000000001</v>
      </c>
      <c r="C182" s="15">
        <f>IFERROR(B182/B445, "NA")</f>
        <v>0.23277285413148555</v>
      </c>
      <c r="D182" s="2"/>
      <c r="E182" s="14">
        <f>IFERROR(E177+E178+E179+E180+E181, "NA")</f>
        <v>150080.28</v>
      </c>
      <c r="F182" s="15">
        <f>IFERROR(E182/E445, "NA")</f>
        <v>0.23136069572349943</v>
      </c>
      <c r="G182" s="2"/>
      <c r="H182" s="14">
        <f t="shared" si="44"/>
        <v>11704.799999999988</v>
      </c>
      <c r="I182" s="15">
        <f>IFERROR(H182/H445, "NA")</f>
        <v>-0.21587773273050062</v>
      </c>
      <c r="J182" s="2"/>
      <c r="K182" s="14">
        <f>IFERROR(K177+K178+K179+K180+K181, "NA")</f>
        <v>145663.41999999998</v>
      </c>
      <c r="L182" s="15">
        <f>IFERROR(K182/K445, "NA")</f>
        <v>0.24518356312230216</v>
      </c>
      <c r="M182" s="2"/>
      <c r="N182" s="14">
        <f t="shared" si="45"/>
        <v>7287.9399999999732</v>
      </c>
      <c r="O182" s="15">
        <f>IFERROR(N182/N445, "NA")</f>
        <v>19.89826898923571</v>
      </c>
      <c r="P182" s="2"/>
      <c r="Q182" s="14">
        <f>IFERROR(Q177+Q178+Q179+Q180+Q181, "NA")</f>
        <v>689533.4800000001</v>
      </c>
      <c r="R182" s="15">
        <f>IFERROR(Q182/Q445, "NA")</f>
        <v>0.2350975979125684</v>
      </c>
      <c r="S182" s="2"/>
      <c r="T182" s="14">
        <f>IFERROR(T177+T178+T179+T180+T181, "NA")</f>
        <v>723827.79999999993</v>
      </c>
      <c r="U182" s="15">
        <f>IFERROR(T182/T445, "NA")</f>
        <v>0.23594140819992357</v>
      </c>
      <c r="V182" s="2"/>
      <c r="W182" s="14">
        <f t="shared" si="46"/>
        <v>34294.319999999832</v>
      </c>
      <c r="X182" s="15">
        <f>IFERROR(W182/W445, "NA")</f>
        <v>-0.25429256511505344</v>
      </c>
      <c r="Y182" s="2"/>
      <c r="Z182" s="14">
        <f>IFERROR(Z177+Z178+Z179+Z180+Z181, "NA")</f>
        <v>706228.1399999999</v>
      </c>
      <c r="AA182" s="15">
        <f>IFERROR(Z182/Z445, "NA")</f>
        <v>0.24722071557316708</v>
      </c>
      <c r="AB182" s="2"/>
      <c r="AC182" s="14">
        <f t="shared" si="47"/>
        <v>16694.6599999998</v>
      </c>
      <c r="AD182" s="15">
        <f>IFERROR(AC182/AC445, "NA")</f>
        <v>0.21881329347647702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IFERROR(B183/B445, "NA")</f>
        <v>0</v>
      </c>
      <c r="D183" s="9"/>
      <c r="E183" s="7">
        <v>0</v>
      </c>
      <c r="F183" s="8">
        <f>IFERROR(E183/E445, "NA")</f>
        <v>0</v>
      </c>
      <c r="G183" s="9"/>
      <c r="H183" s="10">
        <f t="shared" si="44"/>
        <v>0</v>
      </c>
      <c r="I183" s="8">
        <f>IFERROR(H183/H445, "NA")</f>
        <v>0</v>
      </c>
      <c r="J183" s="9"/>
      <c r="K183" s="7">
        <v>0</v>
      </c>
      <c r="L183" s="8">
        <f>IFERROR(K183/K445, "NA")</f>
        <v>0</v>
      </c>
      <c r="M183" s="9"/>
      <c r="N183" s="10">
        <f t="shared" si="45"/>
        <v>0</v>
      </c>
      <c r="O183" s="8">
        <f>IFERROR(N183/N445, "NA")</f>
        <v>0</v>
      </c>
      <c r="P183" s="9"/>
      <c r="Q183" s="7">
        <v>0</v>
      </c>
      <c r="R183" s="8">
        <f>IFERROR(Q183/Q445, "NA")</f>
        <v>0</v>
      </c>
      <c r="S183" s="9"/>
      <c r="T183" s="7">
        <v>0</v>
      </c>
      <c r="U183" s="8">
        <f>IFERROR(T183/T445, "NA")</f>
        <v>0</v>
      </c>
      <c r="V183" s="9"/>
      <c r="W183" s="10">
        <f t="shared" si="46"/>
        <v>0</v>
      </c>
      <c r="X183" s="8">
        <f>IFERROR(W183/W445, "NA")</f>
        <v>0</v>
      </c>
      <c r="Y183" s="9"/>
      <c r="Z183" s="7">
        <v>0</v>
      </c>
      <c r="AA183" s="8">
        <f>IFERROR(Z183/Z445, "NA")</f>
        <v>0</v>
      </c>
      <c r="AB183" s="9"/>
      <c r="AC183" s="10">
        <f t="shared" si="47"/>
        <v>0</v>
      </c>
      <c r="AD183" s="8">
        <f>IFERROR(AC183/AC445, "NA")</f>
        <v>0</v>
      </c>
    </row>
    <row r="184" spans="1:30" ht="16.5" customHeight="1" x14ac:dyDescent="0.45">
      <c r="A184" s="6" t="s">
        <v>169</v>
      </c>
      <c r="B184" s="7">
        <v>905</v>
      </c>
      <c r="C184" s="8">
        <f>IFERROR(B184/B445, "NA")</f>
        <v>1.5223754453389748E-3</v>
      </c>
      <c r="D184" s="9"/>
      <c r="E184" s="7">
        <v>1995</v>
      </c>
      <c r="F184" s="8">
        <f>IFERROR(E184/E445, "NA")</f>
        <v>3.0754512716019812E-3</v>
      </c>
      <c r="G184" s="9"/>
      <c r="H184" s="10">
        <f t="shared" si="44"/>
        <v>1090</v>
      </c>
      <c r="I184" s="8">
        <f>IFERROR(H184/H445, "NA")</f>
        <v>-2.0103438647071793E-2</v>
      </c>
      <c r="J184" s="9"/>
      <c r="K184" s="7">
        <v>2950</v>
      </c>
      <c r="L184" s="8">
        <f>IFERROR(K184/K445, "NA")</f>
        <v>4.9654986214850063E-3</v>
      </c>
      <c r="M184" s="9"/>
      <c r="N184" s="10">
        <f t="shared" si="45"/>
        <v>2045</v>
      </c>
      <c r="O184" s="8">
        <f>IFERROR(N184/N445, "NA")</f>
        <v>5.583465297873909</v>
      </c>
      <c r="P184" s="9"/>
      <c r="Q184" s="7">
        <v>2567</v>
      </c>
      <c r="R184" s="8">
        <f>IFERROR(Q184/Q445, "NA")</f>
        <v>8.7522296066256712E-4</v>
      </c>
      <c r="S184" s="9"/>
      <c r="T184" s="7">
        <v>10702.5</v>
      </c>
      <c r="U184" s="8">
        <f>IFERROR(T184/T445, "NA")</f>
        <v>3.4886238429356845E-3</v>
      </c>
      <c r="V184" s="9"/>
      <c r="W184" s="10">
        <f t="shared" si="46"/>
        <v>8135.5</v>
      </c>
      <c r="X184" s="8">
        <f>IFERROR(W184/W445, "NA")</f>
        <v>-6.0324775749848007E-2</v>
      </c>
      <c r="Y184" s="9"/>
      <c r="Z184" s="7">
        <v>14750</v>
      </c>
      <c r="AA184" s="8">
        <f>IFERROR(Z184/Z445, "NA")</f>
        <v>5.1633535229907643E-3</v>
      </c>
      <c r="AB184" s="9"/>
      <c r="AC184" s="10">
        <f t="shared" si="47"/>
        <v>12183</v>
      </c>
      <c r="AD184" s="8">
        <f>IFERROR(AC184/AC445, "NA")</f>
        <v>0.15967994283345402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13298.01</v>
      </c>
      <c r="C186" s="8">
        <f>IFERROR(B186/B445, "NA")</f>
        <v>2.2369683862842146E-2</v>
      </c>
      <c r="D186" s="9"/>
      <c r="E186" s="7">
        <v>15527.05</v>
      </c>
      <c r="F186" s="8">
        <f>IFERROR(E186/E445, "NA")</f>
        <v>2.393618329159275E-2</v>
      </c>
      <c r="G186" s="9"/>
      <c r="H186" s="10">
        <f t="shared" ref="H186:H197" si="48">IFERROR(-(B186-E186), "NA")</f>
        <v>2229.0399999999991</v>
      </c>
      <c r="I186" s="8">
        <f>IFERROR(H186/H445, "NA")</f>
        <v>-4.1111347598044856E-2</v>
      </c>
      <c r="J186" s="9"/>
      <c r="K186" s="7">
        <v>14218.7</v>
      </c>
      <c r="L186" s="8">
        <f>IFERROR(K186/K445, "NA")</f>
        <v>2.3933198389596223E-2</v>
      </c>
      <c r="M186" s="9"/>
      <c r="N186" s="10">
        <f t="shared" ref="N186:N197" si="49">IFERROR(-(B186-K186), "NA")</f>
        <v>920.69000000000051</v>
      </c>
      <c r="O186" s="8">
        <f>IFERROR(N186/N445, "NA")</f>
        <v>2.513760716430089</v>
      </c>
      <c r="P186" s="9"/>
      <c r="Q186" s="7">
        <v>69381.929999999993</v>
      </c>
      <c r="R186" s="8">
        <f>IFERROR(Q186/Q445, "NA")</f>
        <v>2.3655885543857804E-2</v>
      </c>
      <c r="S186" s="9"/>
      <c r="T186" s="7">
        <v>79602.31</v>
      </c>
      <c r="U186" s="8">
        <f>IFERROR(T186/T445, "NA")</f>
        <v>2.5947443739197166E-2</v>
      </c>
      <c r="V186" s="9"/>
      <c r="W186" s="10">
        <f t="shared" ref="W186:W197" si="50">IFERROR(-(Q186-T186), "NA")</f>
        <v>10220.380000000005</v>
      </c>
      <c r="X186" s="8">
        <f>IFERROR(W186/W445, "NA")</f>
        <v>-7.5784172033462216E-2</v>
      </c>
      <c r="Y186" s="9"/>
      <c r="Z186" s="7">
        <v>74272.81</v>
      </c>
      <c r="AA186" s="8">
        <f>IFERROR(Z186/Z445, "NA")</f>
        <v>2.5999781367859232E-2</v>
      </c>
      <c r="AB186" s="9"/>
      <c r="AC186" s="10">
        <f t="shared" ref="AC186:AC197" si="51">IFERROR(-(Q186-Z186), "NA")</f>
        <v>4890.8800000000047</v>
      </c>
      <c r="AD186" s="8">
        <f>IFERROR(AC186/AC445, "NA")</f>
        <v>6.4103705064867803E-2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IFERROR(B187/B445, "NA")</f>
        <v>0</v>
      </c>
      <c r="D187" s="9"/>
      <c r="E187" s="7">
        <v>0</v>
      </c>
      <c r="F187" s="8">
        <f>IFERROR(E187/E445, "NA")</f>
        <v>0</v>
      </c>
      <c r="G187" s="9"/>
      <c r="H187" s="10">
        <f t="shared" si="48"/>
        <v>0</v>
      </c>
      <c r="I187" s="8">
        <f>IFERROR(H187/H445, "NA")</f>
        <v>0</v>
      </c>
      <c r="J187" s="9"/>
      <c r="K187" s="7">
        <v>0</v>
      </c>
      <c r="L187" s="8">
        <f>IFERROR(K187/K445, "NA")</f>
        <v>0</v>
      </c>
      <c r="M187" s="9"/>
      <c r="N187" s="10">
        <f t="shared" si="49"/>
        <v>0</v>
      </c>
      <c r="O187" s="8">
        <f>IFERROR(N187/N445, "NA")</f>
        <v>0</v>
      </c>
      <c r="P187" s="9"/>
      <c r="Q187" s="7">
        <v>0</v>
      </c>
      <c r="R187" s="8">
        <f>IFERROR(Q187/Q445, "NA")</f>
        <v>0</v>
      </c>
      <c r="S187" s="9"/>
      <c r="T187" s="7">
        <v>0</v>
      </c>
      <c r="U187" s="8">
        <f>IFERROR(T187/T445, "NA")</f>
        <v>0</v>
      </c>
      <c r="V187" s="9"/>
      <c r="W187" s="10">
        <f t="shared" si="50"/>
        <v>0</v>
      </c>
      <c r="X187" s="8">
        <f>IFERROR(W187/W445, "NA")</f>
        <v>0</v>
      </c>
      <c r="Y187" s="9"/>
      <c r="Z187" s="7">
        <v>0</v>
      </c>
      <c r="AA187" s="8">
        <f>IFERROR(Z187/Z445, "NA")</f>
        <v>0</v>
      </c>
      <c r="AB187" s="9"/>
      <c r="AC187" s="10">
        <f t="shared" si="51"/>
        <v>0</v>
      </c>
      <c r="AD187" s="8">
        <f>IFERROR(AC187/AC445,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IFERROR(B188/B445, "NA")</f>
        <v>0</v>
      </c>
      <c r="D188" s="9"/>
      <c r="E188" s="7">
        <v>0</v>
      </c>
      <c r="F188" s="8">
        <f>IFERROR(E188/E445, "NA")</f>
        <v>0</v>
      </c>
      <c r="G188" s="9"/>
      <c r="H188" s="10">
        <f t="shared" si="48"/>
        <v>0</v>
      </c>
      <c r="I188" s="8">
        <f>IFERROR(H188/H445, "NA")</f>
        <v>0</v>
      </c>
      <c r="J188" s="9"/>
      <c r="K188" s="7">
        <v>0</v>
      </c>
      <c r="L188" s="8">
        <f>IFERROR(K188/K445, "NA")</f>
        <v>0</v>
      </c>
      <c r="M188" s="9"/>
      <c r="N188" s="10">
        <f t="shared" si="49"/>
        <v>0</v>
      </c>
      <c r="O188" s="8">
        <f>IFERROR(N188/N445, "NA")</f>
        <v>0</v>
      </c>
      <c r="P188" s="9"/>
      <c r="Q188" s="7">
        <v>0</v>
      </c>
      <c r="R188" s="8">
        <f>IFERROR(Q188/Q445, "NA")</f>
        <v>0</v>
      </c>
      <c r="S188" s="9"/>
      <c r="T188" s="7">
        <v>0</v>
      </c>
      <c r="U188" s="8">
        <f>IFERROR(T188/T445, "NA")</f>
        <v>0</v>
      </c>
      <c r="V188" s="9"/>
      <c r="W188" s="10">
        <f t="shared" si="50"/>
        <v>0</v>
      </c>
      <c r="X188" s="8">
        <f>IFERROR(W188/W445, "NA")</f>
        <v>0</v>
      </c>
      <c r="Y188" s="9"/>
      <c r="Z188" s="7">
        <v>0</v>
      </c>
      <c r="AA188" s="8">
        <f>IFERROR(Z188/Z445, "NA")</f>
        <v>0</v>
      </c>
      <c r="AB188" s="9"/>
      <c r="AC188" s="10">
        <f t="shared" si="51"/>
        <v>0</v>
      </c>
      <c r="AD188" s="8">
        <f>IFERROR(AC188/AC445,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IFERROR(B189/B445, "NA")</f>
        <v>0</v>
      </c>
      <c r="D189" s="9"/>
      <c r="E189" s="7">
        <v>0</v>
      </c>
      <c r="F189" s="8">
        <f>IFERROR(E189/E445, "NA")</f>
        <v>0</v>
      </c>
      <c r="G189" s="9"/>
      <c r="H189" s="10">
        <f t="shared" si="48"/>
        <v>0</v>
      </c>
      <c r="I189" s="8">
        <f>IFERROR(H189/H445, "NA")</f>
        <v>0</v>
      </c>
      <c r="J189" s="9"/>
      <c r="K189" s="7">
        <v>0</v>
      </c>
      <c r="L189" s="8">
        <f>IFERROR(K189/K445, "NA")</f>
        <v>0</v>
      </c>
      <c r="M189" s="9"/>
      <c r="N189" s="10">
        <f t="shared" si="49"/>
        <v>0</v>
      </c>
      <c r="O189" s="8">
        <f>IFERROR(N189/N445, "NA")</f>
        <v>0</v>
      </c>
      <c r="P189" s="9"/>
      <c r="Q189" s="7">
        <v>0</v>
      </c>
      <c r="R189" s="8">
        <f>IFERROR(Q189/Q445, "NA")</f>
        <v>0</v>
      </c>
      <c r="S189" s="9"/>
      <c r="T189" s="7">
        <v>0</v>
      </c>
      <c r="U189" s="8">
        <f>IFERROR(T189/T445, "NA")</f>
        <v>0</v>
      </c>
      <c r="V189" s="9"/>
      <c r="W189" s="10">
        <f t="shared" si="50"/>
        <v>0</v>
      </c>
      <c r="X189" s="8">
        <f>IFERROR(W189/W445, "NA")</f>
        <v>0</v>
      </c>
      <c r="Y189" s="9"/>
      <c r="Z189" s="7">
        <v>0</v>
      </c>
      <c r="AA189" s="8">
        <f>IFERROR(Z189/Z445, "NA")</f>
        <v>0</v>
      </c>
      <c r="AB189" s="9"/>
      <c r="AC189" s="10">
        <f t="shared" si="51"/>
        <v>0</v>
      </c>
      <c r="AD189" s="8">
        <f>IFERROR(AC189/AC445,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IFERROR(B190/B445, "NA")</f>
        <v>0</v>
      </c>
      <c r="D190" s="9"/>
      <c r="E190" s="7">
        <v>0</v>
      </c>
      <c r="F190" s="8">
        <f>IFERROR(E190/E445, "NA")</f>
        <v>0</v>
      </c>
      <c r="G190" s="9"/>
      <c r="H190" s="10">
        <f t="shared" si="48"/>
        <v>0</v>
      </c>
      <c r="I190" s="8">
        <f>IFERROR(H190/H445, "NA")</f>
        <v>0</v>
      </c>
      <c r="J190" s="9"/>
      <c r="K190" s="7">
        <v>0</v>
      </c>
      <c r="L190" s="8">
        <f>IFERROR(K190/K445, "NA")</f>
        <v>0</v>
      </c>
      <c r="M190" s="9"/>
      <c r="N190" s="10">
        <f t="shared" si="49"/>
        <v>0</v>
      </c>
      <c r="O190" s="8">
        <f>IFERROR(N190/N445, "NA")</f>
        <v>0</v>
      </c>
      <c r="P190" s="9"/>
      <c r="Q190" s="7">
        <v>0</v>
      </c>
      <c r="R190" s="8">
        <f>IFERROR(Q190/Q445, "NA")</f>
        <v>0</v>
      </c>
      <c r="S190" s="9"/>
      <c r="T190" s="7">
        <v>0</v>
      </c>
      <c r="U190" s="8">
        <f>IFERROR(T190/T445, "NA")</f>
        <v>0</v>
      </c>
      <c r="V190" s="9"/>
      <c r="W190" s="10">
        <f t="shared" si="50"/>
        <v>0</v>
      </c>
      <c r="X190" s="8">
        <f>IFERROR(W190/W445, "NA")</f>
        <v>0</v>
      </c>
      <c r="Y190" s="9"/>
      <c r="Z190" s="7">
        <v>0</v>
      </c>
      <c r="AA190" s="8">
        <f>IFERROR(Z190/Z445, "NA")</f>
        <v>0</v>
      </c>
      <c r="AB190" s="9"/>
      <c r="AC190" s="10">
        <f t="shared" si="51"/>
        <v>0</v>
      </c>
      <c r="AD190" s="8">
        <f>IFERROR(AC190/AC445,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IFERROR(B191/B445, "NA")</f>
        <v>0</v>
      </c>
      <c r="D191" s="9"/>
      <c r="E191" s="7">
        <v>0</v>
      </c>
      <c r="F191" s="8">
        <f>IFERROR(E191/E445, "NA")</f>
        <v>0</v>
      </c>
      <c r="G191" s="9"/>
      <c r="H191" s="10">
        <f t="shared" si="48"/>
        <v>0</v>
      </c>
      <c r="I191" s="8">
        <f>IFERROR(H191/H445, "NA")</f>
        <v>0</v>
      </c>
      <c r="J191" s="9"/>
      <c r="K191" s="7">
        <v>0</v>
      </c>
      <c r="L191" s="8">
        <f>IFERROR(K191/K445, "NA")</f>
        <v>0</v>
      </c>
      <c r="M191" s="9"/>
      <c r="N191" s="10">
        <f t="shared" si="49"/>
        <v>0</v>
      </c>
      <c r="O191" s="8">
        <f>IFERROR(N191/N445, "NA")</f>
        <v>0</v>
      </c>
      <c r="P191" s="9"/>
      <c r="Q191" s="7">
        <v>0</v>
      </c>
      <c r="R191" s="8">
        <f>IFERROR(Q191/Q445, "NA")</f>
        <v>0</v>
      </c>
      <c r="S191" s="9"/>
      <c r="T191" s="7">
        <v>0</v>
      </c>
      <c r="U191" s="8">
        <f>IFERROR(T191/T445, "NA")</f>
        <v>0</v>
      </c>
      <c r="V191" s="9"/>
      <c r="W191" s="10">
        <f t="shared" si="50"/>
        <v>0</v>
      </c>
      <c r="X191" s="8">
        <f>IFERROR(W191/W445, "NA")</f>
        <v>0</v>
      </c>
      <c r="Y191" s="9"/>
      <c r="Z191" s="7">
        <v>0</v>
      </c>
      <c r="AA191" s="8">
        <f>IFERROR(Z191/Z445, "NA")</f>
        <v>0</v>
      </c>
      <c r="AB191" s="9"/>
      <c r="AC191" s="10">
        <f t="shared" si="51"/>
        <v>0</v>
      </c>
      <c r="AD191" s="8">
        <f>IFERROR(AC191/AC445,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IFERROR(B192/B445, "NA")</f>
        <v>0</v>
      </c>
      <c r="D192" s="9"/>
      <c r="E192" s="7">
        <v>0</v>
      </c>
      <c r="F192" s="8">
        <f>IFERROR(E192/E445, "NA")</f>
        <v>0</v>
      </c>
      <c r="G192" s="9"/>
      <c r="H192" s="10">
        <f t="shared" si="48"/>
        <v>0</v>
      </c>
      <c r="I192" s="8">
        <f>IFERROR(H192/H445, "NA")</f>
        <v>0</v>
      </c>
      <c r="J192" s="9"/>
      <c r="K192" s="7">
        <v>0</v>
      </c>
      <c r="L192" s="8">
        <f>IFERROR(K192/K445, "NA")</f>
        <v>0</v>
      </c>
      <c r="M192" s="9"/>
      <c r="N192" s="10">
        <f t="shared" si="49"/>
        <v>0</v>
      </c>
      <c r="O192" s="8">
        <f>IFERROR(N192/N445, "NA")</f>
        <v>0</v>
      </c>
      <c r="P192" s="9"/>
      <c r="Q192" s="7">
        <v>0</v>
      </c>
      <c r="R192" s="8">
        <f>IFERROR(Q192/Q445, "NA")</f>
        <v>0</v>
      </c>
      <c r="S192" s="9"/>
      <c r="T192" s="7">
        <v>0</v>
      </c>
      <c r="U192" s="8">
        <f>IFERROR(T192/T445, "NA")</f>
        <v>0</v>
      </c>
      <c r="V192" s="9"/>
      <c r="W192" s="10">
        <f t="shared" si="50"/>
        <v>0</v>
      </c>
      <c r="X192" s="8">
        <f>IFERROR(W192/W445, "NA")</f>
        <v>0</v>
      </c>
      <c r="Y192" s="9"/>
      <c r="Z192" s="7">
        <v>0</v>
      </c>
      <c r="AA192" s="8">
        <f>IFERROR(Z192/Z445, "NA")</f>
        <v>0</v>
      </c>
      <c r="AB192" s="9"/>
      <c r="AC192" s="10">
        <f t="shared" si="51"/>
        <v>0</v>
      </c>
      <c r="AD192" s="8">
        <f>IFERROR(AC192/AC445,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13298.01</v>
      </c>
      <c r="C193" s="15">
        <f>IFERROR(B193/B445, "NA")</f>
        <v>2.2369683862842146E-2</v>
      </c>
      <c r="D193" s="2"/>
      <c r="E193" s="14">
        <f>IFERROR(E186+E187+E188+E189+E190+E191+E192, "NA")</f>
        <v>15527.05</v>
      </c>
      <c r="F193" s="15">
        <f>IFERROR(E193/E445, "NA")</f>
        <v>2.393618329159275E-2</v>
      </c>
      <c r="G193" s="2"/>
      <c r="H193" s="14">
        <f t="shared" si="48"/>
        <v>2229.0399999999991</v>
      </c>
      <c r="I193" s="15">
        <f>IFERROR(H193/H445, "NA")</f>
        <v>-4.1111347598044856E-2</v>
      </c>
      <c r="J193" s="2"/>
      <c r="K193" s="14">
        <f>IFERROR(K186+K187+K188+K189+K190+K191+K192, "NA")</f>
        <v>14218.7</v>
      </c>
      <c r="L193" s="15">
        <f>IFERROR(K193/K445, "NA")</f>
        <v>2.3933198389596223E-2</v>
      </c>
      <c r="M193" s="2"/>
      <c r="N193" s="14">
        <f t="shared" si="49"/>
        <v>920.69000000000051</v>
      </c>
      <c r="O193" s="15">
        <f>IFERROR(N193/N445, "NA")</f>
        <v>2.513760716430089</v>
      </c>
      <c r="P193" s="2"/>
      <c r="Q193" s="14">
        <f>IFERROR(Q186+Q187+Q188+Q189+Q190+Q191+Q192, "NA")</f>
        <v>69381.929999999993</v>
      </c>
      <c r="R193" s="15">
        <f>IFERROR(Q193/Q445, "NA")</f>
        <v>2.3655885543857804E-2</v>
      </c>
      <c r="S193" s="2"/>
      <c r="T193" s="14">
        <f>IFERROR(T186+T187+T188+T189+T190+T191+T192, "NA")</f>
        <v>79602.31</v>
      </c>
      <c r="U193" s="15">
        <f>IFERROR(T193/T445, "NA")</f>
        <v>2.5947443739197166E-2</v>
      </c>
      <c r="V193" s="2"/>
      <c r="W193" s="14">
        <f t="shared" si="50"/>
        <v>10220.380000000005</v>
      </c>
      <c r="X193" s="15">
        <f>IFERROR(W193/W445, "NA")</f>
        <v>-7.5784172033462216E-2</v>
      </c>
      <c r="Y193" s="2"/>
      <c r="Z193" s="14">
        <f>IFERROR(Z186+Z187+Z188+Z189+Z190+Z191+Z192, "NA")</f>
        <v>74272.81</v>
      </c>
      <c r="AA193" s="15">
        <f>IFERROR(Z193/Z445, "NA")</f>
        <v>2.5999781367859232E-2</v>
      </c>
      <c r="AB193" s="2"/>
      <c r="AC193" s="14">
        <f t="shared" si="51"/>
        <v>4890.8800000000047</v>
      </c>
      <c r="AD193" s="15">
        <f>IFERROR(AC193/AC445, "NA")</f>
        <v>6.4103705064867803E-2</v>
      </c>
    </row>
    <row r="194" spans="1:30" ht="16.5" customHeight="1" x14ac:dyDescent="0.45">
      <c r="A194" s="6" t="s">
        <v>178</v>
      </c>
      <c r="B194" s="7">
        <v>1216.42</v>
      </c>
      <c r="C194" s="8">
        <f>IFERROR(B194/B445, "NA")</f>
        <v>2.046240816816835E-3</v>
      </c>
      <c r="D194" s="9"/>
      <c r="E194" s="7">
        <v>1216.5899999999999</v>
      </c>
      <c r="F194" s="8">
        <f>IFERROR(E194/E445, "NA")</f>
        <v>1.8754703070266937E-3</v>
      </c>
      <c r="G194" s="9"/>
      <c r="H194" s="10">
        <f t="shared" si="48"/>
        <v>0.16999999999984539</v>
      </c>
      <c r="I194" s="8">
        <f>IFERROR(H194/H445, "NA")</f>
        <v>-3.1353986880725657E-6</v>
      </c>
      <c r="J194" s="9"/>
      <c r="K194" s="7">
        <v>1271.92</v>
      </c>
      <c r="L194" s="8">
        <f>IFERROR(K194/K445, "NA")</f>
        <v>2.1409210191997317E-3</v>
      </c>
      <c r="M194" s="9"/>
      <c r="N194" s="10">
        <f t="shared" si="49"/>
        <v>55.5</v>
      </c>
      <c r="O194" s="8">
        <f>IFERROR(N194/N445, "NA")</f>
        <v>0.15153169879315501</v>
      </c>
      <c r="P194" s="9"/>
      <c r="Q194" s="7">
        <v>6570.9100000000008</v>
      </c>
      <c r="R194" s="8">
        <f>IFERROR(Q194/Q445, "NA")</f>
        <v>2.2403627987718231E-3</v>
      </c>
      <c r="S194" s="9"/>
      <c r="T194" s="7">
        <v>5876.24</v>
      </c>
      <c r="U194" s="8">
        <f>IFERROR(T194/T445, "NA")</f>
        <v>1.9154394740305896E-3</v>
      </c>
      <c r="V194" s="9"/>
      <c r="W194" s="10">
        <f t="shared" si="50"/>
        <v>-694.67000000000098</v>
      </c>
      <c r="X194" s="8">
        <f>IFERROR(W194/W445, "NA")</f>
        <v>5.1509817429963708E-3</v>
      </c>
      <c r="Y194" s="9"/>
      <c r="Z194" s="7">
        <v>6525.3600000000006</v>
      </c>
      <c r="AA194" s="8">
        <f>IFERROR(Z194/Z445, "NA")</f>
        <v>2.2842535962564756E-3</v>
      </c>
      <c r="AB194" s="9"/>
      <c r="AC194" s="10">
        <f t="shared" si="51"/>
        <v>-45.550000000000182</v>
      </c>
      <c r="AD194" s="8">
        <f>IFERROR(AC194/AC445, "NA")</f>
        <v>-5.9701398637969794E-4</v>
      </c>
    </row>
    <row r="195" spans="1:30" ht="16.5" customHeight="1" x14ac:dyDescent="0.45">
      <c r="A195" s="6" t="s">
        <v>179</v>
      </c>
      <c r="B195" s="7">
        <v>1922.65</v>
      </c>
      <c r="C195" s="8">
        <f>IFERROR(B195/B445, "NA")</f>
        <v>3.2342487845093701E-3</v>
      </c>
      <c r="D195" s="9"/>
      <c r="E195" s="7">
        <v>1678.75</v>
      </c>
      <c r="F195" s="8">
        <f>IFERROR(E195/E445, "NA")</f>
        <v>2.5879267279207145E-3</v>
      </c>
      <c r="G195" s="9"/>
      <c r="H195" s="10">
        <f t="shared" si="48"/>
        <v>-243.90000000000009</v>
      </c>
      <c r="I195" s="8">
        <f>IFERROR(H195/H445, "NA")</f>
        <v>4.4983749413034973E-3</v>
      </c>
      <c r="J195" s="9"/>
      <c r="K195" s="7">
        <v>1381.05</v>
      </c>
      <c r="L195" s="8">
        <f>IFERROR(K195/K445, "NA")</f>
        <v>2.3246108037972431E-3</v>
      </c>
      <c r="M195" s="9"/>
      <c r="N195" s="10">
        <f t="shared" si="49"/>
        <v>-541.60000000000014</v>
      </c>
      <c r="O195" s="8">
        <f>IFERROR(N195/N445, "NA")</f>
        <v>-1.4787309561508606</v>
      </c>
      <c r="P195" s="9"/>
      <c r="Q195" s="7">
        <v>9226.7099999999991</v>
      </c>
      <c r="R195" s="8">
        <f>IFERROR(Q195/Q445, "NA")</f>
        <v>3.1458622685527518E-3</v>
      </c>
      <c r="S195" s="9"/>
      <c r="T195" s="7">
        <v>9200.09</v>
      </c>
      <c r="U195" s="8">
        <f>IFERROR(T195/T445, "NA")</f>
        <v>2.9988930933103632E-3</v>
      </c>
      <c r="V195" s="9"/>
      <c r="W195" s="10">
        <f t="shared" si="50"/>
        <v>-26.619999999998981</v>
      </c>
      <c r="X195" s="8">
        <f>IFERROR(W195/W445, "NA")</f>
        <v>1.9738744151691874E-4</v>
      </c>
      <c r="Y195" s="9"/>
      <c r="Z195" s="7">
        <v>6941.2800000000007</v>
      </c>
      <c r="AA195" s="8">
        <f>IFERROR(Z195/Z445, "NA")</f>
        <v>2.4298496638688362E-3</v>
      </c>
      <c r="AB195" s="9"/>
      <c r="AC195" s="10">
        <f t="shared" si="51"/>
        <v>-2285.4299999999985</v>
      </c>
      <c r="AD195" s="8">
        <f>IFERROR(AC195/AC445, "NA")</f>
        <v>-2.9954636111783679E-2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155717.56000000003</v>
      </c>
      <c r="C196" s="15">
        <f>IFERROR(B196/B445, "NA")</f>
        <v>0.2619454030409929</v>
      </c>
      <c r="D196" s="2"/>
      <c r="E196" s="14">
        <f>IFERROR(E175+E177+E178+E179+E180+E181+E183+E184+E186+E187+E188+E189+E190+E191+E192+E194+E195, "NA")</f>
        <v>170497.66999999998</v>
      </c>
      <c r="F196" s="15">
        <f>IFERROR(E196/E445, "NA")</f>
        <v>0.26283572732164157</v>
      </c>
      <c r="G196" s="2"/>
      <c r="H196" s="14">
        <f t="shared" si="48"/>
        <v>14780.109999999957</v>
      </c>
      <c r="I196" s="15">
        <f>IFERROR(H196/H445, "NA")</f>
        <v>-0.27259727943300127</v>
      </c>
      <c r="J196" s="2"/>
      <c r="K196" s="14">
        <f>IFERROR(K175+K177+K178+K179+K180+K181+K183+K184+K186+K187+K188+K189+K190+K191+K192+K194+K195, "NA")</f>
        <v>165485.09</v>
      </c>
      <c r="L196" s="15">
        <f>IFERROR(K196/K445, "NA")</f>
        <v>0.27854779195638041</v>
      </c>
      <c r="M196" s="2"/>
      <c r="N196" s="14">
        <f t="shared" si="49"/>
        <v>9767.5299999999697</v>
      </c>
      <c r="O196" s="15">
        <f>IFERROR(N196/N445, "NA")</f>
        <v>26.668295746181993</v>
      </c>
      <c r="P196" s="2"/>
      <c r="Q196" s="14">
        <f>IFERROR(Q175+Q177+Q178+Q179+Q180+Q181+Q183+Q184+Q186+Q187+Q188+Q189+Q190+Q191+Q192+Q194+Q195, "NA")</f>
        <v>777280.03000000014</v>
      </c>
      <c r="R196" s="15">
        <f>IFERROR(Q196/Q445, "NA")</f>
        <v>0.26501493148441335</v>
      </c>
      <c r="S196" s="2"/>
      <c r="T196" s="14">
        <f>IFERROR(T175+T177+T178+T179+T180+T181+T183+T184+T186+T187+T188+T189+T190+T191+T192+T194+T195, "NA")</f>
        <v>829208.93999999983</v>
      </c>
      <c r="U196" s="15">
        <f>IFERROR(T196/T445, "NA")</f>
        <v>0.27029180834939731</v>
      </c>
      <c r="V196" s="2"/>
      <c r="W196" s="14">
        <f t="shared" si="50"/>
        <v>51928.909999999683</v>
      </c>
      <c r="X196" s="15">
        <f>IFERROR(W196/W445, "NA")</f>
        <v>-0.38505314371384924</v>
      </c>
      <c r="Y196" s="2"/>
      <c r="Z196" s="14">
        <f>IFERROR(Z175+Z177+Z178+Z179+Z180+Z181+Z183+Z184+Z186+Z187+Z188+Z189+Z190+Z191+Z192+Z194+Z195, "NA")</f>
        <v>808717.59</v>
      </c>
      <c r="AA196" s="15">
        <f>IFERROR(Z196/Z445, "NA")</f>
        <v>0.28309795372414243</v>
      </c>
      <c r="AB196" s="2"/>
      <c r="AC196" s="14">
        <f t="shared" si="51"/>
        <v>31437.559999999823</v>
      </c>
      <c r="AD196" s="15">
        <f>IFERROR(AC196/AC445, "NA")</f>
        <v>0.41204529127663569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155717.56000000003</v>
      </c>
      <c r="C197" s="15">
        <f>IFERROR(B197/B445, "NA")</f>
        <v>0.2619454030409929</v>
      </c>
      <c r="D197" s="2"/>
      <c r="E197" s="14">
        <f>IFERROR(E175+E177+E178+E179+E180+E181+E183+E184+E186+E187+E188+E189+E190+E191+E192+E194+E195, "NA")</f>
        <v>170497.66999999998</v>
      </c>
      <c r="F197" s="15">
        <f>IFERROR(E197/E445, "NA")</f>
        <v>0.26283572732164157</v>
      </c>
      <c r="G197" s="2"/>
      <c r="H197" s="14">
        <f t="shared" si="48"/>
        <v>14780.109999999957</v>
      </c>
      <c r="I197" s="15">
        <f>IFERROR(H197/H445, "NA")</f>
        <v>-0.27259727943300127</v>
      </c>
      <c r="J197" s="2"/>
      <c r="K197" s="14">
        <f>IFERROR(K175+K177+K178+K179+K180+K181+K183+K184+K186+K187+K188+K189+K190+K191+K192+K194+K195, "NA")</f>
        <v>165485.09</v>
      </c>
      <c r="L197" s="15">
        <f>IFERROR(K197/K445, "NA")</f>
        <v>0.27854779195638041</v>
      </c>
      <c r="M197" s="2"/>
      <c r="N197" s="14">
        <f t="shared" si="49"/>
        <v>9767.5299999999697</v>
      </c>
      <c r="O197" s="15">
        <f>IFERROR(N197/N445, "NA")</f>
        <v>26.668295746181993</v>
      </c>
      <c r="P197" s="2"/>
      <c r="Q197" s="14">
        <f>IFERROR(Q175+Q177+Q178+Q179+Q180+Q181+Q183+Q184+Q186+Q187+Q188+Q189+Q190+Q191+Q192+Q194+Q195, "NA")</f>
        <v>777280.03000000014</v>
      </c>
      <c r="R197" s="15">
        <f>IFERROR(Q197/Q445, "NA")</f>
        <v>0.26501493148441335</v>
      </c>
      <c r="S197" s="2"/>
      <c r="T197" s="14">
        <f>IFERROR(T175+T177+T178+T179+T180+T181+T183+T184+T186+T187+T188+T189+T190+T191+T192+T194+T195, "NA")</f>
        <v>829208.93999999983</v>
      </c>
      <c r="U197" s="15">
        <f>IFERROR(T197/T445, "NA")</f>
        <v>0.27029180834939731</v>
      </c>
      <c r="V197" s="2"/>
      <c r="W197" s="14">
        <f t="shared" si="50"/>
        <v>51928.909999999683</v>
      </c>
      <c r="X197" s="15">
        <f>IFERROR(W197/W445, "NA")</f>
        <v>-0.38505314371384924</v>
      </c>
      <c r="Y197" s="2"/>
      <c r="Z197" s="14">
        <f>IFERROR(Z175+Z177+Z178+Z179+Z180+Z181+Z183+Z184+Z186+Z187+Z188+Z189+Z190+Z191+Z192+Z194+Z195, "NA")</f>
        <v>808717.59</v>
      </c>
      <c r="AA197" s="15">
        <f>IFERROR(Z197/Z445, "NA")</f>
        <v>0.28309795372414243</v>
      </c>
      <c r="AB197" s="2"/>
      <c r="AC197" s="14">
        <f t="shared" si="51"/>
        <v>31437.559999999823</v>
      </c>
      <c r="AD197" s="15">
        <f>IFERROR(AC197/AC445, "NA")</f>
        <v>0.41204529127663569</v>
      </c>
    </row>
    <row r="198" spans="1:30" ht="16.5" customHeight="1" x14ac:dyDescent="0.45">
      <c r="A198" s="22" t="s">
        <v>181</v>
      </c>
      <c r="B198" s="23">
        <f>IFERROR(B172-B197, "NA")</f>
        <v>273778.74</v>
      </c>
      <c r="C198" s="24">
        <f>IFERROR(B198/B445, "NA")</f>
        <v>0.46054589086391534</v>
      </c>
      <c r="D198" s="25"/>
      <c r="E198" s="23">
        <f>IFERROR(E172-E197, "NA")</f>
        <v>308056.31000000006</v>
      </c>
      <c r="F198" s="24">
        <f>IFERROR(E198/E445, "NA")</f>
        <v>0.47489331845339061</v>
      </c>
      <c r="G198" s="25"/>
      <c r="H198" s="23">
        <f>IFERROR(B198-E198, "NA")</f>
        <v>-34277.570000000065</v>
      </c>
      <c r="I198" s="24">
        <f>IFERROR(H198/H445, "NA")</f>
        <v>0.63219910593184403</v>
      </c>
      <c r="J198" s="25"/>
      <c r="K198" s="23">
        <f>IFERROR(K172-K197, "NA")</f>
        <v>246928.13000000015</v>
      </c>
      <c r="L198" s="24">
        <f>IFERROR(K198/K445, "NA")</f>
        <v>0.41563433529521054</v>
      </c>
      <c r="M198" s="25"/>
      <c r="N198" s="23">
        <f>IFERROR(B198-K198, "NA")</f>
        <v>26850.609999999841</v>
      </c>
      <c r="O198" s="24">
        <f>IFERROR(N198/N445, "NA")</f>
        <v>73.310244088872992</v>
      </c>
      <c r="P198" s="25"/>
      <c r="Q198" s="23">
        <f>IFERROR(Q172-Q197, "NA")</f>
        <v>1349485.1099999999</v>
      </c>
      <c r="R198" s="24">
        <f>IFERROR(Q198/Q445, "NA")</f>
        <v>0.46010921439199454</v>
      </c>
      <c r="S198" s="25"/>
      <c r="T198" s="23">
        <f>IFERROR(T172-T197, "NA")</f>
        <v>1429961.5600000005</v>
      </c>
      <c r="U198" s="24">
        <f>IFERROR(T198/T445, "NA")</f>
        <v>0.46611520604508372</v>
      </c>
      <c r="V198" s="25"/>
      <c r="W198" s="23">
        <f>IFERROR(Q198-T198, "NA")</f>
        <v>-80476.450000000652</v>
      </c>
      <c r="X198" s="24">
        <f>IFERROR(W198/W445, "NA")</f>
        <v>0.59673330457794793</v>
      </c>
      <c r="Y198" s="25"/>
      <c r="Z198" s="23">
        <f>IFERROR(Z172-Z197, "NA")</f>
        <v>1237924.3299999996</v>
      </c>
      <c r="AA198" s="24">
        <f>IFERROR(Z198/Z445, "NA")</f>
        <v>0.43334514918654099</v>
      </c>
      <c r="AB198" s="25"/>
      <c r="AC198" s="23">
        <f>IFERROR(Q198-Z198, "NA")</f>
        <v>111560.78000000026</v>
      </c>
      <c r="AD198" s="24">
        <f>IFERROR(AC198/AC445, "NA")</f>
        <v>1.4622029855417864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IFERROR(B201/B445, "NA")</f>
        <v>0</v>
      </c>
      <c r="D201" s="9"/>
      <c r="E201" s="7">
        <v>0</v>
      </c>
      <c r="F201" s="8">
        <f>IFERROR(E201/E445, "NA")</f>
        <v>0</v>
      </c>
      <c r="G201" s="9"/>
      <c r="H201" s="10">
        <f t="shared" ref="H201:H209" si="52">IFERROR(-(B201-E201), "NA")</f>
        <v>0</v>
      </c>
      <c r="I201" s="8">
        <f>IFERROR(H201/H445, "NA")</f>
        <v>0</v>
      </c>
      <c r="J201" s="9"/>
      <c r="K201" s="7">
        <v>0</v>
      </c>
      <c r="L201" s="8">
        <f>IFERROR(K201/K445, "NA")</f>
        <v>0</v>
      </c>
      <c r="M201" s="9"/>
      <c r="N201" s="10">
        <f t="shared" ref="N201:N209" si="53">IFERROR(-(B201-K201), "NA")</f>
        <v>0</v>
      </c>
      <c r="O201" s="8">
        <f>IFERROR(N201/N445, "NA")</f>
        <v>0</v>
      </c>
      <c r="P201" s="9"/>
      <c r="Q201" s="7">
        <v>0</v>
      </c>
      <c r="R201" s="8">
        <f>IFERROR(Q201/Q445, "NA")</f>
        <v>0</v>
      </c>
      <c r="S201" s="9"/>
      <c r="T201" s="7">
        <v>0</v>
      </c>
      <c r="U201" s="8">
        <f>IFERROR(T201/T445, "NA")</f>
        <v>0</v>
      </c>
      <c r="V201" s="9"/>
      <c r="W201" s="10">
        <f t="shared" ref="W201:W209" si="54">IFERROR(-(Q201-T201), "NA")</f>
        <v>0</v>
      </c>
      <c r="X201" s="8">
        <f>IFERROR(W201/W445, "NA")</f>
        <v>0</v>
      </c>
      <c r="Y201" s="9"/>
      <c r="Z201" s="7">
        <v>0</v>
      </c>
      <c r="AA201" s="8">
        <f>IFERROR(Z201/Z445, "NA")</f>
        <v>0</v>
      </c>
      <c r="AB201" s="9"/>
      <c r="AC201" s="10">
        <f t="shared" ref="AC201:AC209" si="55">IFERROR(-(Q201-Z201), "NA")</f>
        <v>0</v>
      </c>
      <c r="AD201" s="8">
        <f>IFERROR(AC201/AC445, "NA")</f>
        <v>0</v>
      </c>
    </row>
    <row r="202" spans="1:30" ht="16.5" customHeight="1" x14ac:dyDescent="0.45">
      <c r="A202" s="6" t="s">
        <v>184</v>
      </c>
      <c r="B202" s="7">
        <v>5844.08</v>
      </c>
      <c r="C202" s="8">
        <f>IFERROR(B202/B445, "NA")</f>
        <v>9.8308109310459631E-3</v>
      </c>
      <c r="D202" s="9"/>
      <c r="E202" s="7">
        <v>5995.71</v>
      </c>
      <c r="F202" s="8">
        <f>IFERROR(E202/E445, "NA")</f>
        <v>9.2428641321587544E-3</v>
      </c>
      <c r="G202" s="9"/>
      <c r="H202" s="10">
        <f t="shared" si="52"/>
        <v>151.63000000000011</v>
      </c>
      <c r="I202" s="8">
        <f>IFERROR(H202/H445, "NA")</f>
        <v>-2.7965911945463284E-3</v>
      </c>
      <c r="J202" s="9"/>
      <c r="K202" s="7">
        <v>5894.65</v>
      </c>
      <c r="L202" s="8">
        <f>IFERROR(K202/K445, "NA")</f>
        <v>9.9219920166564706E-3</v>
      </c>
      <c r="M202" s="9"/>
      <c r="N202" s="10">
        <f t="shared" si="53"/>
        <v>50.569999999999709</v>
      </c>
      <c r="O202" s="8">
        <f>IFERROR(N202/N445, "NA")</f>
        <v>0.13807131545891538</v>
      </c>
      <c r="P202" s="9"/>
      <c r="Q202" s="7">
        <v>29364.42</v>
      </c>
      <c r="R202" s="8">
        <f>IFERROR(Q202/Q445, "NA")</f>
        <v>1.0011848309520489E-2</v>
      </c>
      <c r="S202" s="9"/>
      <c r="T202" s="7">
        <v>28358.679999999997</v>
      </c>
      <c r="U202" s="8">
        <f>IFERROR(T202/T445, "NA")</f>
        <v>9.2438932214139995E-3</v>
      </c>
      <c r="V202" s="9"/>
      <c r="W202" s="10">
        <f t="shared" si="54"/>
        <v>-1005.7400000000016</v>
      </c>
      <c r="X202" s="8">
        <f>IFERROR(W202/W445, "NA")</f>
        <v>7.4575674467029967E-3</v>
      </c>
      <c r="Y202" s="9"/>
      <c r="Z202" s="7">
        <v>28192.47</v>
      </c>
      <c r="AA202" s="8">
        <f>IFERROR(Z202/Z445, "NA")</f>
        <v>9.8689958844956904E-3</v>
      </c>
      <c r="AB202" s="9"/>
      <c r="AC202" s="10">
        <f t="shared" si="55"/>
        <v>-1171.9499999999971</v>
      </c>
      <c r="AD202" s="8">
        <f>IFERROR(AC202/AC445, "NA")</f>
        <v>-1.536049487020159E-2</v>
      </c>
    </row>
    <row r="203" spans="1:30" ht="16.5" customHeight="1" x14ac:dyDescent="0.45">
      <c r="A203" s="6" t="s">
        <v>185</v>
      </c>
      <c r="B203" s="7">
        <v>4623.93</v>
      </c>
      <c r="C203" s="8">
        <f>IFERROR(B203/B445, "NA")</f>
        <v>7.7782955723383939E-3</v>
      </c>
      <c r="D203" s="9"/>
      <c r="E203" s="7">
        <v>4297.4399999999996</v>
      </c>
      <c r="F203" s="8">
        <f>IFERROR(E203/E445, "NA")</f>
        <v>6.6248457707434672E-3</v>
      </c>
      <c r="G203" s="9"/>
      <c r="H203" s="10">
        <f t="shared" si="52"/>
        <v>-326.49000000000069</v>
      </c>
      <c r="I203" s="8">
        <f>IFERROR(H203/H445, "NA")</f>
        <v>6.0216253980573241E-3</v>
      </c>
      <c r="J203" s="9"/>
      <c r="K203" s="7">
        <v>3004.74</v>
      </c>
      <c r="L203" s="8">
        <f>IFERROR(K203/K445, "NA")</f>
        <v>5.0576380772613073E-3</v>
      </c>
      <c r="M203" s="9"/>
      <c r="N203" s="10">
        <f t="shared" si="53"/>
        <v>-1619.1900000000005</v>
      </c>
      <c r="O203" s="8">
        <f>IFERROR(N203/N445, "NA")</f>
        <v>-4.4208758805205175</v>
      </c>
      <c r="P203" s="9"/>
      <c r="Q203" s="7">
        <v>21077.919999999998</v>
      </c>
      <c r="R203" s="8">
        <f>IFERROR(Q203/Q445, "NA")</f>
        <v>7.1865522193255687E-3</v>
      </c>
      <c r="S203" s="9"/>
      <c r="T203" s="7">
        <v>20324.670000000002</v>
      </c>
      <c r="U203" s="8">
        <f>IFERROR(T203/T445, "NA")</f>
        <v>6.6250995899836138E-3</v>
      </c>
      <c r="V203" s="9"/>
      <c r="W203" s="10">
        <f t="shared" si="54"/>
        <v>-753.24999999999636</v>
      </c>
      <c r="X203" s="8">
        <f>IFERROR(W203/W445, "NA")</f>
        <v>5.5853527544186335E-3</v>
      </c>
      <c r="Y203" s="9"/>
      <c r="Z203" s="7">
        <v>21148.14</v>
      </c>
      <c r="AA203" s="8">
        <f>IFERROR(Z203/Z445, "NA")</f>
        <v>7.4030727575391123E-3</v>
      </c>
      <c r="AB203" s="9"/>
      <c r="AC203" s="10">
        <f t="shared" si="55"/>
        <v>70.220000000001164</v>
      </c>
      <c r="AD203" s="8">
        <f>IFERROR(AC203/AC445, "NA")</f>
        <v>9.2035833421696847E-4</v>
      </c>
    </row>
    <row r="204" spans="1:30" ht="16.5" customHeight="1" x14ac:dyDescent="0.45">
      <c r="A204" s="6" t="s">
        <v>186</v>
      </c>
      <c r="B204" s="7">
        <v>1395.02</v>
      </c>
      <c r="C204" s="8">
        <f>IFERROR(B204/B445, "NA")</f>
        <v>2.3466786671345599E-3</v>
      </c>
      <c r="D204" s="9"/>
      <c r="E204" s="7">
        <v>1297.3799999999999</v>
      </c>
      <c r="F204" s="8">
        <f>IFERROR(E204/E445, "NA")</f>
        <v>2.0000145216796882E-3</v>
      </c>
      <c r="G204" s="9"/>
      <c r="H204" s="10">
        <f t="shared" si="52"/>
        <v>-97.6400000000001</v>
      </c>
      <c r="I204" s="8">
        <f>IFERROR(H204/H445, "NA")</f>
        <v>1.800825458256965E-3</v>
      </c>
      <c r="J204" s="9"/>
      <c r="K204" s="7">
        <v>1426.2499999999998</v>
      </c>
      <c r="L204" s="8">
        <f>IFERROR(K204/K445, "NA")</f>
        <v>2.4006923419976232E-3</v>
      </c>
      <c r="M204" s="9"/>
      <c r="N204" s="10">
        <f t="shared" si="53"/>
        <v>31.229999999999791</v>
      </c>
      <c r="O204" s="8">
        <f>IFERROR(N204/N445, "NA")</f>
        <v>8.5267296456039615E-2</v>
      </c>
      <c r="P204" s="9"/>
      <c r="Q204" s="7">
        <v>4633.7700000000004</v>
      </c>
      <c r="R204" s="8">
        <f>IFERROR(Q204/Q445, "NA")</f>
        <v>1.5798916628084862E-3</v>
      </c>
      <c r="S204" s="9"/>
      <c r="T204" s="7">
        <v>6135.69</v>
      </c>
      <c r="U204" s="8">
        <f>IFERROR(T204/T445, "NA")</f>
        <v>2.0000106916012194E-3</v>
      </c>
      <c r="V204" s="9"/>
      <c r="W204" s="10">
        <f t="shared" si="54"/>
        <v>1501.9199999999992</v>
      </c>
      <c r="X204" s="8">
        <f>IFERROR(W204/W445, "NA")</f>
        <v>-1.1136744784489174E-2</v>
      </c>
      <c r="Y204" s="9"/>
      <c r="Z204" s="7">
        <v>3521.14</v>
      </c>
      <c r="AA204" s="8">
        <f>IFERROR(Z204/Z445, "NA")</f>
        <v>1.2326027541656745E-3</v>
      </c>
      <c r="AB204" s="9"/>
      <c r="AC204" s="10">
        <f t="shared" si="55"/>
        <v>-1112.6300000000006</v>
      </c>
      <c r="AD204" s="8">
        <f>IFERROR(AC204/AC445, "NA")</f>
        <v>-1.4583000475645246E-2</v>
      </c>
    </row>
    <row r="205" spans="1:30" ht="16.5" customHeight="1" x14ac:dyDescent="0.45">
      <c r="A205" s="6" t="s">
        <v>187</v>
      </c>
      <c r="B205" s="7">
        <v>2103.89</v>
      </c>
      <c r="C205" s="8">
        <f>IFERROR(B205/B445, "NA")</f>
        <v>3.5391275974521719E-3</v>
      </c>
      <c r="D205" s="9"/>
      <c r="E205" s="7">
        <v>1946.0500000000002</v>
      </c>
      <c r="F205" s="8">
        <f>IFERROR(E205/E445, "NA")</f>
        <v>2.9999909509278375E-3</v>
      </c>
      <c r="G205" s="9"/>
      <c r="H205" s="10">
        <f t="shared" si="52"/>
        <v>-157.83999999999969</v>
      </c>
      <c r="I205" s="8">
        <f>IFERROR(H205/H445, "NA")</f>
        <v>2.9111254642695465E-3</v>
      </c>
      <c r="J205" s="9"/>
      <c r="K205" s="7">
        <v>2053.5</v>
      </c>
      <c r="L205" s="8">
        <f>IFERROR(K205/K445, "NA")</f>
        <v>3.4564920065150713E-3</v>
      </c>
      <c r="M205" s="9"/>
      <c r="N205" s="10">
        <f t="shared" si="53"/>
        <v>-50.389999999999873</v>
      </c>
      <c r="O205" s="8">
        <f>IFERROR(N205/N445, "NA")</f>
        <v>-0.13757986130066777</v>
      </c>
      <c r="P205" s="9"/>
      <c r="Q205" s="7">
        <v>10232.950000000001</v>
      </c>
      <c r="R205" s="8">
        <f>IFERROR(Q205/Q445, "NA")</f>
        <v>3.4889414862921764E-3</v>
      </c>
      <c r="S205" s="9"/>
      <c r="T205" s="7">
        <v>9203.4700000000012</v>
      </c>
      <c r="U205" s="8">
        <f>IFERROR(T205/T445, "NA")</f>
        <v>2.9999948497774621E-3</v>
      </c>
      <c r="V205" s="9"/>
      <c r="W205" s="10">
        <f t="shared" si="54"/>
        <v>-1029.4799999999996</v>
      </c>
      <c r="X205" s="8">
        <f>IFERROR(W205/W445, "NA")</f>
        <v>7.633599672909286E-3</v>
      </c>
      <c r="Y205" s="9"/>
      <c r="Z205" s="7">
        <v>10408.58</v>
      </c>
      <c r="AA205" s="8">
        <f>IFERROR(Z205/Z445, "NA")</f>
        <v>3.6436053025309294E-3</v>
      </c>
      <c r="AB205" s="9"/>
      <c r="AC205" s="10">
        <f t="shared" si="55"/>
        <v>175.6299999999992</v>
      </c>
      <c r="AD205" s="8">
        <f>IFERROR(AC205/AC445, "NA")</f>
        <v>2.3019443782187803E-3</v>
      </c>
    </row>
    <row r="206" spans="1:30" ht="16.5" customHeight="1" x14ac:dyDescent="0.45">
      <c r="A206" s="6" t="s">
        <v>188</v>
      </c>
      <c r="B206" s="7">
        <v>145.6</v>
      </c>
      <c r="C206" s="8">
        <f>IFERROR(B206/B445, "NA")</f>
        <v>2.4492581750425939E-4</v>
      </c>
      <c r="D206" s="9"/>
      <c r="E206" s="7">
        <v>648.67999999999995</v>
      </c>
      <c r="F206" s="8">
        <f>IFERROR(E206/E445, "NA")</f>
        <v>9.9999184504399657E-4</v>
      </c>
      <c r="G206" s="9"/>
      <c r="H206" s="10">
        <f t="shared" si="52"/>
        <v>503.07999999999993</v>
      </c>
      <c r="I206" s="8">
        <f>IFERROR(H206/H445, "NA")</f>
        <v>-9.2785668940998864E-3</v>
      </c>
      <c r="J206" s="9"/>
      <c r="K206" s="7">
        <v>1247.73</v>
      </c>
      <c r="L206" s="8">
        <f>IFERROR(K206/K445, "NA")</f>
        <v>2.100203930503555E-3</v>
      </c>
      <c r="M206" s="9"/>
      <c r="N206" s="10">
        <f t="shared" si="53"/>
        <v>1102.1300000000001</v>
      </c>
      <c r="O206" s="8">
        <f>IFERROR(N206/N445, "NA")</f>
        <v>3.0091465079441431</v>
      </c>
      <c r="P206" s="9"/>
      <c r="Q206" s="7">
        <v>1766.8599999999997</v>
      </c>
      <c r="R206" s="8">
        <f>IFERROR(Q206/Q445, "NA")</f>
        <v>6.024138840188013E-4</v>
      </c>
      <c r="S206" s="9"/>
      <c r="T206" s="7">
        <v>3067.8199999999997</v>
      </c>
      <c r="U206" s="8">
        <f>IFERROR(T206/T445, "NA")</f>
        <v>9.9999719671431441E-4</v>
      </c>
      <c r="V206" s="9"/>
      <c r="W206" s="10">
        <f t="shared" si="54"/>
        <v>1300.96</v>
      </c>
      <c r="X206" s="8">
        <f>IFERROR(W206/W445, "NA")</f>
        <v>-9.6466253161480268E-3</v>
      </c>
      <c r="Y206" s="9"/>
      <c r="Z206" s="7">
        <v>1731.9599999999998</v>
      </c>
      <c r="AA206" s="8">
        <f>IFERROR(Z206/Z445, "NA")</f>
        <v>6.0628622153756492E-4</v>
      </c>
      <c r="AB206" s="9"/>
      <c r="AC206" s="10">
        <f t="shared" si="55"/>
        <v>-34.899999999999864</v>
      </c>
      <c r="AD206" s="8">
        <f>IFERROR(AC206/AC445, "NA")</f>
        <v>-4.5742674258290433E-4</v>
      </c>
    </row>
    <row r="207" spans="1:30" ht="16.5" customHeight="1" x14ac:dyDescent="0.45">
      <c r="A207" s="6" t="s">
        <v>189</v>
      </c>
      <c r="B207" s="7">
        <v>491.86</v>
      </c>
      <c r="C207" s="8">
        <f>IFERROR(B207/B445, "NA")</f>
        <v>8.273984381706389E-4</v>
      </c>
      <c r="D207" s="9"/>
      <c r="E207" s="7">
        <v>500</v>
      </c>
      <c r="F207" s="8">
        <f>IFERROR(E207/E445, "NA")</f>
        <v>7.7078979238144889E-4</v>
      </c>
      <c r="G207" s="9"/>
      <c r="H207" s="10">
        <f t="shared" si="52"/>
        <v>8.1399999999999864</v>
      </c>
      <c r="I207" s="8">
        <f>IFERROR(H207/H445, "NA")</f>
        <v>-1.5013026659372854E-4</v>
      </c>
      <c r="J207" s="9"/>
      <c r="K207" s="7">
        <v>2443.46</v>
      </c>
      <c r="L207" s="8">
        <f>IFERROR(K207/K445, "NA")</f>
        <v>4.1128804276792386E-3</v>
      </c>
      <c r="M207" s="9"/>
      <c r="N207" s="10">
        <f t="shared" si="53"/>
        <v>1951.6</v>
      </c>
      <c r="O207" s="8">
        <f>IFERROR(N207/N445, "NA")</f>
        <v>5.3284551957607436</v>
      </c>
      <c r="P207" s="9"/>
      <c r="Q207" s="7">
        <v>1442.43</v>
      </c>
      <c r="R207" s="8">
        <f>IFERROR(Q207/Q445, "NA")</f>
        <v>4.9179893071620831E-4</v>
      </c>
      <c r="S207" s="9"/>
      <c r="T207" s="7">
        <v>2500</v>
      </c>
      <c r="U207" s="8">
        <f>IFERROR(T207/T445, "NA")</f>
        <v>8.1490862951078826E-4</v>
      </c>
      <c r="V207" s="9"/>
      <c r="W207" s="10">
        <f t="shared" si="54"/>
        <v>1057.57</v>
      </c>
      <c r="X207" s="8">
        <f>IFERROR(W207/W445, "NA")</f>
        <v>-7.8418871722410119E-3</v>
      </c>
      <c r="Y207" s="9"/>
      <c r="Z207" s="7">
        <v>2941.45</v>
      </c>
      <c r="AA207" s="8">
        <f>IFERROR(Z207/Z445, "NA")</f>
        <v>1.029677709844148E-3</v>
      </c>
      <c r="AB207" s="9"/>
      <c r="AC207" s="10">
        <f t="shared" si="55"/>
        <v>1499.0199999999998</v>
      </c>
      <c r="AD207" s="8">
        <f>IFERROR(AC207/AC445, "NA")</f>
        <v>1.9647330534860397E-2</v>
      </c>
    </row>
    <row r="208" spans="1:30" ht="16.5" customHeight="1" x14ac:dyDescent="0.45">
      <c r="A208" s="6" t="s">
        <v>190</v>
      </c>
      <c r="B208" s="7">
        <v>432.96000000000004</v>
      </c>
      <c r="C208" s="8">
        <f>IFERROR(B208/B445, "NA")</f>
        <v>7.2831787051266588E-4</v>
      </c>
      <c r="D208" s="9"/>
      <c r="E208" s="7">
        <v>500</v>
      </c>
      <c r="F208" s="8">
        <f>IFERROR(E208/E445, "NA")</f>
        <v>7.7078979238144889E-4</v>
      </c>
      <c r="G208" s="9"/>
      <c r="H208" s="10">
        <f t="shared" si="52"/>
        <v>67.039999999999964</v>
      </c>
      <c r="I208" s="8">
        <f>IFERROR(H208/H445, "NA")</f>
        <v>-1.2364536944033874E-3</v>
      </c>
      <c r="J208" s="9"/>
      <c r="K208" s="7">
        <v>475.9</v>
      </c>
      <c r="L208" s="8">
        <f>IFERROR(K208/K445, "NA")</f>
        <v>8.0104433693719125E-4</v>
      </c>
      <c r="M208" s="9"/>
      <c r="N208" s="10">
        <f t="shared" si="53"/>
        <v>42.939999999999941</v>
      </c>
      <c r="O208" s="8">
        <f>IFERROR(N208/N445, "NA")</f>
        <v>0.11723911975095615</v>
      </c>
      <c r="P208" s="9"/>
      <c r="Q208" s="7">
        <v>2078.19</v>
      </c>
      <c r="R208" s="8">
        <f>IFERROR(Q208/Q445, "NA")</f>
        <v>7.0856237032307769E-4</v>
      </c>
      <c r="S208" s="9"/>
      <c r="T208" s="7">
        <v>2500</v>
      </c>
      <c r="U208" s="8">
        <f>IFERROR(T208/T445, "NA")</f>
        <v>8.1490862951078826E-4</v>
      </c>
      <c r="V208" s="9"/>
      <c r="W208" s="10">
        <f t="shared" si="54"/>
        <v>421.80999999999995</v>
      </c>
      <c r="X208" s="8">
        <f>IFERROR(W208/W445, "NA")</f>
        <v>-3.1277233924212875E-3</v>
      </c>
      <c r="Y208" s="9"/>
      <c r="Z208" s="7">
        <v>3959.79</v>
      </c>
      <c r="AA208" s="8">
        <f>IFERROR(Z208/Z445, "NA")</f>
        <v>1.3861556370714304E-3</v>
      </c>
      <c r="AB208" s="9"/>
      <c r="AC208" s="10">
        <f t="shared" si="55"/>
        <v>1881.6</v>
      </c>
      <c r="AD208" s="8">
        <f>IFERROR(AC208/AC445, "NA")</f>
        <v>2.4661723749111637E-2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15037.34</v>
      </c>
      <c r="C209" s="15">
        <f>IFERROR(B209/B445, "NA")</f>
        <v>2.5295554894158651E-2</v>
      </c>
      <c r="D209" s="2"/>
      <c r="E209" s="14">
        <f>IFERROR(E201+E202+E203+E204+E205+E206+E207+E208, "NA")</f>
        <v>15185.259999999998</v>
      </c>
      <c r="F209" s="15">
        <f>IFERROR(E209/E445, "NA")</f>
        <v>2.3409286805316638E-2</v>
      </c>
      <c r="G209" s="2"/>
      <c r="H209" s="14">
        <f t="shared" si="52"/>
        <v>147.91999999999825</v>
      </c>
      <c r="I209" s="15">
        <f>IFERROR(H209/H445, "NA")</f>
        <v>-2.7281657290594719E-3</v>
      </c>
      <c r="J209" s="2"/>
      <c r="K209" s="14">
        <f>IFERROR(K201+K202+K203+K204+K205+K206+K207+K208, "NA")</f>
        <v>16546.23</v>
      </c>
      <c r="L209" s="15">
        <f>IFERROR(K209/K445, "NA")</f>
        <v>2.7850943137550457E-2</v>
      </c>
      <c r="M209" s="2"/>
      <c r="N209" s="14">
        <f t="shared" si="53"/>
        <v>1508.8899999999994</v>
      </c>
      <c r="O209" s="15">
        <f>IFERROR(N209/N445, "NA")</f>
        <v>4.1197236935496138</v>
      </c>
      <c r="P209" s="2"/>
      <c r="Q209" s="14">
        <f>IFERROR(Q201+Q202+Q203+Q204+Q205+Q206+Q207+Q208, "NA")</f>
        <v>70596.539999999994</v>
      </c>
      <c r="R209" s="15">
        <f>IFERROR(Q209/Q445, "NA")</f>
        <v>2.4070008863004807E-2</v>
      </c>
      <c r="S209" s="2"/>
      <c r="T209" s="14">
        <f>IFERROR(T201+T202+T203+T204+T205+T206+T207+T208, "NA")</f>
        <v>72090.33</v>
      </c>
      <c r="U209" s="15">
        <f>IFERROR(T209/T445, "NA")</f>
        <v>2.3498812808512189E-2</v>
      </c>
      <c r="V209" s="2"/>
      <c r="W209" s="14">
        <f t="shared" si="54"/>
        <v>1493.7900000000081</v>
      </c>
      <c r="X209" s="15">
        <f>IFERROR(W209/W445, "NA")</f>
        <v>-1.107646079126863E-2</v>
      </c>
      <c r="Y209" s="2"/>
      <c r="Z209" s="14">
        <f>IFERROR(Z201+Z202+Z203+Z204+Z205+Z206+Z207+Z208, "NA")</f>
        <v>71903.53</v>
      </c>
      <c r="AA209" s="15">
        <f>IFERROR(Z209/Z445, "NA")</f>
        <v>2.517039626718455E-2</v>
      </c>
      <c r="AB209" s="2"/>
      <c r="AC209" s="14">
        <f t="shared" si="55"/>
        <v>1306.9900000000052</v>
      </c>
      <c r="AD209" s="15">
        <f>IFERROR(AC209/AC445, "NA")</f>
        <v>1.7130434907978078E-2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IFERROR(B211/B445, "NA")</f>
        <v>0</v>
      </c>
      <c r="D211" s="9"/>
      <c r="E211" s="7">
        <v>0</v>
      </c>
      <c r="F211" s="8">
        <f>IFERROR(E211/E445, "NA")</f>
        <v>0</v>
      </c>
      <c r="G211" s="9"/>
      <c r="H211" s="10">
        <f>IFERROR(-(B211-E211), "NA")</f>
        <v>0</v>
      </c>
      <c r="I211" s="8">
        <f>IFERROR(H211/H445, "NA")</f>
        <v>0</v>
      </c>
      <c r="J211" s="9"/>
      <c r="K211" s="7">
        <v>0</v>
      </c>
      <c r="L211" s="8">
        <f>IFERROR(K211/K445, "NA")</f>
        <v>0</v>
      </c>
      <c r="M211" s="9"/>
      <c r="N211" s="10">
        <f>IFERROR(-(B211-K211), "NA")</f>
        <v>0</v>
      </c>
      <c r="O211" s="8">
        <f>IFERROR(N211/N445, "NA")</f>
        <v>0</v>
      </c>
      <c r="P211" s="9"/>
      <c r="Q211" s="7">
        <v>0</v>
      </c>
      <c r="R211" s="8">
        <f>IFERROR(Q211/Q445, "NA")</f>
        <v>0</v>
      </c>
      <c r="S211" s="9"/>
      <c r="T211" s="7">
        <v>0</v>
      </c>
      <c r="U211" s="8">
        <f>IFERROR(T211/T445, "NA")</f>
        <v>0</v>
      </c>
      <c r="V211" s="9"/>
      <c r="W211" s="10">
        <f>IFERROR(-(Q211-T211), "NA")</f>
        <v>0</v>
      </c>
      <c r="X211" s="8">
        <f>IFERROR(W211/W445, "NA")</f>
        <v>0</v>
      </c>
      <c r="Y211" s="9"/>
      <c r="Z211" s="7">
        <v>0</v>
      </c>
      <c r="AA211" s="8">
        <f>IFERROR(Z211/Z445, "NA")</f>
        <v>0</v>
      </c>
      <c r="AB211" s="9"/>
      <c r="AC211" s="10">
        <f>IFERROR(-(Q211-Z211), "NA")</f>
        <v>0</v>
      </c>
      <c r="AD211" s="8">
        <f>IFERROR(AC211/AC445,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-34</v>
      </c>
      <c r="C213" s="8">
        <f>IFERROR(B213/B445, "NA")</f>
        <v>-5.7194215625994634E-5</v>
      </c>
      <c r="D213" s="9"/>
      <c r="E213" s="7">
        <v>21681.83</v>
      </c>
      <c r="F213" s="8">
        <f>IFERROR(E213/E445, "NA")</f>
        <v>3.3424266488299742E-2</v>
      </c>
      <c r="G213" s="9"/>
      <c r="H213" s="10">
        <f t="shared" ref="H213:H227" si="56">IFERROR(-(B213-E213), "NA")</f>
        <v>21715.83</v>
      </c>
      <c r="I213" s="8">
        <f>IFERROR(H213/H445, "NA")</f>
        <v>-0.40051638172040466</v>
      </c>
      <c r="J213" s="9"/>
      <c r="K213" s="7">
        <v>0</v>
      </c>
      <c r="L213" s="8">
        <f>IFERROR(K213/K445, "NA")</f>
        <v>0</v>
      </c>
      <c r="M213" s="9"/>
      <c r="N213" s="10">
        <f t="shared" ref="N213:N227" si="57">IFERROR(-(B213-K213), "NA")</f>
        <v>34</v>
      </c>
      <c r="O213" s="8">
        <f>IFERROR(N213/N445, "NA")</f>
        <v>9.2830229891302157E-2</v>
      </c>
      <c r="P213" s="9"/>
      <c r="Q213" s="7">
        <v>-34</v>
      </c>
      <c r="R213" s="8">
        <f>IFERROR(Q213/Q445, "NA")</f>
        <v>-1.1592357094868439E-5</v>
      </c>
      <c r="S213" s="9"/>
      <c r="T213" s="7">
        <v>103354.13999999998</v>
      </c>
      <c r="U213" s="8">
        <f>IFERROR(T213/T445, "NA")</f>
        <v>3.3689672232666452E-2</v>
      </c>
      <c r="V213" s="9"/>
      <c r="W213" s="10">
        <f t="shared" ref="W213:W227" si="58">IFERROR(-(Q213-T213), "NA")</f>
        <v>103388.13999999998</v>
      </c>
      <c r="X213" s="8">
        <f>IFERROR(W213/W445, "NA")</f>
        <v>-0.76662360773079585</v>
      </c>
      <c r="Y213" s="9"/>
      <c r="Z213" s="7">
        <v>0</v>
      </c>
      <c r="AA213" s="8">
        <f>IFERROR(Z213/Z445, "NA")</f>
        <v>0</v>
      </c>
      <c r="AB213" s="9"/>
      <c r="AC213" s="10">
        <f t="shared" ref="AC213:AC227" si="59">IFERROR(-(Q213-Z213), "NA")</f>
        <v>34</v>
      </c>
      <c r="AD213" s="8">
        <f>IFERROR(AC213/AC445, "NA")</f>
        <v>4.456306374733183E-4</v>
      </c>
    </row>
    <row r="214" spans="1:30" ht="16.5" customHeight="1" x14ac:dyDescent="0.45">
      <c r="A214" s="12" t="s">
        <v>194</v>
      </c>
      <c r="B214" s="7">
        <v>5719.6299999999992</v>
      </c>
      <c r="C214" s="8">
        <f>IFERROR(B214/B445, "NA")</f>
        <v>9.6214632800266948E-3</v>
      </c>
      <c r="D214" s="9"/>
      <c r="E214" s="7">
        <v>0</v>
      </c>
      <c r="F214" s="8">
        <f>IFERROR(E214/E445, "NA")</f>
        <v>0</v>
      </c>
      <c r="G214" s="9"/>
      <c r="H214" s="10">
        <f t="shared" si="56"/>
        <v>-5719.6299999999992</v>
      </c>
      <c r="I214" s="8">
        <f>IFERROR(H214/H445, "NA")</f>
        <v>0.1054901199898635</v>
      </c>
      <c r="J214" s="9"/>
      <c r="K214" s="7">
        <v>3457.5699999999997</v>
      </c>
      <c r="L214" s="8">
        <f>IFERROR(K214/K445, "NA")</f>
        <v>5.8198505317586134E-3</v>
      </c>
      <c r="M214" s="9"/>
      <c r="N214" s="10">
        <f t="shared" si="57"/>
        <v>-2262.0599999999995</v>
      </c>
      <c r="O214" s="8">
        <f>IFERROR(N214/N445, "NA")</f>
        <v>-6.1761044067034971</v>
      </c>
      <c r="P214" s="9"/>
      <c r="Q214" s="7">
        <v>36549.43</v>
      </c>
      <c r="R214" s="8">
        <f>IFERROR(Q214/Q445, "NA")</f>
        <v>1.2461589534526392E-2</v>
      </c>
      <c r="S214" s="9"/>
      <c r="T214" s="7">
        <v>0</v>
      </c>
      <c r="U214" s="8">
        <f>IFERROR(T214/T445, "NA")</f>
        <v>0</v>
      </c>
      <c r="V214" s="9"/>
      <c r="W214" s="10">
        <f t="shared" si="58"/>
        <v>-36549.43</v>
      </c>
      <c r="X214" s="8">
        <f>IFERROR(W214/W445, "NA")</f>
        <v>0.27101421775364359</v>
      </c>
      <c r="Y214" s="9"/>
      <c r="Z214" s="7">
        <v>63765.2</v>
      </c>
      <c r="AA214" s="8">
        <f>IFERROR(Z214/Z445, "NA")</f>
        <v>2.2321509834861742E-2</v>
      </c>
      <c r="AB214" s="9"/>
      <c r="AC214" s="10">
        <f t="shared" si="59"/>
        <v>27215.769999999997</v>
      </c>
      <c r="AD214" s="8">
        <f>IFERROR(AC214/AC445, "NA")</f>
        <v>0.35671120395374151</v>
      </c>
    </row>
    <row r="215" spans="1:30" ht="16.5" customHeight="1" x14ac:dyDescent="0.45">
      <c r="A215" s="12" t="s">
        <v>195</v>
      </c>
      <c r="B215" s="7">
        <v>2626.65</v>
      </c>
      <c r="C215" s="8">
        <f>IFERROR(B215/B445, "NA")</f>
        <v>4.4185054845299653E-3</v>
      </c>
      <c r="D215" s="9"/>
      <c r="E215" s="7">
        <v>0</v>
      </c>
      <c r="F215" s="8">
        <f>IFERROR(E215/E445, "NA")</f>
        <v>0</v>
      </c>
      <c r="G215" s="9"/>
      <c r="H215" s="10">
        <f t="shared" si="56"/>
        <v>-2626.65</v>
      </c>
      <c r="I215" s="8">
        <f>IFERROR(H215/H445, "NA")</f>
        <v>4.8444676259019381E-2</v>
      </c>
      <c r="J215" s="9"/>
      <c r="K215" s="7">
        <v>0</v>
      </c>
      <c r="L215" s="8">
        <f>IFERROR(K215/K445, "NA")</f>
        <v>0</v>
      </c>
      <c r="M215" s="9"/>
      <c r="N215" s="10">
        <f t="shared" si="57"/>
        <v>-2626.65</v>
      </c>
      <c r="O215" s="8">
        <f>IFERROR(N215/N445, "NA")</f>
        <v>-7.1715448042349657</v>
      </c>
      <c r="P215" s="9"/>
      <c r="Q215" s="7">
        <v>13282.949999999999</v>
      </c>
      <c r="R215" s="8">
        <f>IFERROR(Q215/Q445, "NA")</f>
        <v>4.528844108037727E-3</v>
      </c>
      <c r="S215" s="9"/>
      <c r="T215" s="7">
        <v>0</v>
      </c>
      <c r="U215" s="8">
        <f>IFERROR(T215/T445, "NA")</f>
        <v>0</v>
      </c>
      <c r="V215" s="9"/>
      <c r="W215" s="10">
        <f t="shared" si="58"/>
        <v>-13282.949999999999</v>
      </c>
      <c r="X215" s="8">
        <f>IFERROR(W215/W445, "NA")</f>
        <v>9.8493144864660251E-2</v>
      </c>
      <c r="Y215" s="9"/>
      <c r="Z215" s="7">
        <v>0</v>
      </c>
      <c r="AA215" s="8">
        <f>IFERROR(Z215/Z445, "NA")</f>
        <v>0</v>
      </c>
      <c r="AB215" s="9"/>
      <c r="AC215" s="10">
        <f t="shared" si="59"/>
        <v>-13282.949999999999</v>
      </c>
      <c r="AD215" s="8">
        <f>IFERROR(AC215/AC445, "NA")</f>
        <v>-0.17409674929488861</v>
      </c>
    </row>
    <row r="216" spans="1:30" ht="16.5" customHeight="1" x14ac:dyDescent="0.45">
      <c r="A216" s="12" t="s">
        <v>196</v>
      </c>
      <c r="B216" s="7">
        <v>360</v>
      </c>
      <c r="C216" s="8">
        <f>IFERROR(B216/B445, "NA")</f>
        <v>6.0558581251053147E-4</v>
      </c>
      <c r="D216" s="9"/>
      <c r="E216" s="7">
        <v>0</v>
      </c>
      <c r="F216" s="8">
        <f>IFERROR(E216/E445, "NA")</f>
        <v>0</v>
      </c>
      <c r="G216" s="9"/>
      <c r="H216" s="10">
        <f t="shared" si="56"/>
        <v>-360</v>
      </c>
      <c r="I216" s="8">
        <f>IFERROR(H216/H445, "NA")</f>
        <v>6.6396678100420605E-3</v>
      </c>
      <c r="J216" s="9"/>
      <c r="K216" s="7">
        <v>321.27</v>
      </c>
      <c r="L216" s="8">
        <f>IFERROR(K216/K445, "NA")</f>
        <v>5.4076804817779244E-4</v>
      </c>
      <c r="M216" s="9"/>
      <c r="N216" s="10">
        <f t="shared" si="57"/>
        <v>-38.730000000000018</v>
      </c>
      <c r="O216" s="8">
        <f>IFERROR(N216/N445, "NA")</f>
        <v>-0.10574455304970984</v>
      </c>
      <c r="P216" s="9"/>
      <c r="Q216" s="7">
        <v>1378</v>
      </c>
      <c r="R216" s="8">
        <f>IFERROR(Q216/Q445, "NA")</f>
        <v>4.6983141402143262E-4</v>
      </c>
      <c r="S216" s="9"/>
      <c r="T216" s="7">
        <v>0</v>
      </c>
      <c r="U216" s="8">
        <f>IFERROR(T216/T445, "NA")</f>
        <v>0</v>
      </c>
      <c r="V216" s="9"/>
      <c r="W216" s="10">
        <f t="shared" si="58"/>
        <v>-1378</v>
      </c>
      <c r="X216" s="8">
        <f>IFERROR(W216/W445, "NA")</f>
        <v>1.0217877325707154E-2</v>
      </c>
      <c r="Y216" s="9"/>
      <c r="Z216" s="7">
        <v>462.22000000000008</v>
      </c>
      <c r="AA216" s="8">
        <f>IFERROR(Z216/Z445, "NA")</f>
        <v>1.6180374680656214E-4</v>
      </c>
      <c r="AB216" s="9"/>
      <c r="AC216" s="10">
        <f t="shared" si="59"/>
        <v>-915.78</v>
      </c>
      <c r="AD216" s="8">
        <f>IFERROR(AC216/AC445, "NA")</f>
        <v>-1.2002930152509276E-2</v>
      </c>
    </row>
    <row r="217" spans="1:30" ht="16.5" customHeight="1" x14ac:dyDescent="0.45">
      <c r="A217" s="12" t="s">
        <v>197</v>
      </c>
      <c r="B217" s="7">
        <v>7445.73</v>
      </c>
      <c r="C217" s="8">
        <f>IFERROR(B217/B445, "NA")</f>
        <v>1.2525079032733441E-2</v>
      </c>
      <c r="D217" s="9"/>
      <c r="E217" s="7">
        <v>0</v>
      </c>
      <c r="F217" s="8">
        <f>IFERROR(E217/E445, "NA")</f>
        <v>0</v>
      </c>
      <c r="G217" s="9"/>
      <c r="H217" s="10">
        <f t="shared" si="56"/>
        <v>-7445.73</v>
      </c>
      <c r="I217" s="8">
        <f>IFERROR(H217/H445, "NA")</f>
        <v>0.13732548278684573</v>
      </c>
      <c r="J217" s="9"/>
      <c r="K217" s="7">
        <v>9153.43</v>
      </c>
      <c r="L217" s="8">
        <f>IFERROR(K217/K445, "NA")</f>
        <v>1.5407235270121864E-2</v>
      </c>
      <c r="M217" s="9"/>
      <c r="N217" s="10">
        <f t="shared" si="57"/>
        <v>1707.7000000000007</v>
      </c>
      <c r="O217" s="8">
        <f>IFERROR(N217/N445, "NA")</f>
        <v>4.662534811334611</v>
      </c>
      <c r="P217" s="9"/>
      <c r="Q217" s="7">
        <v>63385.520000000004</v>
      </c>
      <c r="R217" s="8">
        <f>IFERROR(Q217/Q445, "NA")</f>
        <v>2.1611399484821336E-2</v>
      </c>
      <c r="S217" s="9"/>
      <c r="T217" s="7">
        <v>0</v>
      </c>
      <c r="U217" s="8">
        <f>IFERROR(T217/T445, "NA")</f>
        <v>0</v>
      </c>
      <c r="V217" s="9"/>
      <c r="W217" s="10">
        <f t="shared" si="58"/>
        <v>-63385.520000000004</v>
      </c>
      <c r="X217" s="8">
        <f>IFERROR(W217/W445, "NA")</f>
        <v>0.470003967769345</v>
      </c>
      <c r="Y217" s="9"/>
      <c r="Z217" s="7">
        <v>69642.429999999993</v>
      </c>
      <c r="AA217" s="8">
        <f>IFERROR(Z217/Z445, "NA")</f>
        <v>2.4378880426450009E-2</v>
      </c>
      <c r="AB217" s="9"/>
      <c r="AC217" s="10">
        <f t="shared" si="59"/>
        <v>6256.9099999999889</v>
      </c>
      <c r="AD217" s="8">
        <f>IFERROR(AC217/AC445, "NA")</f>
        <v>8.2007964468034558E-2</v>
      </c>
    </row>
    <row r="218" spans="1:30" ht="16.5" customHeight="1" x14ac:dyDescent="0.45">
      <c r="A218" s="13" t="s">
        <v>198</v>
      </c>
      <c r="B218" s="14">
        <f>IFERROR(B213+B214+B215+B216+B217, "NA")</f>
        <v>16118.009999999998</v>
      </c>
      <c r="C218" s="15">
        <f>IFERROR(B218/B445, "NA")</f>
        <v>2.7113439394174637E-2</v>
      </c>
      <c r="D218" s="2"/>
      <c r="E218" s="14">
        <f>IFERROR(E213+E214+E215+E216+E217, "NA")</f>
        <v>21681.83</v>
      </c>
      <c r="F218" s="15">
        <f>IFERROR(E218/E445, "NA")</f>
        <v>3.3424266488299742E-2</v>
      </c>
      <c r="G218" s="2"/>
      <c r="H218" s="14">
        <f t="shared" si="56"/>
        <v>5563.8200000000033</v>
      </c>
      <c r="I218" s="15">
        <f>IFERROR(H218/H445, "NA")</f>
        <v>-0.102616434874634</v>
      </c>
      <c r="J218" s="2"/>
      <c r="K218" s="14">
        <f>IFERROR(K213+K214+K215+K216+K217, "NA")</f>
        <v>12932.27</v>
      </c>
      <c r="L218" s="15">
        <f>IFERROR(K218/K445, "NA")</f>
        <v>2.1767853850058271E-2</v>
      </c>
      <c r="M218" s="2"/>
      <c r="N218" s="14">
        <f t="shared" si="57"/>
        <v>-3185.739999999998</v>
      </c>
      <c r="O218" s="15">
        <f>IFERROR(N218/N445, "NA")</f>
        <v>-8.6980287227622579</v>
      </c>
      <c r="P218" s="2"/>
      <c r="Q218" s="14">
        <f>IFERROR(Q213+Q214+Q215+Q216+Q217, "NA")</f>
        <v>114561.9</v>
      </c>
      <c r="R218" s="15">
        <f>IFERROR(Q218/Q445, "NA")</f>
        <v>3.9060072184312018E-2</v>
      </c>
      <c r="S218" s="2"/>
      <c r="T218" s="14">
        <f>IFERROR(T213+T214+T215+T216+T217, "NA")</f>
        <v>103354.13999999998</v>
      </c>
      <c r="U218" s="15">
        <f>IFERROR(T218/T445, "NA")</f>
        <v>3.3689672232666452E-2</v>
      </c>
      <c r="V218" s="2"/>
      <c r="W218" s="14">
        <f t="shared" si="58"/>
        <v>-11207.760000000009</v>
      </c>
      <c r="X218" s="15">
        <f>IFERROR(W218/W445, "NA")</f>
        <v>8.3105599982560022E-2</v>
      </c>
      <c r="Y218" s="2"/>
      <c r="Z218" s="14">
        <f>IFERROR(Z213+Z214+Z215+Z216+Z217, "NA")</f>
        <v>133869.84999999998</v>
      </c>
      <c r="AA218" s="15">
        <f>IFERROR(Z218/Z445, "NA")</f>
        <v>4.6862194008118307E-2</v>
      </c>
      <c r="AB218" s="2"/>
      <c r="AC218" s="14">
        <f t="shared" si="59"/>
        <v>19307.949999999983</v>
      </c>
      <c r="AD218" s="15">
        <f>IFERROR(AC218/AC445, "NA")</f>
        <v>0.25306511961185141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IFERROR(B219/B445, "NA")</f>
        <v>0</v>
      </c>
      <c r="D219" s="9"/>
      <c r="E219" s="7">
        <v>0</v>
      </c>
      <c r="F219" s="8">
        <f>IFERROR(E219/E445, "NA")</f>
        <v>0</v>
      </c>
      <c r="G219" s="9"/>
      <c r="H219" s="10">
        <f t="shared" si="56"/>
        <v>0</v>
      </c>
      <c r="I219" s="8">
        <f>IFERROR(H219/H445, "NA")</f>
        <v>0</v>
      </c>
      <c r="J219" s="9"/>
      <c r="K219" s="7">
        <v>0</v>
      </c>
      <c r="L219" s="8">
        <f>IFERROR(K219/K445, "NA")</f>
        <v>0</v>
      </c>
      <c r="M219" s="9"/>
      <c r="N219" s="10">
        <f t="shared" si="57"/>
        <v>0</v>
      </c>
      <c r="O219" s="8">
        <f>IFERROR(N219/N445, "NA")</f>
        <v>0</v>
      </c>
      <c r="P219" s="9"/>
      <c r="Q219" s="7">
        <v>0</v>
      </c>
      <c r="R219" s="8">
        <f>IFERROR(Q219/Q445, "NA")</f>
        <v>0</v>
      </c>
      <c r="S219" s="9"/>
      <c r="T219" s="7">
        <v>0</v>
      </c>
      <c r="U219" s="8">
        <f>IFERROR(T219/T445, "NA")</f>
        <v>0</v>
      </c>
      <c r="V219" s="9"/>
      <c r="W219" s="10">
        <f t="shared" si="58"/>
        <v>0</v>
      </c>
      <c r="X219" s="8">
        <f>IFERROR(W219/W445, "NA")</f>
        <v>0</v>
      </c>
      <c r="Y219" s="9"/>
      <c r="Z219" s="7">
        <v>0</v>
      </c>
      <c r="AA219" s="8">
        <f>IFERROR(Z219/Z445, "NA")</f>
        <v>0</v>
      </c>
      <c r="AB219" s="9"/>
      <c r="AC219" s="10">
        <f t="shared" si="59"/>
        <v>0</v>
      </c>
      <c r="AD219" s="8">
        <f>IFERROR(AC219/AC445,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IFERROR(B220/B445, "NA")</f>
        <v>0</v>
      </c>
      <c r="D220" s="9"/>
      <c r="E220" s="7">
        <v>0</v>
      </c>
      <c r="F220" s="8">
        <f>IFERROR(E220/E445, "NA")</f>
        <v>0</v>
      </c>
      <c r="G220" s="9"/>
      <c r="H220" s="10">
        <f t="shared" si="56"/>
        <v>0</v>
      </c>
      <c r="I220" s="8">
        <f>IFERROR(H220/H445, "NA")</f>
        <v>0</v>
      </c>
      <c r="J220" s="9"/>
      <c r="K220" s="7">
        <v>0</v>
      </c>
      <c r="L220" s="8">
        <f>IFERROR(K220/K445, "NA")</f>
        <v>0</v>
      </c>
      <c r="M220" s="9"/>
      <c r="N220" s="10">
        <f t="shared" si="57"/>
        <v>0</v>
      </c>
      <c r="O220" s="8">
        <f>IFERROR(N220/N445, "NA")</f>
        <v>0</v>
      </c>
      <c r="P220" s="9"/>
      <c r="Q220" s="7">
        <v>0</v>
      </c>
      <c r="R220" s="8">
        <f>IFERROR(Q220/Q445, "NA")</f>
        <v>0</v>
      </c>
      <c r="S220" s="9"/>
      <c r="T220" s="7">
        <v>0</v>
      </c>
      <c r="U220" s="8">
        <f>IFERROR(T220/T445, "NA")</f>
        <v>0</v>
      </c>
      <c r="V220" s="9"/>
      <c r="W220" s="10">
        <f t="shared" si="58"/>
        <v>0</v>
      </c>
      <c r="X220" s="8">
        <f>IFERROR(W220/W445, "NA")</f>
        <v>0</v>
      </c>
      <c r="Y220" s="9"/>
      <c r="Z220" s="7">
        <v>0</v>
      </c>
      <c r="AA220" s="8">
        <f>IFERROR(Z220/Z445, "NA")</f>
        <v>0</v>
      </c>
      <c r="AB220" s="9"/>
      <c r="AC220" s="10">
        <f t="shared" si="59"/>
        <v>0</v>
      </c>
      <c r="AD220" s="8">
        <f>IFERROR(AC220/AC445,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IFERROR(B221/B445, "NA")</f>
        <v>0</v>
      </c>
      <c r="D221" s="9"/>
      <c r="E221" s="7">
        <v>0</v>
      </c>
      <c r="F221" s="8">
        <f>IFERROR(E221/E445, "NA")</f>
        <v>0</v>
      </c>
      <c r="G221" s="9"/>
      <c r="H221" s="10">
        <f t="shared" si="56"/>
        <v>0</v>
      </c>
      <c r="I221" s="8">
        <f>IFERROR(H221/H445, "NA")</f>
        <v>0</v>
      </c>
      <c r="J221" s="9"/>
      <c r="K221" s="7">
        <v>0</v>
      </c>
      <c r="L221" s="8">
        <f>IFERROR(K221/K445, "NA")</f>
        <v>0</v>
      </c>
      <c r="M221" s="9"/>
      <c r="N221" s="10">
        <f t="shared" si="57"/>
        <v>0</v>
      </c>
      <c r="O221" s="8">
        <f>IFERROR(N221/N445, "NA")</f>
        <v>0</v>
      </c>
      <c r="P221" s="9"/>
      <c r="Q221" s="7">
        <v>0</v>
      </c>
      <c r="R221" s="8">
        <f>IFERROR(Q221/Q445, "NA")</f>
        <v>0</v>
      </c>
      <c r="S221" s="9"/>
      <c r="T221" s="7">
        <v>0</v>
      </c>
      <c r="U221" s="8">
        <f>IFERROR(T221/T445, "NA")</f>
        <v>0</v>
      </c>
      <c r="V221" s="9"/>
      <c r="W221" s="10">
        <f t="shared" si="58"/>
        <v>0</v>
      </c>
      <c r="X221" s="8">
        <f>IFERROR(W221/W445, "NA")</f>
        <v>0</v>
      </c>
      <c r="Y221" s="9"/>
      <c r="Z221" s="7">
        <v>0</v>
      </c>
      <c r="AA221" s="8">
        <f>IFERROR(Z221/Z445, "NA")</f>
        <v>0</v>
      </c>
      <c r="AB221" s="9"/>
      <c r="AC221" s="10">
        <f t="shared" si="59"/>
        <v>0</v>
      </c>
      <c r="AD221" s="8">
        <f>IFERROR(AC221/AC445, "NA")</f>
        <v>0</v>
      </c>
    </row>
    <row r="222" spans="1:30" ht="16.5" customHeight="1" x14ac:dyDescent="0.45">
      <c r="A222" s="6" t="s">
        <v>202</v>
      </c>
      <c r="B222" s="7">
        <v>1065.8499999999999</v>
      </c>
      <c r="C222" s="8">
        <f>IFERROR(B222/B445, "NA")</f>
        <v>1.7929545507343052E-3</v>
      </c>
      <c r="D222" s="9"/>
      <c r="E222" s="7">
        <v>500</v>
      </c>
      <c r="F222" s="8">
        <f>IFERROR(E222/E445, "NA")</f>
        <v>7.7078979238144889E-4</v>
      </c>
      <c r="G222" s="9"/>
      <c r="H222" s="10">
        <f t="shared" si="56"/>
        <v>-565.84999999999991</v>
      </c>
      <c r="I222" s="8">
        <f>IFERROR(H222/H445, "NA")</f>
        <v>1.0436266750867498E-2</v>
      </c>
      <c r="J222" s="9"/>
      <c r="K222" s="7">
        <v>335.98</v>
      </c>
      <c r="L222" s="8">
        <f>IFERROR(K222/K445, "NA")</f>
        <v>5.6552821249035001E-4</v>
      </c>
      <c r="M222" s="9"/>
      <c r="N222" s="10">
        <f t="shared" si="57"/>
        <v>-729.86999999999989</v>
      </c>
      <c r="O222" s="8">
        <f>IFERROR(N222/N445, "NA")</f>
        <v>-1.9927647026695499</v>
      </c>
      <c r="P222" s="9"/>
      <c r="Q222" s="7">
        <v>5998.54</v>
      </c>
      <c r="R222" s="8">
        <f>IFERROR(Q222/Q445, "NA")</f>
        <v>2.0452122861132978E-3</v>
      </c>
      <c r="S222" s="9"/>
      <c r="T222" s="7">
        <v>2500</v>
      </c>
      <c r="U222" s="8">
        <f>IFERROR(T222/T445, "NA")</f>
        <v>8.1490862951078826E-4</v>
      </c>
      <c r="V222" s="9"/>
      <c r="W222" s="10">
        <f t="shared" si="58"/>
        <v>-3498.54</v>
      </c>
      <c r="X222" s="8">
        <f>IFERROR(W222/W445, "NA")</f>
        <v>2.5941692698896596E-2</v>
      </c>
      <c r="Y222" s="9"/>
      <c r="Z222" s="7">
        <v>4829.79</v>
      </c>
      <c r="AA222" s="8">
        <f>IFERROR(Z222/Z445, "NA")</f>
        <v>1.6907059804613942E-3</v>
      </c>
      <c r="AB222" s="9"/>
      <c r="AC222" s="10">
        <f t="shared" si="59"/>
        <v>-1168.75</v>
      </c>
      <c r="AD222" s="8">
        <f>IFERROR(AC222/AC445, "NA")</f>
        <v>-1.5318553163145317E-2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IFERROR(B223/B445, "NA")</f>
        <v>0</v>
      </c>
      <c r="D223" s="9"/>
      <c r="E223" s="7">
        <v>0</v>
      </c>
      <c r="F223" s="8">
        <f>IFERROR(E223/E445, "NA")</f>
        <v>0</v>
      </c>
      <c r="G223" s="9"/>
      <c r="H223" s="10">
        <f t="shared" si="56"/>
        <v>0</v>
      </c>
      <c r="I223" s="8">
        <f>IFERROR(H223/H445, "NA")</f>
        <v>0</v>
      </c>
      <c r="J223" s="9"/>
      <c r="K223" s="7">
        <v>0</v>
      </c>
      <c r="L223" s="8">
        <f>IFERROR(K223/K445, "NA")</f>
        <v>0</v>
      </c>
      <c r="M223" s="9"/>
      <c r="N223" s="10">
        <f t="shared" si="57"/>
        <v>0</v>
      </c>
      <c r="O223" s="8">
        <f>IFERROR(N223/N445, "NA")</f>
        <v>0</v>
      </c>
      <c r="P223" s="9"/>
      <c r="Q223" s="7">
        <v>0</v>
      </c>
      <c r="R223" s="8">
        <f>IFERROR(Q223/Q445, "NA")</f>
        <v>0</v>
      </c>
      <c r="S223" s="9"/>
      <c r="T223" s="7">
        <v>0</v>
      </c>
      <c r="U223" s="8">
        <f>IFERROR(T223/T445, "NA")</f>
        <v>0</v>
      </c>
      <c r="V223" s="9"/>
      <c r="W223" s="10">
        <f t="shared" si="58"/>
        <v>0</v>
      </c>
      <c r="X223" s="8">
        <f>IFERROR(W223/W445, "NA")</f>
        <v>0</v>
      </c>
      <c r="Y223" s="9"/>
      <c r="Z223" s="7">
        <v>0</v>
      </c>
      <c r="AA223" s="8">
        <f>IFERROR(Z223/Z445, "NA")</f>
        <v>0</v>
      </c>
      <c r="AB223" s="9"/>
      <c r="AC223" s="10">
        <f t="shared" si="59"/>
        <v>0</v>
      </c>
      <c r="AD223" s="8">
        <f>IFERROR(AC223/AC445,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IFERROR(B224/B445, "NA")</f>
        <v>0</v>
      </c>
      <c r="D224" s="9"/>
      <c r="E224" s="7">
        <v>0</v>
      </c>
      <c r="F224" s="8">
        <f>IFERROR(E224/E445, "NA")</f>
        <v>0</v>
      </c>
      <c r="G224" s="9"/>
      <c r="H224" s="10">
        <f t="shared" si="56"/>
        <v>0</v>
      </c>
      <c r="I224" s="8">
        <f>IFERROR(H224/H445, "NA")</f>
        <v>0</v>
      </c>
      <c r="J224" s="9"/>
      <c r="K224" s="7">
        <v>0</v>
      </c>
      <c r="L224" s="8">
        <f>IFERROR(K224/K445, "NA")</f>
        <v>0</v>
      </c>
      <c r="M224" s="9"/>
      <c r="N224" s="10">
        <f t="shared" si="57"/>
        <v>0</v>
      </c>
      <c r="O224" s="8">
        <f>IFERROR(N224/N445, "NA")</f>
        <v>0</v>
      </c>
      <c r="P224" s="9"/>
      <c r="Q224" s="7">
        <v>0</v>
      </c>
      <c r="R224" s="8">
        <f>IFERROR(Q224/Q445, "NA")</f>
        <v>0</v>
      </c>
      <c r="S224" s="9"/>
      <c r="T224" s="7">
        <v>0</v>
      </c>
      <c r="U224" s="8">
        <f>IFERROR(T224/T445, "NA")</f>
        <v>0</v>
      </c>
      <c r="V224" s="9"/>
      <c r="W224" s="10">
        <f t="shared" si="58"/>
        <v>0</v>
      </c>
      <c r="X224" s="8">
        <f>IFERROR(W224/W445, "NA")</f>
        <v>0</v>
      </c>
      <c r="Y224" s="9"/>
      <c r="Z224" s="7">
        <v>0</v>
      </c>
      <c r="AA224" s="8">
        <f>IFERROR(Z224/Z445, "NA")</f>
        <v>0</v>
      </c>
      <c r="AB224" s="9"/>
      <c r="AC224" s="10">
        <f t="shared" si="59"/>
        <v>0</v>
      </c>
      <c r="AD224" s="8">
        <f>IFERROR(AC224/AC445,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IFERROR(B225/B445, "NA")</f>
        <v>0</v>
      </c>
      <c r="D225" s="9"/>
      <c r="E225" s="7">
        <v>0</v>
      </c>
      <c r="F225" s="8">
        <f>IFERROR(E225/E445, "NA")</f>
        <v>0</v>
      </c>
      <c r="G225" s="9"/>
      <c r="H225" s="10">
        <f t="shared" si="56"/>
        <v>0</v>
      </c>
      <c r="I225" s="8">
        <f>IFERROR(H225/H445, "NA")</f>
        <v>0</v>
      </c>
      <c r="J225" s="9"/>
      <c r="K225" s="7">
        <v>0</v>
      </c>
      <c r="L225" s="8">
        <f>IFERROR(K225/K445, "NA")</f>
        <v>0</v>
      </c>
      <c r="M225" s="9"/>
      <c r="N225" s="10">
        <f t="shared" si="57"/>
        <v>0</v>
      </c>
      <c r="O225" s="8">
        <f>IFERROR(N225/N445, "NA")</f>
        <v>0</v>
      </c>
      <c r="P225" s="9"/>
      <c r="Q225" s="7">
        <v>0</v>
      </c>
      <c r="R225" s="8">
        <f>IFERROR(Q225/Q445, "NA")</f>
        <v>0</v>
      </c>
      <c r="S225" s="9"/>
      <c r="T225" s="7">
        <v>0</v>
      </c>
      <c r="U225" s="8">
        <f>IFERROR(T225/T445, "NA")</f>
        <v>0</v>
      </c>
      <c r="V225" s="9"/>
      <c r="W225" s="10">
        <f t="shared" si="58"/>
        <v>0</v>
      </c>
      <c r="X225" s="8">
        <f>IFERROR(W225/W445, "NA")</f>
        <v>0</v>
      </c>
      <c r="Y225" s="9"/>
      <c r="Z225" s="7">
        <v>0</v>
      </c>
      <c r="AA225" s="8">
        <f>IFERROR(Z225/Z445, "NA")</f>
        <v>0</v>
      </c>
      <c r="AB225" s="9"/>
      <c r="AC225" s="10">
        <f t="shared" si="59"/>
        <v>0</v>
      </c>
      <c r="AD225" s="8">
        <f>IFERROR(AC225/AC445,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IFERROR(B226/B445, "NA")</f>
        <v>0</v>
      </c>
      <c r="D226" s="9"/>
      <c r="E226" s="7">
        <v>0</v>
      </c>
      <c r="F226" s="8">
        <f>IFERROR(E226/E445, "NA")</f>
        <v>0</v>
      </c>
      <c r="G226" s="9"/>
      <c r="H226" s="10">
        <f t="shared" si="56"/>
        <v>0</v>
      </c>
      <c r="I226" s="8">
        <f>IFERROR(H226/H445, "NA")</f>
        <v>0</v>
      </c>
      <c r="J226" s="9"/>
      <c r="K226" s="7">
        <v>0</v>
      </c>
      <c r="L226" s="8">
        <f>IFERROR(K226/K445, "NA")</f>
        <v>0</v>
      </c>
      <c r="M226" s="9"/>
      <c r="N226" s="10">
        <f t="shared" si="57"/>
        <v>0</v>
      </c>
      <c r="O226" s="8">
        <f>IFERROR(N226/N445, "NA")</f>
        <v>0</v>
      </c>
      <c r="P226" s="9"/>
      <c r="Q226" s="7">
        <v>0</v>
      </c>
      <c r="R226" s="8">
        <f>IFERROR(Q226/Q445, "NA")</f>
        <v>0</v>
      </c>
      <c r="S226" s="9"/>
      <c r="T226" s="7">
        <v>0</v>
      </c>
      <c r="U226" s="8">
        <f>IFERROR(T226/T445, "NA")</f>
        <v>0</v>
      </c>
      <c r="V226" s="9"/>
      <c r="W226" s="10">
        <f t="shared" si="58"/>
        <v>0</v>
      </c>
      <c r="X226" s="8">
        <f>IFERROR(W226/W445, "NA")</f>
        <v>0</v>
      </c>
      <c r="Y226" s="9"/>
      <c r="Z226" s="7">
        <v>0</v>
      </c>
      <c r="AA226" s="8">
        <f>IFERROR(Z226/Z445, "NA")</f>
        <v>0</v>
      </c>
      <c r="AB226" s="9"/>
      <c r="AC226" s="10">
        <f t="shared" si="59"/>
        <v>0</v>
      </c>
      <c r="AD226" s="8">
        <f>IFERROR(AC226/AC445,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17183.859999999997</v>
      </c>
      <c r="C227" s="15">
        <f>IFERROR(B227/B445, "NA")</f>
        <v>2.8906393944908942E-2</v>
      </c>
      <c r="D227" s="2"/>
      <c r="E227" s="14">
        <f>IFERROR(E211+E213+E214+E215+E216+E217+E219+E220+E221+E222+E223+E224+E225+E226, "NA")</f>
        <v>22181.83</v>
      </c>
      <c r="F227" s="15">
        <f>IFERROR(E227/E445, "NA")</f>
        <v>3.4195056280681195E-2</v>
      </c>
      <c r="G227" s="2"/>
      <c r="H227" s="14">
        <f t="shared" si="56"/>
        <v>4997.9700000000048</v>
      </c>
      <c r="I227" s="15">
        <f>IFERROR(H227/H445, "NA")</f>
        <v>-9.2180168123766518E-2</v>
      </c>
      <c r="J227" s="2"/>
      <c r="K227" s="14">
        <f>IFERROR(K211+K213+K214+K215+K216+K217+K219+K220+K221+K222+K223+K224+K225+K226, "NA")</f>
        <v>13268.25</v>
      </c>
      <c r="L227" s="15">
        <f>IFERROR(K227/K445, "NA")</f>
        <v>2.2333382062548621E-2</v>
      </c>
      <c r="M227" s="2"/>
      <c r="N227" s="14">
        <f t="shared" si="57"/>
        <v>-3915.6099999999969</v>
      </c>
      <c r="O227" s="15">
        <f>IFERROR(N227/N445, "NA")</f>
        <v>-10.690793425431805</v>
      </c>
      <c r="P227" s="2"/>
      <c r="Q227" s="14">
        <f>IFERROR(Q211+Q213+Q214+Q215+Q216+Q217+Q219+Q220+Q221+Q222+Q223+Q224+Q225+Q226, "NA")</f>
        <v>120560.43999999999</v>
      </c>
      <c r="R227" s="15">
        <f>IFERROR(Q227/Q445, "NA")</f>
        <v>4.1105284470425309E-2</v>
      </c>
      <c r="S227" s="2"/>
      <c r="T227" s="14">
        <f>IFERROR(T211+T213+T214+T215+T216+T217+T219+T220+T221+T222+T223+T224+T225+T226, "NA")</f>
        <v>105854.13999999998</v>
      </c>
      <c r="U227" s="15">
        <f>IFERROR(T227/T445, "NA")</f>
        <v>3.4504580862177239E-2</v>
      </c>
      <c r="V227" s="2"/>
      <c r="W227" s="14">
        <f t="shared" si="58"/>
        <v>-14706.300000000003</v>
      </c>
      <c r="X227" s="15">
        <f>IFERROR(W227/W445, "NA")</f>
        <v>0.10904729268145658</v>
      </c>
      <c r="Y227" s="2"/>
      <c r="Z227" s="14">
        <f>IFERROR(Z211+Z213+Z214+Z215+Z216+Z217+Z219+Z220+Z221+Z222+Z223+Z224+Z225+Z226, "NA")</f>
        <v>138699.63999999998</v>
      </c>
      <c r="AA227" s="15">
        <f>IFERROR(Z227/Z445, "NA")</f>
        <v>4.8552899988579708E-2</v>
      </c>
      <c r="AB227" s="2"/>
      <c r="AC227" s="14">
        <f t="shared" si="59"/>
        <v>18139.199999999997</v>
      </c>
      <c r="AD227" s="15">
        <f>IFERROR(AC227/AC445, "NA")</f>
        <v>0.23774656644870629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IFERROR(B229/B445, "NA")</f>
        <v>0</v>
      </c>
      <c r="D229" s="9"/>
      <c r="E229" s="7">
        <v>9889.1000000000022</v>
      </c>
      <c r="F229" s="8">
        <f>IFERROR(E229/E445, "NA")</f>
        <v>1.5244834671678776E-2</v>
      </c>
      <c r="G229" s="9"/>
      <c r="H229" s="10">
        <f t="shared" ref="H229:H236" si="60">IFERROR(-(B229-E229), "NA")</f>
        <v>9889.1000000000022</v>
      </c>
      <c r="I229" s="8">
        <f>IFERROR(H229/H445, "NA")</f>
        <v>-0.18238983038968598</v>
      </c>
      <c r="J229" s="9"/>
      <c r="K229" s="7">
        <v>0</v>
      </c>
      <c r="L229" s="8">
        <f>IFERROR(K229/K445, "NA")</f>
        <v>0</v>
      </c>
      <c r="M229" s="9"/>
      <c r="N229" s="10">
        <f t="shared" ref="N229:N236" si="61">IFERROR(-(B229-K229), "NA")</f>
        <v>0</v>
      </c>
      <c r="O229" s="8">
        <f>IFERROR(N229/N445, "NA")</f>
        <v>0</v>
      </c>
      <c r="P229" s="9"/>
      <c r="Q229" s="7">
        <v>0</v>
      </c>
      <c r="R229" s="8">
        <f>IFERROR(Q229/Q445, "NA")</f>
        <v>0</v>
      </c>
      <c r="S229" s="9"/>
      <c r="T229" s="7">
        <v>47273.72</v>
      </c>
      <c r="U229" s="8">
        <f>IFERROR(T229/T445, "NA")</f>
        <v>1.5409504950830698E-2</v>
      </c>
      <c r="V229" s="9"/>
      <c r="W229" s="10">
        <f t="shared" ref="W229:W236" si="62">IFERROR(-(Q229-T229), "NA")</f>
        <v>47273.72</v>
      </c>
      <c r="X229" s="8">
        <f>IFERROR(W229/W445, "NA")</f>
        <v>-0.35053488511598607</v>
      </c>
      <c r="Y229" s="9"/>
      <c r="Z229" s="7">
        <v>0</v>
      </c>
      <c r="AA229" s="8">
        <f>IFERROR(Z229/Z445, "NA")</f>
        <v>0</v>
      </c>
      <c r="AB229" s="9"/>
      <c r="AC229" s="10">
        <f t="shared" ref="AC229:AC236" si="63">IFERROR(-(Q229-Z229), "NA")</f>
        <v>0</v>
      </c>
      <c r="AD229" s="8">
        <f>IFERROR(AC229/AC445,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IFERROR(B230/B445, "NA")</f>
        <v>0</v>
      </c>
      <c r="D230" s="9"/>
      <c r="E230" s="7">
        <v>0</v>
      </c>
      <c r="F230" s="8">
        <f>IFERROR(E230/E445, "NA")</f>
        <v>0</v>
      </c>
      <c r="G230" s="9"/>
      <c r="H230" s="10">
        <f t="shared" si="60"/>
        <v>0</v>
      </c>
      <c r="I230" s="8">
        <f>IFERROR(H230/H445, "NA")</f>
        <v>0</v>
      </c>
      <c r="J230" s="9"/>
      <c r="K230" s="7">
        <v>0</v>
      </c>
      <c r="L230" s="8">
        <f>IFERROR(K230/K445, "NA")</f>
        <v>0</v>
      </c>
      <c r="M230" s="9"/>
      <c r="N230" s="10">
        <f t="shared" si="61"/>
        <v>0</v>
      </c>
      <c r="O230" s="8">
        <f>IFERROR(N230/N445, "NA")</f>
        <v>0</v>
      </c>
      <c r="P230" s="9"/>
      <c r="Q230" s="7">
        <v>0</v>
      </c>
      <c r="R230" s="8">
        <f>IFERROR(Q230/Q445, "NA")</f>
        <v>0</v>
      </c>
      <c r="S230" s="9"/>
      <c r="T230" s="7">
        <v>0</v>
      </c>
      <c r="U230" s="8">
        <f>IFERROR(T230/T445, "NA")</f>
        <v>0</v>
      </c>
      <c r="V230" s="9"/>
      <c r="W230" s="10">
        <f t="shared" si="62"/>
        <v>0</v>
      </c>
      <c r="X230" s="8">
        <f>IFERROR(W230/W445, "NA")</f>
        <v>0</v>
      </c>
      <c r="Y230" s="9"/>
      <c r="Z230" s="7">
        <v>83.95</v>
      </c>
      <c r="AA230" s="8">
        <f>IFERROR(Z230/Z445, "NA")</f>
        <v>2.9387357847801672E-5</v>
      </c>
      <c r="AB230" s="9"/>
      <c r="AC230" s="10">
        <f t="shared" si="63"/>
        <v>83.95</v>
      </c>
      <c r="AD230" s="8">
        <f>IFERROR(AC230/AC445, "NA")</f>
        <v>1.1003144710554434E-3</v>
      </c>
    </row>
    <row r="231" spans="1:30" ht="16.5" customHeight="1" x14ac:dyDescent="0.45">
      <c r="A231" s="6" t="s">
        <v>210</v>
      </c>
      <c r="B231" s="7">
        <v>0</v>
      </c>
      <c r="C231" s="8">
        <f>IFERROR(B231/B445, "NA")</f>
        <v>0</v>
      </c>
      <c r="D231" s="9"/>
      <c r="E231" s="7">
        <v>0</v>
      </c>
      <c r="F231" s="8">
        <f>IFERROR(E231/E445, "NA")</f>
        <v>0</v>
      </c>
      <c r="G231" s="9"/>
      <c r="H231" s="10">
        <f t="shared" si="60"/>
        <v>0</v>
      </c>
      <c r="I231" s="8">
        <f>IFERROR(H231/H445, "NA")</f>
        <v>0</v>
      </c>
      <c r="J231" s="9"/>
      <c r="K231" s="7">
        <v>1029</v>
      </c>
      <c r="L231" s="8">
        <f>IFERROR(K231/K445, "NA")</f>
        <v>1.7320332479688377E-3</v>
      </c>
      <c r="M231" s="9"/>
      <c r="N231" s="10">
        <f t="shared" si="61"/>
        <v>1029</v>
      </c>
      <c r="O231" s="8">
        <f>IFERROR(N231/N445, "NA")</f>
        <v>2.8094796046514681</v>
      </c>
      <c r="P231" s="9"/>
      <c r="Q231" s="7">
        <v>574</v>
      </c>
      <c r="R231" s="8">
        <f>IFERROR(Q231/Q445, "NA")</f>
        <v>1.9570626389572011E-4</v>
      </c>
      <c r="S231" s="9"/>
      <c r="T231" s="7">
        <v>0</v>
      </c>
      <c r="U231" s="8">
        <f>IFERROR(T231/T445, "NA")</f>
        <v>0</v>
      </c>
      <c r="V231" s="9"/>
      <c r="W231" s="10">
        <f t="shared" si="62"/>
        <v>-574</v>
      </c>
      <c r="X231" s="8">
        <f>IFERROR(W231/W445, "NA")</f>
        <v>4.2562130514919496E-3</v>
      </c>
      <c r="Y231" s="9"/>
      <c r="Z231" s="7">
        <v>5586.3</v>
      </c>
      <c r="AA231" s="8">
        <f>IFERROR(Z231/Z445, "NA")</f>
        <v>1.9555282566429363E-3</v>
      </c>
      <c r="AB231" s="9"/>
      <c r="AC231" s="10">
        <f t="shared" si="63"/>
        <v>5012.3</v>
      </c>
      <c r="AD231" s="8">
        <f>IFERROR(AC231/AC445, "NA")</f>
        <v>6.5695130711985683E-2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IFERROR(B232/B445, "NA")</f>
        <v>0</v>
      </c>
      <c r="D232" s="9"/>
      <c r="E232" s="7">
        <v>0</v>
      </c>
      <c r="F232" s="8">
        <f>IFERROR(E232/E445, "NA")</f>
        <v>0</v>
      </c>
      <c r="G232" s="9"/>
      <c r="H232" s="10">
        <f t="shared" si="60"/>
        <v>0</v>
      </c>
      <c r="I232" s="8">
        <f>IFERROR(H232/H445, "NA")</f>
        <v>0</v>
      </c>
      <c r="J232" s="9"/>
      <c r="K232" s="7">
        <v>0</v>
      </c>
      <c r="L232" s="8">
        <f>IFERROR(K232/K445, "NA")</f>
        <v>0</v>
      </c>
      <c r="M232" s="9"/>
      <c r="N232" s="10">
        <f t="shared" si="61"/>
        <v>0</v>
      </c>
      <c r="O232" s="8">
        <f>IFERROR(N232/N445, "NA")</f>
        <v>0</v>
      </c>
      <c r="P232" s="9"/>
      <c r="Q232" s="7">
        <v>0</v>
      </c>
      <c r="R232" s="8">
        <f>IFERROR(Q232/Q445, "NA")</f>
        <v>0</v>
      </c>
      <c r="S232" s="9"/>
      <c r="T232" s="7">
        <v>0</v>
      </c>
      <c r="U232" s="8">
        <f>IFERROR(T232/T445, "NA")</f>
        <v>0</v>
      </c>
      <c r="V232" s="9"/>
      <c r="W232" s="10">
        <f t="shared" si="62"/>
        <v>0</v>
      </c>
      <c r="X232" s="8">
        <f>IFERROR(W232/W445, "NA")</f>
        <v>0</v>
      </c>
      <c r="Y232" s="9"/>
      <c r="Z232" s="7">
        <v>0</v>
      </c>
      <c r="AA232" s="8">
        <f>IFERROR(Z232/Z445, "NA")</f>
        <v>0</v>
      </c>
      <c r="AB232" s="9"/>
      <c r="AC232" s="10">
        <f t="shared" si="63"/>
        <v>0</v>
      </c>
      <c r="AD232" s="8">
        <f>IFERROR(AC232/AC445, "NA")</f>
        <v>0</v>
      </c>
    </row>
    <row r="233" spans="1:30" ht="16.5" customHeight="1" x14ac:dyDescent="0.45">
      <c r="A233" s="6" t="s">
        <v>212</v>
      </c>
      <c r="B233" s="7">
        <v>57.9</v>
      </c>
      <c r="C233" s="8">
        <f>IFERROR(B233/B445, "NA")</f>
        <v>9.7398384845443807E-5</v>
      </c>
      <c r="D233" s="9"/>
      <c r="E233" s="7">
        <v>0</v>
      </c>
      <c r="F233" s="8">
        <f>IFERROR(E233/E445, "NA")</f>
        <v>0</v>
      </c>
      <c r="G233" s="9"/>
      <c r="H233" s="10">
        <f t="shared" si="60"/>
        <v>-57.9</v>
      </c>
      <c r="I233" s="8">
        <f>IFERROR(H233/H445, "NA")</f>
        <v>1.067879906115098E-3</v>
      </c>
      <c r="J233" s="9"/>
      <c r="K233" s="7">
        <v>0</v>
      </c>
      <c r="L233" s="8">
        <f>IFERROR(K233/K445, "NA")</f>
        <v>0</v>
      </c>
      <c r="M233" s="9"/>
      <c r="N233" s="10">
        <f t="shared" si="61"/>
        <v>-57.9</v>
      </c>
      <c r="O233" s="8">
        <f>IFERROR(N233/N445, "NA")</f>
        <v>-0.15808442090312927</v>
      </c>
      <c r="P233" s="9"/>
      <c r="Q233" s="7">
        <v>382.66</v>
      </c>
      <c r="R233" s="8">
        <f>IFERROR(Q233/Q445, "NA")</f>
        <v>1.3046856958595169E-4</v>
      </c>
      <c r="S233" s="9"/>
      <c r="T233" s="7">
        <v>0</v>
      </c>
      <c r="U233" s="8">
        <f>IFERROR(T233/T445, "NA")</f>
        <v>0</v>
      </c>
      <c r="V233" s="9"/>
      <c r="W233" s="10">
        <f t="shared" si="62"/>
        <v>-382.66</v>
      </c>
      <c r="X233" s="8">
        <f>IFERROR(W233/W445, "NA")</f>
        <v>2.8374259342925255E-3</v>
      </c>
      <c r="Y233" s="9"/>
      <c r="Z233" s="7">
        <v>0</v>
      </c>
      <c r="AA233" s="8">
        <f>IFERROR(Z233/Z445, "NA")</f>
        <v>0</v>
      </c>
      <c r="AB233" s="9"/>
      <c r="AC233" s="10">
        <f t="shared" si="63"/>
        <v>-382.66</v>
      </c>
      <c r="AD233" s="8">
        <f>IFERROR(AC233/AC445, "NA")</f>
        <v>-5.0154417569276471E-3</v>
      </c>
    </row>
    <row r="234" spans="1:30" ht="16.5" customHeight="1" x14ac:dyDescent="0.45">
      <c r="A234" s="6" t="s">
        <v>213</v>
      </c>
      <c r="B234" s="7">
        <v>8524.51</v>
      </c>
      <c r="C234" s="8">
        <f>IFERROR(B234/B445, "NA")</f>
        <v>1.4339784207233751E-2</v>
      </c>
      <c r="D234" s="9"/>
      <c r="E234" s="7">
        <v>0</v>
      </c>
      <c r="F234" s="8">
        <f>IFERROR(E234/E445, "NA")</f>
        <v>0</v>
      </c>
      <c r="G234" s="9"/>
      <c r="H234" s="10">
        <f t="shared" si="60"/>
        <v>-8524.51</v>
      </c>
      <c r="I234" s="8">
        <f>IFERROR(H234/H445, "NA")</f>
        <v>0.15722198512050456</v>
      </c>
      <c r="J234" s="9"/>
      <c r="K234" s="7">
        <v>8819.65</v>
      </c>
      <c r="L234" s="8">
        <f>IFERROR(K234/K445, "NA")</f>
        <v>1.4845410141349231E-2</v>
      </c>
      <c r="M234" s="9"/>
      <c r="N234" s="10">
        <f t="shared" si="61"/>
        <v>295.13999999999942</v>
      </c>
      <c r="O234" s="8">
        <f>IFERROR(N234/N445, "NA")</f>
        <v>0.80582100147408431</v>
      </c>
      <c r="P234" s="9"/>
      <c r="Q234" s="7">
        <v>44786.400000000001</v>
      </c>
      <c r="R234" s="8">
        <f>IFERROR(Q234/Q445, "NA")</f>
        <v>1.5269998288047525E-2</v>
      </c>
      <c r="S234" s="9"/>
      <c r="T234" s="7">
        <v>0</v>
      </c>
      <c r="U234" s="8">
        <f>IFERROR(T234/T445, "NA")</f>
        <v>0</v>
      </c>
      <c r="V234" s="9"/>
      <c r="W234" s="10">
        <f t="shared" si="62"/>
        <v>-44786.400000000001</v>
      </c>
      <c r="X234" s="8">
        <f>IFERROR(W234/W445, "NA")</f>
        <v>0.33209139409292521</v>
      </c>
      <c r="Y234" s="9"/>
      <c r="Z234" s="7">
        <v>42621.279999999999</v>
      </c>
      <c r="AA234" s="8">
        <f>IFERROR(Z234/Z445, "NA")</f>
        <v>1.4919914321517003E-2</v>
      </c>
      <c r="AB234" s="9"/>
      <c r="AC234" s="10">
        <f t="shared" si="63"/>
        <v>-2165.1200000000026</v>
      </c>
      <c r="AD234" s="8">
        <f>IFERROR(AC234/AC445, "NA")</f>
        <v>-2.8377758994300943E-2</v>
      </c>
    </row>
    <row r="235" spans="1:30" ht="16.5" customHeight="1" x14ac:dyDescent="0.45">
      <c r="A235" s="6" t="s">
        <v>214</v>
      </c>
      <c r="B235" s="7">
        <v>255.72</v>
      </c>
      <c r="C235" s="8">
        <f>IFERROR(B235/B445, "NA")</f>
        <v>4.3016778881998081E-4</v>
      </c>
      <c r="D235" s="9"/>
      <c r="E235" s="7">
        <v>0</v>
      </c>
      <c r="F235" s="8">
        <f>IFERROR(E235/E445, "NA")</f>
        <v>0</v>
      </c>
      <c r="G235" s="9"/>
      <c r="H235" s="10">
        <f t="shared" si="60"/>
        <v>-255.72</v>
      </c>
      <c r="I235" s="8">
        <f>IFERROR(H235/H445, "NA")</f>
        <v>4.7163773677332101E-3</v>
      </c>
      <c r="J235" s="9"/>
      <c r="K235" s="7">
        <v>0</v>
      </c>
      <c r="L235" s="8">
        <f>IFERROR(K235/K445, "NA")</f>
        <v>0</v>
      </c>
      <c r="M235" s="9"/>
      <c r="N235" s="10">
        <f t="shared" si="61"/>
        <v>-255.72</v>
      </c>
      <c r="O235" s="8">
        <f>IFERROR(N235/N445, "NA")</f>
        <v>-0.6981925408177585</v>
      </c>
      <c r="P235" s="9"/>
      <c r="Q235" s="7">
        <v>818.94</v>
      </c>
      <c r="R235" s="8">
        <f>IFERROR(Q235/Q445, "NA")</f>
        <v>2.792189682138694E-4</v>
      </c>
      <c r="S235" s="9"/>
      <c r="T235" s="7">
        <v>0</v>
      </c>
      <c r="U235" s="8">
        <f>IFERROR(T235/T445, "NA")</f>
        <v>0</v>
      </c>
      <c r="V235" s="9"/>
      <c r="W235" s="10">
        <f t="shared" si="62"/>
        <v>-818.94</v>
      </c>
      <c r="X235" s="8">
        <f>IFERROR(W235/W445, "NA")</f>
        <v>6.0724444536390549E-3</v>
      </c>
      <c r="Y235" s="9"/>
      <c r="Z235" s="7">
        <v>0</v>
      </c>
      <c r="AA235" s="8">
        <f>IFERROR(Z235/Z445, "NA")</f>
        <v>0</v>
      </c>
      <c r="AB235" s="9"/>
      <c r="AC235" s="10">
        <f t="shared" si="63"/>
        <v>-818.94</v>
      </c>
      <c r="AD235" s="8">
        <f>IFERROR(AC235/AC445, "NA")</f>
        <v>-1.0733669242717627E-2</v>
      </c>
    </row>
    <row r="236" spans="1:30" ht="16.5" customHeight="1" x14ac:dyDescent="0.45">
      <c r="A236" s="19" t="s">
        <v>215</v>
      </c>
      <c r="B236" s="14">
        <f>IFERROR(B229+B230+B231+B232+B233+B234+B235, "NA")</f>
        <v>8838.1299999999992</v>
      </c>
      <c r="C236" s="15">
        <f>IFERROR(B236/B445, "NA")</f>
        <v>1.4867350380899175E-2</v>
      </c>
      <c r="D236" s="2"/>
      <c r="E236" s="14">
        <f>IFERROR(E229+E230+E231+E232+E233+E234+E235, "NA")</f>
        <v>9889.1000000000022</v>
      </c>
      <c r="F236" s="15">
        <f>IFERROR(E236/E445, "NA")</f>
        <v>1.5244834671678776E-2</v>
      </c>
      <c r="G236" s="2"/>
      <c r="H236" s="14">
        <f t="shared" si="60"/>
        <v>1050.970000000003</v>
      </c>
      <c r="I236" s="15">
        <f>IFERROR(H236/H445, "NA")</f>
        <v>-1.9383587995333122E-2</v>
      </c>
      <c r="J236" s="2"/>
      <c r="K236" s="14">
        <f>IFERROR(K229+K230+K231+K232+K233+K234+K235, "NA")</f>
        <v>9848.65</v>
      </c>
      <c r="L236" s="15">
        <f>IFERROR(K236/K445, "NA")</f>
        <v>1.6577443389318068E-2</v>
      </c>
      <c r="M236" s="2"/>
      <c r="N236" s="14">
        <f t="shared" si="61"/>
        <v>1010.5200000000004</v>
      </c>
      <c r="O236" s="15">
        <f>IFERROR(N236/N445, "NA")</f>
        <v>2.7590236444046674</v>
      </c>
      <c r="P236" s="2"/>
      <c r="Q236" s="14">
        <f>IFERROR(Q229+Q230+Q231+Q232+Q233+Q234+Q235, "NA")</f>
        <v>46562.000000000007</v>
      </c>
      <c r="R236" s="15">
        <f>IFERROR(Q236/Q445, "NA")</f>
        <v>1.5875392089743069E-2</v>
      </c>
      <c r="S236" s="2"/>
      <c r="T236" s="14">
        <f>IFERROR(T229+T230+T231+T232+T233+T234+T235, "NA")</f>
        <v>47273.72</v>
      </c>
      <c r="U236" s="15">
        <f>IFERROR(T236/T445, "NA")</f>
        <v>1.5409504950830698E-2</v>
      </c>
      <c r="V236" s="2"/>
      <c r="W236" s="14">
        <f t="shared" si="62"/>
        <v>711.71999999999389</v>
      </c>
      <c r="X236" s="15">
        <f>IFERROR(W236/W445, "NA")</f>
        <v>-5.2774075836373247E-3</v>
      </c>
      <c r="Y236" s="2"/>
      <c r="Z236" s="14">
        <f>IFERROR(Z229+Z230+Z231+Z232+Z233+Z234+Z235, "NA")</f>
        <v>48291.53</v>
      </c>
      <c r="AA236" s="15">
        <f>IFERROR(Z236/Z445, "NA")</f>
        <v>1.690482993600774E-2</v>
      </c>
      <c r="AB236" s="2"/>
      <c r="AC236" s="14">
        <f t="shared" si="63"/>
        <v>1729.5299999999916</v>
      </c>
      <c r="AD236" s="15">
        <f>IFERROR(AC236/AC445, "NA")</f>
        <v>2.2668575189094837E-2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IFERROR(B238/B445, "NA")</f>
        <v>0</v>
      </c>
      <c r="D238" s="9"/>
      <c r="E238" s="7">
        <v>0</v>
      </c>
      <c r="F238" s="8">
        <f>IFERROR(E238/E445, "NA")</f>
        <v>0</v>
      </c>
      <c r="G238" s="9"/>
      <c r="H238" s="10">
        <f>IFERROR(-(B238-E238), "NA")</f>
        <v>0</v>
      </c>
      <c r="I238" s="8">
        <f>IFERROR(H238/H445, "NA")</f>
        <v>0</v>
      </c>
      <c r="J238" s="9"/>
      <c r="K238" s="7">
        <v>0</v>
      </c>
      <c r="L238" s="8">
        <f>IFERROR(K238/K445, "NA")</f>
        <v>0</v>
      </c>
      <c r="M238" s="9"/>
      <c r="N238" s="10">
        <f>IFERROR(-(B238-K238), "NA")</f>
        <v>0</v>
      </c>
      <c r="O238" s="8">
        <f>IFERROR(N238/N445, "NA")</f>
        <v>0</v>
      </c>
      <c r="P238" s="9"/>
      <c r="Q238" s="7">
        <v>0</v>
      </c>
      <c r="R238" s="8">
        <f>IFERROR(Q238/Q445, "NA")</f>
        <v>0</v>
      </c>
      <c r="S238" s="9"/>
      <c r="T238" s="7">
        <v>0</v>
      </c>
      <c r="U238" s="8">
        <f>IFERROR(T238/T445, "NA")</f>
        <v>0</v>
      </c>
      <c r="V238" s="9"/>
      <c r="W238" s="10">
        <f>IFERROR(-(Q238-T238), "NA")</f>
        <v>0</v>
      </c>
      <c r="X238" s="8">
        <f>IFERROR(W238/W445, "NA")</f>
        <v>0</v>
      </c>
      <c r="Y238" s="9"/>
      <c r="Z238" s="7">
        <v>0</v>
      </c>
      <c r="AA238" s="8">
        <f>IFERROR(Z238/Z445, "NA")</f>
        <v>0</v>
      </c>
      <c r="AB238" s="9"/>
      <c r="AC238" s="10">
        <f>IFERROR(-(Q238-Z238), "NA")</f>
        <v>0</v>
      </c>
      <c r="AD238" s="8">
        <f>IFERROR(AC238/AC445,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IFERROR(B240/B445, "NA")</f>
        <v>0</v>
      </c>
      <c r="D240" s="9"/>
      <c r="E240" s="7">
        <v>42776.409999999996</v>
      </c>
      <c r="F240" s="8">
        <f>IFERROR(E240/E445, "NA")</f>
        <v>6.5943240365447464E-2</v>
      </c>
      <c r="G240" s="9"/>
      <c r="H240" s="10">
        <f t="shared" ref="H240:H264" si="64">IFERROR(-(B240-E240), "NA")</f>
        <v>42776.409999999996</v>
      </c>
      <c r="I240" s="8">
        <f>IFERROR(H240/H445, "NA")</f>
        <v>-0.78894764585044797</v>
      </c>
      <c r="J240" s="9"/>
      <c r="K240" s="7">
        <v>0</v>
      </c>
      <c r="L240" s="8">
        <f>IFERROR(K240/K445, "NA")</f>
        <v>0</v>
      </c>
      <c r="M240" s="9"/>
      <c r="N240" s="10">
        <f t="shared" ref="N240:N264" si="65">IFERROR(-(B240-K240), "NA")</f>
        <v>0</v>
      </c>
      <c r="O240" s="8">
        <f>IFERROR(N240/N445, "NA")</f>
        <v>0</v>
      </c>
      <c r="P240" s="9"/>
      <c r="Q240" s="7">
        <v>0</v>
      </c>
      <c r="R240" s="8">
        <f>IFERROR(Q240/Q445, "NA")</f>
        <v>0</v>
      </c>
      <c r="S240" s="9"/>
      <c r="T240" s="7">
        <v>204257.61</v>
      </c>
      <c r="U240" s="8">
        <f>IFERROR(T240/T445, "NA")</f>
        <v>6.6580515612899627E-2</v>
      </c>
      <c r="V240" s="9"/>
      <c r="W240" s="10">
        <f t="shared" ref="W240:W264" si="66">IFERROR(-(Q240-T240), "NA")</f>
        <v>204257.61</v>
      </c>
      <c r="X240" s="8">
        <f>IFERROR(W240/W445, "NA")</f>
        <v>-1.5145712640218685</v>
      </c>
      <c r="Y240" s="9"/>
      <c r="Z240" s="7">
        <v>0</v>
      </c>
      <c r="AA240" s="8">
        <f>IFERROR(Z240/Z445, "NA")</f>
        <v>0</v>
      </c>
      <c r="AB240" s="9"/>
      <c r="AC240" s="10">
        <f t="shared" ref="AC240:AC264" si="67">IFERROR(-(Q240-Z240), "NA")</f>
        <v>0</v>
      </c>
      <c r="AD240" s="8">
        <f>IFERROR(AC240/AC445, "NA")</f>
        <v>0</v>
      </c>
    </row>
    <row r="241" spans="1:30" ht="16.5" customHeight="1" x14ac:dyDescent="0.45">
      <c r="A241" s="12" t="s">
        <v>218</v>
      </c>
      <c r="B241" s="7">
        <v>114.62</v>
      </c>
      <c r="C241" s="8">
        <f>IFERROR(B241/B445, "NA")</f>
        <v>1.9281179397210311E-4</v>
      </c>
      <c r="D241" s="9"/>
      <c r="E241" s="7">
        <v>0</v>
      </c>
      <c r="F241" s="8">
        <f>IFERROR(E241/E445, "NA")</f>
        <v>0</v>
      </c>
      <c r="G241" s="9"/>
      <c r="H241" s="10">
        <f t="shared" si="64"/>
        <v>-114.62</v>
      </c>
      <c r="I241" s="8">
        <f>IFERROR(H241/H445, "NA")</f>
        <v>2.1139964566306139E-3</v>
      </c>
      <c r="J241" s="9"/>
      <c r="K241" s="7">
        <v>55</v>
      </c>
      <c r="L241" s="8">
        <f>IFERROR(K241/K445, "NA")</f>
        <v>9.2577092942940783E-5</v>
      </c>
      <c r="M241" s="9"/>
      <c r="N241" s="10">
        <f t="shared" si="65"/>
        <v>-59.620000000000005</v>
      </c>
      <c r="O241" s="8">
        <f>IFERROR(N241/N445, "NA")</f>
        <v>-0.16278053841527751</v>
      </c>
      <c r="P241" s="9"/>
      <c r="Q241" s="7">
        <v>304.41000000000003</v>
      </c>
      <c r="R241" s="8">
        <f>IFERROR(Q241/Q445, "NA")</f>
        <v>1.0378910068379122E-4</v>
      </c>
      <c r="S241" s="9"/>
      <c r="T241" s="7">
        <v>0</v>
      </c>
      <c r="U241" s="8">
        <f>IFERROR(T241/T445, "NA")</f>
        <v>0</v>
      </c>
      <c r="V241" s="9"/>
      <c r="W241" s="10">
        <f t="shared" si="66"/>
        <v>-304.41000000000003</v>
      </c>
      <c r="X241" s="8">
        <f>IFERROR(W241/W445, "NA")</f>
        <v>2.2572017683008092E-3</v>
      </c>
      <c r="Y241" s="9"/>
      <c r="Z241" s="7">
        <v>776.14</v>
      </c>
      <c r="AA241" s="8">
        <f>IFERROR(Z241/Z445, "NA")</f>
        <v>2.7169391209044418E-4</v>
      </c>
      <c r="AB241" s="9"/>
      <c r="AC241" s="10">
        <f t="shared" si="67"/>
        <v>471.72999999999996</v>
      </c>
      <c r="AD241" s="8">
        <f>IFERROR(AC241/AC445, "NA")</f>
        <v>6.1828629592731886E-3</v>
      </c>
    </row>
    <row r="242" spans="1:30" ht="16.5" customHeight="1" x14ac:dyDescent="0.45">
      <c r="A242" s="12" t="s">
        <v>219</v>
      </c>
      <c r="B242" s="7">
        <v>7718.4</v>
      </c>
      <c r="C242" s="8">
        <f>IFERROR(B242/B445, "NA")</f>
        <v>1.2983759820225793E-2</v>
      </c>
      <c r="D242" s="9"/>
      <c r="E242" s="7">
        <v>0</v>
      </c>
      <c r="F242" s="8">
        <f>IFERROR(E242/E445, "NA")</f>
        <v>0</v>
      </c>
      <c r="G242" s="9"/>
      <c r="H242" s="10">
        <f t="shared" si="64"/>
        <v>-7718.4</v>
      </c>
      <c r="I242" s="8">
        <f>IFERROR(H242/H445, "NA")</f>
        <v>0.14235447784730176</v>
      </c>
      <c r="J242" s="9"/>
      <c r="K242" s="7">
        <v>5529.09</v>
      </c>
      <c r="L242" s="8">
        <f>IFERROR(K242/K445, "NA")</f>
        <v>9.3066741603615357E-3</v>
      </c>
      <c r="M242" s="9"/>
      <c r="N242" s="10">
        <f t="shared" si="65"/>
        <v>-2189.3099999999995</v>
      </c>
      <c r="O242" s="8">
        <f>IFERROR(N242/N445, "NA")</f>
        <v>-5.9774750177449025</v>
      </c>
      <c r="P242" s="9"/>
      <c r="Q242" s="7">
        <v>42263.409999999996</v>
      </c>
      <c r="R242" s="8">
        <f>IFERROR(Q242/Q445, "NA")</f>
        <v>1.4409780610789225E-2</v>
      </c>
      <c r="S242" s="9"/>
      <c r="T242" s="7">
        <v>0</v>
      </c>
      <c r="U242" s="8">
        <f>IFERROR(T242/T445, "NA")</f>
        <v>0</v>
      </c>
      <c r="V242" s="9"/>
      <c r="W242" s="10">
        <f t="shared" si="66"/>
        <v>-42263.409999999996</v>
      </c>
      <c r="X242" s="8">
        <f>IFERROR(W242/W445, "NA")</f>
        <v>0.31338340983023583</v>
      </c>
      <c r="Y242" s="9"/>
      <c r="Z242" s="7">
        <v>32870.31</v>
      </c>
      <c r="AA242" s="8">
        <f>IFERROR(Z242/Z445, "NA")</f>
        <v>1.1506510572223631E-2</v>
      </c>
      <c r="AB242" s="9"/>
      <c r="AC242" s="10">
        <f t="shared" si="67"/>
        <v>-9393.0999999999985</v>
      </c>
      <c r="AD242" s="8">
        <f>IFERROR(AC242/AC445, "NA")</f>
        <v>-0.12311332767207722</v>
      </c>
    </row>
    <row r="243" spans="1:30" ht="16.5" customHeight="1" x14ac:dyDescent="0.45">
      <c r="A243" s="12" t="s">
        <v>220</v>
      </c>
      <c r="B243" s="7">
        <v>13726.91</v>
      </c>
      <c r="C243" s="8">
        <f>IFERROR(B243/B445, "NA")</f>
        <v>2.3091172071135941E-2</v>
      </c>
      <c r="D243" s="9"/>
      <c r="E243" s="7">
        <v>0</v>
      </c>
      <c r="F243" s="8">
        <f>IFERROR(E243/E445, "NA")</f>
        <v>0</v>
      </c>
      <c r="G243" s="9"/>
      <c r="H243" s="10">
        <f t="shared" si="64"/>
        <v>-13726.91</v>
      </c>
      <c r="I243" s="8">
        <f>IFERROR(H243/H445, "NA")</f>
        <v>0.25317256238429015</v>
      </c>
      <c r="J243" s="9"/>
      <c r="K243" s="7">
        <v>15411.66</v>
      </c>
      <c r="L243" s="8">
        <f>IFERROR(K243/K445, "NA")</f>
        <v>2.5941212367727323E-2</v>
      </c>
      <c r="M243" s="9"/>
      <c r="N243" s="10">
        <f t="shared" si="65"/>
        <v>1684.75</v>
      </c>
      <c r="O243" s="8">
        <f>IFERROR(N243/N445, "NA")</f>
        <v>4.5998744061579799</v>
      </c>
      <c r="P243" s="9"/>
      <c r="Q243" s="7">
        <v>73853.3</v>
      </c>
      <c r="R243" s="8">
        <f>IFERROR(Q243/Q445, "NA")</f>
        <v>2.5180406653954331E-2</v>
      </c>
      <c r="S243" s="9"/>
      <c r="T243" s="7">
        <v>0</v>
      </c>
      <c r="U243" s="8">
        <f>IFERROR(T243/T445, "NA")</f>
        <v>0</v>
      </c>
      <c r="V243" s="9"/>
      <c r="W243" s="10">
        <f t="shared" si="66"/>
        <v>-73853.3</v>
      </c>
      <c r="X243" s="8">
        <f>IFERROR(W243/W445, "NA")</f>
        <v>0.54762261211803209</v>
      </c>
      <c r="Y243" s="9"/>
      <c r="Z243" s="7">
        <v>73357.490000000005</v>
      </c>
      <c r="AA243" s="8">
        <f>IFERROR(Z243/Z445, "NA")</f>
        <v>2.5679366401983716E-2</v>
      </c>
      <c r="AB243" s="9"/>
      <c r="AC243" s="10">
        <f t="shared" si="67"/>
        <v>-495.80999999999767</v>
      </c>
      <c r="AD243" s="8">
        <f>IFERROR(AC243/AC445, "NA")</f>
        <v>-6.4984743048719087E-3</v>
      </c>
    </row>
    <row r="244" spans="1:30" ht="16.5" customHeight="1" x14ac:dyDescent="0.45">
      <c r="A244" s="12" t="s">
        <v>221</v>
      </c>
      <c r="B244" s="7">
        <v>4270.41</v>
      </c>
      <c r="C244" s="8">
        <f>IFERROR(B244/B445, "NA")</f>
        <v>7.1836103044530513E-3</v>
      </c>
      <c r="D244" s="9"/>
      <c r="E244" s="7">
        <v>0</v>
      </c>
      <c r="F244" s="8">
        <f>IFERROR(E244/E445, "NA")</f>
        <v>0</v>
      </c>
      <c r="G244" s="9"/>
      <c r="H244" s="10">
        <f t="shared" si="64"/>
        <v>-4270.41</v>
      </c>
      <c r="I244" s="8">
        <f>IFERROR(H244/H445, "NA")</f>
        <v>7.8761399479671423E-2</v>
      </c>
      <c r="J244" s="9"/>
      <c r="K244" s="7">
        <v>2803.4700000000003</v>
      </c>
      <c r="L244" s="8">
        <f>IFERROR(K244/K445, "NA")</f>
        <v>4.7188564136862949E-3</v>
      </c>
      <c r="M244" s="9"/>
      <c r="N244" s="10">
        <f t="shared" si="65"/>
        <v>-1466.9399999999996</v>
      </c>
      <c r="O244" s="8">
        <f>IFERROR(N244/N445, "NA")</f>
        <v>-4.0051875716690217</v>
      </c>
      <c r="P244" s="9"/>
      <c r="Q244" s="7">
        <v>21935.63</v>
      </c>
      <c r="R244" s="8">
        <f>IFERROR(Q244/Q445, "NA")</f>
        <v>7.478989884144382E-3</v>
      </c>
      <c r="S244" s="9"/>
      <c r="T244" s="7">
        <v>0</v>
      </c>
      <c r="U244" s="8">
        <f>IFERROR(T244/T445, "NA")</f>
        <v>0</v>
      </c>
      <c r="V244" s="9"/>
      <c r="W244" s="10">
        <f t="shared" si="66"/>
        <v>-21935.63</v>
      </c>
      <c r="X244" s="8">
        <f>IFERROR(W244/W445, "NA")</f>
        <v>0.16265281306393442</v>
      </c>
      <c r="Y244" s="9"/>
      <c r="Z244" s="7">
        <v>6329.34</v>
      </c>
      <c r="AA244" s="8">
        <f>IFERROR(Z244/Z445, "NA")</f>
        <v>2.2156352533699232E-3</v>
      </c>
      <c r="AB244" s="9"/>
      <c r="AC244" s="10">
        <f t="shared" si="67"/>
        <v>-15606.29</v>
      </c>
      <c r="AD244" s="8">
        <f>IFERROR(AC244/AC445, "NA")</f>
        <v>-0.20454826356745509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IFERROR(B245/B445, "NA")</f>
        <v>0</v>
      </c>
      <c r="D245" s="9"/>
      <c r="E245" s="7">
        <v>0</v>
      </c>
      <c r="F245" s="8">
        <f>IFERROR(E245/E445, "NA")</f>
        <v>0</v>
      </c>
      <c r="G245" s="9"/>
      <c r="H245" s="10">
        <f t="shared" si="64"/>
        <v>0</v>
      </c>
      <c r="I245" s="8">
        <f>IFERROR(H245/H445, "NA")</f>
        <v>0</v>
      </c>
      <c r="J245" s="9"/>
      <c r="K245" s="7">
        <v>0</v>
      </c>
      <c r="L245" s="8">
        <f>IFERROR(K245/K445, "NA")</f>
        <v>0</v>
      </c>
      <c r="M245" s="9"/>
      <c r="N245" s="10">
        <f t="shared" si="65"/>
        <v>0</v>
      </c>
      <c r="O245" s="8">
        <f>IFERROR(N245/N445, "NA")</f>
        <v>0</v>
      </c>
      <c r="P245" s="9"/>
      <c r="Q245" s="7">
        <v>0</v>
      </c>
      <c r="R245" s="8">
        <f>IFERROR(Q245/Q445, "NA")</f>
        <v>0</v>
      </c>
      <c r="S245" s="9"/>
      <c r="T245" s="7">
        <v>0</v>
      </c>
      <c r="U245" s="8">
        <f>IFERROR(T245/T445, "NA")</f>
        <v>0</v>
      </c>
      <c r="V245" s="9"/>
      <c r="W245" s="10">
        <f t="shared" si="66"/>
        <v>0</v>
      </c>
      <c r="X245" s="8">
        <f>IFERROR(W245/W445, "NA")</f>
        <v>0</v>
      </c>
      <c r="Y245" s="9"/>
      <c r="Z245" s="7">
        <v>0</v>
      </c>
      <c r="AA245" s="8">
        <f>IFERROR(Z245/Z445, "NA")</f>
        <v>0</v>
      </c>
      <c r="AB245" s="9"/>
      <c r="AC245" s="10">
        <f t="shared" si="67"/>
        <v>0</v>
      </c>
      <c r="AD245" s="8">
        <f>IFERROR(AC245/AC445, "NA")</f>
        <v>0</v>
      </c>
    </row>
    <row r="246" spans="1:30" ht="16.5" customHeight="1" x14ac:dyDescent="0.45">
      <c r="A246" s="12" t="s">
        <v>223</v>
      </c>
      <c r="B246" s="7">
        <v>753.28</v>
      </c>
      <c r="C246" s="8">
        <f>IFERROR(B246/B445, "NA")</f>
        <v>1.2671546690220365E-3</v>
      </c>
      <c r="D246" s="9"/>
      <c r="E246" s="7">
        <v>0</v>
      </c>
      <c r="F246" s="8">
        <f>IFERROR(E246/E445, "NA")</f>
        <v>0</v>
      </c>
      <c r="G246" s="9"/>
      <c r="H246" s="10">
        <f t="shared" si="64"/>
        <v>-753.28</v>
      </c>
      <c r="I246" s="8">
        <f>IFERROR(H246/H445, "NA")</f>
        <v>1.3893136022079118E-2</v>
      </c>
      <c r="J246" s="9"/>
      <c r="K246" s="7">
        <v>1943.1599999999999</v>
      </c>
      <c r="L246" s="8">
        <f>IFERROR(K246/K445, "NA")</f>
        <v>3.2707655258728146E-3</v>
      </c>
      <c r="M246" s="9"/>
      <c r="N246" s="10">
        <f t="shared" si="65"/>
        <v>1189.8799999999999</v>
      </c>
      <c r="O246" s="8">
        <f>IFERROR(N246/N445, "NA")</f>
        <v>3.2487304100900767</v>
      </c>
      <c r="P246" s="9"/>
      <c r="Q246" s="7">
        <v>4012.22</v>
      </c>
      <c r="R246" s="8">
        <f>IFERROR(Q246/Q445, "NA")</f>
        <v>1.3679731465639131E-3</v>
      </c>
      <c r="S246" s="9"/>
      <c r="T246" s="7">
        <v>0</v>
      </c>
      <c r="U246" s="8">
        <f>IFERROR(T246/T445, "NA")</f>
        <v>0</v>
      </c>
      <c r="V246" s="9"/>
      <c r="W246" s="10">
        <f t="shared" si="66"/>
        <v>-4012.22</v>
      </c>
      <c r="X246" s="8">
        <f>IFERROR(W246/W445, "NA")</f>
        <v>2.975063262971608E-2</v>
      </c>
      <c r="Y246" s="9"/>
      <c r="Z246" s="7">
        <v>9686.6200000000008</v>
      </c>
      <c r="AA246" s="8">
        <f>IFERROR(Z246/Z445, "NA")</f>
        <v>3.3908775256184949E-3</v>
      </c>
      <c r="AB246" s="9"/>
      <c r="AC246" s="10">
        <f t="shared" si="67"/>
        <v>5674.4000000000015</v>
      </c>
      <c r="AD246" s="8">
        <f>IFERROR(AC246/AC445, "NA")</f>
        <v>7.437313203760583E-2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IFERROR(B247/B445, "NA")</f>
        <v>0</v>
      </c>
      <c r="D247" s="9"/>
      <c r="E247" s="7">
        <v>0</v>
      </c>
      <c r="F247" s="8">
        <f>IFERROR(E247/E445, "NA")</f>
        <v>0</v>
      </c>
      <c r="G247" s="9"/>
      <c r="H247" s="10">
        <f t="shared" si="64"/>
        <v>0</v>
      </c>
      <c r="I247" s="8">
        <f>IFERROR(H247/H445, "NA")</f>
        <v>0</v>
      </c>
      <c r="J247" s="9"/>
      <c r="K247" s="7">
        <v>0</v>
      </c>
      <c r="L247" s="8">
        <f>IFERROR(K247/K445, "NA")</f>
        <v>0</v>
      </c>
      <c r="M247" s="9"/>
      <c r="N247" s="10">
        <f t="shared" si="65"/>
        <v>0</v>
      </c>
      <c r="O247" s="8">
        <f>IFERROR(N247/N445, "NA")</f>
        <v>0</v>
      </c>
      <c r="P247" s="9"/>
      <c r="Q247" s="7">
        <v>0</v>
      </c>
      <c r="R247" s="8">
        <f>IFERROR(Q247/Q445, "NA")</f>
        <v>0</v>
      </c>
      <c r="S247" s="9"/>
      <c r="T247" s="7">
        <v>0</v>
      </c>
      <c r="U247" s="8">
        <f>IFERROR(T247/T445, "NA")</f>
        <v>0</v>
      </c>
      <c r="V247" s="9"/>
      <c r="W247" s="10">
        <f t="shared" si="66"/>
        <v>0</v>
      </c>
      <c r="X247" s="8">
        <f>IFERROR(W247/W445, "NA")</f>
        <v>0</v>
      </c>
      <c r="Y247" s="9"/>
      <c r="Z247" s="7">
        <v>0</v>
      </c>
      <c r="AA247" s="8">
        <f>IFERROR(Z247/Z445, "NA")</f>
        <v>0</v>
      </c>
      <c r="AB247" s="9"/>
      <c r="AC247" s="10">
        <f t="shared" si="67"/>
        <v>0</v>
      </c>
      <c r="AD247" s="8">
        <f>IFERROR(AC247/AC445, "NA")</f>
        <v>0</v>
      </c>
    </row>
    <row r="248" spans="1:30" ht="16.5" customHeight="1" x14ac:dyDescent="0.45">
      <c r="A248" s="12" t="s">
        <v>225</v>
      </c>
      <c r="B248" s="7">
        <v>1237.55</v>
      </c>
      <c r="C248" s="8">
        <f>IFERROR(B248/B445, "NA")</f>
        <v>2.0817853396455782E-3</v>
      </c>
      <c r="D248" s="9"/>
      <c r="E248" s="7">
        <v>0</v>
      </c>
      <c r="F248" s="8">
        <f>IFERROR(E248/E445, "NA")</f>
        <v>0</v>
      </c>
      <c r="G248" s="9"/>
      <c r="H248" s="10">
        <f t="shared" si="64"/>
        <v>-1237.55</v>
      </c>
      <c r="I248" s="8">
        <f>IFERROR(H248/H445, "NA")</f>
        <v>2.2824780273104309E-2</v>
      </c>
      <c r="J248" s="9"/>
      <c r="K248" s="7">
        <v>1272.3800000000001</v>
      </c>
      <c r="L248" s="8">
        <f>IFERROR(K248/K445, "NA")</f>
        <v>2.1416953003407092E-3</v>
      </c>
      <c r="M248" s="9"/>
      <c r="N248" s="10">
        <f t="shared" si="65"/>
        <v>34.830000000000155</v>
      </c>
      <c r="O248" s="8">
        <f>IFERROR(N248/N445, "NA")</f>
        <v>9.5096379621002022E-2</v>
      </c>
      <c r="P248" s="9"/>
      <c r="Q248" s="7">
        <v>5901.32</v>
      </c>
      <c r="R248" s="8">
        <f>IFERROR(Q248/Q445, "NA")</f>
        <v>2.0120649638555592E-3</v>
      </c>
      <c r="S248" s="9"/>
      <c r="T248" s="7">
        <v>0</v>
      </c>
      <c r="U248" s="8">
        <f>IFERROR(T248/T445, "NA")</f>
        <v>0</v>
      </c>
      <c r="V248" s="9"/>
      <c r="W248" s="10">
        <f t="shared" si="66"/>
        <v>-5901.32</v>
      </c>
      <c r="X248" s="8">
        <f>IFERROR(W248/W445, "NA")</f>
        <v>4.3758319172526955E-2</v>
      </c>
      <c r="Y248" s="9"/>
      <c r="Z248" s="7">
        <v>6063.3600000000006</v>
      </c>
      <c r="AA248" s="8">
        <f>IFERROR(Z248/Z445, "NA")</f>
        <v>2.122526862180426E-3</v>
      </c>
      <c r="AB248" s="9"/>
      <c r="AC248" s="10">
        <f t="shared" si="67"/>
        <v>162.04000000000087</v>
      </c>
      <c r="AD248" s="8">
        <f>IFERROR(AC248/AC445, "NA")</f>
        <v>2.1238231910640261E-3</v>
      </c>
    </row>
    <row r="249" spans="1:30" ht="16.5" customHeight="1" x14ac:dyDescent="0.45">
      <c r="A249" s="12" t="s">
        <v>226</v>
      </c>
      <c r="B249" s="7">
        <v>12089.579999999998</v>
      </c>
      <c r="C249" s="8">
        <f>IFERROR(B249/B445, "NA")</f>
        <v>2.0336883686697414E-2</v>
      </c>
      <c r="D249" s="9"/>
      <c r="E249" s="7">
        <v>0</v>
      </c>
      <c r="F249" s="8">
        <f>IFERROR(E249/E445, "NA")</f>
        <v>0</v>
      </c>
      <c r="G249" s="9"/>
      <c r="H249" s="10">
        <f t="shared" si="64"/>
        <v>-12089.579999999998</v>
      </c>
      <c r="I249" s="8">
        <f>IFERROR(H249/H445, "NA")</f>
        <v>0.22297443100813411</v>
      </c>
      <c r="J249" s="9"/>
      <c r="K249" s="7">
        <v>7076.1900000000005</v>
      </c>
      <c r="L249" s="8">
        <f>IFERROR(K249/K445, "NA")</f>
        <v>1.1910783623852877E-2</v>
      </c>
      <c r="M249" s="9"/>
      <c r="N249" s="10">
        <f t="shared" si="65"/>
        <v>-5013.3899999999976</v>
      </c>
      <c r="O249" s="8">
        <f>IFERROR(N249/N445, "NA")</f>
        <v>-13.68806312455162</v>
      </c>
      <c r="P249" s="9"/>
      <c r="Q249" s="7">
        <v>62579.96</v>
      </c>
      <c r="R249" s="8">
        <f>IFERROR(Q249/Q445, "NA")</f>
        <v>2.1336742450075972E-2</v>
      </c>
      <c r="S249" s="9"/>
      <c r="T249" s="7">
        <v>0</v>
      </c>
      <c r="U249" s="8">
        <f>IFERROR(T249/T445, "NA")</f>
        <v>0</v>
      </c>
      <c r="V249" s="9"/>
      <c r="W249" s="10">
        <f t="shared" si="66"/>
        <v>-62579.96</v>
      </c>
      <c r="X249" s="8">
        <f>IFERROR(W249/W445, "NA")</f>
        <v>0.46403073608683648</v>
      </c>
      <c r="Y249" s="9"/>
      <c r="Z249" s="7">
        <v>47589.52</v>
      </c>
      <c r="AA249" s="8">
        <f>IFERROR(Z249/Z445, "NA")</f>
        <v>1.6659085813521317E-2</v>
      </c>
      <c r="AB249" s="9"/>
      <c r="AC249" s="10">
        <f t="shared" si="67"/>
        <v>-14990.440000000002</v>
      </c>
      <c r="AD249" s="8">
        <f>IFERROR(AC249/AC445, "NA")</f>
        <v>-0.19647645097663324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IFERROR(B250/B445, "NA")</f>
        <v>0</v>
      </c>
      <c r="D250" s="9"/>
      <c r="E250" s="7">
        <v>0</v>
      </c>
      <c r="F250" s="8">
        <f>IFERROR(E250/E445, "NA")</f>
        <v>0</v>
      </c>
      <c r="G250" s="9"/>
      <c r="H250" s="10">
        <f t="shared" si="64"/>
        <v>0</v>
      </c>
      <c r="I250" s="8">
        <f>IFERROR(H250/H445, "NA")</f>
        <v>0</v>
      </c>
      <c r="J250" s="9"/>
      <c r="K250" s="7">
        <v>0</v>
      </c>
      <c r="L250" s="8">
        <f>IFERROR(K250/K445, "NA")</f>
        <v>0</v>
      </c>
      <c r="M250" s="9"/>
      <c r="N250" s="10">
        <f t="shared" si="65"/>
        <v>0</v>
      </c>
      <c r="O250" s="8">
        <f>IFERROR(N250/N445, "NA")</f>
        <v>0</v>
      </c>
      <c r="P250" s="9"/>
      <c r="Q250" s="7">
        <v>0</v>
      </c>
      <c r="R250" s="8">
        <f>IFERROR(Q250/Q445, "NA")</f>
        <v>0</v>
      </c>
      <c r="S250" s="9"/>
      <c r="T250" s="7">
        <v>0</v>
      </c>
      <c r="U250" s="8">
        <f>IFERROR(T250/T445, "NA")</f>
        <v>0</v>
      </c>
      <c r="V250" s="9"/>
      <c r="W250" s="10">
        <f t="shared" si="66"/>
        <v>0</v>
      </c>
      <c r="X250" s="8">
        <f>IFERROR(W250/W445, "NA")</f>
        <v>0</v>
      </c>
      <c r="Y250" s="9"/>
      <c r="Z250" s="7">
        <v>0</v>
      </c>
      <c r="AA250" s="8">
        <f>IFERROR(Z250/Z445, "NA")</f>
        <v>0</v>
      </c>
      <c r="AB250" s="9"/>
      <c r="AC250" s="10">
        <f t="shared" si="67"/>
        <v>0</v>
      </c>
      <c r="AD250" s="8">
        <f>IFERROR(AC250/AC445, "NA")</f>
        <v>0</v>
      </c>
    </row>
    <row r="251" spans="1:30" ht="16.5" customHeight="1" x14ac:dyDescent="0.45">
      <c r="A251" s="12" t="s">
        <v>228</v>
      </c>
      <c r="B251" s="7">
        <v>25.21</v>
      </c>
      <c r="C251" s="8">
        <f>IFERROR(B251/B445, "NA")</f>
        <v>4.2407828703862493E-5</v>
      </c>
      <c r="D251" s="9"/>
      <c r="E251" s="7">
        <v>0</v>
      </c>
      <c r="F251" s="8">
        <f>IFERROR(E251/E445, "NA")</f>
        <v>0</v>
      </c>
      <c r="G251" s="9"/>
      <c r="H251" s="10">
        <f t="shared" si="64"/>
        <v>-25.21</v>
      </c>
      <c r="I251" s="8">
        <f>IFERROR(H251/H445, "NA")</f>
        <v>4.6496118191988981E-4</v>
      </c>
      <c r="J251" s="9"/>
      <c r="K251" s="7">
        <v>28.47</v>
      </c>
      <c r="L251" s="8">
        <f>IFERROR(K251/K445, "NA")</f>
        <v>4.792126974700953E-5</v>
      </c>
      <c r="M251" s="9"/>
      <c r="N251" s="10">
        <f t="shared" si="65"/>
        <v>3.259999999999998</v>
      </c>
      <c r="O251" s="8">
        <f>IFERROR(N251/N445, "NA")</f>
        <v>8.9007808660483776E-3</v>
      </c>
      <c r="P251" s="9"/>
      <c r="Q251" s="7">
        <v>393.67</v>
      </c>
      <c r="R251" s="8">
        <f>IFERROR(Q251/Q445, "NA")</f>
        <v>1.342224475746135E-4</v>
      </c>
      <c r="S251" s="9"/>
      <c r="T251" s="7">
        <v>0</v>
      </c>
      <c r="U251" s="8">
        <f>IFERROR(T251/T445, "NA")</f>
        <v>0</v>
      </c>
      <c r="V251" s="9"/>
      <c r="W251" s="10">
        <f t="shared" si="66"/>
        <v>-393.67</v>
      </c>
      <c r="X251" s="8">
        <f>IFERROR(W251/W445, "NA")</f>
        <v>2.9190651428237561E-3</v>
      </c>
      <c r="Y251" s="9"/>
      <c r="Z251" s="7">
        <v>294.09999999999997</v>
      </c>
      <c r="AA251" s="8">
        <f>IFERROR(Z251/Z445, "NA")</f>
        <v>1.0295201838044635E-4</v>
      </c>
      <c r="AB251" s="9"/>
      <c r="AC251" s="10">
        <f t="shared" si="67"/>
        <v>-99.57000000000005</v>
      </c>
      <c r="AD251" s="8">
        <f>IFERROR(AC251/AC445, "NA")</f>
        <v>-1.3050424286240683E-3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IFERROR(B252/B445, "NA")</f>
        <v>0</v>
      </c>
      <c r="D252" s="9"/>
      <c r="E252" s="7">
        <v>0</v>
      </c>
      <c r="F252" s="8">
        <f>IFERROR(E252/E445, "NA")</f>
        <v>0</v>
      </c>
      <c r="G252" s="9"/>
      <c r="H252" s="10">
        <f t="shared" si="64"/>
        <v>0</v>
      </c>
      <c r="I252" s="8">
        <f>IFERROR(H252/H445, "NA")</f>
        <v>0</v>
      </c>
      <c r="J252" s="9"/>
      <c r="K252" s="7">
        <v>0</v>
      </c>
      <c r="L252" s="8">
        <f>IFERROR(K252/K445, "NA")</f>
        <v>0</v>
      </c>
      <c r="M252" s="9"/>
      <c r="N252" s="10">
        <f t="shared" si="65"/>
        <v>0</v>
      </c>
      <c r="O252" s="8">
        <f>IFERROR(N252/N445, "NA")</f>
        <v>0</v>
      </c>
      <c r="P252" s="9"/>
      <c r="Q252" s="7">
        <v>0</v>
      </c>
      <c r="R252" s="8">
        <f>IFERROR(Q252/Q445, "NA")</f>
        <v>0</v>
      </c>
      <c r="S252" s="9"/>
      <c r="T252" s="7">
        <v>0</v>
      </c>
      <c r="U252" s="8">
        <f>IFERROR(T252/T445, "NA")</f>
        <v>0</v>
      </c>
      <c r="V252" s="9"/>
      <c r="W252" s="10">
        <f t="shared" si="66"/>
        <v>0</v>
      </c>
      <c r="X252" s="8">
        <f>IFERROR(W252/W445, "NA")</f>
        <v>0</v>
      </c>
      <c r="Y252" s="9"/>
      <c r="Z252" s="7">
        <v>0</v>
      </c>
      <c r="AA252" s="8">
        <f>IFERROR(Z252/Z445, "NA")</f>
        <v>0</v>
      </c>
      <c r="AB252" s="9"/>
      <c r="AC252" s="10">
        <f t="shared" si="67"/>
        <v>0</v>
      </c>
      <c r="AD252" s="8">
        <f>IFERROR(AC252/AC445, "NA")</f>
        <v>0</v>
      </c>
    </row>
    <row r="253" spans="1:30" ht="16.5" customHeight="1" x14ac:dyDescent="0.45">
      <c r="A253" s="12" t="s">
        <v>230</v>
      </c>
      <c r="B253" s="7">
        <v>0</v>
      </c>
      <c r="C253" s="8">
        <f>IFERROR(B253/B445, "NA")</f>
        <v>0</v>
      </c>
      <c r="D253" s="9"/>
      <c r="E253" s="7">
        <v>0</v>
      </c>
      <c r="F253" s="8">
        <f>IFERROR(E253/E445, "NA")</f>
        <v>0</v>
      </c>
      <c r="G253" s="9"/>
      <c r="H253" s="10">
        <f t="shared" si="64"/>
        <v>0</v>
      </c>
      <c r="I253" s="8">
        <f>IFERROR(H253/H445, "NA")</f>
        <v>0</v>
      </c>
      <c r="J253" s="9"/>
      <c r="K253" s="7">
        <v>0</v>
      </c>
      <c r="L253" s="8">
        <f>IFERROR(K253/K445, "NA")</f>
        <v>0</v>
      </c>
      <c r="M253" s="9"/>
      <c r="N253" s="10">
        <f t="shared" si="65"/>
        <v>0</v>
      </c>
      <c r="O253" s="8">
        <f>IFERROR(N253/N445, "NA")</f>
        <v>0</v>
      </c>
      <c r="P253" s="9"/>
      <c r="Q253" s="7">
        <v>933.95</v>
      </c>
      <c r="R253" s="8">
        <f>IFERROR(Q253/Q445, "NA")</f>
        <v>3.184318208456582E-4</v>
      </c>
      <c r="S253" s="9"/>
      <c r="T253" s="7">
        <v>0</v>
      </c>
      <c r="U253" s="8">
        <f>IFERROR(T253/T445, "NA")</f>
        <v>0</v>
      </c>
      <c r="V253" s="9"/>
      <c r="W253" s="10">
        <f t="shared" si="66"/>
        <v>-933.95</v>
      </c>
      <c r="X253" s="8">
        <f>IFERROR(W253/W445, "NA")</f>
        <v>6.9252442150538442E-3</v>
      </c>
      <c r="Y253" s="9"/>
      <c r="Z253" s="7">
        <v>781.97</v>
      </c>
      <c r="AA253" s="8">
        <f>IFERROR(Z253/Z445, "NA")</f>
        <v>2.7373474944902295E-4</v>
      </c>
      <c r="AB253" s="9"/>
      <c r="AC253" s="10">
        <f t="shared" si="67"/>
        <v>-151.98000000000002</v>
      </c>
      <c r="AD253" s="8">
        <f>IFERROR(AC253/AC445, "NA")</f>
        <v>-1.9919689495057329E-3</v>
      </c>
    </row>
    <row r="254" spans="1:30" ht="16.5" customHeight="1" x14ac:dyDescent="0.45">
      <c r="A254" s="12" t="s">
        <v>231</v>
      </c>
      <c r="B254" s="7">
        <v>2238.73</v>
      </c>
      <c r="C254" s="8">
        <f>IFERROR(B254/B445, "NA")</f>
        <v>3.765953127893617E-3</v>
      </c>
      <c r="D254" s="9"/>
      <c r="E254" s="7">
        <v>0</v>
      </c>
      <c r="F254" s="8">
        <f>IFERROR(E254/E445, "NA")</f>
        <v>0</v>
      </c>
      <c r="G254" s="9"/>
      <c r="H254" s="10">
        <f t="shared" si="64"/>
        <v>-2238.73</v>
      </c>
      <c r="I254" s="8">
        <f>IFERROR(H254/H445, "NA")</f>
        <v>4.1290065323265172E-2</v>
      </c>
      <c r="J254" s="9"/>
      <c r="K254" s="7">
        <v>4089.8900000000003</v>
      </c>
      <c r="L254" s="8">
        <f>IFERROR(K254/K445, "NA")</f>
        <v>6.8841841210255297E-3</v>
      </c>
      <c r="M254" s="9"/>
      <c r="N254" s="10">
        <f t="shared" si="65"/>
        <v>1851.1600000000003</v>
      </c>
      <c r="O254" s="8">
        <f>IFERROR(N254/N445, "NA")</f>
        <v>5.0542237754583219</v>
      </c>
      <c r="P254" s="9"/>
      <c r="Q254" s="7">
        <v>15202.619999999999</v>
      </c>
      <c r="R254" s="8">
        <f>IFERROR(Q254/Q445, "NA")</f>
        <v>5.1833588181643764E-3</v>
      </c>
      <c r="S254" s="9"/>
      <c r="T254" s="7">
        <v>0</v>
      </c>
      <c r="U254" s="8">
        <f>IFERROR(T254/T445, "NA")</f>
        <v>0</v>
      </c>
      <c r="V254" s="9"/>
      <c r="W254" s="10">
        <f t="shared" si="66"/>
        <v>-15202.619999999999</v>
      </c>
      <c r="X254" s="8">
        <f>IFERROR(W254/W445, "NA")</f>
        <v>0.112727508119987</v>
      </c>
      <c r="Y254" s="9"/>
      <c r="Z254" s="7">
        <v>15788.470000000001</v>
      </c>
      <c r="AA254" s="8">
        <f>IFERROR(Z254/Z445, "NA")</f>
        <v>5.5268781150599319E-3</v>
      </c>
      <c r="AB254" s="9"/>
      <c r="AC254" s="10">
        <f t="shared" si="67"/>
        <v>585.85000000000218</v>
      </c>
      <c r="AD254" s="8">
        <f>IFERROR(AC254/AC445, "NA")</f>
        <v>7.6786090871689555E-3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IFERROR(B255/B445, "NA")</f>
        <v>0</v>
      </c>
      <c r="D255" s="9"/>
      <c r="E255" s="7">
        <v>0</v>
      </c>
      <c r="F255" s="8">
        <f>IFERROR(E255/E445, "NA")</f>
        <v>0</v>
      </c>
      <c r="G255" s="9"/>
      <c r="H255" s="10">
        <f t="shared" si="64"/>
        <v>0</v>
      </c>
      <c r="I255" s="8">
        <f>IFERROR(H255/H445, "NA")</f>
        <v>0</v>
      </c>
      <c r="J255" s="9"/>
      <c r="K255" s="7">
        <v>0</v>
      </c>
      <c r="L255" s="8">
        <f>IFERROR(K255/K445, "NA")</f>
        <v>0</v>
      </c>
      <c r="M255" s="9"/>
      <c r="N255" s="10">
        <f t="shared" si="65"/>
        <v>0</v>
      </c>
      <c r="O255" s="8">
        <f>IFERROR(N255/N445, "NA")</f>
        <v>0</v>
      </c>
      <c r="P255" s="9"/>
      <c r="Q255" s="7">
        <v>0</v>
      </c>
      <c r="R255" s="8">
        <f>IFERROR(Q255/Q445, "NA")</f>
        <v>0</v>
      </c>
      <c r="S255" s="9"/>
      <c r="T255" s="7">
        <v>0</v>
      </c>
      <c r="U255" s="8">
        <f>IFERROR(T255/T445, "NA")</f>
        <v>0</v>
      </c>
      <c r="V255" s="9"/>
      <c r="W255" s="10">
        <f t="shared" si="66"/>
        <v>0</v>
      </c>
      <c r="X255" s="8">
        <f>IFERROR(W255/W445, "NA")</f>
        <v>0</v>
      </c>
      <c r="Y255" s="9"/>
      <c r="Z255" s="7">
        <v>0</v>
      </c>
      <c r="AA255" s="8">
        <f>IFERROR(Z255/Z445, "NA")</f>
        <v>0</v>
      </c>
      <c r="AB255" s="9"/>
      <c r="AC255" s="10">
        <f t="shared" si="67"/>
        <v>0</v>
      </c>
      <c r="AD255" s="8">
        <f>IFERROR(AC255/AC445,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IFERROR(B256/B445, "NA")</f>
        <v>0</v>
      </c>
      <c r="D256" s="9"/>
      <c r="E256" s="7">
        <v>0</v>
      </c>
      <c r="F256" s="8">
        <f>IFERROR(E256/E445, "NA")</f>
        <v>0</v>
      </c>
      <c r="G256" s="9"/>
      <c r="H256" s="10">
        <f t="shared" si="64"/>
        <v>0</v>
      </c>
      <c r="I256" s="8">
        <f>IFERROR(H256/H445, "NA")</f>
        <v>0</v>
      </c>
      <c r="J256" s="9"/>
      <c r="K256" s="7">
        <v>0</v>
      </c>
      <c r="L256" s="8">
        <f>IFERROR(K256/K445, "NA")</f>
        <v>0</v>
      </c>
      <c r="M256" s="9"/>
      <c r="N256" s="10">
        <f t="shared" si="65"/>
        <v>0</v>
      </c>
      <c r="O256" s="8">
        <f>IFERROR(N256/N445, "NA")</f>
        <v>0</v>
      </c>
      <c r="P256" s="9"/>
      <c r="Q256" s="7">
        <v>0</v>
      </c>
      <c r="R256" s="8">
        <f>IFERROR(Q256/Q445, "NA")</f>
        <v>0</v>
      </c>
      <c r="S256" s="9"/>
      <c r="T256" s="7">
        <v>0</v>
      </c>
      <c r="U256" s="8">
        <f>IFERROR(T256/T445, "NA")</f>
        <v>0</v>
      </c>
      <c r="V256" s="9"/>
      <c r="W256" s="10">
        <f t="shared" si="66"/>
        <v>0</v>
      </c>
      <c r="X256" s="8">
        <f>IFERROR(W256/W445, "NA")</f>
        <v>0</v>
      </c>
      <c r="Y256" s="9"/>
      <c r="Z256" s="7">
        <v>0</v>
      </c>
      <c r="AA256" s="8">
        <f>IFERROR(Z256/Z445, "NA")</f>
        <v>0</v>
      </c>
      <c r="AB256" s="9"/>
      <c r="AC256" s="10">
        <f t="shared" si="67"/>
        <v>0</v>
      </c>
      <c r="AD256" s="8">
        <f>IFERROR(AC256/AC445,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IFERROR(B257/B445, "NA")</f>
        <v>0</v>
      </c>
      <c r="D257" s="9"/>
      <c r="E257" s="7">
        <v>0</v>
      </c>
      <c r="F257" s="8">
        <f>IFERROR(E257/E445, "NA")</f>
        <v>0</v>
      </c>
      <c r="G257" s="9"/>
      <c r="H257" s="10">
        <f t="shared" si="64"/>
        <v>0</v>
      </c>
      <c r="I257" s="8">
        <f>IFERROR(H257/H445, "NA")</f>
        <v>0</v>
      </c>
      <c r="J257" s="9"/>
      <c r="K257" s="7">
        <v>2261.25</v>
      </c>
      <c r="L257" s="8">
        <f>IFERROR(K257/K445, "NA")</f>
        <v>3.8061809348586338E-3</v>
      </c>
      <c r="M257" s="9"/>
      <c r="N257" s="10">
        <f t="shared" si="65"/>
        <v>2261.25</v>
      </c>
      <c r="O257" s="8">
        <f>IFERROR(N257/N445, "NA")</f>
        <v>6.1738928629913827</v>
      </c>
      <c r="P257" s="9"/>
      <c r="Q257" s="7">
        <v>0</v>
      </c>
      <c r="R257" s="8">
        <f>IFERROR(Q257/Q445, "NA")</f>
        <v>0</v>
      </c>
      <c r="S257" s="9"/>
      <c r="T257" s="7">
        <v>0</v>
      </c>
      <c r="U257" s="8">
        <f>IFERROR(T257/T445, "NA")</f>
        <v>0</v>
      </c>
      <c r="V257" s="9"/>
      <c r="W257" s="10">
        <f t="shared" si="66"/>
        <v>0</v>
      </c>
      <c r="X257" s="8">
        <f>IFERROR(W257/W445, "NA")</f>
        <v>0</v>
      </c>
      <c r="Y257" s="9"/>
      <c r="Z257" s="7">
        <v>2590.0700000000002</v>
      </c>
      <c r="AA257" s="8">
        <f>IFERROR(Z257/Z445, "NA")</f>
        <v>9.0667437690119927E-4</v>
      </c>
      <c r="AB257" s="9"/>
      <c r="AC257" s="10">
        <f t="shared" si="67"/>
        <v>2590.0700000000002</v>
      </c>
      <c r="AD257" s="8">
        <f>IFERROR(AC257/AC445, "NA")</f>
        <v>3.3947486623544632E-2</v>
      </c>
    </row>
    <row r="258" spans="1:30" ht="16.5" customHeight="1" x14ac:dyDescent="0.45">
      <c r="A258" s="12" t="s">
        <v>235</v>
      </c>
      <c r="B258" s="7">
        <v>2724.3599999999997</v>
      </c>
      <c r="C258" s="8">
        <f>IFERROR(B258/B445, "NA")</f>
        <v>4.5828715671421974E-3</v>
      </c>
      <c r="D258" s="9"/>
      <c r="E258" s="7">
        <v>0</v>
      </c>
      <c r="F258" s="8">
        <f>IFERROR(E258/E445, "NA")</f>
        <v>0</v>
      </c>
      <c r="G258" s="9"/>
      <c r="H258" s="10">
        <f t="shared" si="64"/>
        <v>-2724.3599999999997</v>
      </c>
      <c r="I258" s="8">
        <f>IFERROR(H258/H445, "NA")</f>
        <v>5.0246792763794956E-2</v>
      </c>
      <c r="J258" s="9"/>
      <c r="K258" s="7">
        <v>670.17</v>
      </c>
      <c r="L258" s="8">
        <f>IFERROR(K258/K445, "NA")</f>
        <v>1.128043461410375E-3</v>
      </c>
      <c r="M258" s="9"/>
      <c r="N258" s="10">
        <f t="shared" si="65"/>
        <v>-2054.1899999999996</v>
      </c>
      <c r="O258" s="8">
        <f>IFERROR(N258/N445, "NA")</f>
        <v>-5.6085567629533513</v>
      </c>
      <c r="P258" s="9"/>
      <c r="Q258" s="7">
        <v>6648.99</v>
      </c>
      <c r="R258" s="8">
        <f>IFERROR(Q258/Q445, "NA")</f>
        <v>2.2669843058885086E-3</v>
      </c>
      <c r="S258" s="9"/>
      <c r="T258" s="7">
        <v>0</v>
      </c>
      <c r="U258" s="8">
        <f>IFERROR(T258/T445, "NA")</f>
        <v>0</v>
      </c>
      <c r="V258" s="9"/>
      <c r="W258" s="10">
        <f t="shared" si="66"/>
        <v>-6648.99</v>
      </c>
      <c r="X258" s="8">
        <f>IFERROR(W258/W445, "NA")</f>
        <v>4.9302296197281284E-2</v>
      </c>
      <c r="Y258" s="9"/>
      <c r="Z258" s="7">
        <v>670.17</v>
      </c>
      <c r="AA258" s="8">
        <f>IFERROR(Z258/Z445, "NA")</f>
        <v>2.3459828003408273E-4</v>
      </c>
      <c r="AB258" s="9"/>
      <c r="AC258" s="10">
        <f t="shared" si="67"/>
        <v>-5978.82</v>
      </c>
      <c r="AD258" s="8">
        <f>IFERROR(AC258/AC445, "NA")</f>
        <v>-7.8363099057006613E-2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IFERROR(B259/B445, "NA")</f>
        <v>0</v>
      </c>
      <c r="D259" s="9"/>
      <c r="E259" s="7">
        <v>0</v>
      </c>
      <c r="F259" s="8">
        <f>IFERROR(E259/E445, "NA")</f>
        <v>0</v>
      </c>
      <c r="G259" s="9"/>
      <c r="H259" s="10">
        <f t="shared" si="64"/>
        <v>0</v>
      </c>
      <c r="I259" s="8">
        <f>IFERROR(H259/H445, "NA")</f>
        <v>0</v>
      </c>
      <c r="J259" s="9"/>
      <c r="K259" s="7">
        <v>0</v>
      </c>
      <c r="L259" s="8">
        <f>IFERROR(K259/K445, "NA")</f>
        <v>0</v>
      </c>
      <c r="M259" s="9"/>
      <c r="N259" s="10">
        <f t="shared" si="65"/>
        <v>0</v>
      </c>
      <c r="O259" s="8">
        <f>IFERROR(N259/N445, "NA")</f>
        <v>0</v>
      </c>
      <c r="P259" s="9"/>
      <c r="Q259" s="7">
        <v>0</v>
      </c>
      <c r="R259" s="8">
        <f>IFERROR(Q259/Q445, "NA")</f>
        <v>0</v>
      </c>
      <c r="S259" s="9"/>
      <c r="T259" s="7">
        <v>0</v>
      </c>
      <c r="U259" s="8">
        <f>IFERROR(T259/T445, "NA")</f>
        <v>0</v>
      </c>
      <c r="V259" s="9"/>
      <c r="W259" s="10">
        <f t="shared" si="66"/>
        <v>0</v>
      </c>
      <c r="X259" s="8">
        <f>IFERROR(W259/W445, "NA")</f>
        <v>0</v>
      </c>
      <c r="Y259" s="9"/>
      <c r="Z259" s="7">
        <v>0</v>
      </c>
      <c r="AA259" s="8">
        <f>IFERROR(Z259/Z445, "NA")</f>
        <v>0</v>
      </c>
      <c r="AB259" s="9"/>
      <c r="AC259" s="10">
        <f t="shared" si="67"/>
        <v>0</v>
      </c>
      <c r="AD259" s="8">
        <f>IFERROR(AC259/AC445, "NA")</f>
        <v>0</v>
      </c>
    </row>
    <row r="260" spans="1:30" ht="16.5" customHeight="1" x14ac:dyDescent="0.45">
      <c r="A260" s="12" t="s">
        <v>237</v>
      </c>
      <c r="B260" s="7">
        <v>864</v>
      </c>
      <c r="C260" s="8">
        <f>IFERROR(B260/B445, "NA")</f>
        <v>1.4534059500252755E-3</v>
      </c>
      <c r="D260" s="9"/>
      <c r="E260" s="7">
        <v>0</v>
      </c>
      <c r="F260" s="8">
        <f>IFERROR(E260/E445, "NA")</f>
        <v>0</v>
      </c>
      <c r="G260" s="9"/>
      <c r="H260" s="10">
        <f t="shared" si="64"/>
        <v>-864</v>
      </c>
      <c r="I260" s="8">
        <f>IFERROR(H260/H445, "NA")</f>
        <v>1.5935202744100943E-2</v>
      </c>
      <c r="J260" s="9"/>
      <c r="K260" s="7">
        <v>0</v>
      </c>
      <c r="L260" s="8">
        <f>IFERROR(K260/K445, "NA")</f>
        <v>0</v>
      </c>
      <c r="M260" s="9"/>
      <c r="N260" s="10">
        <f t="shared" si="65"/>
        <v>-864</v>
      </c>
      <c r="O260" s="8">
        <f>IFERROR(N260/N445, "NA")</f>
        <v>-2.3589799595907373</v>
      </c>
      <c r="P260" s="9"/>
      <c r="Q260" s="7">
        <v>4422.7</v>
      </c>
      <c r="R260" s="8">
        <f>IFERROR(Q260/Q445, "NA")</f>
        <v>1.5079269918669013E-3</v>
      </c>
      <c r="S260" s="9"/>
      <c r="T260" s="7">
        <v>0</v>
      </c>
      <c r="U260" s="8">
        <f>IFERROR(T260/T445, "NA")</f>
        <v>0</v>
      </c>
      <c r="V260" s="9"/>
      <c r="W260" s="10">
        <f t="shared" si="66"/>
        <v>-4422.7</v>
      </c>
      <c r="X260" s="8">
        <f>IFERROR(W260/W445, "NA")</f>
        <v>3.2794344011904959E-2</v>
      </c>
      <c r="Y260" s="9"/>
      <c r="Z260" s="7">
        <v>0</v>
      </c>
      <c r="AA260" s="8">
        <f>IFERROR(Z260/Z445, "NA")</f>
        <v>0</v>
      </c>
      <c r="AB260" s="9"/>
      <c r="AC260" s="10">
        <f t="shared" si="67"/>
        <v>-4422.7</v>
      </c>
      <c r="AD260" s="8">
        <f>IFERROR(AC260/AC445, "NA")</f>
        <v>-5.7967371186860142E-2</v>
      </c>
    </row>
    <row r="261" spans="1:30" ht="16.5" customHeight="1" x14ac:dyDescent="0.45">
      <c r="A261" s="12" t="s">
        <v>238</v>
      </c>
      <c r="B261" s="7">
        <v>1008.64</v>
      </c>
      <c r="C261" s="8">
        <f>IFERROR(B261/B445, "NA")</f>
        <v>1.6967168720295068E-3</v>
      </c>
      <c r="D261" s="9"/>
      <c r="E261" s="7">
        <v>0</v>
      </c>
      <c r="F261" s="8">
        <f>IFERROR(E261/E445, "NA")</f>
        <v>0</v>
      </c>
      <c r="G261" s="9"/>
      <c r="H261" s="10">
        <f t="shared" si="64"/>
        <v>-1008.64</v>
      </c>
      <c r="I261" s="8">
        <f>IFERROR(H261/H445, "NA")</f>
        <v>1.8602873722002287E-2</v>
      </c>
      <c r="J261" s="9"/>
      <c r="K261" s="7">
        <v>0</v>
      </c>
      <c r="L261" s="8">
        <f>IFERROR(K261/K445, "NA")</f>
        <v>0</v>
      </c>
      <c r="M261" s="9"/>
      <c r="N261" s="10">
        <f t="shared" si="65"/>
        <v>-1008.64</v>
      </c>
      <c r="O261" s="8">
        <f>IFERROR(N261/N445, "NA")</f>
        <v>-2.7538906787518531</v>
      </c>
      <c r="P261" s="9"/>
      <c r="Q261" s="7">
        <v>1442.35</v>
      </c>
      <c r="R261" s="8">
        <f>IFERROR(Q261/Q445, "NA")</f>
        <v>4.9177165458186745E-4</v>
      </c>
      <c r="S261" s="9"/>
      <c r="T261" s="7">
        <v>0</v>
      </c>
      <c r="U261" s="8">
        <f>IFERROR(T261/T445, "NA")</f>
        <v>0</v>
      </c>
      <c r="V261" s="9"/>
      <c r="W261" s="10">
        <f t="shared" si="66"/>
        <v>-1442.35</v>
      </c>
      <c r="X261" s="8">
        <f>IFERROR(W261/W445, "NA")</f>
        <v>1.0695032917803856E-2</v>
      </c>
      <c r="Y261" s="9"/>
      <c r="Z261" s="7">
        <v>0</v>
      </c>
      <c r="AA261" s="8">
        <f>IFERROR(Z261/Z445, "NA")</f>
        <v>0</v>
      </c>
      <c r="AB261" s="9"/>
      <c r="AC261" s="10">
        <f t="shared" si="67"/>
        <v>-1442.35</v>
      </c>
      <c r="AD261" s="8">
        <f>IFERROR(AC261/AC445, "NA")</f>
        <v>-1.8904569116460018E-2</v>
      </c>
    </row>
    <row r="262" spans="1:30" ht="16.5" customHeight="1" x14ac:dyDescent="0.45">
      <c r="A262" s="12" t="s">
        <v>239</v>
      </c>
      <c r="B262" s="7">
        <v>445.68</v>
      </c>
      <c r="C262" s="8">
        <f>IFERROR(B262/B445, "NA")</f>
        <v>7.4971523588803792E-4</v>
      </c>
      <c r="D262" s="9"/>
      <c r="E262" s="7">
        <v>0</v>
      </c>
      <c r="F262" s="8">
        <f>IFERROR(E262/E445, "NA")</f>
        <v>0</v>
      </c>
      <c r="G262" s="9"/>
      <c r="H262" s="10">
        <f t="shared" si="64"/>
        <v>-445.68</v>
      </c>
      <c r="I262" s="8">
        <f>IFERROR(H262/H445, "NA")</f>
        <v>8.2199087488320707E-3</v>
      </c>
      <c r="J262" s="9"/>
      <c r="K262" s="7">
        <v>0</v>
      </c>
      <c r="L262" s="8">
        <f>IFERROR(K262/K445, "NA")</f>
        <v>0</v>
      </c>
      <c r="M262" s="9"/>
      <c r="N262" s="10">
        <f t="shared" si="65"/>
        <v>-445.68</v>
      </c>
      <c r="O262" s="8">
        <f>IFERROR(N262/N445, "NA")</f>
        <v>-1.2168404958222219</v>
      </c>
      <c r="P262" s="9"/>
      <c r="Q262" s="7">
        <v>445.68</v>
      </c>
      <c r="R262" s="8">
        <f>IFERROR(Q262/Q445, "NA")</f>
        <v>1.5195534441296958E-4</v>
      </c>
      <c r="S262" s="9"/>
      <c r="T262" s="7">
        <v>0</v>
      </c>
      <c r="U262" s="8">
        <f>IFERROR(T262/T445, "NA")</f>
        <v>0</v>
      </c>
      <c r="V262" s="9"/>
      <c r="W262" s="10">
        <f t="shared" si="66"/>
        <v>-445.68</v>
      </c>
      <c r="X262" s="8">
        <f>IFERROR(W262/W445, "NA")</f>
        <v>3.304719569318697E-3</v>
      </c>
      <c r="Y262" s="9"/>
      <c r="Z262" s="7">
        <v>0</v>
      </c>
      <c r="AA262" s="8">
        <f>IFERROR(Z262/Z445, "NA")</f>
        <v>0</v>
      </c>
      <c r="AB262" s="9"/>
      <c r="AC262" s="10">
        <f t="shared" si="67"/>
        <v>-445.68</v>
      </c>
      <c r="AD262" s="8">
        <f>IFERROR(AC262/AC445, "NA")</f>
        <v>-5.8414312502678969E-3</v>
      </c>
    </row>
    <row r="263" spans="1:30" ht="16.5" customHeight="1" x14ac:dyDescent="0.45">
      <c r="A263" s="13" t="s">
        <v>240</v>
      </c>
      <c r="B263" s="14">
        <f>IFERROR(B240+B241+B242+B243+B244+B245+B246+B247+B248+B249+B250+B251+B252+B253+B254+B255+B256+B257+B258+B259+B260+B261+B262, "NA")</f>
        <v>47217.37</v>
      </c>
      <c r="C263" s="15">
        <f>IFERROR(B263/B445, "NA")</f>
        <v>7.9428248266834423E-2</v>
      </c>
      <c r="D263" s="2"/>
      <c r="E263" s="14">
        <f>IFERROR(E240+E241+E242+E243+E244+E245+E246+E247+E248+E249+E250+E251+E252+E253+E254+E255+E256+E257+E258+E259+E260+E261+E262, "NA")</f>
        <v>42776.409999999996</v>
      </c>
      <c r="F263" s="15">
        <f>IFERROR(E263/E445, "NA")</f>
        <v>6.5943240365447464E-2</v>
      </c>
      <c r="G263" s="2"/>
      <c r="H263" s="14">
        <f t="shared" si="64"/>
        <v>-4440.9600000000064</v>
      </c>
      <c r="I263" s="15">
        <f>IFERROR(H263/H445, "NA")</f>
        <v>8.190694210467897E-2</v>
      </c>
      <c r="J263" s="2"/>
      <c r="K263" s="14">
        <f>IFERROR(K240+K241+K242+K243+K244+K245+K246+K247+K248+K249+K250+K251+K252+K253+K254+K255+K256+K257+K258+K259+K260+K261+K262, "NA")</f>
        <v>41140.730000000003</v>
      </c>
      <c r="L263" s="15">
        <f>IFERROR(K263/K445, "NA")</f>
        <v>6.9248894271826053E-2</v>
      </c>
      <c r="M263" s="2"/>
      <c r="N263" s="14">
        <f t="shared" si="65"/>
        <v>-6076.6399999999994</v>
      </c>
      <c r="O263" s="15">
        <f>IFERROR(N263/N445, "NA")</f>
        <v>-16.591055534314187</v>
      </c>
      <c r="P263" s="2"/>
      <c r="Q263" s="14">
        <f>IFERROR(Q240+Q241+Q242+Q243+Q244+Q245+Q246+Q247+Q248+Q249+Q250+Q251+Q252+Q253+Q254+Q255+Q256+Q257+Q258+Q259+Q260+Q261+Q262, "NA")</f>
        <v>240340.21000000002</v>
      </c>
      <c r="R263" s="15">
        <f>IFERROR(Q263/Q445, "NA")</f>
        <v>8.1944398193402074E-2</v>
      </c>
      <c r="S263" s="2"/>
      <c r="T263" s="14">
        <f>IFERROR(T240+T241+T242+T243+T244+T245+T246+T247+T248+T249+T250+T251+T252+T253+T254+T255+T256+T257+T258+T259+T260+T261+T262, "NA")</f>
        <v>204257.61</v>
      </c>
      <c r="U263" s="15">
        <f>IFERROR(T263/T445, "NA")</f>
        <v>6.6580515612899627E-2</v>
      </c>
      <c r="V263" s="2"/>
      <c r="W263" s="14">
        <f t="shared" si="66"/>
        <v>-36082.600000000035</v>
      </c>
      <c r="X263" s="15">
        <f>IFERROR(W263/W445, "NA")</f>
        <v>0.26755267082188777</v>
      </c>
      <c r="Y263" s="2"/>
      <c r="Z263" s="14">
        <f>IFERROR(Z240+Z241+Z242+Z243+Z244+Z245+Z246+Z247+Z248+Z249+Z250+Z251+Z252+Z253+Z254+Z255+Z256+Z257+Z258+Z259+Z260+Z261+Z262, "NA")</f>
        <v>196797.56000000003</v>
      </c>
      <c r="AA263" s="15">
        <f>IFERROR(Z263/Z445, "NA")</f>
        <v>6.8890533880812635E-2</v>
      </c>
      <c r="AB263" s="2"/>
      <c r="AC263" s="14">
        <f t="shared" si="67"/>
        <v>-43542.649999999994</v>
      </c>
      <c r="AD263" s="15">
        <f>IFERROR(AC263/AC445, "NA")</f>
        <v>-0.57070408461110533</v>
      </c>
    </row>
    <row r="264" spans="1:30" ht="16.5" customHeight="1" x14ac:dyDescent="0.45">
      <c r="A264" s="19" t="s">
        <v>241</v>
      </c>
      <c r="B264" s="14">
        <f>IFERROR(B238+B240+B241+B242+B243+B244+B245+B246+B247+B248+B249+B250+B251+B252+B253+B254+B255+B256+B257+B258+B259+B260+B261+B262, "NA")</f>
        <v>47217.37</v>
      </c>
      <c r="C264" s="15">
        <f>IFERROR(B264/B445, "NA")</f>
        <v>7.9428248266834423E-2</v>
      </c>
      <c r="D264" s="2"/>
      <c r="E264" s="14">
        <f>IFERROR(E238+E240+E241+E242+E243+E244+E245+E246+E247+E248+E249+E250+E251+E252+E253+E254+E255+E256+E257+E258+E259+E260+E261+E262, "NA")</f>
        <v>42776.409999999996</v>
      </c>
      <c r="F264" s="15">
        <f>IFERROR(E264/E445, "NA")</f>
        <v>6.5943240365447464E-2</v>
      </c>
      <c r="G264" s="2"/>
      <c r="H264" s="14">
        <f t="shared" si="64"/>
        <v>-4440.9600000000064</v>
      </c>
      <c r="I264" s="15">
        <f>IFERROR(H264/H445, "NA")</f>
        <v>8.190694210467897E-2</v>
      </c>
      <c r="J264" s="2"/>
      <c r="K264" s="14">
        <f>IFERROR(K238+K240+K241+K242+K243+K244+K245+K246+K247+K248+K249+K250+K251+K252+K253+K254+K255+K256+K257+K258+K259+K260+K261+K262, "NA")</f>
        <v>41140.730000000003</v>
      </c>
      <c r="L264" s="15">
        <f>IFERROR(K264/K445, "NA")</f>
        <v>6.9248894271826053E-2</v>
      </c>
      <c r="M264" s="2"/>
      <c r="N264" s="14">
        <f t="shared" si="65"/>
        <v>-6076.6399999999994</v>
      </c>
      <c r="O264" s="15">
        <f>IFERROR(N264/N445, "NA")</f>
        <v>-16.591055534314187</v>
      </c>
      <c r="P264" s="2"/>
      <c r="Q264" s="14">
        <f>IFERROR(Q238+Q240+Q241+Q242+Q243+Q244+Q245+Q246+Q247+Q248+Q249+Q250+Q251+Q252+Q253+Q254+Q255+Q256+Q257+Q258+Q259+Q260+Q261+Q262, "NA")</f>
        <v>240340.21000000002</v>
      </c>
      <c r="R264" s="15">
        <f>IFERROR(Q264/Q445, "NA")</f>
        <v>8.1944398193402074E-2</v>
      </c>
      <c r="S264" s="2"/>
      <c r="T264" s="14">
        <f>IFERROR(T238+T240+T241+T242+T243+T244+T245+T246+T247+T248+T249+T250+T251+T252+T253+T254+T255+T256+T257+T258+T259+T260+T261+T262, "NA")</f>
        <v>204257.61</v>
      </c>
      <c r="U264" s="15">
        <f>IFERROR(T264/T445, "NA")</f>
        <v>6.6580515612899627E-2</v>
      </c>
      <c r="V264" s="2"/>
      <c r="W264" s="14">
        <f t="shared" si="66"/>
        <v>-36082.600000000035</v>
      </c>
      <c r="X264" s="15">
        <f>IFERROR(W264/W445, "NA")</f>
        <v>0.26755267082188777</v>
      </c>
      <c r="Y264" s="2"/>
      <c r="Z264" s="14">
        <f>IFERROR(Z238+Z240+Z241+Z242+Z243+Z244+Z245+Z246+Z247+Z248+Z249+Z250+Z251+Z252+Z253+Z254+Z255+Z256+Z257+Z258+Z259+Z260+Z261+Z262, "NA")</f>
        <v>196797.56000000003</v>
      </c>
      <c r="AA264" s="15">
        <f>IFERROR(Z264/Z445, "NA")</f>
        <v>6.8890533880812635E-2</v>
      </c>
      <c r="AB264" s="2"/>
      <c r="AC264" s="14">
        <f t="shared" si="67"/>
        <v>-43542.649999999994</v>
      </c>
      <c r="AD264" s="15">
        <f>IFERROR(AC264/AC445, "NA")</f>
        <v>-0.57070408461110533</v>
      </c>
    </row>
    <row r="265" spans="1:30" ht="16.5" customHeight="1" x14ac:dyDescent="0.45">
      <c r="A265" s="5" t="s">
        <v>242</v>
      </c>
      <c r="B265" s="2"/>
      <c r="C265" s="3"/>
      <c r="D265" s="4"/>
      <c r="E265" s="2"/>
      <c r="F265" s="3"/>
      <c r="G265" s="4"/>
      <c r="H265" s="2"/>
      <c r="I265" s="3"/>
      <c r="J265" s="4"/>
      <c r="K265" s="2"/>
      <c r="L265" s="3"/>
      <c r="M265" s="4"/>
      <c r="N265" s="2"/>
      <c r="O265" s="3"/>
      <c r="P265" s="4"/>
      <c r="Q265" s="2"/>
      <c r="R265" s="3"/>
      <c r="S265" s="4"/>
      <c r="T265" s="2"/>
      <c r="U265" s="3"/>
      <c r="V265" s="4"/>
      <c r="W265" s="2"/>
      <c r="X265" s="3"/>
      <c r="Y265" s="4"/>
      <c r="Z265" s="2"/>
      <c r="AA265" s="3"/>
      <c r="AB265" s="4"/>
      <c r="AC265" s="2"/>
      <c r="AD265" s="3"/>
    </row>
    <row r="266" spans="1:30" ht="16.5" customHeight="1" x14ac:dyDescent="0.45">
      <c r="A266" s="6" t="s">
        <v>242</v>
      </c>
      <c r="B266" s="7">
        <v>16221.449999999999</v>
      </c>
      <c r="C266" s="8">
        <f>IFERROR(B266/B445, "NA")</f>
        <v>2.7287444384302664E-2</v>
      </c>
      <c r="D266" s="9"/>
      <c r="E266" s="7">
        <v>16937.86</v>
      </c>
      <c r="F266" s="8">
        <f>IFERROR(E266/E445, "NA")</f>
        <v>2.6111059185572098E-2</v>
      </c>
      <c r="G266" s="9"/>
      <c r="H266" s="10">
        <f>IFERROR(-(B266-E266), "NA")</f>
        <v>716.41000000000167</v>
      </c>
      <c r="I266" s="8">
        <f>IFERROR(H266/H445, "NA")</f>
        <v>-1.3213123377200675E-2</v>
      </c>
      <c r="J266" s="9"/>
      <c r="K266" s="7">
        <v>15757.7</v>
      </c>
      <c r="L266" s="8">
        <f>IFERROR(K266/K445, "NA")</f>
        <v>2.6523673772126874E-2</v>
      </c>
      <c r="M266" s="9"/>
      <c r="N266" s="10">
        <f>IFERROR(-(B266-K266), "NA")</f>
        <v>-463.74999999999818</v>
      </c>
      <c r="O266" s="8">
        <f>IFERROR(N266/N445, "NA")</f>
        <v>-1.2661770327085649</v>
      </c>
      <c r="P266" s="9"/>
      <c r="Q266" s="7">
        <v>78963.45</v>
      </c>
      <c r="R266" s="8">
        <f>IFERROR(Q266/Q445, "NA")</f>
        <v>2.6922720877729095E-2</v>
      </c>
      <c r="S266" s="9"/>
      <c r="T266" s="7">
        <v>79701.25</v>
      </c>
      <c r="U266" s="8">
        <f>IFERROR(T266/T445, "NA")</f>
        <v>2.5979694563118685E-2</v>
      </c>
      <c r="V266" s="9"/>
      <c r="W266" s="10">
        <f>IFERROR(-(Q266-T266), "NA")</f>
        <v>737.80000000000291</v>
      </c>
      <c r="X266" s="8">
        <f>IFERROR(W266/W445, "NA")</f>
        <v>-5.4707909222835764E-3</v>
      </c>
      <c r="Y266" s="9"/>
      <c r="Z266" s="7">
        <v>73259.240000000005</v>
      </c>
      <c r="AA266" s="8">
        <f>IFERROR(Z266/Z445, "NA")</f>
        <v>2.5644973216652607E-2</v>
      </c>
      <c r="AB266" s="9"/>
      <c r="AC266" s="10">
        <f>IFERROR(-(Q266-Z266), "NA")</f>
        <v>-5704.2099999999919</v>
      </c>
      <c r="AD266" s="8">
        <f>IFERROR(AC266/AC445, "NA")</f>
        <v>-7.476384525240215E-2</v>
      </c>
    </row>
    <row r="267" spans="1:30" ht="16.5" customHeight="1" x14ac:dyDescent="0.45">
      <c r="A267" s="6" t="s">
        <v>243</v>
      </c>
      <c r="B267" s="7">
        <v>0</v>
      </c>
      <c r="C267" s="8">
        <f>IFERROR(B267/B445, "NA")</f>
        <v>0</v>
      </c>
      <c r="D267" s="9"/>
      <c r="E267" s="7">
        <v>0</v>
      </c>
      <c r="F267" s="8">
        <f>IFERROR(E267/E445, "NA")</f>
        <v>0</v>
      </c>
      <c r="G267" s="9"/>
      <c r="H267" s="10">
        <f>IFERROR(-(B267-E267), "NA")</f>
        <v>0</v>
      </c>
      <c r="I267" s="8">
        <f>IFERROR(H267/H445, "NA")</f>
        <v>0</v>
      </c>
      <c r="J267" s="9"/>
      <c r="K267" s="7">
        <v>147.12</v>
      </c>
      <c r="L267" s="8">
        <f>IFERROR(K267/K445, "NA")</f>
        <v>2.4763530752300815E-4</v>
      </c>
      <c r="M267" s="9"/>
      <c r="N267" s="10">
        <f>IFERROR(-(B267-K267), "NA")</f>
        <v>147.12</v>
      </c>
      <c r="O267" s="8">
        <f>IFERROR(N267/N445, "NA")</f>
        <v>0.40168186534142275</v>
      </c>
      <c r="P267" s="9"/>
      <c r="Q267" s="7">
        <v>14.839999999999996</v>
      </c>
      <c r="R267" s="8">
        <f>IFERROR(Q267/Q445, "NA")</f>
        <v>5.0597229202308116E-6</v>
      </c>
      <c r="S267" s="9"/>
      <c r="T267" s="7">
        <v>0</v>
      </c>
      <c r="U267" s="8">
        <f>IFERROR(T267/T445, "NA")</f>
        <v>0</v>
      </c>
      <c r="V267" s="9"/>
      <c r="W267" s="10">
        <f>IFERROR(-(Q267-T267), "NA")</f>
        <v>-14.839999999999996</v>
      </c>
      <c r="X267" s="8">
        <f>IFERROR(W267/W445, "NA")</f>
        <v>1.1003867889223086E-4</v>
      </c>
      <c r="Y267" s="9"/>
      <c r="Z267" s="7">
        <v>517.38</v>
      </c>
      <c r="AA267" s="8">
        <f>IFERROR(Z267/Z445, "NA")</f>
        <v>1.8111293869321773E-4</v>
      </c>
      <c r="AB267" s="9"/>
      <c r="AC267" s="10">
        <f>IFERROR(-(Q267-Z267), "NA")</f>
        <v>502.54</v>
      </c>
      <c r="AD267" s="8">
        <f>IFERROR(AC267/AC445, "NA")</f>
        <v>6.5866829575247469E-3</v>
      </c>
    </row>
    <row r="268" spans="1:30" ht="16.5" customHeight="1" x14ac:dyDescent="0.45">
      <c r="A268" s="19" t="s">
        <v>244</v>
      </c>
      <c r="B268" s="14">
        <f>IFERROR(B266+B267, "NA")</f>
        <v>16221.449999999999</v>
      </c>
      <c r="C268" s="15">
        <f>IFERROR(B268/B445, "NA")</f>
        <v>2.7287444384302664E-2</v>
      </c>
      <c r="D268" s="2"/>
      <c r="E268" s="14">
        <f>IFERROR(E266+E267, "NA")</f>
        <v>16937.86</v>
      </c>
      <c r="F268" s="15">
        <f>IFERROR(E268/E445, "NA")</f>
        <v>2.6111059185572098E-2</v>
      </c>
      <c r="G268" s="2"/>
      <c r="H268" s="14">
        <f>IFERROR(-(B268-E268), "NA")</f>
        <v>716.41000000000167</v>
      </c>
      <c r="I268" s="15">
        <f>IFERROR(H268/H445, "NA")</f>
        <v>-1.3213123377200675E-2</v>
      </c>
      <c r="J268" s="2"/>
      <c r="K268" s="14">
        <f>IFERROR(K266+K267, "NA")</f>
        <v>15904.820000000002</v>
      </c>
      <c r="L268" s="15">
        <f>IFERROR(K268/K445, "NA")</f>
        <v>2.6771309079649884E-2</v>
      </c>
      <c r="M268" s="2"/>
      <c r="N268" s="14">
        <f>IFERROR(-(B268-K268), "NA")</f>
        <v>-316.62999999999738</v>
      </c>
      <c r="O268" s="15">
        <f>IFERROR(N268/N445, "NA")</f>
        <v>-0.86449516736713994</v>
      </c>
      <c r="P268" s="2"/>
      <c r="Q268" s="14">
        <f>IFERROR(Q266+Q267, "NA")</f>
        <v>78978.289999999994</v>
      </c>
      <c r="R268" s="15">
        <f>IFERROR(Q268/Q445, "NA")</f>
        <v>2.6927780600649324E-2</v>
      </c>
      <c r="S268" s="2"/>
      <c r="T268" s="14">
        <f>IFERROR(T266+T267, "NA")</f>
        <v>79701.25</v>
      </c>
      <c r="U268" s="15">
        <f>IFERROR(T268/T445, "NA")</f>
        <v>2.5979694563118685E-2</v>
      </c>
      <c r="V268" s="2"/>
      <c r="W268" s="14">
        <f>IFERROR(-(Q268-T268), "NA")</f>
        <v>722.9600000000064</v>
      </c>
      <c r="X268" s="15">
        <f>IFERROR(W268/W445, "NA")</f>
        <v>-5.3607522433913712E-3</v>
      </c>
      <c r="Y268" s="2"/>
      <c r="Z268" s="14">
        <f>IFERROR(Z266+Z267, "NA")</f>
        <v>73776.62000000001</v>
      </c>
      <c r="AA268" s="15">
        <f>IFERROR(Z268/Z445, "NA")</f>
        <v>2.5826086155345825E-2</v>
      </c>
      <c r="AB268" s="2"/>
      <c r="AC268" s="14">
        <f>IFERROR(-(Q268-Z268), "NA")</f>
        <v>-5201.6699999999837</v>
      </c>
      <c r="AD268" s="15">
        <f>IFERROR(AC268/AC445, "NA")</f>
        <v>-6.8177162294877303E-2</v>
      </c>
    </row>
    <row r="269" spans="1:30" ht="16.5" customHeight="1" x14ac:dyDescent="0.45">
      <c r="A269" s="5" t="s">
        <v>245</v>
      </c>
      <c r="B269" s="2"/>
      <c r="C269" s="3"/>
      <c r="D269" s="4"/>
      <c r="E269" s="2"/>
      <c r="F269" s="3"/>
      <c r="G269" s="4"/>
      <c r="H269" s="2"/>
      <c r="I269" s="3"/>
      <c r="J269" s="4"/>
      <c r="K269" s="2"/>
      <c r="L269" s="3"/>
      <c r="M269" s="4"/>
      <c r="N269" s="2"/>
      <c r="O269" s="3"/>
      <c r="P269" s="4"/>
      <c r="Q269" s="2"/>
      <c r="R269" s="3"/>
      <c r="S269" s="4"/>
      <c r="T269" s="2"/>
      <c r="U269" s="3"/>
      <c r="V269" s="4"/>
      <c r="W269" s="2"/>
      <c r="X269" s="3"/>
      <c r="Y269" s="4"/>
      <c r="Z269" s="2"/>
      <c r="AA269" s="3"/>
      <c r="AB269" s="4"/>
      <c r="AC269" s="2"/>
      <c r="AD269" s="3"/>
    </row>
    <row r="270" spans="1:30" ht="16.5" hidden="1" customHeight="1" x14ac:dyDescent="0.45">
      <c r="A270" s="6" t="s">
        <v>245</v>
      </c>
      <c r="B270" s="7">
        <v>0</v>
      </c>
      <c r="C270" s="8">
        <f>IFERROR(B270/B445, "NA")</f>
        <v>0</v>
      </c>
      <c r="D270" s="9"/>
      <c r="E270" s="7">
        <v>0</v>
      </c>
      <c r="F270" s="8">
        <f>IFERROR(E270/E445, "NA")</f>
        <v>0</v>
      </c>
      <c r="G270" s="9"/>
      <c r="H270" s="10">
        <f>IFERROR(-(B270-E270), "NA")</f>
        <v>0</v>
      </c>
      <c r="I270" s="8">
        <f>IFERROR(H270/H445, "NA")</f>
        <v>0</v>
      </c>
      <c r="J270" s="9"/>
      <c r="K270" s="7">
        <v>0</v>
      </c>
      <c r="L270" s="8">
        <f>IFERROR(K270/K445, "NA")</f>
        <v>0</v>
      </c>
      <c r="M270" s="9"/>
      <c r="N270" s="10">
        <f>IFERROR(-(B270-K270), "NA")</f>
        <v>0</v>
      </c>
      <c r="O270" s="8">
        <f>IFERROR(N270/N445, "NA")</f>
        <v>0</v>
      </c>
      <c r="P270" s="9"/>
      <c r="Q270" s="7">
        <v>0</v>
      </c>
      <c r="R270" s="8">
        <f>IFERROR(Q270/Q445, "NA")</f>
        <v>0</v>
      </c>
      <c r="S270" s="9"/>
      <c r="T270" s="7">
        <v>0</v>
      </c>
      <c r="U270" s="8">
        <f>IFERROR(T270/T445, "NA")</f>
        <v>0</v>
      </c>
      <c r="V270" s="9"/>
      <c r="W270" s="10">
        <f>IFERROR(-(Q270-T270), "NA")</f>
        <v>0</v>
      </c>
      <c r="X270" s="8">
        <f>IFERROR(W270/W445, "NA")</f>
        <v>0</v>
      </c>
      <c r="Y270" s="9"/>
      <c r="Z270" s="7">
        <v>0</v>
      </c>
      <c r="AA270" s="8">
        <f>IFERROR(Z270/Z445, "NA")</f>
        <v>0</v>
      </c>
      <c r="AB270" s="9"/>
      <c r="AC270" s="10">
        <f>IFERROR(-(Q270-Z270), "NA")</f>
        <v>0</v>
      </c>
      <c r="AD270" s="8">
        <f>IFERROR(AC270/AC445, "NA")</f>
        <v>0</v>
      </c>
    </row>
    <row r="271" spans="1:30" ht="16.5" customHeight="1" x14ac:dyDescent="0.45">
      <c r="A271" s="6" t="s">
        <v>246</v>
      </c>
      <c r="B271" s="7">
        <v>1240.98</v>
      </c>
      <c r="C271" s="8">
        <f>IFERROR(B271/B445, "NA")</f>
        <v>2.0875552266925537E-3</v>
      </c>
      <c r="D271" s="9"/>
      <c r="E271" s="7">
        <v>1139.06</v>
      </c>
      <c r="F271" s="8">
        <f>IFERROR(E271/E445, "NA")</f>
        <v>1.7559516418200263E-3</v>
      </c>
      <c r="G271" s="9"/>
      <c r="H271" s="10">
        <f>IFERROR(-(B271-E271), "NA")</f>
        <v>-101.92000000000007</v>
      </c>
      <c r="I271" s="8">
        <f>IFERROR(H271/H445, "NA")</f>
        <v>1.8797637311096867E-3</v>
      </c>
      <c r="J271" s="9"/>
      <c r="K271" s="7">
        <v>1169.08</v>
      </c>
      <c r="L271" s="8">
        <f>IFERROR(K271/K445, "NA")</f>
        <v>1.9678186875951493E-3</v>
      </c>
      <c r="M271" s="9"/>
      <c r="N271" s="10">
        <f>IFERROR(-(B271-K271), "NA")</f>
        <v>-71.900000000000091</v>
      </c>
      <c r="O271" s="8">
        <f>IFERROR(N271/N445, "NA")</f>
        <v>-0.19630863321131276</v>
      </c>
      <c r="P271" s="9"/>
      <c r="Q271" s="7">
        <v>5888.09</v>
      </c>
      <c r="R271" s="8">
        <f>IFERROR(Q271/Q445, "NA")</f>
        <v>2.0075541731389385E-3</v>
      </c>
      <c r="S271" s="9"/>
      <c r="T271" s="7">
        <v>5695.2999999999993</v>
      </c>
      <c r="U271" s="8">
        <f>IFERROR(T271/T445, "NA")</f>
        <v>1.8564596470611167E-3</v>
      </c>
      <c r="V271" s="9"/>
      <c r="W271" s="10">
        <f>IFERROR(-(Q271-T271), "NA")</f>
        <v>-192.79000000000087</v>
      </c>
      <c r="X271" s="8">
        <f>IFERROR(W271/W445, "NA")</f>
        <v>1.4295388749079037E-3</v>
      </c>
      <c r="Y271" s="9"/>
      <c r="Z271" s="7">
        <v>5929.89</v>
      </c>
      <c r="AA271" s="8">
        <f>IFERROR(Z271/Z445, "NA")</f>
        <v>2.0758046388100141E-3</v>
      </c>
      <c r="AB271" s="9"/>
      <c r="AC271" s="10">
        <f>IFERROR(-(Q271-Z271), "NA")</f>
        <v>41.800000000000182</v>
      </c>
      <c r="AD271" s="8">
        <f>IFERROR(AC271/AC445, "NA")</f>
        <v>5.478635484230819E-4</v>
      </c>
    </row>
    <row r="272" spans="1:30" ht="16.5" customHeight="1" x14ac:dyDescent="0.45">
      <c r="A272" s="6" t="s">
        <v>247</v>
      </c>
      <c r="B272" s="7">
        <v>4973.7000000000007</v>
      </c>
      <c r="C272" s="8">
        <f>IFERROR(B272/B445, "NA")</f>
        <v>8.3666726546767524E-3</v>
      </c>
      <c r="D272" s="9"/>
      <c r="E272" s="7">
        <v>5130.2199999999993</v>
      </c>
      <c r="F272" s="8">
        <f>IFERROR(E272/E445, "NA")</f>
        <v>7.9086424173423122E-3</v>
      </c>
      <c r="G272" s="9"/>
      <c r="H272" s="10">
        <f>IFERROR(-(B272-E272), "NA")</f>
        <v>156.51999999999862</v>
      </c>
      <c r="I272" s="8">
        <f>IFERROR(H272/H445, "NA")</f>
        <v>-2.8867800156327059E-3</v>
      </c>
      <c r="J272" s="9"/>
      <c r="K272" s="7">
        <v>4964</v>
      </c>
      <c r="L272" s="8">
        <f>IFERROR(K272/K445, "NA")</f>
        <v>8.3555034430683288E-3</v>
      </c>
      <c r="M272" s="9"/>
      <c r="N272" s="10">
        <f>IFERROR(-(B272-K272), "NA")</f>
        <v>-9.7000000000007276</v>
      </c>
      <c r="O272" s="8">
        <f>IFERROR(N272/N445, "NA")</f>
        <v>-2.6483918527814662E-2</v>
      </c>
      <c r="P272" s="9"/>
      <c r="Q272" s="7">
        <v>25013.859999999997</v>
      </c>
      <c r="R272" s="8">
        <f>IFERROR(Q272/Q445, "NA")</f>
        <v>8.5285175717954645E-3</v>
      </c>
      <c r="S272" s="9"/>
      <c r="T272" s="7">
        <v>25651.1</v>
      </c>
      <c r="U272" s="8">
        <f>IFERROR(T272/T445, "NA")</f>
        <v>8.3613210985776718E-3</v>
      </c>
      <c r="V272" s="9"/>
      <c r="W272" s="10">
        <f>IFERROR(-(Q272-T272), "NA")</f>
        <v>637.2400000000016</v>
      </c>
      <c r="X272" s="8">
        <f>IFERROR(W272/W445, "NA")</f>
        <v>-4.7251379876876946E-3</v>
      </c>
      <c r="Y272" s="9"/>
      <c r="Z272" s="7">
        <v>24052.799999999999</v>
      </c>
      <c r="AA272" s="8">
        <f>IFERROR(Z272/Z445, "NA")</f>
        <v>8.4198718384943909E-3</v>
      </c>
      <c r="AB272" s="9"/>
      <c r="AC272" s="10">
        <f>IFERROR(-(Q272-Z272), "NA")</f>
        <v>-961.05999999999767</v>
      </c>
      <c r="AD272" s="8">
        <f>IFERROR(AC272/AC445, "NA")</f>
        <v>-1.2596405307356066E-2</v>
      </c>
    </row>
    <row r="273" spans="1:30" ht="16.5" customHeight="1" x14ac:dyDescent="0.45">
      <c r="A273" s="6" t="s">
        <v>248</v>
      </c>
      <c r="B273" s="7">
        <v>199.27</v>
      </c>
      <c r="C273" s="8">
        <f>IFERROR(B273/B445, "NA")</f>
        <v>3.3520856905270446E-4</v>
      </c>
      <c r="D273" s="9"/>
      <c r="E273" s="7">
        <v>0</v>
      </c>
      <c r="F273" s="8">
        <f>IFERROR(E273/E445, "NA")</f>
        <v>0</v>
      </c>
      <c r="G273" s="9"/>
      <c r="H273" s="10">
        <f>IFERROR(-(B273-E273), "NA")</f>
        <v>-199.27</v>
      </c>
      <c r="I273" s="8">
        <f>IFERROR(H273/H445, "NA")</f>
        <v>3.6752405680752259E-3</v>
      </c>
      <c r="J273" s="9"/>
      <c r="K273" s="7">
        <v>0</v>
      </c>
      <c r="L273" s="8">
        <f>IFERROR(K273/K445, "NA")</f>
        <v>0</v>
      </c>
      <c r="M273" s="9"/>
      <c r="N273" s="10">
        <f>IFERROR(-(B273-K273), "NA")</f>
        <v>-199.27</v>
      </c>
      <c r="O273" s="8">
        <f>IFERROR(N273/N445, "NA")</f>
        <v>-0.54406705618940532</v>
      </c>
      <c r="P273" s="9"/>
      <c r="Q273" s="7">
        <v>996.35</v>
      </c>
      <c r="R273" s="8">
        <f>IFERROR(Q273/Q445, "NA")</f>
        <v>3.3970720563153439E-4</v>
      </c>
      <c r="S273" s="9"/>
      <c r="T273" s="7">
        <v>0</v>
      </c>
      <c r="U273" s="8">
        <f>IFERROR(T273/T445, "NA")</f>
        <v>0</v>
      </c>
      <c r="V273" s="9"/>
      <c r="W273" s="10">
        <f>IFERROR(-(Q273-T273), "NA")</f>
        <v>-996.35</v>
      </c>
      <c r="X273" s="8">
        <f>IFERROR(W273/W445, "NA")</f>
        <v>7.3879405467839792E-3</v>
      </c>
      <c r="Y273" s="9"/>
      <c r="Z273" s="7">
        <v>0</v>
      </c>
      <c r="AA273" s="8">
        <f>IFERROR(Z273/Z445, "NA")</f>
        <v>0</v>
      </c>
      <c r="AB273" s="9"/>
      <c r="AC273" s="10">
        <f>IFERROR(-(Q273-Z273), "NA")</f>
        <v>-996.35</v>
      </c>
      <c r="AD273" s="8">
        <f>IFERROR(AC273/AC445, "NA")</f>
        <v>-1.3058943695486491E-2</v>
      </c>
    </row>
    <row r="274" spans="1:30" ht="16.5" customHeight="1" x14ac:dyDescent="0.45">
      <c r="A274" s="19" t="s">
        <v>249</v>
      </c>
      <c r="B274" s="14">
        <f>IFERROR(B270+B271+B272+B273, "NA")</f>
        <v>6413.9500000000007</v>
      </c>
      <c r="C274" s="15">
        <f>IFERROR(B274/B445, "NA")</f>
        <v>1.078943645042201E-2</v>
      </c>
      <c r="D274" s="2"/>
      <c r="E274" s="14">
        <f>IFERROR(E270+E271+E272+E273, "NA")</f>
        <v>6269.2799999999988</v>
      </c>
      <c r="F274" s="15">
        <f>IFERROR(E274/E445, "NA")</f>
        <v>9.6645940591623385E-3</v>
      </c>
      <c r="G274" s="2"/>
      <c r="H274" s="14">
        <f>IFERROR(-(B274-E274), "NA")</f>
        <v>-144.67000000000189</v>
      </c>
      <c r="I274" s="15">
        <f>IFERROR(H274/H445, "NA")</f>
        <v>2.668224283552215E-3</v>
      </c>
      <c r="J274" s="2"/>
      <c r="K274" s="14">
        <f>IFERROR(K270+K271+K272+K273, "NA")</f>
        <v>6133.08</v>
      </c>
      <c r="L274" s="15">
        <f>IFERROR(K274/K445, "NA")</f>
        <v>1.0323322130663478E-2</v>
      </c>
      <c r="M274" s="2"/>
      <c r="N274" s="14">
        <f>IFERROR(-(B274-K274), "NA")</f>
        <v>-280.8700000000008</v>
      </c>
      <c r="O274" s="15">
        <f>IFERROR(N274/N445, "NA")</f>
        <v>-0.76685960792853269</v>
      </c>
      <c r="P274" s="2"/>
      <c r="Q274" s="14">
        <f>IFERROR(Q270+Q271+Q272+Q273, "NA")</f>
        <v>31898.299999999996</v>
      </c>
      <c r="R274" s="15">
        <f>IFERROR(Q274/Q445, "NA")</f>
        <v>1.0875778950565938E-2</v>
      </c>
      <c r="S274" s="2"/>
      <c r="T274" s="14">
        <f>IFERROR(T270+T271+T272+T273, "NA")</f>
        <v>31346.399999999998</v>
      </c>
      <c r="U274" s="15">
        <f>IFERROR(T274/T445, "NA")</f>
        <v>1.021778074563879E-2</v>
      </c>
      <c r="V274" s="2"/>
      <c r="W274" s="14">
        <f>IFERROR(-(Q274-T274), "NA")</f>
        <v>-551.89999999999782</v>
      </c>
      <c r="X274" s="15">
        <f>IFERROR(W274/W445, "NA")</f>
        <v>4.0923414340041774E-3</v>
      </c>
      <c r="Y274" s="2"/>
      <c r="Z274" s="14">
        <f>IFERROR(Z270+Z271+Z272+Z273, "NA")</f>
        <v>29982.69</v>
      </c>
      <c r="AA274" s="15">
        <f>IFERROR(Z274/Z445, "NA")</f>
        <v>1.0495676477304403E-2</v>
      </c>
      <c r="AB274" s="2"/>
      <c r="AC274" s="14">
        <f>IFERROR(-(Q274-Z274), "NA")</f>
        <v>-1915.6099999999969</v>
      </c>
      <c r="AD274" s="15">
        <f>IFERROR(AC274/AC445, "NA")</f>
        <v>-2.5107485454419466E-2</v>
      </c>
    </row>
    <row r="275" spans="1:30" ht="16.5" customHeight="1" x14ac:dyDescent="0.45">
      <c r="A275" s="5" t="s">
        <v>250</v>
      </c>
      <c r="B275" s="2"/>
      <c r="C275" s="3"/>
      <c r="D275" s="4"/>
      <c r="E275" s="2"/>
      <c r="F275" s="3"/>
      <c r="G275" s="4"/>
      <c r="H275" s="2"/>
      <c r="I275" s="3"/>
      <c r="J275" s="4"/>
      <c r="K275" s="2"/>
      <c r="L275" s="3"/>
      <c r="M275" s="4"/>
      <c r="N275" s="2"/>
      <c r="O275" s="3"/>
      <c r="P275" s="4"/>
      <c r="Q275" s="2"/>
      <c r="R275" s="3"/>
      <c r="S275" s="4"/>
      <c r="T275" s="2"/>
      <c r="U275" s="3"/>
      <c r="V275" s="4"/>
      <c r="W275" s="2"/>
      <c r="X275" s="3"/>
      <c r="Y275" s="4"/>
      <c r="Z275" s="2"/>
      <c r="AA275" s="3"/>
      <c r="AB275" s="4"/>
      <c r="AC275" s="2"/>
      <c r="AD275" s="3"/>
    </row>
    <row r="276" spans="1:30" ht="16.5" hidden="1" customHeight="1" x14ac:dyDescent="0.45">
      <c r="A276" s="6" t="s">
        <v>250</v>
      </c>
      <c r="B276" s="7">
        <v>0</v>
      </c>
      <c r="C276" s="8">
        <f>IFERROR(B276/B445, "NA")</f>
        <v>0</v>
      </c>
      <c r="D276" s="9"/>
      <c r="E276" s="7">
        <v>0</v>
      </c>
      <c r="F276" s="8">
        <f>IFERROR(E276/E445, "NA")</f>
        <v>0</v>
      </c>
      <c r="G276" s="9"/>
      <c r="H276" s="10">
        <f t="shared" ref="H276:H285" si="68">IFERROR(-(B276-E276), "NA")</f>
        <v>0</v>
      </c>
      <c r="I276" s="8">
        <f>IFERROR(H276/H445, "NA")</f>
        <v>0</v>
      </c>
      <c r="J276" s="9"/>
      <c r="K276" s="7">
        <v>0</v>
      </c>
      <c r="L276" s="8">
        <f>IFERROR(K276/K445, "NA")</f>
        <v>0</v>
      </c>
      <c r="M276" s="9"/>
      <c r="N276" s="10">
        <f t="shared" ref="N276:N285" si="69">IFERROR(-(B276-K276), "NA")</f>
        <v>0</v>
      </c>
      <c r="O276" s="8">
        <f>IFERROR(N276/N445, "NA")</f>
        <v>0</v>
      </c>
      <c r="P276" s="9"/>
      <c r="Q276" s="7">
        <v>0</v>
      </c>
      <c r="R276" s="8">
        <f>IFERROR(Q276/Q445, "NA")</f>
        <v>0</v>
      </c>
      <c r="S276" s="9"/>
      <c r="T276" s="7">
        <v>0</v>
      </c>
      <c r="U276" s="8">
        <f>IFERROR(T276/T445, "NA")</f>
        <v>0</v>
      </c>
      <c r="V276" s="9"/>
      <c r="W276" s="10">
        <f t="shared" ref="W276:W285" si="70">IFERROR(-(Q276-T276), "NA")</f>
        <v>0</v>
      </c>
      <c r="X276" s="8">
        <f>IFERROR(W276/W445, "NA")</f>
        <v>0</v>
      </c>
      <c r="Y276" s="9"/>
      <c r="Z276" s="7">
        <v>0</v>
      </c>
      <c r="AA276" s="8">
        <f>IFERROR(Z276/Z445, "NA")</f>
        <v>0</v>
      </c>
      <c r="AB276" s="9"/>
      <c r="AC276" s="10">
        <f t="shared" ref="AC276:AC285" si="71">IFERROR(-(Q276-Z276), "NA")</f>
        <v>0</v>
      </c>
      <c r="AD276" s="8">
        <f>IFERROR(AC276/AC445,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IFERROR(B277/B445, "NA")</f>
        <v>0</v>
      </c>
      <c r="D277" s="9"/>
      <c r="E277" s="7">
        <v>0</v>
      </c>
      <c r="F277" s="8">
        <f>IFERROR(E277/E445, "NA")</f>
        <v>0</v>
      </c>
      <c r="G277" s="9"/>
      <c r="H277" s="10">
        <f t="shared" si="68"/>
        <v>0</v>
      </c>
      <c r="I277" s="8">
        <f>IFERROR(H277/H445, "NA")</f>
        <v>0</v>
      </c>
      <c r="J277" s="9"/>
      <c r="K277" s="7">
        <v>0</v>
      </c>
      <c r="L277" s="8">
        <f>IFERROR(K277/K445, "NA")</f>
        <v>0</v>
      </c>
      <c r="M277" s="9"/>
      <c r="N277" s="10">
        <f t="shared" si="69"/>
        <v>0</v>
      </c>
      <c r="O277" s="8">
        <f>IFERROR(N277/N445, "NA")</f>
        <v>0</v>
      </c>
      <c r="P277" s="9"/>
      <c r="Q277" s="7">
        <v>0</v>
      </c>
      <c r="R277" s="8">
        <f>IFERROR(Q277/Q445, "NA")</f>
        <v>0</v>
      </c>
      <c r="S277" s="9"/>
      <c r="T277" s="7">
        <v>0</v>
      </c>
      <c r="U277" s="8">
        <f>IFERROR(T277/T445, "NA")</f>
        <v>0</v>
      </c>
      <c r="V277" s="9"/>
      <c r="W277" s="10">
        <f t="shared" si="70"/>
        <v>0</v>
      </c>
      <c r="X277" s="8">
        <f>IFERROR(W277/W445, "NA")</f>
        <v>0</v>
      </c>
      <c r="Y277" s="9"/>
      <c r="Z277" s="7">
        <v>0</v>
      </c>
      <c r="AA277" s="8">
        <f>IFERROR(Z277/Z445, "NA")</f>
        <v>0</v>
      </c>
      <c r="AB277" s="9"/>
      <c r="AC277" s="10">
        <f t="shared" si="71"/>
        <v>0</v>
      </c>
      <c r="AD277" s="8">
        <f>IFERROR(AC277/AC445,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IFERROR(B278/B445, "NA")</f>
        <v>0</v>
      </c>
      <c r="D278" s="9"/>
      <c r="E278" s="7">
        <v>0</v>
      </c>
      <c r="F278" s="8">
        <f>IFERROR(E278/E445, "NA")</f>
        <v>0</v>
      </c>
      <c r="G278" s="9"/>
      <c r="H278" s="10">
        <f t="shared" si="68"/>
        <v>0</v>
      </c>
      <c r="I278" s="8">
        <f>IFERROR(H278/H445, "NA")</f>
        <v>0</v>
      </c>
      <c r="J278" s="9"/>
      <c r="K278" s="7">
        <v>0</v>
      </c>
      <c r="L278" s="8">
        <f>IFERROR(K278/K445, "NA")</f>
        <v>0</v>
      </c>
      <c r="M278" s="9"/>
      <c r="N278" s="10">
        <f t="shared" si="69"/>
        <v>0</v>
      </c>
      <c r="O278" s="8">
        <f>IFERROR(N278/N445, "NA")</f>
        <v>0</v>
      </c>
      <c r="P278" s="9"/>
      <c r="Q278" s="7">
        <v>0</v>
      </c>
      <c r="R278" s="8">
        <f>IFERROR(Q278/Q445, "NA")</f>
        <v>0</v>
      </c>
      <c r="S278" s="9"/>
      <c r="T278" s="7">
        <v>0</v>
      </c>
      <c r="U278" s="8">
        <f>IFERROR(T278/T445, "NA")</f>
        <v>0</v>
      </c>
      <c r="V278" s="9"/>
      <c r="W278" s="10">
        <f t="shared" si="70"/>
        <v>0</v>
      </c>
      <c r="X278" s="8">
        <f>IFERROR(W278/W445, "NA")</f>
        <v>0</v>
      </c>
      <c r="Y278" s="9"/>
      <c r="Z278" s="7">
        <v>0</v>
      </c>
      <c r="AA278" s="8">
        <f>IFERROR(Z278/Z445, "NA")</f>
        <v>0</v>
      </c>
      <c r="AB278" s="9"/>
      <c r="AC278" s="10">
        <f t="shared" si="71"/>
        <v>0</v>
      </c>
      <c r="AD278" s="8">
        <f>IFERROR(AC278/AC445,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IFERROR(B279/B445, "NA")</f>
        <v>0</v>
      </c>
      <c r="D279" s="9"/>
      <c r="E279" s="7">
        <v>0</v>
      </c>
      <c r="F279" s="8">
        <f>IFERROR(E279/E445, "NA")</f>
        <v>0</v>
      </c>
      <c r="G279" s="9"/>
      <c r="H279" s="10">
        <f t="shared" si="68"/>
        <v>0</v>
      </c>
      <c r="I279" s="8">
        <f>IFERROR(H279/H445, "NA")</f>
        <v>0</v>
      </c>
      <c r="J279" s="9"/>
      <c r="K279" s="7">
        <v>0</v>
      </c>
      <c r="L279" s="8">
        <f>IFERROR(K279/K445, "NA")</f>
        <v>0</v>
      </c>
      <c r="M279" s="9"/>
      <c r="N279" s="10">
        <f t="shared" si="69"/>
        <v>0</v>
      </c>
      <c r="O279" s="8">
        <f>IFERROR(N279/N445, "NA")</f>
        <v>0</v>
      </c>
      <c r="P279" s="9"/>
      <c r="Q279" s="7">
        <v>0</v>
      </c>
      <c r="R279" s="8">
        <f>IFERROR(Q279/Q445, "NA")</f>
        <v>0</v>
      </c>
      <c r="S279" s="9"/>
      <c r="T279" s="7">
        <v>0</v>
      </c>
      <c r="U279" s="8">
        <f>IFERROR(T279/T445, "NA")</f>
        <v>0</v>
      </c>
      <c r="V279" s="9"/>
      <c r="W279" s="10">
        <f t="shared" si="70"/>
        <v>0</v>
      </c>
      <c r="X279" s="8">
        <f>IFERROR(W279/W445, "NA")</f>
        <v>0</v>
      </c>
      <c r="Y279" s="9"/>
      <c r="Z279" s="7">
        <v>0</v>
      </c>
      <c r="AA279" s="8">
        <f>IFERROR(Z279/Z445, "NA")</f>
        <v>0</v>
      </c>
      <c r="AB279" s="9"/>
      <c r="AC279" s="10">
        <f t="shared" si="71"/>
        <v>0</v>
      </c>
      <c r="AD279" s="8">
        <f>IFERROR(AC279/AC445,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IFERROR(B280/B445, "NA")</f>
        <v>0</v>
      </c>
      <c r="D280" s="9"/>
      <c r="E280" s="7">
        <v>0</v>
      </c>
      <c r="F280" s="8">
        <f>IFERROR(E280/E445, "NA")</f>
        <v>0</v>
      </c>
      <c r="G280" s="9"/>
      <c r="H280" s="10">
        <f t="shared" si="68"/>
        <v>0</v>
      </c>
      <c r="I280" s="8">
        <f>IFERROR(H280/H445, "NA")</f>
        <v>0</v>
      </c>
      <c r="J280" s="9"/>
      <c r="K280" s="7">
        <v>0</v>
      </c>
      <c r="L280" s="8">
        <f>IFERROR(K280/K445, "NA")</f>
        <v>0</v>
      </c>
      <c r="M280" s="9"/>
      <c r="N280" s="10">
        <f t="shared" si="69"/>
        <v>0</v>
      </c>
      <c r="O280" s="8">
        <f>IFERROR(N280/N445, "NA")</f>
        <v>0</v>
      </c>
      <c r="P280" s="9"/>
      <c r="Q280" s="7">
        <v>0</v>
      </c>
      <c r="R280" s="8">
        <f>IFERROR(Q280/Q445, "NA")</f>
        <v>0</v>
      </c>
      <c r="S280" s="9"/>
      <c r="T280" s="7">
        <v>0</v>
      </c>
      <c r="U280" s="8">
        <f>IFERROR(T280/T445, "NA")</f>
        <v>0</v>
      </c>
      <c r="V280" s="9"/>
      <c r="W280" s="10">
        <f t="shared" si="70"/>
        <v>0</v>
      </c>
      <c r="X280" s="8">
        <f>IFERROR(W280/W445, "NA")</f>
        <v>0</v>
      </c>
      <c r="Y280" s="9"/>
      <c r="Z280" s="7">
        <v>0</v>
      </c>
      <c r="AA280" s="8">
        <f>IFERROR(Z280/Z445, "NA")</f>
        <v>0</v>
      </c>
      <c r="AB280" s="9"/>
      <c r="AC280" s="10">
        <f t="shared" si="71"/>
        <v>0</v>
      </c>
      <c r="AD280" s="8">
        <f>IFERROR(AC280/AC445,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IFERROR(B281/B445, "NA")</f>
        <v>0</v>
      </c>
      <c r="D281" s="9"/>
      <c r="E281" s="7">
        <v>0</v>
      </c>
      <c r="F281" s="8">
        <f>IFERROR(E281/E445, "NA")</f>
        <v>0</v>
      </c>
      <c r="G281" s="9"/>
      <c r="H281" s="10">
        <f t="shared" si="68"/>
        <v>0</v>
      </c>
      <c r="I281" s="8">
        <f>IFERROR(H281/H445, "NA")</f>
        <v>0</v>
      </c>
      <c r="J281" s="9"/>
      <c r="K281" s="7">
        <v>0</v>
      </c>
      <c r="L281" s="8">
        <f>IFERROR(K281/K445, "NA")</f>
        <v>0</v>
      </c>
      <c r="M281" s="9"/>
      <c r="N281" s="10">
        <f t="shared" si="69"/>
        <v>0</v>
      </c>
      <c r="O281" s="8">
        <f>IFERROR(N281/N445, "NA")</f>
        <v>0</v>
      </c>
      <c r="P281" s="9"/>
      <c r="Q281" s="7">
        <v>0</v>
      </c>
      <c r="R281" s="8">
        <f>IFERROR(Q281/Q445, "NA")</f>
        <v>0</v>
      </c>
      <c r="S281" s="9"/>
      <c r="T281" s="7">
        <v>0</v>
      </c>
      <c r="U281" s="8">
        <f>IFERROR(T281/T445, "NA")</f>
        <v>0</v>
      </c>
      <c r="V281" s="9"/>
      <c r="W281" s="10">
        <f t="shared" si="70"/>
        <v>0</v>
      </c>
      <c r="X281" s="8">
        <f>IFERROR(W281/W445, "NA")</f>
        <v>0</v>
      </c>
      <c r="Y281" s="9"/>
      <c r="Z281" s="7">
        <v>0</v>
      </c>
      <c r="AA281" s="8">
        <f>IFERROR(Z281/Z445, "NA")</f>
        <v>0</v>
      </c>
      <c r="AB281" s="9"/>
      <c r="AC281" s="10">
        <f t="shared" si="71"/>
        <v>0</v>
      </c>
      <c r="AD281" s="8">
        <f>IFERROR(AC281/AC445,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IFERROR(B282/B445, "NA")</f>
        <v>0</v>
      </c>
      <c r="D282" s="9"/>
      <c r="E282" s="7">
        <v>0</v>
      </c>
      <c r="F282" s="8">
        <f>IFERROR(E282/E445, "NA")</f>
        <v>0</v>
      </c>
      <c r="G282" s="9"/>
      <c r="H282" s="10">
        <f t="shared" si="68"/>
        <v>0</v>
      </c>
      <c r="I282" s="8">
        <f>IFERROR(H282/H445, "NA")</f>
        <v>0</v>
      </c>
      <c r="J282" s="9"/>
      <c r="K282" s="7">
        <v>0</v>
      </c>
      <c r="L282" s="8">
        <f>IFERROR(K282/K445, "NA")</f>
        <v>0</v>
      </c>
      <c r="M282" s="9"/>
      <c r="N282" s="10">
        <f t="shared" si="69"/>
        <v>0</v>
      </c>
      <c r="O282" s="8">
        <f>IFERROR(N282/N445, "NA")</f>
        <v>0</v>
      </c>
      <c r="P282" s="9"/>
      <c r="Q282" s="7">
        <v>0</v>
      </c>
      <c r="R282" s="8">
        <f>IFERROR(Q282/Q445, "NA")</f>
        <v>0</v>
      </c>
      <c r="S282" s="9"/>
      <c r="T282" s="7">
        <v>0</v>
      </c>
      <c r="U282" s="8">
        <f>IFERROR(T282/T445, "NA")</f>
        <v>0</v>
      </c>
      <c r="V282" s="9"/>
      <c r="W282" s="10">
        <f t="shared" si="70"/>
        <v>0</v>
      </c>
      <c r="X282" s="8">
        <f>IFERROR(W282/W445, "NA")</f>
        <v>0</v>
      </c>
      <c r="Y282" s="9"/>
      <c r="Z282" s="7">
        <v>0</v>
      </c>
      <c r="AA282" s="8">
        <f>IFERROR(Z282/Z445, "NA")</f>
        <v>0</v>
      </c>
      <c r="AB282" s="9"/>
      <c r="AC282" s="10">
        <f t="shared" si="71"/>
        <v>0</v>
      </c>
      <c r="AD282" s="8">
        <f>IFERROR(AC282/AC445,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IFERROR(B283/B445, "NA")</f>
        <v>0</v>
      </c>
      <c r="D283" s="9"/>
      <c r="E283" s="7">
        <v>0</v>
      </c>
      <c r="F283" s="8">
        <f>IFERROR(E283/E445, "NA")</f>
        <v>0</v>
      </c>
      <c r="G283" s="9"/>
      <c r="H283" s="10">
        <f t="shared" si="68"/>
        <v>0</v>
      </c>
      <c r="I283" s="8">
        <f>IFERROR(H283/H445, "NA")</f>
        <v>0</v>
      </c>
      <c r="J283" s="9"/>
      <c r="K283" s="7">
        <v>0</v>
      </c>
      <c r="L283" s="8">
        <f>IFERROR(K283/K445, "NA")</f>
        <v>0</v>
      </c>
      <c r="M283" s="9"/>
      <c r="N283" s="10">
        <f t="shared" si="69"/>
        <v>0</v>
      </c>
      <c r="O283" s="8">
        <f>IFERROR(N283/N445, "NA")</f>
        <v>0</v>
      </c>
      <c r="P283" s="9"/>
      <c r="Q283" s="7">
        <v>0</v>
      </c>
      <c r="R283" s="8">
        <f>IFERROR(Q283/Q445, "NA")</f>
        <v>0</v>
      </c>
      <c r="S283" s="9"/>
      <c r="T283" s="7">
        <v>0</v>
      </c>
      <c r="U283" s="8">
        <f>IFERROR(T283/T445, "NA")</f>
        <v>0</v>
      </c>
      <c r="V283" s="9"/>
      <c r="W283" s="10">
        <f t="shared" si="70"/>
        <v>0</v>
      </c>
      <c r="X283" s="8">
        <f>IFERROR(W283/W445, "NA")</f>
        <v>0</v>
      </c>
      <c r="Y283" s="9"/>
      <c r="Z283" s="7">
        <v>0</v>
      </c>
      <c r="AA283" s="8">
        <f>IFERROR(Z283/Z445, "NA")</f>
        <v>0</v>
      </c>
      <c r="AB283" s="9"/>
      <c r="AC283" s="10">
        <f t="shared" si="71"/>
        <v>0</v>
      </c>
      <c r="AD283" s="8">
        <f>IFERROR(AC283/AC445, "NA")</f>
        <v>0</v>
      </c>
    </row>
    <row r="284" spans="1:30" ht="16.5" hidden="1" customHeight="1" x14ac:dyDescent="0.45">
      <c r="A284" s="6" t="s">
        <v>258</v>
      </c>
      <c r="B284" s="7">
        <v>0</v>
      </c>
      <c r="C284" s="8">
        <f>IFERROR(B284/B445, "NA")</f>
        <v>0</v>
      </c>
      <c r="D284" s="9"/>
      <c r="E284" s="7">
        <v>0</v>
      </c>
      <c r="F284" s="8">
        <f>IFERROR(E284/E445, "NA")</f>
        <v>0</v>
      </c>
      <c r="G284" s="9"/>
      <c r="H284" s="10">
        <f t="shared" si="68"/>
        <v>0</v>
      </c>
      <c r="I284" s="8">
        <f>IFERROR(H284/H445, "NA")</f>
        <v>0</v>
      </c>
      <c r="J284" s="9"/>
      <c r="K284" s="7">
        <v>0</v>
      </c>
      <c r="L284" s="8">
        <f>IFERROR(K284/K445, "NA")</f>
        <v>0</v>
      </c>
      <c r="M284" s="9"/>
      <c r="N284" s="10">
        <f t="shared" si="69"/>
        <v>0</v>
      </c>
      <c r="O284" s="8">
        <f>IFERROR(N284/N445, "NA")</f>
        <v>0</v>
      </c>
      <c r="P284" s="9"/>
      <c r="Q284" s="7">
        <v>0</v>
      </c>
      <c r="R284" s="8">
        <f>IFERROR(Q284/Q445, "NA")</f>
        <v>0</v>
      </c>
      <c r="S284" s="9"/>
      <c r="T284" s="7">
        <v>0</v>
      </c>
      <c r="U284" s="8">
        <f>IFERROR(T284/T445, "NA")</f>
        <v>0</v>
      </c>
      <c r="V284" s="9"/>
      <c r="W284" s="10">
        <f t="shared" si="70"/>
        <v>0</v>
      </c>
      <c r="X284" s="8">
        <f>IFERROR(W284/W445, "NA")</f>
        <v>0</v>
      </c>
      <c r="Y284" s="9"/>
      <c r="Z284" s="7">
        <v>0</v>
      </c>
      <c r="AA284" s="8">
        <f>IFERROR(Z284/Z445, "NA")</f>
        <v>0</v>
      </c>
      <c r="AB284" s="9"/>
      <c r="AC284" s="10">
        <f t="shared" si="71"/>
        <v>0</v>
      </c>
      <c r="AD284" s="8">
        <f>IFERROR(AC284/AC445, "NA")</f>
        <v>0</v>
      </c>
    </row>
    <row r="285" spans="1:30" ht="16.5" customHeight="1" x14ac:dyDescent="0.45">
      <c r="A285" s="19" t="s">
        <v>259</v>
      </c>
      <c r="B285" s="14">
        <f>IFERROR(B276+B277+B278+B279+B280+B281+B282+B283+B284, "NA")</f>
        <v>0</v>
      </c>
      <c r="C285" s="15">
        <f>IFERROR(B285/B445, "NA")</f>
        <v>0</v>
      </c>
      <c r="D285" s="2"/>
      <c r="E285" s="14">
        <f>IFERROR(E276+E277+E278+E279+E280+E281+E282+E283+E284, "NA")</f>
        <v>0</v>
      </c>
      <c r="F285" s="15">
        <f>IFERROR(E285/E445, "NA")</f>
        <v>0</v>
      </c>
      <c r="G285" s="2"/>
      <c r="H285" s="14">
        <f t="shared" si="68"/>
        <v>0</v>
      </c>
      <c r="I285" s="15">
        <f>IFERROR(H285/H445, "NA")</f>
        <v>0</v>
      </c>
      <c r="J285" s="2"/>
      <c r="K285" s="14">
        <f>IFERROR(K276+K277+K278+K279+K280+K281+K282+K283+K284, "NA")</f>
        <v>0</v>
      </c>
      <c r="L285" s="15">
        <f>IFERROR(K285/K445, "NA")</f>
        <v>0</v>
      </c>
      <c r="M285" s="2"/>
      <c r="N285" s="14">
        <f t="shared" si="69"/>
        <v>0</v>
      </c>
      <c r="O285" s="15">
        <f>IFERROR(N285/N445, "NA")</f>
        <v>0</v>
      </c>
      <c r="P285" s="2"/>
      <c r="Q285" s="14">
        <f>IFERROR(Q276+Q277+Q278+Q279+Q280+Q281+Q282+Q283+Q284, "NA")</f>
        <v>0</v>
      </c>
      <c r="R285" s="15">
        <f>IFERROR(Q285/Q445, "NA")</f>
        <v>0</v>
      </c>
      <c r="S285" s="2"/>
      <c r="T285" s="14">
        <f>IFERROR(T276+T277+T278+T279+T280+T281+T282+T283+T284, "NA")</f>
        <v>0</v>
      </c>
      <c r="U285" s="15">
        <f>IFERROR(T285/T445, "NA")</f>
        <v>0</v>
      </c>
      <c r="V285" s="2"/>
      <c r="W285" s="14">
        <f t="shared" si="70"/>
        <v>0</v>
      </c>
      <c r="X285" s="15">
        <f>IFERROR(W285/W445, "NA")</f>
        <v>0</v>
      </c>
      <c r="Y285" s="2"/>
      <c r="Z285" s="14">
        <f>IFERROR(Z276+Z277+Z278+Z279+Z280+Z281+Z282+Z283+Z284, "NA")</f>
        <v>0</v>
      </c>
      <c r="AA285" s="15">
        <f>IFERROR(Z285/Z445, "NA")</f>
        <v>0</v>
      </c>
      <c r="AB285" s="2"/>
      <c r="AC285" s="14">
        <f t="shared" si="71"/>
        <v>0</v>
      </c>
      <c r="AD285" s="15">
        <f>IFERROR(AC285/AC445, "NA")</f>
        <v>0</v>
      </c>
    </row>
    <row r="286" spans="1:30" ht="16.5" customHeight="1" x14ac:dyDescent="0.45">
      <c r="A286" s="5" t="s">
        <v>260</v>
      </c>
      <c r="B286" s="2"/>
      <c r="C286" s="3"/>
      <c r="D286" s="4"/>
      <c r="E286" s="2"/>
      <c r="F286" s="3"/>
      <c r="G286" s="4"/>
      <c r="H286" s="2"/>
      <c r="I286" s="3"/>
      <c r="J286" s="4"/>
      <c r="K286" s="2"/>
      <c r="L286" s="3"/>
      <c r="M286" s="4"/>
      <c r="N286" s="2"/>
      <c r="O286" s="3"/>
      <c r="P286" s="4"/>
      <c r="Q286" s="2"/>
      <c r="R286" s="3"/>
      <c r="S286" s="4"/>
      <c r="T286" s="2"/>
      <c r="U286" s="3"/>
      <c r="V286" s="4"/>
      <c r="W286" s="2"/>
      <c r="X286" s="3"/>
      <c r="Y286" s="4"/>
      <c r="Z286" s="2"/>
      <c r="AA286" s="3"/>
      <c r="AB286" s="4"/>
      <c r="AC286" s="2"/>
      <c r="AD286" s="3"/>
    </row>
    <row r="287" spans="1:30" ht="16.5" hidden="1" customHeight="1" x14ac:dyDescent="0.45">
      <c r="A287" s="6" t="s">
        <v>260</v>
      </c>
      <c r="B287" s="7">
        <v>0</v>
      </c>
      <c r="C287" s="8">
        <f>IFERROR(B287/B445, "NA")</f>
        <v>0</v>
      </c>
      <c r="D287" s="9"/>
      <c r="E287" s="7">
        <v>0</v>
      </c>
      <c r="F287" s="8">
        <f>IFERROR(E287/E445, "NA")</f>
        <v>0</v>
      </c>
      <c r="G287" s="9"/>
      <c r="H287" s="10">
        <f t="shared" ref="H287:H296" si="72">IFERROR(-(B287-E287), "NA")</f>
        <v>0</v>
      </c>
      <c r="I287" s="8">
        <f>IFERROR(H287/H445, "NA")</f>
        <v>0</v>
      </c>
      <c r="J287" s="9"/>
      <c r="K287" s="7">
        <v>0</v>
      </c>
      <c r="L287" s="8">
        <f>IFERROR(K287/K445, "NA")</f>
        <v>0</v>
      </c>
      <c r="M287" s="9"/>
      <c r="N287" s="10">
        <f t="shared" ref="N287:N296" si="73">IFERROR(-(B287-K287), "NA")</f>
        <v>0</v>
      </c>
      <c r="O287" s="8">
        <f>IFERROR(N287/N445, "NA")</f>
        <v>0</v>
      </c>
      <c r="P287" s="9"/>
      <c r="Q287" s="7">
        <v>0</v>
      </c>
      <c r="R287" s="8">
        <f>IFERROR(Q287/Q445, "NA")</f>
        <v>0</v>
      </c>
      <c r="S287" s="9"/>
      <c r="T287" s="7">
        <v>0</v>
      </c>
      <c r="U287" s="8">
        <f>IFERROR(T287/T445, "NA")</f>
        <v>0</v>
      </c>
      <c r="V287" s="9"/>
      <c r="W287" s="10">
        <f t="shared" ref="W287:W296" si="74">IFERROR(-(Q287-T287), "NA")</f>
        <v>0</v>
      </c>
      <c r="X287" s="8">
        <f>IFERROR(W287/W445, "NA")</f>
        <v>0</v>
      </c>
      <c r="Y287" s="9"/>
      <c r="Z287" s="7">
        <v>0</v>
      </c>
      <c r="AA287" s="8">
        <f>IFERROR(Z287/Z445, "NA")</f>
        <v>0</v>
      </c>
      <c r="AB287" s="9"/>
      <c r="AC287" s="10">
        <f t="shared" ref="AC287:AC296" si="75">IFERROR(-(Q287-Z287), "NA")</f>
        <v>0</v>
      </c>
      <c r="AD287" s="8">
        <f>IFERROR(AC287/AC445, "NA")</f>
        <v>0</v>
      </c>
    </row>
    <row r="288" spans="1:30" ht="16.5" customHeight="1" x14ac:dyDescent="0.45">
      <c r="A288" s="6" t="s">
        <v>261</v>
      </c>
      <c r="B288" s="7">
        <v>1067.5899999999999</v>
      </c>
      <c r="C288" s="8">
        <f>IFERROR(B288/B445, "NA")</f>
        <v>1.795881548828106E-3</v>
      </c>
      <c r="D288" s="9"/>
      <c r="E288" s="7">
        <v>971</v>
      </c>
      <c r="F288" s="8">
        <f>IFERROR(E288/E445, "NA")</f>
        <v>1.4968737768047738E-3</v>
      </c>
      <c r="G288" s="9"/>
      <c r="H288" s="10">
        <f t="shared" si="72"/>
        <v>-96.589999999999918</v>
      </c>
      <c r="I288" s="8">
        <f>IFERROR(H288/H445, "NA")</f>
        <v>1.7814597604776724E-3</v>
      </c>
      <c r="J288" s="9"/>
      <c r="K288" s="7">
        <v>970.53</v>
      </c>
      <c r="L288" s="8">
        <f>IFERROR(K288/K445, "NA")</f>
        <v>1.6336153820711331E-3</v>
      </c>
      <c r="M288" s="9"/>
      <c r="N288" s="10">
        <f t="shared" si="73"/>
        <v>-97.059999999999945</v>
      </c>
      <c r="O288" s="8">
        <f>IFERROR(N288/N445, "NA")</f>
        <v>-0.26500300333087595</v>
      </c>
      <c r="P288" s="9"/>
      <c r="Q288" s="7">
        <v>5337.95</v>
      </c>
      <c r="R288" s="8">
        <f>IFERROR(Q288/Q445, "NA")</f>
        <v>1.8199830163103817E-3</v>
      </c>
      <c r="S288" s="9"/>
      <c r="T288" s="7">
        <v>4855</v>
      </c>
      <c r="U288" s="8">
        <f>IFERROR(T288/T445, "NA")</f>
        <v>1.5825525585099508E-3</v>
      </c>
      <c r="V288" s="9"/>
      <c r="W288" s="10">
        <f t="shared" si="74"/>
        <v>-482.94999999999982</v>
      </c>
      <c r="X288" s="8">
        <f>IFERROR(W288/W445, "NA")</f>
        <v>3.5810768174530249E-3</v>
      </c>
      <c r="Y288" s="9"/>
      <c r="Z288" s="7">
        <v>4852.6499999999996</v>
      </c>
      <c r="AA288" s="8">
        <f>IFERROR(Z288/Z445, "NA")</f>
        <v>1.6987083032773648E-3</v>
      </c>
      <c r="AB288" s="9"/>
      <c r="AC288" s="10">
        <f t="shared" si="75"/>
        <v>-485.30000000000018</v>
      </c>
      <c r="AD288" s="8">
        <f>IFERROR(AC288/AC445, "NA")</f>
        <v>-6.3607220107588661E-3</v>
      </c>
    </row>
    <row r="289" spans="1:30" ht="16.5" customHeight="1" x14ac:dyDescent="0.45">
      <c r="A289" s="6" t="s">
        <v>262</v>
      </c>
      <c r="B289" s="7">
        <v>839.24</v>
      </c>
      <c r="C289" s="8">
        <f>IFERROR(B289/B445, "NA")</f>
        <v>1.411755103587051E-3</v>
      </c>
      <c r="D289" s="9"/>
      <c r="E289" s="7">
        <v>843</v>
      </c>
      <c r="F289" s="8">
        <f>IFERROR(E289/E445, "NA")</f>
        <v>1.2995515899551229E-3</v>
      </c>
      <c r="G289" s="9"/>
      <c r="H289" s="10">
        <f t="shared" si="72"/>
        <v>3.7599999999999909</v>
      </c>
      <c r="I289" s="8">
        <f>IFERROR(H289/H445, "NA")</f>
        <v>-6.9347641571550239E-5</v>
      </c>
      <c r="J289" s="9"/>
      <c r="K289" s="7">
        <v>952.13</v>
      </c>
      <c r="L289" s="8">
        <f>IFERROR(K289/K445, "NA")</f>
        <v>1.6026441364320402E-3</v>
      </c>
      <c r="M289" s="9"/>
      <c r="N289" s="10">
        <f t="shared" si="73"/>
        <v>112.88999999999999</v>
      </c>
      <c r="O289" s="8">
        <f>IFERROR(N289/N445, "NA")</f>
        <v>0.3082236662479147</v>
      </c>
      <c r="P289" s="9"/>
      <c r="Q289" s="7">
        <v>4196.1400000000003</v>
      </c>
      <c r="R289" s="8">
        <f>IFERROR(Q289/Q445, "NA")</f>
        <v>1.4306809794135662E-3</v>
      </c>
      <c r="S289" s="9"/>
      <c r="T289" s="7">
        <v>4215</v>
      </c>
      <c r="U289" s="8">
        <f>IFERROR(T289/T445, "NA")</f>
        <v>1.373935949355189E-3</v>
      </c>
      <c r="V289" s="9"/>
      <c r="W289" s="10">
        <f t="shared" si="74"/>
        <v>18.859999999999673</v>
      </c>
      <c r="X289" s="8">
        <f>IFERROR(W289/W445, "NA")</f>
        <v>-1.3984700026330448E-4</v>
      </c>
      <c r="Y289" s="9"/>
      <c r="Z289" s="7">
        <v>4754.07</v>
      </c>
      <c r="AA289" s="8">
        <f>IFERROR(Z289/Z445, "NA")</f>
        <v>1.6641995988504882E-3</v>
      </c>
      <c r="AB289" s="9"/>
      <c r="AC289" s="10">
        <f t="shared" si="75"/>
        <v>557.92999999999938</v>
      </c>
      <c r="AD289" s="8">
        <f>IFERROR(AC289/AC445, "NA")</f>
        <v>7.3126676931025945E-3</v>
      </c>
    </row>
    <row r="290" spans="1:30" ht="16.5" customHeight="1" x14ac:dyDescent="0.45">
      <c r="A290" s="6" t="s">
        <v>263</v>
      </c>
      <c r="B290" s="7">
        <v>1482.32</v>
      </c>
      <c r="C290" s="8">
        <f>IFERROR(B290/B445, "NA")</f>
        <v>2.4935332266683638E-3</v>
      </c>
      <c r="D290" s="9"/>
      <c r="E290" s="7">
        <v>1149</v>
      </c>
      <c r="F290" s="8">
        <f>IFERROR(E290/E445, "NA")</f>
        <v>1.7712749428925696E-3</v>
      </c>
      <c r="G290" s="9"/>
      <c r="H290" s="10">
        <f t="shared" si="72"/>
        <v>-333.31999999999994</v>
      </c>
      <c r="I290" s="8">
        <f>IFERROR(H290/H445, "NA")</f>
        <v>6.1475946512311638E-3</v>
      </c>
      <c r="J290" s="9"/>
      <c r="K290" s="7">
        <v>1098.8</v>
      </c>
      <c r="L290" s="8">
        <f>IFERROR(K290/K445, "NA")</f>
        <v>1.8495219950127879E-3</v>
      </c>
      <c r="M290" s="9"/>
      <c r="N290" s="10">
        <f t="shared" si="73"/>
        <v>-383.52</v>
      </c>
      <c r="O290" s="8">
        <f>IFERROR(N290/N445, "NA")</f>
        <v>-1.0471249931738884</v>
      </c>
      <c r="P290" s="9"/>
      <c r="Q290" s="7">
        <v>6391.49</v>
      </c>
      <c r="R290" s="8">
        <f>IFERROR(Q290/Q445, "NA")</f>
        <v>2.1791892484788432E-3</v>
      </c>
      <c r="S290" s="9"/>
      <c r="T290" s="7">
        <v>5745</v>
      </c>
      <c r="U290" s="8">
        <f>IFERROR(T290/T445, "NA")</f>
        <v>1.8726600306157915E-3</v>
      </c>
      <c r="V290" s="9"/>
      <c r="W290" s="10">
        <f t="shared" si="74"/>
        <v>-646.48999999999978</v>
      </c>
      <c r="X290" s="8">
        <f>IFERROR(W290/W445, "NA")</f>
        <v>4.7937267868624206E-3</v>
      </c>
      <c r="Y290" s="9"/>
      <c r="Z290" s="7">
        <v>5317.1900000000005</v>
      </c>
      <c r="AA290" s="8">
        <f>IFERROR(Z290/Z445, "NA")</f>
        <v>1.8613241843329672E-3</v>
      </c>
      <c r="AB290" s="9"/>
      <c r="AC290" s="10">
        <f t="shared" si="75"/>
        <v>-1074.2999999999993</v>
      </c>
      <c r="AD290" s="8">
        <f>IFERROR(AC290/AC445, "NA")</f>
        <v>-1.4080617465811339E-2</v>
      </c>
    </row>
    <row r="291" spans="1:30" ht="16.5" customHeight="1" x14ac:dyDescent="0.45">
      <c r="A291" s="6" t="s">
        <v>264</v>
      </c>
      <c r="B291" s="7">
        <v>803.05</v>
      </c>
      <c r="C291" s="8">
        <f>IFERROR(B291/B445, "NA")</f>
        <v>1.3508769076016173E-3</v>
      </c>
      <c r="D291" s="9"/>
      <c r="E291" s="7">
        <v>3423.95</v>
      </c>
      <c r="F291" s="8">
        <f>IFERROR(E291/E445, "NA")</f>
        <v>5.2782914192489238E-3</v>
      </c>
      <c r="G291" s="9"/>
      <c r="H291" s="10">
        <f t="shared" si="72"/>
        <v>2620.8999999999996</v>
      </c>
      <c r="I291" s="8">
        <f>IFERROR(H291/H445, "NA")</f>
        <v>-4.8338626009275645E-2</v>
      </c>
      <c r="J291" s="9"/>
      <c r="K291" s="7">
        <v>3776.0900000000006</v>
      </c>
      <c r="L291" s="8">
        <f>IFERROR(K291/K445, "NA")</f>
        <v>6.3559897252892603E-3</v>
      </c>
      <c r="M291" s="9"/>
      <c r="N291" s="10">
        <f t="shared" si="73"/>
        <v>2973.0400000000009</v>
      </c>
      <c r="O291" s="8">
        <f>IFERROR(N291/N445, "NA")</f>
        <v>8.117293725765796</v>
      </c>
      <c r="P291" s="9"/>
      <c r="Q291" s="7">
        <v>12567.59</v>
      </c>
      <c r="R291" s="8">
        <f>IFERROR(Q291/Q445, "NA")</f>
        <v>4.2849409147616953E-3</v>
      </c>
      <c r="S291" s="9"/>
      <c r="T291" s="7">
        <v>15576.650000000001</v>
      </c>
      <c r="U291" s="8">
        <f>IFERROR(T291/T445, "NA")</f>
        <v>5.0774186015476886E-3</v>
      </c>
      <c r="V291" s="9"/>
      <c r="W291" s="10">
        <f t="shared" si="74"/>
        <v>3009.0600000000013</v>
      </c>
      <c r="X291" s="8">
        <f>IFERROR(W291/W445, "NA")</f>
        <v>-2.2312195896728872E-2</v>
      </c>
      <c r="Y291" s="9"/>
      <c r="Z291" s="7">
        <v>15962.369999999999</v>
      </c>
      <c r="AA291" s="8">
        <f>IFERROR(Z291/Z445, "NA")</f>
        <v>5.5877531779513273E-3</v>
      </c>
      <c r="AB291" s="9"/>
      <c r="AC291" s="10">
        <f t="shared" si="75"/>
        <v>3394.7799999999988</v>
      </c>
      <c r="AD291" s="8">
        <f>IFERROR(AC291/AC445, "NA")</f>
        <v>4.4494646337696203E-2</v>
      </c>
    </row>
    <row r="292" spans="1:30" ht="16.5" customHeight="1" x14ac:dyDescent="0.45">
      <c r="A292" s="6" t="s">
        <v>265</v>
      </c>
      <c r="B292" s="7">
        <v>4734.6099999999997</v>
      </c>
      <c r="C292" s="8">
        <f>IFERROR(B292/B445, "NA")</f>
        <v>7.9644795660291298E-3</v>
      </c>
      <c r="D292" s="9"/>
      <c r="E292" s="7">
        <v>3355.68</v>
      </c>
      <c r="F292" s="8">
        <f>IFERROR(E292/E445, "NA")</f>
        <v>5.1730477809971602E-3</v>
      </c>
      <c r="G292" s="9"/>
      <c r="H292" s="10">
        <f t="shared" si="72"/>
        <v>-1378.9299999999998</v>
      </c>
      <c r="I292" s="8">
        <f>IFERROR(H292/H445, "NA")</f>
        <v>2.5432325370281381E-2</v>
      </c>
      <c r="J292" s="9"/>
      <c r="K292" s="7">
        <v>3150.98</v>
      </c>
      <c r="L292" s="8">
        <f>IFERROR(K292/K445, "NA")</f>
        <v>5.303792151297229E-3</v>
      </c>
      <c r="M292" s="9"/>
      <c r="N292" s="10">
        <f t="shared" si="73"/>
        <v>-1583.6299999999997</v>
      </c>
      <c r="O292" s="8">
        <f>IFERROR(N292/N445, "NA")</f>
        <v>-4.3237863812577295</v>
      </c>
      <c r="P292" s="9"/>
      <c r="Q292" s="7">
        <v>29667.59</v>
      </c>
      <c r="R292" s="8">
        <f>IFERROR(Q292/Q445, "NA")</f>
        <v>1.0115214630121999E-2</v>
      </c>
      <c r="S292" s="9"/>
      <c r="T292" s="7">
        <v>16105.230000000001</v>
      </c>
      <c r="U292" s="8">
        <f>IFERROR(T292/T445, "NA")</f>
        <v>5.2497163629024136E-3</v>
      </c>
      <c r="V292" s="9"/>
      <c r="W292" s="10">
        <f t="shared" si="74"/>
        <v>-13562.359999999999</v>
      </c>
      <c r="X292" s="8">
        <f>IFERROR(W292/W445, "NA")</f>
        <v>0.10056497150005636</v>
      </c>
      <c r="Y292" s="9"/>
      <c r="Z292" s="7">
        <v>20304.12</v>
      </c>
      <c r="AA292" s="8">
        <f>IFERROR(Z292/Z445, "NA")</f>
        <v>7.1076169175069313E-3</v>
      </c>
      <c r="AB292" s="9"/>
      <c r="AC292" s="10">
        <f t="shared" si="75"/>
        <v>-9363.4700000000012</v>
      </c>
      <c r="AD292" s="8">
        <f>IFERROR(AC292/AC445, "NA")</f>
        <v>-0.12272497367830271</v>
      </c>
    </row>
    <row r="293" spans="1:30" ht="16.5" customHeight="1" x14ac:dyDescent="0.45">
      <c r="A293" s="6" t="s">
        <v>266</v>
      </c>
      <c r="B293" s="7">
        <v>259.95</v>
      </c>
      <c r="C293" s="8">
        <f>IFERROR(B293/B445, "NA")</f>
        <v>4.3728342211697956E-4</v>
      </c>
      <c r="D293" s="9"/>
      <c r="E293" s="7">
        <v>930.01</v>
      </c>
      <c r="F293" s="8">
        <f>IFERROR(E293/E445, "NA")</f>
        <v>1.4336844296253426E-3</v>
      </c>
      <c r="G293" s="9"/>
      <c r="H293" s="10">
        <f t="shared" si="72"/>
        <v>670.06</v>
      </c>
      <c r="I293" s="8">
        <f>IFERROR(H293/H445, "NA")</f>
        <v>-1.2358266146657729E-2</v>
      </c>
      <c r="J293" s="9"/>
      <c r="K293" s="7">
        <v>500.86</v>
      </c>
      <c r="L293" s="8">
        <f>IFERROR(K293/K445, "NA")</f>
        <v>8.4305750493456955E-4</v>
      </c>
      <c r="M293" s="9"/>
      <c r="N293" s="10">
        <f t="shared" si="73"/>
        <v>240.91000000000003</v>
      </c>
      <c r="O293" s="8">
        <f>IFERROR(N293/N445, "NA")</f>
        <v>0.65775678479745903</v>
      </c>
      <c r="P293" s="9"/>
      <c r="Q293" s="7">
        <v>1586.97</v>
      </c>
      <c r="R293" s="8">
        <f>IFERROR(Q293/Q445, "NA")</f>
        <v>5.4108008643656959E-4</v>
      </c>
      <c r="S293" s="9"/>
      <c r="T293" s="7">
        <v>4428.8599999999997</v>
      </c>
      <c r="U293" s="8">
        <f>IFERROR(T293/T445, "NA")</f>
        <v>1.4436464931580598E-3</v>
      </c>
      <c r="V293" s="9"/>
      <c r="W293" s="10">
        <f t="shared" si="74"/>
        <v>2841.8899999999994</v>
      </c>
      <c r="X293" s="8">
        <f>IFERROR(W293/W445, "NA")</f>
        <v>-2.1072629458021696E-2</v>
      </c>
      <c r="Y293" s="9"/>
      <c r="Z293" s="7">
        <v>3925.0000000000005</v>
      </c>
      <c r="AA293" s="8">
        <f>IFERROR(Z293/Z445, "NA")</f>
        <v>1.3739771239144917E-3</v>
      </c>
      <c r="AB293" s="9"/>
      <c r="AC293" s="10">
        <f t="shared" si="75"/>
        <v>2338.0300000000007</v>
      </c>
      <c r="AD293" s="8">
        <f>IFERROR(AC293/AC445, "NA")</f>
        <v>3.0644052921521843E-2</v>
      </c>
    </row>
    <row r="294" spans="1:30" ht="16.5" customHeight="1" x14ac:dyDescent="0.45">
      <c r="A294" s="6" t="s">
        <v>267</v>
      </c>
      <c r="B294" s="7">
        <v>662.88</v>
      </c>
      <c r="C294" s="8">
        <f>IFERROR(B294/B445, "NA")</f>
        <v>1.1150853427693919E-3</v>
      </c>
      <c r="D294" s="9"/>
      <c r="E294" s="7">
        <v>886.34999999999991</v>
      </c>
      <c r="F294" s="8">
        <f>IFERROR(E294/E445, "NA")</f>
        <v>1.3663790649545943E-3</v>
      </c>
      <c r="G294" s="9"/>
      <c r="H294" s="10">
        <f t="shared" si="72"/>
        <v>223.46999999999991</v>
      </c>
      <c r="I294" s="8">
        <f>IFERROR(H294/H445, "NA")</f>
        <v>-4.1215737930836074E-3</v>
      </c>
      <c r="J294" s="9"/>
      <c r="K294" s="7">
        <v>667.96</v>
      </c>
      <c r="L294" s="8">
        <f>IFERROR(K294/K445, "NA")</f>
        <v>1.1243235454939406E-3</v>
      </c>
      <c r="M294" s="9"/>
      <c r="N294" s="10">
        <f t="shared" si="73"/>
        <v>5.0800000000000409</v>
      </c>
      <c r="O294" s="8">
        <f>IFERROR(N294/N445, "NA")</f>
        <v>1.3869928466112317E-2</v>
      </c>
      <c r="P294" s="9"/>
      <c r="Q294" s="7">
        <v>1724.5700000000002</v>
      </c>
      <c r="R294" s="8">
        <f>IFERROR(Q294/Q445, "NA")</f>
        <v>5.8799503750286075E-4</v>
      </c>
      <c r="S294" s="9"/>
      <c r="T294" s="7">
        <v>4247.2699999999995</v>
      </c>
      <c r="U294" s="8">
        <f>IFERROR(T294/T445, "NA")</f>
        <v>1.3844547899449142E-3</v>
      </c>
      <c r="V294" s="9"/>
      <c r="W294" s="10">
        <f t="shared" si="74"/>
        <v>2522.6999999999994</v>
      </c>
      <c r="X294" s="8">
        <f>IFERROR(W294/W445, "NA")</f>
        <v>-1.8705833911147628E-2</v>
      </c>
      <c r="Y294" s="9"/>
      <c r="Z294" s="7">
        <v>1488.1000000000001</v>
      </c>
      <c r="AA294" s="8">
        <f>IFERROR(Z294/Z445, "NA")</f>
        <v>5.2092111034322418E-4</v>
      </c>
      <c r="AB294" s="9"/>
      <c r="AC294" s="10">
        <f t="shared" si="75"/>
        <v>-236.47000000000003</v>
      </c>
      <c r="AD294" s="8">
        <f>IFERROR(AC294/AC445, "NA")</f>
        <v>-3.0993610836269293E-3</v>
      </c>
    </row>
    <row r="295" spans="1:30" ht="16.5" customHeight="1" x14ac:dyDescent="0.45">
      <c r="A295" s="6" t="s">
        <v>268</v>
      </c>
      <c r="B295" s="7">
        <v>1567.99</v>
      </c>
      <c r="C295" s="8">
        <f>IFERROR(B295/B445, "NA")</f>
        <v>2.6376458282177449E-3</v>
      </c>
      <c r="D295" s="9"/>
      <c r="E295" s="7">
        <v>1784</v>
      </c>
      <c r="F295" s="8">
        <f>IFERROR(E295/E445, "NA")</f>
        <v>2.7501779792170095E-3</v>
      </c>
      <c r="G295" s="9"/>
      <c r="H295" s="10">
        <f t="shared" si="72"/>
        <v>216.01</v>
      </c>
      <c r="I295" s="8">
        <f>IFERROR(H295/H445, "NA")</f>
        <v>-3.9839851212421819E-3</v>
      </c>
      <c r="J295" s="9"/>
      <c r="K295" s="7">
        <v>1786.56</v>
      </c>
      <c r="L295" s="8">
        <f>IFERROR(K295/K445, "NA")</f>
        <v>3.007173293966187E-3</v>
      </c>
      <c r="M295" s="9"/>
      <c r="N295" s="10">
        <f t="shared" si="73"/>
        <v>218.56999999999994</v>
      </c>
      <c r="O295" s="8">
        <f>IFERROR(N295/N445, "NA")</f>
        <v>0.59676186315711488</v>
      </c>
      <c r="P295" s="9"/>
      <c r="Q295" s="7">
        <v>8121.2900000000009</v>
      </c>
      <c r="R295" s="8">
        <f>IFERROR(Q295/Q445, "NA")</f>
        <v>2.7689674632642388E-3</v>
      </c>
      <c r="S295" s="9"/>
      <c r="T295" s="7">
        <v>8920</v>
      </c>
      <c r="U295" s="8">
        <f>IFERROR(T295/T445, "NA")</f>
        <v>2.9075939900944925E-3</v>
      </c>
      <c r="V295" s="9"/>
      <c r="W295" s="10">
        <f t="shared" si="74"/>
        <v>798.70999999999913</v>
      </c>
      <c r="X295" s="8">
        <f>IFERROR(W295/W445, "NA")</f>
        <v>-5.9224388960925634E-3</v>
      </c>
      <c r="Y295" s="9"/>
      <c r="Z295" s="7">
        <v>9426.19</v>
      </c>
      <c r="AA295" s="8">
        <f>IFERROR(Z295/Z445, "NA")</f>
        <v>3.2997119555851061E-3</v>
      </c>
      <c r="AB295" s="9"/>
      <c r="AC295" s="10">
        <f t="shared" si="75"/>
        <v>1304.8999999999996</v>
      </c>
      <c r="AD295" s="8">
        <f>IFERROR(AC295/AC445, "NA")</f>
        <v>1.7103041730556851E-2</v>
      </c>
    </row>
    <row r="296" spans="1:30" ht="16.5" customHeight="1" x14ac:dyDescent="0.45">
      <c r="A296" s="19" t="s">
        <v>269</v>
      </c>
      <c r="B296" s="14">
        <f>IFERROR(B287+B288+B289+B290+B291+B292+B293+B294+B295, "NA")</f>
        <v>11417.63</v>
      </c>
      <c r="C296" s="15">
        <f>IFERROR(B296/B445, "NA")</f>
        <v>1.9206540945818387E-2</v>
      </c>
      <c r="D296" s="2"/>
      <c r="E296" s="14">
        <f>IFERROR(E287+E288+E289+E290+E291+E292+E293+E294+E295, "NA")</f>
        <v>13342.99</v>
      </c>
      <c r="F296" s="15">
        <f>IFERROR(E296/E445, "NA")</f>
        <v>2.0569280983695499E-2</v>
      </c>
      <c r="G296" s="2"/>
      <c r="H296" s="14">
        <f t="shared" si="72"/>
        <v>1925.3600000000006</v>
      </c>
      <c r="I296" s="15">
        <f>IFERROR(H296/H445, "NA")</f>
        <v>-3.5510418929840512E-2</v>
      </c>
      <c r="J296" s="2"/>
      <c r="K296" s="14">
        <f>IFERROR(K287+K288+K289+K290+K291+K292+K293+K294+K295, "NA")</f>
        <v>12903.910000000002</v>
      </c>
      <c r="L296" s="15">
        <f>IFERROR(K296/K445, "NA")</f>
        <v>2.1720117734497151E-2</v>
      </c>
      <c r="M296" s="2"/>
      <c r="N296" s="14">
        <f t="shared" si="73"/>
        <v>1486.2800000000025</v>
      </c>
      <c r="O296" s="15">
        <f>IFERROR(N296/N445, "NA")</f>
        <v>4.0579915906719055</v>
      </c>
      <c r="P296" s="2"/>
      <c r="Q296" s="14">
        <f>IFERROR(Q287+Q288+Q289+Q290+Q291+Q292+Q293+Q294+Q295, "NA")</f>
        <v>69593.59</v>
      </c>
      <c r="R296" s="15">
        <f>IFERROR(Q296/Q445, "NA")</f>
        <v>2.3728051376290152E-2</v>
      </c>
      <c r="S296" s="2"/>
      <c r="T296" s="14">
        <f>IFERROR(T287+T288+T289+T290+T291+T292+T293+T294+T295, "NA")</f>
        <v>64093.01</v>
      </c>
      <c r="U296" s="15">
        <f>IFERROR(T296/T445, "NA")</f>
        <v>2.08919787761285E-2</v>
      </c>
      <c r="V296" s="2"/>
      <c r="W296" s="14">
        <f t="shared" si="74"/>
        <v>-5500.5799999999945</v>
      </c>
      <c r="X296" s="15">
        <f>IFERROR(W296/W445, "NA")</f>
        <v>4.0786829942117707E-2</v>
      </c>
      <c r="Y296" s="2"/>
      <c r="Z296" s="14">
        <f>IFERROR(Z287+Z288+Z289+Z290+Z291+Z292+Z293+Z294+Z295, "NA")</f>
        <v>66029.689999999988</v>
      </c>
      <c r="AA296" s="15">
        <f>IFERROR(Z296/Z445, "NA")</f>
        <v>2.3114212371761898E-2</v>
      </c>
      <c r="AB296" s="2"/>
      <c r="AC296" s="14">
        <f t="shared" si="75"/>
        <v>-3563.9000000000087</v>
      </c>
      <c r="AD296" s="15">
        <f>IFERROR(AC296/AC445, "NA")</f>
        <v>-4.6711265555622439E-2</v>
      </c>
    </row>
    <row r="297" spans="1:30" ht="16.5" customHeight="1" x14ac:dyDescent="0.45">
      <c r="A297" s="5" t="s">
        <v>270</v>
      </c>
      <c r="B297" s="2"/>
      <c r="C297" s="3"/>
      <c r="D297" s="4"/>
      <c r="E297" s="2"/>
      <c r="F297" s="3"/>
      <c r="G297" s="4"/>
      <c r="H297" s="2"/>
      <c r="I297" s="3"/>
      <c r="J297" s="4"/>
      <c r="K297" s="2"/>
      <c r="L297" s="3"/>
      <c r="M297" s="4"/>
      <c r="N297" s="2"/>
      <c r="O297" s="3"/>
      <c r="P297" s="4"/>
      <c r="Q297" s="2"/>
      <c r="R297" s="3"/>
      <c r="S297" s="4"/>
      <c r="T297" s="2"/>
      <c r="U297" s="3"/>
      <c r="V297" s="4"/>
      <c r="W297" s="2"/>
      <c r="X297" s="3"/>
      <c r="Y297" s="4"/>
      <c r="Z297" s="2"/>
      <c r="AA297" s="3"/>
      <c r="AB297" s="4"/>
      <c r="AC297" s="2"/>
      <c r="AD297" s="3"/>
    </row>
    <row r="298" spans="1:30" ht="16.5" hidden="1" customHeight="1" x14ac:dyDescent="0.45">
      <c r="A298" s="6" t="s">
        <v>270</v>
      </c>
      <c r="B298" s="7">
        <v>0</v>
      </c>
      <c r="C298" s="8">
        <f>IFERROR(B298/B445, "NA")</f>
        <v>0</v>
      </c>
      <c r="D298" s="9"/>
      <c r="E298" s="7">
        <v>0</v>
      </c>
      <c r="F298" s="8">
        <f>IFERROR(E298/E445, "NA")</f>
        <v>0</v>
      </c>
      <c r="G298" s="9"/>
      <c r="H298" s="10">
        <f t="shared" ref="H298:H326" si="76">IFERROR(-(B298-E298), "NA")</f>
        <v>0</v>
      </c>
      <c r="I298" s="8">
        <f>IFERROR(H298/H445, "NA")</f>
        <v>0</v>
      </c>
      <c r="J298" s="9"/>
      <c r="K298" s="7">
        <v>0</v>
      </c>
      <c r="L298" s="8">
        <f>IFERROR(K298/K445, "NA")</f>
        <v>0</v>
      </c>
      <c r="M298" s="9"/>
      <c r="N298" s="10">
        <f t="shared" ref="N298:N326" si="77">IFERROR(-(B298-K298), "NA")</f>
        <v>0</v>
      </c>
      <c r="O298" s="8">
        <f>IFERROR(N298/N445, "NA")</f>
        <v>0</v>
      </c>
      <c r="P298" s="9"/>
      <c r="Q298" s="7">
        <v>0</v>
      </c>
      <c r="R298" s="8">
        <f>IFERROR(Q298/Q445, "NA")</f>
        <v>0</v>
      </c>
      <c r="S298" s="9"/>
      <c r="T298" s="7">
        <v>0</v>
      </c>
      <c r="U298" s="8">
        <f>IFERROR(T298/T445, "NA")</f>
        <v>0</v>
      </c>
      <c r="V298" s="9"/>
      <c r="W298" s="10">
        <f t="shared" ref="W298:W326" si="78">IFERROR(-(Q298-T298), "NA")</f>
        <v>0</v>
      </c>
      <c r="X298" s="8">
        <f>IFERROR(W298/W445, "NA")</f>
        <v>0</v>
      </c>
      <c r="Y298" s="9"/>
      <c r="Z298" s="7">
        <v>0</v>
      </c>
      <c r="AA298" s="8">
        <f>IFERROR(Z298/Z445, "NA")</f>
        <v>0</v>
      </c>
      <c r="AB298" s="9"/>
      <c r="AC298" s="10">
        <f t="shared" ref="AC298:AC326" si="79">IFERROR(-(Q298-Z298), "NA")</f>
        <v>0</v>
      </c>
      <c r="AD298" s="8">
        <f>IFERROR(AC298/AC445,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IFERROR(B299/B445, "NA")</f>
        <v>0</v>
      </c>
      <c r="D299" s="9"/>
      <c r="E299" s="7">
        <v>0</v>
      </c>
      <c r="F299" s="8">
        <f>IFERROR(E299/E445, "NA")</f>
        <v>0</v>
      </c>
      <c r="G299" s="9"/>
      <c r="H299" s="10">
        <f t="shared" si="76"/>
        <v>0</v>
      </c>
      <c r="I299" s="8">
        <f>IFERROR(H299/H445, "NA")</f>
        <v>0</v>
      </c>
      <c r="J299" s="9"/>
      <c r="K299" s="7">
        <v>0</v>
      </c>
      <c r="L299" s="8">
        <f>IFERROR(K299/K445, "NA")</f>
        <v>0</v>
      </c>
      <c r="M299" s="9"/>
      <c r="N299" s="10">
        <f t="shared" si="77"/>
        <v>0</v>
      </c>
      <c r="O299" s="8">
        <f>IFERROR(N299/N445, "NA")</f>
        <v>0</v>
      </c>
      <c r="P299" s="9"/>
      <c r="Q299" s="7">
        <v>0</v>
      </c>
      <c r="R299" s="8">
        <f>IFERROR(Q299/Q445, "NA")</f>
        <v>0</v>
      </c>
      <c r="S299" s="9"/>
      <c r="T299" s="7">
        <v>0</v>
      </c>
      <c r="U299" s="8">
        <f>IFERROR(T299/T445, "NA")</f>
        <v>0</v>
      </c>
      <c r="V299" s="9"/>
      <c r="W299" s="10">
        <f t="shared" si="78"/>
        <v>0</v>
      </c>
      <c r="X299" s="8">
        <f>IFERROR(W299/W445, "NA")</f>
        <v>0</v>
      </c>
      <c r="Y299" s="9"/>
      <c r="Z299" s="7">
        <v>0</v>
      </c>
      <c r="AA299" s="8">
        <f>IFERROR(Z299/Z445, "NA")</f>
        <v>0</v>
      </c>
      <c r="AB299" s="9"/>
      <c r="AC299" s="10">
        <f t="shared" si="79"/>
        <v>0</v>
      </c>
      <c r="AD299" s="8">
        <f>IFERROR(AC299/AC445, "NA")</f>
        <v>0</v>
      </c>
    </row>
    <row r="300" spans="1:30" ht="16.5" customHeight="1" x14ac:dyDescent="0.45">
      <c r="A300" s="6" t="s">
        <v>272</v>
      </c>
      <c r="B300" s="7">
        <v>4076.01</v>
      </c>
      <c r="C300" s="8">
        <f>IFERROR(B300/B445, "NA")</f>
        <v>6.8565939656973652E-3</v>
      </c>
      <c r="D300" s="9"/>
      <c r="E300" s="7">
        <v>2209</v>
      </c>
      <c r="F300" s="8">
        <f>IFERROR(E300/E445, "NA")</f>
        <v>3.4053493027412412E-3</v>
      </c>
      <c r="G300" s="9"/>
      <c r="H300" s="10">
        <f t="shared" si="76"/>
        <v>-1867.0100000000002</v>
      </c>
      <c r="I300" s="8">
        <f>IFERROR(H300/H445, "NA")</f>
        <v>3.4434239438962858E-2</v>
      </c>
      <c r="J300" s="9"/>
      <c r="K300" s="7">
        <v>3437.0299999999997</v>
      </c>
      <c r="L300" s="8">
        <f>IFERROR(K300/K445, "NA")</f>
        <v>5.7852771955941044E-3</v>
      </c>
      <c r="M300" s="9"/>
      <c r="N300" s="10">
        <f t="shared" si="77"/>
        <v>-638.98000000000047</v>
      </c>
      <c r="O300" s="8">
        <f>IFERROR(N300/N445, "NA")</f>
        <v>-1.7446076557630676</v>
      </c>
      <c r="P300" s="9"/>
      <c r="Q300" s="7">
        <v>12832.929999999998</v>
      </c>
      <c r="R300" s="8">
        <f>IFERROR(Q300/Q445, "NA")</f>
        <v>4.375409033336765E-3</v>
      </c>
      <c r="S300" s="9"/>
      <c r="T300" s="7">
        <v>11045</v>
      </c>
      <c r="U300" s="8">
        <f>IFERROR(T300/T445, "NA")</f>
        <v>3.6002663251786626E-3</v>
      </c>
      <c r="V300" s="9"/>
      <c r="W300" s="10">
        <f t="shared" si="78"/>
        <v>-1787.9299999999985</v>
      </c>
      <c r="X300" s="8">
        <f>IFERROR(W300/W445, "NA")</f>
        <v>1.3257510454972117E-2</v>
      </c>
      <c r="Y300" s="9"/>
      <c r="Z300" s="7">
        <v>12030.64</v>
      </c>
      <c r="AA300" s="8">
        <f>IFERROR(Z300/Z445, "NA")</f>
        <v>4.2114201645988888E-3</v>
      </c>
      <c r="AB300" s="9"/>
      <c r="AC300" s="10">
        <f t="shared" si="79"/>
        <v>-802.28999999999905</v>
      </c>
      <c r="AD300" s="8">
        <f>IFERROR(AC300/AC445, "NA")</f>
        <v>-1.0515441298190238E-2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IFERROR(B301/B445, "NA")</f>
        <v>0</v>
      </c>
      <c r="D301" s="9"/>
      <c r="E301" s="7">
        <v>0</v>
      </c>
      <c r="F301" s="8">
        <f>IFERROR(E301/E445, "NA")</f>
        <v>0</v>
      </c>
      <c r="G301" s="9"/>
      <c r="H301" s="10">
        <f t="shared" si="76"/>
        <v>0</v>
      </c>
      <c r="I301" s="8">
        <f>IFERROR(H301/H445, "NA")</f>
        <v>0</v>
      </c>
      <c r="J301" s="9"/>
      <c r="K301" s="7">
        <v>0</v>
      </c>
      <c r="L301" s="8">
        <f>IFERROR(K301/K445, "NA")</f>
        <v>0</v>
      </c>
      <c r="M301" s="9"/>
      <c r="N301" s="10">
        <f t="shared" si="77"/>
        <v>0</v>
      </c>
      <c r="O301" s="8">
        <f>IFERROR(N301/N445, "NA")</f>
        <v>0</v>
      </c>
      <c r="P301" s="9"/>
      <c r="Q301" s="7">
        <v>0</v>
      </c>
      <c r="R301" s="8">
        <f>IFERROR(Q301/Q445, "NA")</f>
        <v>0</v>
      </c>
      <c r="S301" s="9"/>
      <c r="T301" s="7">
        <v>0</v>
      </c>
      <c r="U301" s="8">
        <f>IFERROR(T301/T445, "NA")</f>
        <v>0</v>
      </c>
      <c r="V301" s="9"/>
      <c r="W301" s="10">
        <f t="shared" si="78"/>
        <v>0</v>
      </c>
      <c r="X301" s="8">
        <f>IFERROR(W301/W445, "NA")</f>
        <v>0</v>
      </c>
      <c r="Y301" s="9"/>
      <c r="Z301" s="7">
        <v>0</v>
      </c>
      <c r="AA301" s="8">
        <f>IFERROR(Z301/Z445, "NA")</f>
        <v>0</v>
      </c>
      <c r="AB301" s="9"/>
      <c r="AC301" s="10">
        <f t="shared" si="79"/>
        <v>0</v>
      </c>
      <c r="AD301" s="8">
        <f>IFERROR(AC301/AC445,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IFERROR(B302/B445, "NA")</f>
        <v>0</v>
      </c>
      <c r="D302" s="9"/>
      <c r="E302" s="7">
        <v>0</v>
      </c>
      <c r="F302" s="8">
        <f>IFERROR(E302/E445, "NA")</f>
        <v>0</v>
      </c>
      <c r="G302" s="9"/>
      <c r="H302" s="10">
        <f t="shared" si="76"/>
        <v>0</v>
      </c>
      <c r="I302" s="8">
        <f>IFERROR(H302/H445, "NA")</f>
        <v>0</v>
      </c>
      <c r="J302" s="9"/>
      <c r="K302" s="7">
        <v>0</v>
      </c>
      <c r="L302" s="8">
        <f>IFERROR(K302/K445, "NA")</f>
        <v>0</v>
      </c>
      <c r="M302" s="9"/>
      <c r="N302" s="10">
        <f t="shared" si="77"/>
        <v>0</v>
      </c>
      <c r="O302" s="8">
        <f>IFERROR(N302/N445, "NA")</f>
        <v>0</v>
      </c>
      <c r="P302" s="9"/>
      <c r="Q302" s="7">
        <v>0</v>
      </c>
      <c r="R302" s="8">
        <f>IFERROR(Q302/Q445, "NA")</f>
        <v>0</v>
      </c>
      <c r="S302" s="9"/>
      <c r="T302" s="7">
        <v>0</v>
      </c>
      <c r="U302" s="8">
        <f>IFERROR(T302/T445, "NA")</f>
        <v>0</v>
      </c>
      <c r="V302" s="9"/>
      <c r="W302" s="10">
        <f t="shared" si="78"/>
        <v>0</v>
      </c>
      <c r="X302" s="8">
        <f>IFERROR(W302/W445, "NA")</f>
        <v>0</v>
      </c>
      <c r="Y302" s="9"/>
      <c r="Z302" s="7">
        <v>0</v>
      </c>
      <c r="AA302" s="8">
        <f>IFERROR(Z302/Z445, "NA")</f>
        <v>0</v>
      </c>
      <c r="AB302" s="9"/>
      <c r="AC302" s="10">
        <f t="shared" si="79"/>
        <v>0</v>
      </c>
      <c r="AD302" s="8">
        <f>IFERROR(AC302/AC445,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IFERROR(B303/B445, "NA")</f>
        <v>0</v>
      </c>
      <c r="D303" s="9"/>
      <c r="E303" s="7">
        <v>0</v>
      </c>
      <c r="F303" s="8">
        <f>IFERROR(E303/E445, "NA")</f>
        <v>0</v>
      </c>
      <c r="G303" s="9"/>
      <c r="H303" s="10">
        <f t="shared" si="76"/>
        <v>0</v>
      </c>
      <c r="I303" s="8">
        <f>IFERROR(H303/H445, "NA")</f>
        <v>0</v>
      </c>
      <c r="J303" s="9"/>
      <c r="K303" s="7">
        <v>0</v>
      </c>
      <c r="L303" s="8">
        <f>IFERROR(K303/K445, "NA")</f>
        <v>0</v>
      </c>
      <c r="M303" s="9"/>
      <c r="N303" s="10">
        <f t="shared" si="77"/>
        <v>0</v>
      </c>
      <c r="O303" s="8">
        <f>IFERROR(N303/N445, "NA")</f>
        <v>0</v>
      </c>
      <c r="P303" s="9"/>
      <c r="Q303" s="7">
        <v>0</v>
      </c>
      <c r="R303" s="8">
        <f>IFERROR(Q303/Q445, "NA")</f>
        <v>0</v>
      </c>
      <c r="S303" s="9"/>
      <c r="T303" s="7">
        <v>0</v>
      </c>
      <c r="U303" s="8">
        <f>IFERROR(T303/T445, "NA")</f>
        <v>0</v>
      </c>
      <c r="V303" s="9"/>
      <c r="W303" s="10">
        <f t="shared" si="78"/>
        <v>0</v>
      </c>
      <c r="X303" s="8">
        <f>IFERROR(W303/W445, "NA")</f>
        <v>0</v>
      </c>
      <c r="Y303" s="9"/>
      <c r="Z303" s="7">
        <v>0</v>
      </c>
      <c r="AA303" s="8">
        <f>IFERROR(Z303/Z445, "NA")</f>
        <v>0</v>
      </c>
      <c r="AB303" s="9"/>
      <c r="AC303" s="10">
        <f t="shared" si="79"/>
        <v>0</v>
      </c>
      <c r="AD303" s="8">
        <f>IFERROR(AC303/AC445,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IFERROR(B304/B445, "NA")</f>
        <v>0</v>
      </c>
      <c r="D304" s="9"/>
      <c r="E304" s="7">
        <v>0</v>
      </c>
      <c r="F304" s="8">
        <f>IFERROR(E304/E445, "NA")</f>
        <v>0</v>
      </c>
      <c r="G304" s="9"/>
      <c r="H304" s="10">
        <f t="shared" si="76"/>
        <v>0</v>
      </c>
      <c r="I304" s="8">
        <f>IFERROR(H304/H445, "NA")</f>
        <v>0</v>
      </c>
      <c r="J304" s="9"/>
      <c r="K304" s="7">
        <v>0</v>
      </c>
      <c r="L304" s="8">
        <f>IFERROR(K304/K445, "NA")</f>
        <v>0</v>
      </c>
      <c r="M304" s="9"/>
      <c r="N304" s="10">
        <f t="shared" si="77"/>
        <v>0</v>
      </c>
      <c r="O304" s="8">
        <f>IFERROR(N304/N445, "NA")</f>
        <v>0</v>
      </c>
      <c r="P304" s="9"/>
      <c r="Q304" s="7">
        <v>0</v>
      </c>
      <c r="R304" s="8">
        <f>IFERROR(Q304/Q445, "NA")</f>
        <v>0</v>
      </c>
      <c r="S304" s="9"/>
      <c r="T304" s="7">
        <v>0</v>
      </c>
      <c r="U304" s="8">
        <f>IFERROR(T304/T445, "NA")</f>
        <v>0</v>
      </c>
      <c r="V304" s="9"/>
      <c r="W304" s="10">
        <f t="shared" si="78"/>
        <v>0</v>
      </c>
      <c r="X304" s="8">
        <f>IFERROR(W304/W445, "NA")</f>
        <v>0</v>
      </c>
      <c r="Y304" s="9"/>
      <c r="Z304" s="7">
        <v>0</v>
      </c>
      <c r="AA304" s="8">
        <f>IFERROR(Z304/Z445, "NA")</f>
        <v>0</v>
      </c>
      <c r="AB304" s="9"/>
      <c r="AC304" s="10">
        <f t="shared" si="79"/>
        <v>0</v>
      </c>
      <c r="AD304" s="8">
        <f>IFERROR(AC304/AC445, "NA")</f>
        <v>0</v>
      </c>
    </row>
    <row r="305" spans="1:30" ht="16.5" customHeight="1" x14ac:dyDescent="0.45">
      <c r="A305" s="6" t="s">
        <v>277</v>
      </c>
      <c r="B305" s="7">
        <v>80</v>
      </c>
      <c r="C305" s="8">
        <f>IFERROR(B305/B445, "NA")</f>
        <v>1.3457462500234032E-4</v>
      </c>
      <c r="D305" s="9"/>
      <c r="E305" s="7">
        <v>0</v>
      </c>
      <c r="F305" s="8">
        <f>IFERROR(E305/E445, "NA")</f>
        <v>0</v>
      </c>
      <c r="G305" s="9"/>
      <c r="H305" s="10">
        <f t="shared" si="76"/>
        <v>-80</v>
      </c>
      <c r="I305" s="8">
        <f>IFERROR(H305/H445, "NA")</f>
        <v>1.4754817355649022E-3</v>
      </c>
      <c r="J305" s="9"/>
      <c r="K305" s="7">
        <v>0</v>
      </c>
      <c r="L305" s="8">
        <f>IFERROR(K305/K445, "NA")</f>
        <v>0</v>
      </c>
      <c r="M305" s="9"/>
      <c r="N305" s="10">
        <f t="shared" si="77"/>
        <v>-80</v>
      </c>
      <c r="O305" s="8">
        <f>IFERROR(N305/N445, "NA")</f>
        <v>-0.21842407033247566</v>
      </c>
      <c r="P305" s="9"/>
      <c r="Q305" s="7">
        <v>956.68000000000006</v>
      </c>
      <c r="R305" s="8">
        <f>IFERROR(Q305/Q445, "NA")</f>
        <v>3.2618165251525704E-4</v>
      </c>
      <c r="S305" s="9"/>
      <c r="T305" s="7">
        <v>0</v>
      </c>
      <c r="U305" s="8">
        <f>IFERROR(T305/T445, "NA")</f>
        <v>0</v>
      </c>
      <c r="V305" s="9"/>
      <c r="W305" s="10">
        <f t="shared" si="78"/>
        <v>-956.68000000000006</v>
      </c>
      <c r="X305" s="8">
        <f>IFERROR(W305/W445, "NA")</f>
        <v>7.0937872858907987E-3</v>
      </c>
      <c r="Y305" s="9"/>
      <c r="Z305" s="7">
        <v>465.26</v>
      </c>
      <c r="AA305" s="8">
        <f>IFERROR(Z305/Z445, "NA")</f>
        <v>1.6286792271909714E-4</v>
      </c>
      <c r="AB305" s="9"/>
      <c r="AC305" s="10">
        <f t="shared" si="79"/>
        <v>-491.42000000000007</v>
      </c>
      <c r="AD305" s="8">
        <f>IFERROR(AC305/AC445, "NA")</f>
        <v>-6.4409355255040622E-3</v>
      </c>
    </row>
    <row r="306" spans="1:30" ht="16.5" customHeight="1" x14ac:dyDescent="0.45">
      <c r="A306" s="6" t="s">
        <v>278</v>
      </c>
      <c r="B306" s="7">
        <v>320.17999999999995</v>
      </c>
      <c r="C306" s="8">
        <f>IFERROR(B306/B445, "NA")</f>
        <v>5.3860129291561645E-4</v>
      </c>
      <c r="D306" s="9"/>
      <c r="E306" s="7">
        <v>0</v>
      </c>
      <c r="F306" s="8">
        <f>IFERROR(E306/E445, "NA")</f>
        <v>0</v>
      </c>
      <c r="G306" s="9"/>
      <c r="H306" s="10">
        <f t="shared" si="76"/>
        <v>-320.17999999999995</v>
      </c>
      <c r="I306" s="8">
        <f>IFERROR(H306/H445, "NA")</f>
        <v>5.9052467761646294E-3</v>
      </c>
      <c r="J306" s="9"/>
      <c r="K306" s="7">
        <v>0</v>
      </c>
      <c r="L306" s="8">
        <f>IFERROR(K306/K445, "NA")</f>
        <v>0</v>
      </c>
      <c r="M306" s="9"/>
      <c r="N306" s="10">
        <f t="shared" si="77"/>
        <v>-320.17999999999995</v>
      </c>
      <c r="O306" s="8">
        <f>IFERROR(N306/N445, "NA")</f>
        <v>-0.87418773548815065</v>
      </c>
      <c r="P306" s="9"/>
      <c r="Q306" s="7">
        <v>831.54</v>
      </c>
      <c r="R306" s="8">
        <f>IFERROR(Q306/Q445, "NA")</f>
        <v>2.8351495937255591E-4</v>
      </c>
      <c r="S306" s="9"/>
      <c r="T306" s="7">
        <v>0</v>
      </c>
      <c r="U306" s="8">
        <f>IFERROR(T306/T445, "NA")</f>
        <v>0</v>
      </c>
      <c r="V306" s="9"/>
      <c r="W306" s="10">
        <f t="shared" si="78"/>
        <v>-831.54</v>
      </c>
      <c r="X306" s="8">
        <f>IFERROR(W306/W445, "NA")</f>
        <v>6.1658735206230235E-3</v>
      </c>
      <c r="Y306" s="9"/>
      <c r="Z306" s="7">
        <v>-51.41</v>
      </c>
      <c r="AA306" s="8">
        <f>IFERROR(Z306/Z445, "NA")</f>
        <v>-1.7996474889285097E-5</v>
      </c>
      <c r="AB306" s="9"/>
      <c r="AC306" s="10">
        <f t="shared" si="79"/>
        <v>-882.94999999999993</v>
      </c>
      <c r="AD306" s="8">
        <f>IFERROR(AC306/AC445, "NA")</f>
        <v>-1.1572634451678422E-2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IFERROR(B307/B445, "NA")</f>
        <v>0</v>
      </c>
      <c r="D307" s="9"/>
      <c r="E307" s="7">
        <v>0</v>
      </c>
      <c r="F307" s="8">
        <f>IFERROR(E307/E445, "NA")</f>
        <v>0</v>
      </c>
      <c r="G307" s="9"/>
      <c r="H307" s="10">
        <f t="shared" si="76"/>
        <v>0</v>
      </c>
      <c r="I307" s="8">
        <f>IFERROR(H307/H445, "NA")</f>
        <v>0</v>
      </c>
      <c r="J307" s="9"/>
      <c r="K307" s="7">
        <v>0</v>
      </c>
      <c r="L307" s="8">
        <f>IFERROR(K307/K445, "NA")</f>
        <v>0</v>
      </c>
      <c r="M307" s="9"/>
      <c r="N307" s="10">
        <f t="shared" si="77"/>
        <v>0</v>
      </c>
      <c r="O307" s="8">
        <f>IFERROR(N307/N445, "NA")</f>
        <v>0</v>
      </c>
      <c r="P307" s="9"/>
      <c r="Q307" s="7">
        <v>0</v>
      </c>
      <c r="R307" s="8">
        <f>IFERROR(Q307/Q445, "NA")</f>
        <v>0</v>
      </c>
      <c r="S307" s="9"/>
      <c r="T307" s="7">
        <v>0</v>
      </c>
      <c r="U307" s="8">
        <f>IFERROR(T307/T445, "NA")</f>
        <v>0</v>
      </c>
      <c r="V307" s="9"/>
      <c r="W307" s="10">
        <f t="shared" si="78"/>
        <v>0</v>
      </c>
      <c r="X307" s="8">
        <f>IFERROR(W307/W445, "NA")</f>
        <v>0</v>
      </c>
      <c r="Y307" s="9"/>
      <c r="Z307" s="7">
        <v>0</v>
      </c>
      <c r="AA307" s="8">
        <f>IFERROR(Z307/Z445, "NA")</f>
        <v>0</v>
      </c>
      <c r="AB307" s="9"/>
      <c r="AC307" s="10">
        <f t="shared" si="79"/>
        <v>0</v>
      </c>
      <c r="AD307" s="8">
        <f>IFERROR(AC307/AC445,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IFERROR(B308/B445, "NA")</f>
        <v>0</v>
      </c>
      <c r="D308" s="9"/>
      <c r="E308" s="7">
        <v>0</v>
      </c>
      <c r="F308" s="8">
        <f>IFERROR(E308/E445, "NA")</f>
        <v>0</v>
      </c>
      <c r="G308" s="9"/>
      <c r="H308" s="10">
        <f t="shared" si="76"/>
        <v>0</v>
      </c>
      <c r="I308" s="8">
        <f>IFERROR(H308/H445, "NA")</f>
        <v>0</v>
      </c>
      <c r="J308" s="9"/>
      <c r="K308" s="7">
        <v>0</v>
      </c>
      <c r="L308" s="8">
        <f>IFERROR(K308/K445, "NA")</f>
        <v>0</v>
      </c>
      <c r="M308" s="9"/>
      <c r="N308" s="10">
        <f t="shared" si="77"/>
        <v>0</v>
      </c>
      <c r="O308" s="8">
        <f>IFERROR(N308/N445, "NA")</f>
        <v>0</v>
      </c>
      <c r="P308" s="9"/>
      <c r="Q308" s="7">
        <v>0</v>
      </c>
      <c r="R308" s="8">
        <f>IFERROR(Q308/Q445, "NA")</f>
        <v>0</v>
      </c>
      <c r="S308" s="9"/>
      <c r="T308" s="7">
        <v>0</v>
      </c>
      <c r="U308" s="8">
        <f>IFERROR(T308/T445, "NA")</f>
        <v>0</v>
      </c>
      <c r="V308" s="9"/>
      <c r="W308" s="10">
        <f t="shared" si="78"/>
        <v>0</v>
      </c>
      <c r="X308" s="8">
        <f>IFERROR(W308/W445, "NA")</f>
        <v>0</v>
      </c>
      <c r="Y308" s="9"/>
      <c r="Z308" s="7">
        <v>0</v>
      </c>
      <c r="AA308" s="8">
        <f>IFERROR(Z308/Z445, "NA")</f>
        <v>0</v>
      </c>
      <c r="AB308" s="9"/>
      <c r="AC308" s="10">
        <f t="shared" si="79"/>
        <v>0</v>
      </c>
      <c r="AD308" s="8">
        <f>IFERROR(AC308/AC445,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IFERROR(B309/B445, "NA")</f>
        <v>0</v>
      </c>
      <c r="D309" s="9"/>
      <c r="E309" s="7">
        <v>0</v>
      </c>
      <c r="F309" s="8">
        <f>IFERROR(E309/E445, "NA")</f>
        <v>0</v>
      </c>
      <c r="G309" s="9"/>
      <c r="H309" s="10">
        <f t="shared" si="76"/>
        <v>0</v>
      </c>
      <c r="I309" s="8">
        <f>IFERROR(H309/H445, "NA")</f>
        <v>0</v>
      </c>
      <c r="J309" s="9"/>
      <c r="K309" s="7">
        <v>0</v>
      </c>
      <c r="L309" s="8">
        <f>IFERROR(K309/K445, "NA")</f>
        <v>0</v>
      </c>
      <c r="M309" s="9"/>
      <c r="N309" s="10">
        <f t="shared" si="77"/>
        <v>0</v>
      </c>
      <c r="O309" s="8">
        <f>IFERROR(N309/N445, "NA")</f>
        <v>0</v>
      </c>
      <c r="P309" s="9"/>
      <c r="Q309" s="7">
        <v>0</v>
      </c>
      <c r="R309" s="8">
        <f>IFERROR(Q309/Q445, "NA")</f>
        <v>0</v>
      </c>
      <c r="S309" s="9"/>
      <c r="T309" s="7">
        <v>0</v>
      </c>
      <c r="U309" s="8">
        <f>IFERROR(T309/T445, "NA")</f>
        <v>0</v>
      </c>
      <c r="V309" s="9"/>
      <c r="W309" s="10">
        <f t="shared" si="78"/>
        <v>0</v>
      </c>
      <c r="X309" s="8">
        <f>IFERROR(W309/W445, "NA")</f>
        <v>0</v>
      </c>
      <c r="Y309" s="9"/>
      <c r="Z309" s="7">
        <v>0</v>
      </c>
      <c r="AA309" s="8">
        <f>IFERROR(Z309/Z445, "NA")</f>
        <v>0</v>
      </c>
      <c r="AB309" s="9"/>
      <c r="AC309" s="10">
        <f t="shared" si="79"/>
        <v>0</v>
      </c>
      <c r="AD309" s="8">
        <f>IFERROR(AC309/AC445, "NA")</f>
        <v>0</v>
      </c>
    </row>
    <row r="310" spans="1:30" ht="16.5" hidden="1" customHeight="1" x14ac:dyDescent="0.45">
      <c r="A310" s="6" t="s">
        <v>282</v>
      </c>
      <c r="B310" s="7">
        <v>0</v>
      </c>
      <c r="C310" s="8">
        <f>IFERROR(B310/B445, "NA")</f>
        <v>0</v>
      </c>
      <c r="D310" s="9"/>
      <c r="E310" s="7">
        <v>0</v>
      </c>
      <c r="F310" s="8">
        <f>IFERROR(E310/E445, "NA")</f>
        <v>0</v>
      </c>
      <c r="G310" s="9"/>
      <c r="H310" s="10">
        <f t="shared" si="76"/>
        <v>0</v>
      </c>
      <c r="I310" s="8">
        <f>IFERROR(H310/H445, "NA")</f>
        <v>0</v>
      </c>
      <c r="J310" s="9"/>
      <c r="K310" s="7">
        <v>0</v>
      </c>
      <c r="L310" s="8">
        <f>IFERROR(K310/K445, "NA")</f>
        <v>0</v>
      </c>
      <c r="M310" s="9"/>
      <c r="N310" s="10">
        <f t="shared" si="77"/>
        <v>0</v>
      </c>
      <c r="O310" s="8">
        <f>IFERROR(N310/N445, "NA")</f>
        <v>0</v>
      </c>
      <c r="P310" s="9"/>
      <c r="Q310" s="7">
        <v>0</v>
      </c>
      <c r="R310" s="8">
        <f>IFERROR(Q310/Q445, "NA")</f>
        <v>0</v>
      </c>
      <c r="S310" s="9"/>
      <c r="T310" s="7">
        <v>0</v>
      </c>
      <c r="U310" s="8">
        <f>IFERROR(T310/T445, "NA")</f>
        <v>0</v>
      </c>
      <c r="V310" s="9"/>
      <c r="W310" s="10">
        <f t="shared" si="78"/>
        <v>0</v>
      </c>
      <c r="X310" s="8">
        <f>IFERROR(W310/W445, "NA")</f>
        <v>0</v>
      </c>
      <c r="Y310" s="9"/>
      <c r="Z310" s="7">
        <v>0</v>
      </c>
      <c r="AA310" s="8">
        <f>IFERROR(Z310/Z445, "NA")</f>
        <v>0</v>
      </c>
      <c r="AB310" s="9"/>
      <c r="AC310" s="10">
        <f t="shared" si="79"/>
        <v>0</v>
      </c>
      <c r="AD310" s="8">
        <f>IFERROR(AC310/AC445, "NA")</f>
        <v>0</v>
      </c>
    </row>
    <row r="311" spans="1:30" ht="16.5" customHeight="1" x14ac:dyDescent="0.45">
      <c r="A311" s="6" t="s">
        <v>283</v>
      </c>
      <c r="B311" s="7">
        <v>124.51</v>
      </c>
      <c r="C311" s="8">
        <f>IFERROR(B311/B445, "NA")</f>
        <v>2.0944858198801742E-4</v>
      </c>
      <c r="D311" s="9"/>
      <c r="E311" s="7">
        <v>275</v>
      </c>
      <c r="F311" s="8">
        <f>IFERROR(E311/E445, "NA")</f>
        <v>4.2393438580979692E-4</v>
      </c>
      <c r="G311" s="9"/>
      <c r="H311" s="10">
        <f t="shared" si="76"/>
        <v>150.49</v>
      </c>
      <c r="I311" s="8">
        <f>IFERROR(H311/H445, "NA")</f>
        <v>-2.7755655798145269E-3</v>
      </c>
      <c r="J311" s="9"/>
      <c r="K311" s="7">
        <v>530.88</v>
      </c>
      <c r="L311" s="8">
        <f>IFERROR(K311/K445, "NA")</f>
        <v>8.9358776548269833E-4</v>
      </c>
      <c r="M311" s="9"/>
      <c r="N311" s="10">
        <f t="shared" si="77"/>
        <v>406.37</v>
      </c>
      <c r="O311" s="8">
        <f>IFERROR(N311/N445, "NA")</f>
        <v>1.1095123682626018</v>
      </c>
      <c r="P311" s="9"/>
      <c r="Q311" s="7">
        <v>1368.7</v>
      </c>
      <c r="R311" s="8">
        <f>IFERROR(Q311/Q445, "NA")</f>
        <v>4.6666056340430686E-4</v>
      </c>
      <c r="S311" s="9"/>
      <c r="T311" s="7">
        <v>1375</v>
      </c>
      <c r="U311" s="8">
        <f>IFERROR(T311/T445, "NA")</f>
        <v>4.4819974623093358E-4</v>
      </c>
      <c r="V311" s="9"/>
      <c r="W311" s="10">
        <f t="shared" si="78"/>
        <v>6.2999999999999545</v>
      </c>
      <c r="X311" s="8">
        <f>IFERROR(W311/W445, "NA")</f>
        <v>-4.6714533491984476E-5</v>
      </c>
      <c r="Y311" s="9"/>
      <c r="Z311" s="7">
        <v>1146.3600000000001</v>
      </c>
      <c r="AA311" s="8">
        <f>IFERROR(Z311/Z445, "NA")</f>
        <v>4.0129233522818259E-4</v>
      </c>
      <c r="AB311" s="9"/>
      <c r="AC311" s="10">
        <f t="shared" si="79"/>
        <v>-222.33999999999992</v>
      </c>
      <c r="AD311" s="8">
        <f>IFERROR(AC311/AC445, "NA")</f>
        <v>-2.9141622334063985E-3</v>
      </c>
    </row>
    <row r="312" spans="1:30" ht="16.5" customHeight="1" x14ac:dyDescent="0.45">
      <c r="A312" s="6" t="s">
        <v>284</v>
      </c>
      <c r="B312" s="7">
        <v>0</v>
      </c>
      <c r="C312" s="8">
        <f>IFERROR(B312/B445, "NA")</f>
        <v>0</v>
      </c>
      <c r="D312" s="9"/>
      <c r="E312" s="7">
        <v>0</v>
      </c>
      <c r="F312" s="8">
        <f>IFERROR(E312/E445, "NA")</f>
        <v>0</v>
      </c>
      <c r="G312" s="9"/>
      <c r="H312" s="10">
        <f t="shared" si="76"/>
        <v>0</v>
      </c>
      <c r="I312" s="8">
        <f>IFERROR(H312/H445, "NA")</f>
        <v>0</v>
      </c>
      <c r="J312" s="9"/>
      <c r="K312" s="7">
        <v>0</v>
      </c>
      <c r="L312" s="8">
        <f>IFERROR(K312/K445, "NA")</f>
        <v>0</v>
      </c>
      <c r="M312" s="9"/>
      <c r="N312" s="10">
        <f t="shared" si="77"/>
        <v>0</v>
      </c>
      <c r="O312" s="8">
        <f>IFERROR(N312/N445, "NA")</f>
        <v>0</v>
      </c>
      <c r="P312" s="9"/>
      <c r="Q312" s="7">
        <v>0</v>
      </c>
      <c r="R312" s="8">
        <f>IFERROR(Q312/Q445, "NA")</f>
        <v>0</v>
      </c>
      <c r="S312" s="9"/>
      <c r="T312" s="7">
        <v>0</v>
      </c>
      <c r="U312" s="8">
        <f>IFERROR(T312/T445, "NA")</f>
        <v>0</v>
      </c>
      <c r="V312" s="9"/>
      <c r="W312" s="10">
        <f t="shared" si="78"/>
        <v>0</v>
      </c>
      <c r="X312" s="8">
        <f>IFERROR(W312/W445, "NA")</f>
        <v>0</v>
      </c>
      <c r="Y312" s="9"/>
      <c r="Z312" s="7">
        <v>167.48</v>
      </c>
      <c r="AA312" s="8">
        <f>IFERROR(Z312/Z445, "NA")</f>
        <v>5.8627691391897841E-5</v>
      </c>
      <c r="AB312" s="9"/>
      <c r="AC312" s="10">
        <f t="shared" si="79"/>
        <v>167.48</v>
      </c>
      <c r="AD312" s="8">
        <f>IFERROR(AC312/AC445, "NA")</f>
        <v>2.1951240930597454E-3</v>
      </c>
    </row>
    <row r="313" spans="1:30" ht="16.5" customHeight="1" x14ac:dyDescent="0.45">
      <c r="A313" s="6" t="s">
        <v>285</v>
      </c>
      <c r="B313" s="7">
        <v>2936.66</v>
      </c>
      <c r="C313" s="8">
        <f>IFERROR(B313/B445, "NA")</f>
        <v>4.9399989782421584E-3</v>
      </c>
      <c r="D313" s="9"/>
      <c r="E313" s="7">
        <v>175</v>
      </c>
      <c r="F313" s="8">
        <f>IFERROR(E313/E445, "NA")</f>
        <v>2.6977642733350712E-4</v>
      </c>
      <c r="G313" s="9"/>
      <c r="H313" s="10">
        <f t="shared" si="76"/>
        <v>-2761.66</v>
      </c>
      <c r="I313" s="8">
        <f>IFERROR(H313/H445, "NA")</f>
        <v>5.0934736123002096E-2</v>
      </c>
      <c r="J313" s="9"/>
      <c r="K313" s="7">
        <v>1434.94</v>
      </c>
      <c r="L313" s="8">
        <f>IFERROR(K313/K445, "NA")</f>
        <v>2.4153195226826085E-3</v>
      </c>
      <c r="M313" s="9"/>
      <c r="N313" s="10">
        <f t="shared" si="77"/>
        <v>-1501.7199999999998</v>
      </c>
      <c r="O313" s="8">
        <f>IFERROR(N313/N445, "NA")</f>
        <v>-4.1001474362460666</v>
      </c>
      <c r="P313" s="9"/>
      <c r="Q313" s="7">
        <v>10780.710000000001</v>
      </c>
      <c r="R313" s="8">
        <f>IFERROR(Q313/Q445, "NA")</f>
        <v>3.6757011781240923E-3</v>
      </c>
      <c r="S313" s="9"/>
      <c r="T313" s="7">
        <v>875</v>
      </c>
      <c r="U313" s="8">
        <f>IFERROR(T313/T445, "NA")</f>
        <v>2.8521802032877589E-4</v>
      </c>
      <c r="V313" s="9"/>
      <c r="W313" s="10">
        <f t="shared" si="78"/>
        <v>-9905.7100000000009</v>
      </c>
      <c r="X313" s="8">
        <f>IFERROR(W313/W445, "NA")</f>
        <v>7.3450892310617286E-2</v>
      </c>
      <c r="Y313" s="9"/>
      <c r="Z313" s="7">
        <v>4213.75</v>
      </c>
      <c r="AA313" s="8">
        <f>IFERROR(Z313/Z445, "NA")</f>
        <v>1.4750563327120226E-3</v>
      </c>
      <c r="AB313" s="9"/>
      <c r="AC313" s="10">
        <f t="shared" si="79"/>
        <v>-6566.9600000000009</v>
      </c>
      <c r="AD313" s="8">
        <f>IFERROR(AC313/AC445, "NA")</f>
        <v>-8.6071722678287721E-2</v>
      </c>
    </row>
    <row r="314" spans="1:30" ht="16.5" customHeight="1" x14ac:dyDescent="0.45">
      <c r="A314" s="6" t="s">
        <v>286</v>
      </c>
      <c r="B314" s="7">
        <v>514.56999999999994</v>
      </c>
      <c r="C314" s="8">
        <f>IFERROR(B314/B445, "NA")</f>
        <v>8.6560080984317809E-4</v>
      </c>
      <c r="D314" s="9"/>
      <c r="E314" s="7">
        <v>310</v>
      </c>
      <c r="F314" s="8">
        <f>IFERROR(E314/E445, "NA")</f>
        <v>4.7788967127649831E-4</v>
      </c>
      <c r="G314" s="9"/>
      <c r="H314" s="10">
        <f t="shared" si="76"/>
        <v>-204.56999999999994</v>
      </c>
      <c r="I314" s="8">
        <f>IFERROR(H314/H445, "NA")</f>
        <v>3.7729912330563995E-3</v>
      </c>
      <c r="J314" s="9"/>
      <c r="K314" s="7">
        <v>392.97</v>
      </c>
      <c r="L314" s="8">
        <f>IFERROR(K314/K445, "NA")</f>
        <v>6.6145491297795356E-4</v>
      </c>
      <c r="M314" s="9"/>
      <c r="N314" s="10">
        <f t="shared" si="77"/>
        <v>-121.59999999999991</v>
      </c>
      <c r="O314" s="8">
        <f>IFERROR(N314/N445, "NA")</f>
        <v>-0.33200458690536278</v>
      </c>
      <c r="P314" s="9"/>
      <c r="Q314" s="7">
        <v>2136.0700000000002</v>
      </c>
      <c r="R314" s="8">
        <f>IFERROR(Q314/Q445, "NA")</f>
        <v>7.2829665351869491E-4</v>
      </c>
      <c r="S314" s="9"/>
      <c r="T314" s="7">
        <v>1555</v>
      </c>
      <c r="U314" s="8">
        <f>IFERROR(T314/T445, "NA")</f>
        <v>5.0687316755571032E-4</v>
      </c>
      <c r="V314" s="9"/>
      <c r="W314" s="10">
        <f t="shared" si="78"/>
        <v>-581.07000000000016</v>
      </c>
      <c r="X314" s="8">
        <f>IFERROR(W314/W445, "NA")</f>
        <v>4.3086371390774003E-3</v>
      </c>
      <c r="Y314" s="9"/>
      <c r="Z314" s="7">
        <v>1501.77</v>
      </c>
      <c r="AA314" s="8">
        <f>IFERROR(Z314/Z445, "NA")</f>
        <v>5.2570640137097218E-4</v>
      </c>
      <c r="AB314" s="9"/>
      <c r="AC314" s="10">
        <f t="shared" si="79"/>
        <v>-634.30000000000018</v>
      </c>
      <c r="AD314" s="8">
        <f>IFERROR(AC314/AC445, "NA")</f>
        <v>-8.3136327455684087E-3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IFERROR(B315/B445, "NA")</f>
        <v>0</v>
      </c>
      <c r="D315" s="9"/>
      <c r="E315" s="7">
        <v>0</v>
      </c>
      <c r="F315" s="8">
        <f>IFERROR(E315/E445, "NA")</f>
        <v>0</v>
      </c>
      <c r="G315" s="9"/>
      <c r="H315" s="10">
        <f t="shared" si="76"/>
        <v>0</v>
      </c>
      <c r="I315" s="8">
        <f>IFERROR(H315/H445, "NA")</f>
        <v>0</v>
      </c>
      <c r="J315" s="9"/>
      <c r="K315" s="7">
        <v>0</v>
      </c>
      <c r="L315" s="8">
        <f>IFERROR(K315/K445, "NA")</f>
        <v>0</v>
      </c>
      <c r="M315" s="9"/>
      <c r="N315" s="10">
        <f t="shared" si="77"/>
        <v>0</v>
      </c>
      <c r="O315" s="8">
        <f>IFERROR(N315/N445, "NA")</f>
        <v>0</v>
      </c>
      <c r="P315" s="9"/>
      <c r="Q315" s="7">
        <v>0</v>
      </c>
      <c r="R315" s="8">
        <f>IFERROR(Q315/Q445, "NA")</f>
        <v>0</v>
      </c>
      <c r="S315" s="9"/>
      <c r="T315" s="7">
        <v>0</v>
      </c>
      <c r="U315" s="8">
        <f>IFERROR(T315/T445, "NA")</f>
        <v>0</v>
      </c>
      <c r="V315" s="9"/>
      <c r="W315" s="10">
        <f t="shared" si="78"/>
        <v>0</v>
      </c>
      <c r="X315" s="8">
        <f>IFERROR(W315/W445, "NA")</f>
        <v>0</v>
      </c>
      <c r="Y315" s="9"/>
      <c r="Z315" s="7">
        <v>0</v>
      </c>
      <c r="AA315" s="8">
        <f>IFERROR(Z315/Z445, "NA")</f>
        <v>0</v>
      </c>
      <c r="AB315" s="9"/>
      <c r="AC315" s="10">
        <f t="shared" si="79"/>
        <v>0</v>
      </c>
      <c r="AD315" s="8">
        <f>IFERROR(AC315/AC445, "NA")</f>
        <v>0</v>
      </c>
    </row>
    <row r="316" spans="1:30" ht="16.5" customHeight="1" x14ac:dyDescent="0.45">
      <c r="A316" s="6" t="s">
        <v>288</v>
      </c>
      <c r="B316" s="7">
        <v>1690.38</v>
      </c>
      <c r="C316" s="8">
        <f>IFERROR(B316/B445, "NA")</f>
        <v>2.8435281826432006E-3</v>
      </c>
      <c r="D316" s="9"/>
      <c r="E316" s="7">
        <v>1879.14</v>
      </c>
      <c r="F316" s="8">
        <f>IFERROR(E316/E445, "NA")</f>
        <v>2.8968438609113518E-3</v>
      </c>
      <c r="G316" s="9"/>
      <c r="H316" s="10">
        <f t="shared" si="76"/>
        <v>188.76</v>
      </c>
      <c r="I316" s="8">
        <f>IFERROR(H316/H445, "NA")</f>
        <v>-3.4813991550653868E-3</v>
      </c>
      <c r="J316" s="9"/>
      <c r="K316" s="7">
        <v>1782.9700000000003</v>
      </c>
      <c r="L316" s="8">
        <f>IFERROR(K316/K445, "NA")</f>
        <v>3.001130534626821E-3</v>
      </c>
      <c r="M316" s="9"/>
      <c r="N316" s="10">
        <f t="shared" si="77"/>
        <v>92.590000000000146</v>
      </c>
      <c r="O316" s="8">
        <f>IFERROR(N316/N445, "NA")</f>
        <v>0.25279855840104942</v>
      </c>
      <c r="P316" s="9"/>
      <c r="Q316" s="7">
        <v>8451.86</v>
      </c>
      <c r="R316" s="8">
        <f>IFERROR(Q316/Q445, "NA")</f>
        <v>2.8816758598774932E-3</v>
      </c>
      <c r="S316" s="9"/>
      <c r="T316" s="7">
        <v>8447.5</v>
      </c>
      <c r="U316" s="8">
        <f>IFERROR(T316/T445, "NA")</f>
        <v>2.7535762591169538E-3</v>
      </c>
      <c r="V316" s="9"/>
      <c r="W316" s="10">
        <f t="shared" si="78"/>
        <v>-4.3600000000005821</v>
      </c>
      <c r="X316" s="8">
        <f>IFERROR(W316/W445, "NA")</f>
        <v>3.2329423178584285E-5</v>
      </c>
      <c r="Y316" s="9"/>
      <c r="Z316" s="7">
        <v>7314.83</v>
      </c>
      <c r="AA316" s="8">
        <f>IFERROR(Z316/Z445, "NA")</f>
        <v>2.5606137797002395E-3</v>
      </c>
      <c r="AB316" s="9"/>
      <c r="AC316" s="10">
        <f t="shared" si="79"/>
        <v>-1137.0300000000007</v>
      </c>
      <c r="AD316" s="8">
        <f>IFERROR(AC316/AC445, "NA")</f>
        <v>-1.490280599194963E-2</v>
      </c>
    </row>
    <row r="317" spans="1:30" ht="16.5" customHeight="1" x14ac:dyDescent="0.45">
      <c r="A317" s="6" t="s">
        <v>289</v>
      </c>
      <c r="B317" s="7">
        <v>-8.0500000000000007</v>
      </c>
      <c r="C317" s="8">
        <f>IFERROR(B317/B445, "NA")</f>
        <v>-1.3541571640860496E-5</v>
      </c>
      <c r="D317" s="9"/>
      <c r="E317" s="7">
        <v>0</v>
      </c>
      <c r="F317" s="8">
        <f>IFERROR(E317/E445, "NA")</f>
        <v>0</v>
      </c>
      <c r="G317" s="9"/>
      <c r="H317" s="10">
        <f t="shared" si="76"/>
        <v>8.0500000000000007</v>
      </c>
      <c r="I317" s="8">
        <f>IFERROR(H317/H445, "NA")</f>
        <v>-1.4847034964121829E-4</v>
      </c>
      <c r="J317" s="9"/>
      <c r="K317" s="7">
        <v>0</v>
      </c>
      <c r="L317" s="8">
        <f>IFERROR(K317/K445, "NA")</f>
        <v>0</v>
      </c>
      <c r="M317" s="9"/>
      <c r="N317" s="10">
        <f t="shared" si="77"/>
        <v>8.0500000000000007</v>
      </c>
      <c r="O317" s="8">
        <f>IFERROR(N317/N445, "NA")</f>
        <v>2.1978922077205365E-2</v>
      </c>
      <c r="P317" s="9"/>
      <c r="Q317" s="7">
        <v>1459.77</v>
      </c>
      <c r="R317" s="8">
        <f>IFERROR(Q317/Q445, "NA")</f>
        <v>4.9771103283459124E-4</v>
      </c>
      <c r="S317" s="9"/>
      <c r="T317" s="7">
        <v>0</v>
      </c>
      <c r="U317" s="8">
        <f>IFERROR(T317/T445, "NA")</f>
        <v>0</v>
      </c>
      <c r="V317" s="9"/>
      <c r="W317" s="10">
        <f t="shared" si="78"/>
        <v>-1459.77</v>
      </c>
      <c r="X317" s="8">
        <f>IFERROR(W317/W445, "NA")</f>
        <v>1.0824202310411852E-2</v>
      </c>
      <c r="Y317" s="9"/>
      <c r="Z317" s="7">
        <v>0</v>
      </c>
      <c r="AA317" s="8">
        <f>IFERROR(Z317/Z445, "NA")</f>
        <v>0</v>
      </c>
      <c r="AB317" s="9"/>
      <c r="AC317" s="10">
        <f t="shared" si="79"/>
        <v>-1459.77</v>
      </c>
      <c r="AD317" s="8">
        <f>IFERROR(AC317/AC445, "NA")</f>
        <v>-1.913288928424782E-2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IFERROR(B318/B445, "NA")</f>
        <v>0</v>
      </c>
      <c r="D318" s="9"/>
      <c r="E318" s="7">
        <v>0</v>
      </c>
      <c r="F318" s="8">
        <f>IFERROR(E318/E445, "NA")</f>
        <v>0</v>
      </c>
      <c r="G318" s="9"/>
      <c r="H318" s="10">
        <f t="shared" si="76"/>
        <v>0</v>
      </c>
      <c r="I318" s="8">
        <f>IFERROR(H318/H445, "NA")</f>
        <v>0</v>
      </c>
      <c r="J318" s="9"/>
      <c r="K318" s="7">
        <v>0</v>
      </c>
      <c r="L318" s="8">
        <f>IFERROR(K318/K445, "NA")</f>
        <v>0</v>
      </c>
      <c r="M318" s="9"/>
      <c r="N318" s="10">
        <f t="shared" si="77"/>
        <v>0</v>
      </c>
      <c r="O318" s="8">
        <f>IFERROR(N318/N445, "NA")</f>
        <v>0</v>
      </c>
      <c r="P318" s="9"/>
      <c r="Q318" s="7">
        <v>0</v>
      </c>
      <c r="R318" s="8">
        <f>IFERROR(Q318/Q445, "NA")</f>
        <v>0</v>
      </c>
      <c r="S318" s="9"/>
      <c r="T318" s="7">
        <v>0</v>
      </c>
      <c r="U318" s="8">
        <f>IFERROR(T318/T445, "NA")</f>
        <v>0</v>
      </c>
      <c r="V318" s="9"/>
      <c r="W318" s="10">
        <f t="shared" si="78"/>
        <v>0</v>
      </c>
      <c r="X318" s="8">
        <f>IFERROR(W318/W445, "NA")</f>
        <v>0</v>
      </c>
      <c r="Y318" s="9"/>
      <c r="Z318" s="7">
        <v>0</v>
      </c>
      <c r="AA318" s="8">
        <f>IFERROR(Z318/Z445, "NA")</f>
        <v>0</v>
      </c>
      <c r="AB318" s="9"/>
      <c r="AC318" s="10">
        <f t="shared" si="79"/>
        <v>0</v>
      </c>
      <c r="AD318" s="8">
        <f>IFERROR(AC318/AC445, "NA")</f>
        <v>0</v>
      </c>
    </row>
    <row r="319" spans="1:30" ht="16.5" customHeight="1" x14ac:dyDescent="0.45">
      <c r="A319" s="6" t="s">
        <v>291</v>
      </c>
      <c r="B319" s="7">
        <v>1319.75</v>
      </c>
      <c r="C319" s="8">
        <f>IFERROR(B319/B445, "NA")</f>
        <v>2.220060766835483E-3</v>
      </c>
      <c r="D319" s="9"/>
      <c r="E319" s="7">
        <v>1321</v>
      </c>
      <c r="F319" s="8">
        <f>IFERROR(E319/E445, "NA")</f>
        <v>2.0364266314717881E-3</v>
      </c>
      <c r="G319" s="9"/>
      <c r="H319" s="10">
        <f t="shared" si="76"/>
        <v>1.25</v>
      </c>
      <c r="I319" s="8">
        <f>IFERROR(H319/H445, "NA")</f>
        <v>-2.3054402118201597E-5</v>
      </c>
      <c r="J319" s="9"/>
      <c r="K319" s="7">
        <v>1319.75</v>
      </c>
      <c r="L319" s="8">
        <f>IFERROR(K319/K445, "NA")</f>
        <v>2.2214294256626566E-3</v>
      </c>
      <c r="M319" s="9"/>
      <c r="N319" s="10">
        <f t="shared" si="77"/>
        <v>0</v>
      </c>
      <c r="O319" s="8">
        <f>IFERROR(N319/N445, "NA")</f>
        <v>0</v>
      </c>
      <c r="P319" s="9"/>
      <c r="Q319" s="7">
        <v>6598.75</v>
      </c>
      <c r="R319" s="8">
        <f>IFERROR(Q319/Q445, "NA")</f>
        <v>2.2498548935224443E-3</v>
      </c>
      <c r="S319" s="9"/>
      <c r="T319" s="7">
        <v>6605</v>
      </c>
      <c r="U319" s="8">
        <f>IFERROR(T319/T445, "NA")</f>
        <v>2.1529885991675027E-3</v>
      </c>
      <c r="V319" s="9"/>
      <c r="W319" s="10">
        <f t="shared" si="78"/>
        <v>6.25</v>
      </c>
      <c r="X319" s="8">
        <f>IFERROR(W319/W445, "NA")</f>
        <v>-4.634378322617541E-5</v>
      </c>
      <c r="Y319" s="9"/>
      <c r="Z319" s="7">
        <v>6598.75</v>
      </c>
      <c r="AA319" s="8">
        <f>IFERROR(Z319/Z445, "NA")</f>
        <v>2.3099443430396817E-3</v>
      </c>
      <c r="AB319" s="9"/>
      <c r="AC319" s="10">
        <f t="shared" si="79"/>
        <v>0</v>
      </c>
      <c r="AD319" s="8">
        <f>IFERROR(AC319/AC445, "NA")</f>
        <v>0</v>
      </c>
    </row>
    <row r="320" spans="1:30" ht="16.5" customHeight="1" x14ac:dyDescent="0.45">
      <c r="A320" s="6" t="s">
        <v>292</v>
      </c>
      <c r="B320" s="7">
        <v>1347.62</v>
      </c>
      <c r="C320" s="8">
        <f>IFERROR(B320/B445, "NA")</f>
        <v>2.266943201820673E-3</v>
      </c>
      <c r="D320" s="9"/>
      <c r="E320" s="7">
        <v>1241</v>
      </c>
      <c r="F320" s="8">
        <f>IFERROR(E320/E445, "NA")</f>
        <v>1.9131002646907561E-3</v>
      </c>
      <c r="G320" s="9"/>
      <c r="H320" s="10">
        <f t="shared" si="76"/>
        <v>-106.61999999999989</v>
      </c>
      <c r="I320" s="8">
        <f>IFERROR(H320/H445, "NA")</f>
        <v>1.9664482830741214E-3</v>
      </c>
      <c r="J320" s="9"/>
      <c r="K320" s="7">
        <v>1327.52</v>
      </c>
      <c r="L320" s="8">
        <f>IFERROR(K320/K445, "NA")</f>
        <v>2.2345080440656865E-3</v>
      </c>
      <c r="M320" s="9"/>
      <c r="N320" s="10">
        <f t="shared" si="77"/>
        <v>-20.099999999999909</v>
      </c>
      <c r="O320" s="8">
        <f>IFERROR(N320/N445, "NA")</f>
        <v>-5.4879047671034263E-2</v>
      </c>
      <c r="P320" s="9"/>
      <c r="Q320" s="7">
        <v>6578.73</v>
      </c>
      <c r="R320" s="8">
        <f>IFERROR(Q320/Q445, "NA")</f>
        <v>2.2430290409036421E-3</v>
      </c>
      <c r="S320" s="9"/>
      <c r="T320" s="7">
        <v>6205</v>
      </c>
      <c r="U320" s="8">
        <f>IFERROR(T320/T445, "NA")</f>
        <v>2.0226032184457766E-3</v>
      </c>
      <c r="V320" s="9"/>
      <c r="W320" s="10">
        <f t="shared" si="78"/>
        <v>-373.72999999999956</v>
      </c>
      <c r="X320" s="8">
        <f>IFERROR(W320/W445, "NA")</f>
        <v>2.7712099368189624E-3</v>
      </c>
      <c r="Y320" s="9"/>
      <c r="Z320" s="7">
        <v>5975.37</v>
      </c>
      <c r="AA320" s="8">
        <f>IFERROR(Z320/Z445, "NA")</f>
        <v>2.0917252705541234E-3</v>
      </c>
      <c r="AB320" s="9"/>
      <c r="AC320" s="10">
        <f t="shared" si="79"/>
        <v>-603.35999999999967</v>
      </c>
      <c r="AD320" s="8">
        <f>IFERROR(AC320/AC445, "NA")</f>
        <v>-7.9081088654676824E-3</v>
      </c>
    </row>
    <row r="321" spans="1:30" ht="16.5" customHeight="1" x14ac:dyDescent="0.45">
      <c r="A321" s="6" t="s">
        <v>293</v>
      </c>
      <c r="B321" s="7">
        <v>5539.79</v>
      </c>
      <c r="C321" s="8">
        <f>IFERROR(B321/B445, "NA")</f>
        <v>9.3189395230214352E-3</v>
      </c>
      <c r="D321" s="9"/>
      <c r="E321" s="7">
        <v>5783</v>
      </c>
      <c r="F321" s="8">
        <f>IFERROR(E321/E445, "NA")</f>
        <v>8.9149547386838373E-3</v>
      </c>
      <c r="G321" s="9"/>
      <c r="H321" s="10">
        <f t="shared" si="76"/>
        <v>243.21000000000004</v>
      </c>
      <c r="I321" s="8">
        <f>IFERROR(H321/H445, "NA")</f>
        <v>-4.4856489113342495E-3</v>
      </c>
      <c r="J321" s="9"/>
      <c r="K321" s="7">
        <v>5568.31</v>
      </c>
      <c r="L321" s="8">
        <f>IFERROR(K321/K445, "NA")</f>
        <v>9.3726900437292125E-3</v>
      </c>
      <c r="M321" s="9"/>
      <c r="N321" s="10">
        <f t="shared" si="77"/>
        <v>28.520000000000437</v>
      </c>
      <c r="O321" s="8">
        <f>IFERROR(N321/N445, "NA")</f>
        <v>7.7868181073528761E-2</v>
      </c>
      <c r="P321" s="9"/>
      <c r="Q321" s="7">
        <v>28902.059999999998</v>
      </c>
      <c r="R321" s="8">
        <f>IFERROR(Q321/Q445, "NA")</f>
        <v>9.8542058910974489E-3</v>
      </c>
      <c r="S321" s="9"/>
      <c r="T321" s="7">
        <v>28915</v>
      </c>
      <c r="U321" s="8">
        <f>IFERROR(T321/T445, "NA")</f>
        <v>9.4252332089217773E-3</v>
      </c>
      <c r="V321" s="9"/>
      <c r="W321" s="10">
        <f t="shared" si="78"/>
        <v>12.940000000002328</v>
      </c>
      <c r="X321" s="8">
        <f>IFERROR(W321/W445, "NA")</f>
        <v>-9.5950168791490836E-5</v>
      </c>
      <c r="Y321" s="9"/>
      <c r="Z321" s="7">
        <v>27617.340000000004</v>
      </c>
      <c r="AA321" s="8">
        <f>IFERROR(Z321/Z445, "NA")</f>
        <v>9.6676671040429683E-3</v>
      </c>
      <c r="AB321" s="9"/>
      <c r="AC321" s="10">
        <f t="shared" si="79"/>
        <v>-1284.7199999999939</v>
      </c>
      <c r="AD321" s="8">
        <f>IFERROR(AC321/AC445, "NA")</f>
        <v>-1.6838546840432903E-2</v>
      </c>
    </row>
    <row r="322" spans="1:30" ht="16.5" customHeight="1" x14ac:dyDescent="0.45">
      <c r="A322" s="6" t="s">
        <v>294</v>
      </c>
      <c r="B322" s="7">
        <v>5141.0899999999992</v>
      </c>
      <c r="C322" s="8">
        <f>IFERROR(B322/B445, "NA")</f>
        <v>8.6482532356660213E-3</v>
      </c>
      <c r="D322" s="9"/>
      <c r="E322" s="7">
        <v>8483.1899999999987</v>
      </c>
      <c r="F322" s="8">
        <f>IFERROR(E322/E445, "NA")</f>
        <v>1.3077512517664765E-2</v>
      </c>
      <c r="G322" s="9"/>
      <c r="H322" s="10">
        <f t="shared" si="76"/>
        <v>3342.0999999999995</v>
      </c>
      <c r="I322" s="8">
        <f>IFERROR(H322/H445, "NA")</f>
        <v>-6.1640093855393235E-2</v>
      </c>
      <c r="J322" s="9"/>
      <c r="K322" s="7">
        <v>6647.9400000000005</v>
      </c>
      <c r="L322" s="8">
        <f>IFERROR(K322/K445, "NA")</f>
        <v>1.1189944713801706E-2</v>
      </c>
      <c r="M322" s="9"/>
      <c r="N322" s="10">
        <f t="shared" si="77"/>
        <v>1506.8500000000013</v>
      </c>
      <c r="O322" s="8">
        <f>IFERROR(N322/N445, "NA")</f>
        <v>4.1141538797561408</v>
      </c>
      <c r="P322" s="9"/>
      <c r="Q322" s="7">
        <v>25661.85</v>
      </c>
      <c r="R322" s="8">
        <f>IFERROR(Q322/Q445, "NA")</f>
        <v>8.749450850439695E-3</v>
      </c>
      <c r="S322" s="9"/>
      <c r="T322" s="7">
        <v>39332.25</v>
      </c>
      <c r="U322" s="8">
        <f>IFERROR(T322/T445, "NA")</f>
        <v>1.2820875977230282E-2</v>
      </c>
      <c r="V322" s="9"/>
      <c r="W322" s="10">
        <f t="shared" si="78"/>
        <v>13670.400000000001</v>
      </c>
      <c r="X322" s="8">
        <f>IFERROR(W322/W445, "NA")</f>
        <v>-0.10136608867441735</v>
      </c>
      <c r="Y322" s="9"/>
      <c r="Z322" s="7">
        <v>53840.44</v>
      </c>
      <c r="AA322" s="8">
        <f>IFERROR(Z322/Z445, "NA")</f>
        <v>1.884726952904223E-2</v>
      </c>
      <c r="AB322" s="9"/>
      <c r="AC322" s="10">
        <f t="shared" si="79"/>
        <v>28178.590000000004</v>
      </c>
      <c r="AD322" s="8">
        <f>IFERROR(AC322/AC445, "NA")</f>
        <v>0.36933067719997864</v>
      </c>
    </row>
    <row r="323" spans="1:30" ht="16.5" customHeight="1" x14ac:dyDescent="0.45">
      <c r="A323" s="6" t="s">
        <v>295</v>
      </c>
      <c r="B323" s="7">
        <v>1380.45</v>
      </c>
      <c r="C323" s="8">
        <f>IFERROR(B323/B445, "NA")</f>
        <v>2.3221692635560088E-3</v>
      </c>
      <c r="D323" s="9"/>
      <c r="E323" s="7">
        <v>1413</v>
      </c>
      <c r="F323" s="8">
        <f>IFERROR(E323/E445, "NA")</f>
        <v>2.1782519532699746E-3</v>
      </c>
      <c r="G323" s="9"/>
      <c r="H323" s="10">
        <f t="shared" si="76"/>
        <v>32.549999999999955</v>
      </c>
      <c r="I323" s="8">
        <f>IFERROR(H323/H445, "NA")</f>
        <v>-6.003366311579688E-4</v>
      </c>
      <c r="J323" s="9"/>
      <c r="K323" s="7">
        <v>1467.3400000000001</v>
      </c>
      <c r="L323" s="8">
        <f>IFERROR(K323/K445, "NA")</f>
        <v>2.4698558465253593E-3</v>
      </c>
      <c r="M323" s="9"/>
      <c r="N323" s="10">
        <f t="shared" si="77"/>
        <v>86.8900000000001</v>
      </c>
      <c r="O323" s="8">
        <f>IFERROR(N323/N445, "NA")</f>
        <v>0.2372358433898604</v>
      </c>
      <c r="P323" s="9"/>
      <c r="Q323" s="7">
        <v>8576.35</v>
      </c>
      <c r="R323" s="8">
        <f>IFERROR(Q323/Q445, "NA")</f>
        <v>2.9241209344286747E-3</v>
      </c>
      <c r="S323" s="9"/>
      <c r="T323" s="7">
        <v>7065</v>
      </c>
      <c r="U323" s="8">
        <f>IFERROR(T323/T445, "NA")</f>
        <v>2.3029317869974878E-3</v>
      </c>
      <c r="V323" s="9"/>
      <c r="W323" s="10">
        <f t="shared" si="78"/>
        <v>-1511.3500000000004</v>
      </c>
      <c r="X323" s="8">
        <f>IFERROR(W323/W445, "NA")</f>
        <v>1.1206668284620835E-2</v>
      </c>
      <c r="Y323" s="9"/>
      <c r="Z323" s="7">
        <v>7754.44</v>
      </c>
      <c r="AA323" s="8">
        <f>IFERROR(Z323/Z445, "NA")</f>
        <v>2.714502718157322E-3</v>
      </c>
      <c r="AB323" s="9"/>
      <c r="AC323" s="10">
        <f t="shared" si="79"/>
        <v>-821.91000000000076</v>
      </c>
      <c r="AD323" s="8">
        <f>IFERROR(AC323/AC445, "NA")</f>
        <v>-1.0772596389579276E-2</v>
      </c>
    </row>
    <row r="324" spans="1:30" ht="16.5" customHeight="1" x14ac:dyDescent="0.45">
      <c r="A324" s="6" t="s">
        <v>296</v>
      </c>
      <c r="B324" s="7">
        <v>10</v>
      </c>
      <c r="C324" s="8">
        <f>IFERROR(B324/B445, "NA")</f>
        <v>1.682182812529254E-5</v>
      </c>
      <c r="D324" s="9"/>
      <c r="E324" s="7">
        <v>0</v>
      </c>
      <c r="F324" s="8">
        <f>IFERROR(E324/E445, "NA")</f>
        <v>0</v>
      </c>
      <c r="G324" s="9"/>
      <c r="H324" s="10">
        <f t="shared" si="76"/>
        <v>-10</v>
      </c>
      <c r="I324" s="8">
        <f>IFERROR(H324/H445, "NA")</f>
        <v>1.8443521694561278E-4</v>
      </c>
      <c r="J324" s="9"/>
      <c r="K324" s="7">
        <v>0</v>
      </c>
      <c r="L324" s="8">
        <f>IFERROR(K324/K445, "NA")</f>
        <v>0</v>
      </c>
      <c r="M324" s="9"/>
      <c r="N324" s="10">
        <f t="shared" si="77"/>
        <v>-10</v>
      </c>
      <c r="O324" s="8">
        <f>IFERROR(N324/N445, "NA")</f>
        <v>-2.7303008791559457E-2</v>
      </c>
      <c r="P324" s="9"/>
      <c r="Q324" s="7">
        <v>13.01</v>
      </c>
      <c r="R324" s="8">
        <f>IFERROR(Q324/Q445, "NA")</f>
        <v>4.4357813471834819E-6</v>
      </c>
      <c r="S324" s="9"/>
      <c r="T324" s="7">
        <v>0</v>
      </c>
      <c r="U324" s="8">
        <f>IFERROR(T324/T445, "NA")</f>
        <v>0</v>
      </c>
      <c r="V324" s="9"/>
      <c r="W324" s="10">
        <f t="shared" si="78"/>
        <v>-13.01</v>
      </c>
      <c r="X324" s="8">
        <f>IFERROR(W324/W445, "NA")</f>
        <v>9.6469219163606724E-5</v>
      </c>
      <c r="Y324" s="9"/>
      <c r="Z324" s="7">
        <v>0</v>
      </c>
      <c r="AA324" s="8">
        <f>IFERROR(Z324/Z445, "NA")</f>
        <v>0</v>
      </c>
      <c r="AB324" s="9"/>
      <c r="AC324" s="10">
        <f t="shared" si="79"/>
        <v>-13.01</v>
      </c>
      <c r="AD324" s="8">
        <f>IFERROR(AC324/AC445, "NA")</f>
        <v>-1.7051925275081973E-4</v>
      </c>
    </row>
    <row r="325" spans="1:30" ht="16.5" customHeight="1" x14ac:dyDescent="0.45">
      <c r="A325" s="19" t="s">
        <v>297</v>
      </c>
      <c r="B325" s="14">
        <f>IFERROR(B298+B299+B300+B301+B302+B303+B304+B305+B306+B307+B308+B309+B310+B311+B312+B313+B314+B315+B316+B317+B318+B319+B320+B321+B322+B323+B324, "NA")</f>
        <v>24472.960000000003</v>
      </c>
      <c r="C325" s="15">
        <f>IFERROR(B325/B445, "NA")</f>
        <v>4.1167992683715939E-2</v>
      </c>
      <c r="D325" s="2"/>
      <c r="E325" s="14">
        <f>IFERROR(E298+E299+E300+E301+E302+E303+E304+E305+E306+E307+E308+E309+E310+E311+E312+E313+E314+E315+E316+E317+E318+E319+E320+E321+E322+E323+E324, "NA")</f>
        <v>23089.329999999998</v>
      </c>
      <c r="F325" s="15">
        <f>IFERROR(E325/E445, "NA")</f>
        <v>3.5594039753853515E-2</v>
      </c>
      <c r="G325" s="2"/>
      <c r="H325" s="14">
        <f t="shared" si="76"/>
        <v>-1383.6300000000047</v>
      </c>
      <c r="I325" s="15">
        <f>IFERROR(H325/H445, "NA")</f>
        <v>2.5519009922245907E-2</v>
      </c>
      <c r="J325" s="2"/>
      <c r="K325" s="14">
        <f>IFERROR(K298+K299+K300+K301+K302+K303+K304+K305+K306+K307+K308+K309+K310+K311+K312+K313+K314+K315+K316+K317+K318+K319+K320+K321+K322+K323+K324, "NA")</f>
        <v>23909.650000000005</v>
      </c>
      <c r="L325" s="15">
        <f>IFERROR(K325/K445, "NA")</f>
        <v>4.0245198005148815E-2</v>
      </c>
      <c r="M325" s="2"/>
      <c r="N325" s="14">
        <f t="shared" si="77"/>
        <v>-563.30999999999767</v>
      </c>
      <c r="O325" s="15">
        <f>IFERROR(N325/N445, "NA")</f>
        <v>-1.5380057882373295</v>
      </c>
      <c r="P325" s="2"/>
      <c r="Q325" s="14">
        <f>IFERROR(Q298+Q299+Q300+Q301+Q302+Q303+Q304+Q305+Q306+Q307+Q308+Q309+Q310+Q311+Q312+Q313+Q314+Q315+Q316+Q317+Q318+Q319+Q320+Q321+Q322+Q323+Q324, "NA")</f>
        <v>115149.01</v>
      </c>
      <c r="R325" s="15">
        <f>IFERROR(Q325/Q445, "NA")</f>
        <v>3.9260248324722843E-2</v>
      </c>
      <c r="S325" s="2"/>
      <c r="T325" s="14">
        <f>IFERROR(T298+T299+T300+T301+T302+T303+T304+T305+T306+T307+T308+T309+T310+T311+T312+T313+T314+T315+T316+T317+T318+T319+T320+T321+T322+T323+T324, "NA")</f>
        <v>111419.75</v>
      </c>
      <c r="U325" s="15">
        <f>IFERROR(T325/T445, "NA")</f>
        <v>3.6318766309173862E-2</v>
      </c>
      <c r="V325" s="2"/>
      <c r="W325" s="14">
        <f t="shared" si="78"/>
        <v>-3729.2599999999948</v>
      </c>
      <c r="X325" s="15">
        <f>IFERROR(W325/W445, "NA")</f>
        <v>2.7652482725447465E-2</v>
      </c>
      <c r="Y325" s="2"/>
      <c r="Z325" s="14">
        <f>IFERROR(Z298+Z299+Z300+Z301+Z302+Z303+Z304+Z305+Z306+Z307+Z308+Z309+Z310+Z311+Z312+Z313+Z314+Z315+Z316+Z317+Z318+Z319+Z320+Z321+Z322+Z323+Z324, "NA")</f>
        <v>128575.02000000002</v>
      </c>
      <c r="AA325" s="15">
        <f>IFERROR(Z325/Z445, "NA")</f>
        <v>4.5008697117668348E-2</v>
      </c>
      <c r="AB325" s="2"/>
      <c r="AC325" s="14">
        <f t="shared" si="79"/>
        <v>13426.010000000024</v>
      </c>
      <c r="AD325" s="15">
        <f>IFERROR(AC325/AC445, "NA")</f>
        <v>0.17597180573597521</v>
      </c>
    </row>
    <row r="326" spans="1:30" ht="16.5" customHeight="1" x14ac:dyDescent="0.45">
      <c r="A326" s="21" t="s">
        <v>298</v>
      </c>
      <c r="B326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146802.69000000003</v>
      </c>
      <c r="C326" s="15">
        <f>IFERROR(B326/B445, "NA")</f>
        <v>0.24694896195106025</v>
      </c>
      <c r="D326" s="2"/>
      <c r="E326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149672.06</v>
      </c>
      <c r="F326" s="15">
        <f>IFERROR(E326/E445, "NA")</f>
        <v>0.23073139210540752</v>
      </c>
      <c r="G326" s="2"/>
      <c r="H326" s="14">
        <f t="shared" si="76"/>
        <v>2869.3699999999662</v>
      </c>
      <c r="I326" s="15">
        <f>IFERROR(H326/H445, "NA")</f>
        <v>-5.2921287844722671E-2</v>
      </c>
      <c r="J326" s="2"/>
      <c r="K326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139655.32000000004</v>
      </c>
      <c r="L326" s="15">
        <f>IFERROR(K326/K445, "NA")</f>
        <v>0.23507060981120256</v>
      </c>
      <c r="M326" s="2"/>
      <c r="N326" s="14">
        <f t="shared" si="77"/>
        <v>-7147.3699999999953</v>
      </c>
      <c r="O326" s="15">
        <f>IFERROR(N326/N445, "NA")</f>
        <v>-19.514470594652821</v>
      </c>
      <c r="P326" s="2"/>
      <c r="Q326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773678.37999999966</v>
      </c>
      <c r="R326" s="15">
        <f>IFERROR(Q326/Q445, "NA")</f>
        <v>0.26378694286880339</v>
      </c>
      <c r="S326" s="2"/>
      <c r="T326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716036.21</v>
      </c>
      <c r="U326" s="15">
        <f>IFERROR(T326/T445, "NA")</f>
        <v>0.2334016346284796</v>
      </c>
      <c r="V326" s="2"/>
      <c r="W326" s="14">
        <f t="shared" si="78"/>
        <v>-57642.169999999693</v>
      </c>
      <c r="X326" s="15">
        <f>IFERROR(W326/W445, "NA")</f>
        <v>0.42741699698661395</v>
      </c>
      <c r="Y326" s="2"/>
      <c r="Z326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754056.2799999998</v>
      </c>
      <c r="AA326" s="15">
        <f>IFERROR(Z326/Z445, "NA")</f>
        <v>0.26396333219466506</v>
      </c>
      <c r="AB326" s="2"/>
      <c r="AC326" s="14">
        <f t="shared" si="79"/>
        <v>-19622.09999999986</v>
      </c>
      <c r="AD326" s="15">
        <f>IFERROR(AC326/AC445, "NA")</f>
        <v>-0.25718261563426875</v>
      </c>
    </row>
    <row r="327" spans="1:30" ht="16.5" customHeight="1" x14ac:dyDescent="0.45">
      <c r="A327" s="1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customHeight="1" x14ac:dyDescent="0.45">
      <c r="A328" s="5" t="s">
        <v>300</v>
      </c>
      <c r="B328" s="2"/>
      <c r="C328" s="3"/>
      <c r="D328" s="4"/>
      <c r="E328" s="2"/>
      <c r="F328" s="3"/>
      <c r="G328" s="4"/>
      <c r="H328" s="2"/>
      <c r="I328" s="3"/>
      <c r="J328" s="4"/>
      <c r="K328" s="2"/>
      <c r="L328" s="3"/>
      <c r="M328" s="4"/>
      <c r="N328" s="2"/>
      <c r="O328" s="3"/>
      <c r="P328" s="4"/>
      <c r="Q328" s="2"/>
      <c r="R328" s="3"/>
      <c r="S328" s="4"/>
      <c r="T328" s="2"/>
      <c r="U328" s="3"/>
      <c r="V328" s="4"/>
      <c r="W328" s="2"/>
      <c r="X328" s="3"/>
      <c r="Y328" s="4"/>
      <c r="Z328" s="2"/>
      <c r="AA328" s="3"/>
      <c r="AB328" s="4"/>
      <c r="AC328" s="2"/>
      <c r="AD328" s="3"/>
    </row>
    <row r="329" spans="1:30" ht="16.5" hidden="1" customHeight="1" x14ac:dyDescent="0.45">
      <c r="A329" s="6" t="s">
        <v>300</v>
      </c>
      <c r="B329" s="7">
        <v>0</v>
      </c>
      <c r="C329" s="8">
        <f>IFERROR(B329/B445, "NA")</f>
        <v>0</v>
      </c>
      <c r="D329" s="9"/>
      <c r="E329" s="7">
        <v>0</v>
      </c>
      <c r="F329" s="8">
        <f>IFERROR(E329/E445, "NA")</f>
        <v>0</v>
      </c>
      <c r="G329" s="9"/>
      <c r="H329" s="10">
        <f t="shared" ref="H329:H336" si="80">IFERROR(-(B329-E329), "NA")</f>
        <v>0</v>
      </c>
      <c r="I329" s="8">
        <f>IFERROR(H329/H445, "NA")</f>
        <v>0</v>
      </c>
      <c r="J329" s="9"/>
      <c r="K329" s="7">
        <v>0</v>
      </c>
      <c r="L329" s="8">
        <f>IFERROR(K329/K445, "NA")</f>
        <v>0</v>
      </c>
      <c r="M329" s="9"/>
      <c r="N329" s="10">
        <f t="shared" ref="N329:N336" si="81">IFERROR(-(B329-K329), "NA")</f>
        <v>0</v>
      </c>
      <c r="O329" s="8">
        <f>IFERROR(N329/N445, "NA")</f>
        <v>0</v>
      </c>
      <c r="P329" s="9"/>
      <c r="Q329" s="7">
        <v>0</v>
      </c>
      <c r="R329" s="8">
        <f>IFERROR(Q329/Q445, "NA")</f>
        <v>0</v>
      </c>
      <c r="S329" s="9"/>
      <c r="T329" s="7">
        <v>0</v>
      </c>
      <c r="U329" s="8">
        <f>IFERROR(T329/T445, "NA")</f>
        <v>0</v>
      </c>
      <c r="V329" s="9"/>
      <c r="W329" s="10">
        <f t="shared" ref="W329:W336" si="82">IFERROR(-(Q329-T329), "NA")</f>
        <v>0</v>
      </c>
      <c r="X329" s="8">
        <f>IFERROR(W329/W445, "NA")</f>
        <v>0</v>
      </c>
      <c r="Y329" s="9"/>
      <c r="Z329" s="7">
        <v>0</v>
      </c>
      <c r="AA329" s="8">
        <f>IFERROR(Z329/Z445, "NA")</f>
        <v>0</v>
      </c>
      <c r="AB329" s="9"/>
      <c r="AC329" s="10">
        <f t="shared" ref="AC329:AC336" si="83">IFERROR(-(Q329-Z329), "NA")</f>
        <v>0</v>
      </c>
      <c r="AD329" s="8">
        <f>IFERROR(AC329/AC445, "NA")</f>
        <v>0</v>
      </c>
    </row>
    <row r="330" spans="1:30" ht="16.5" customHeight="1" x14ac:dyDescent="0.45">
      <c r="A330" s="6" t="s">
        <v>301</v>
      </c>
      <c r="B330" s="7">
        <v>60203.63</v>
      </c>
      <c r="C330" s="8">
        <f>IFERROR(B330/B445, "NA")</f>
        <v>0.10127351163787057</v>
      </c>
      <c r="D330" s="9"/>
      <c r="E330" s="7">
        <v>60203.63</v>
      </c>
      <c r="F330" s="8">
        <f>IFERROR(E330/E445, "NA")</f>
        <v>9.2808686936619131E-2</v>
      </c>
      <c r="G330" s="9"/>
      <c r="H330" s="10">
        <f t="shared" si="80"/>
        <v>0</v>
      </c>
      <c r="I330" s="8">
        <f>IFERROR(H330/H445, "NA")</f>
        <v>0</v>
      </c>
      <c r="J330" s="9"/>
      <c r="K330" s="7">
        <v>58545.11</v>
      </c>
      <c r="L330" s="8">
        <f>IFERROR(K330/K445, "NA")</f>
        <v>9.8544292542267126E-2</v>
      </c>
      <c r="M330" s="9"/>
      <c r="N330" s="10">
        <f t="shared" si="81"/>
        <v>-1658.5199999999968</v>
      </c>
      <c r="O330" s="8">
        <f>IFERROR(N330/N445, "NA")</f>
        <v>-4.5282586140977106</v>
      </c>
      <c r="P330" s="9"/>
      <c r="Q330" s="7">
        <v>301018.14999999997</v>
      </c>
      <c r="R330" s="8">
        <f>IFERROR(Q330/Q445, "NA")</f>
        <v>0.10263264373049034</v>
      </c>
      <c r="S330" s="9"/>
      <c r="T330" s="7">
        <v>301018.14999999997</v>
      </c>
      <c r="U330" s="8">
        <f>IFERROR(T330/T445, "NA")</f>
        <v>9.8120915229749139E-2</v>
      </c>
      <c r="V330" s="9"/>
      <c r="W330" s="10">
        <f t="shared" si="82"/>
        <v>0</v>
      </c>
      <c r="X330" s="8">
        <f>IFERROR(W330/W445, "NA")</f>
        <v>0</v>
      </c>
      <c r="Y330" s="9"/>
      <c r="Z330" s="7">
        <v>275578.96000000002</v>
      </c>
      <c r="AA330" s="8">
        <f>IFERROR(Z330/Z445, "NA")</f>
        <v>9.6468582642585149E-2</v>
      </c>
      <c r="AB330" s="9"/>
      <c r="AC330" s="10">
        <f t="shared" si="83"/>
        <v>-25439.189999999944</v>
      </c>
      <c r="AD330" s="8">
        <f>IFERROR(AC330/AC445, "NA")</f>
        <v>-0.3334259546030835</v>
      </c>
    </row>
    <row r="331" spans="1:30" ht="16.5" customHeight="1" x14ac:dyDescent="0.45">
      <c r="A331" s="6" t="s">
        <v>302</v>
      </c>
      <c r="B331" s="7">
        <v>6690.29</v>
      </c>
      <c r="C331" s="8">
        <f>IFERROR(B331/B445, "NA")</f>
        <v>1.1254290848836343E-2</v>
      </c>
      <c r="D331" s="9"/>
      <c r="E331" s="7">
        <v>6433.13</v>
      </c>
      <c r="F331" s="8">
        <f>IFERROR(E331/E445, "NA")</f>
        <v>9.9171818741257411E-3</v>
      </c>
      <c r="G331" s="9"/>
      <c r="H331" s="10">
        <f t="shared" si="80"/>
        <v>-257.15999999999985</v>
      </c>
      <c r="I331" s="8">
        <f>IFERROR(H331/H445, "NA")</f>
        <v>4.7429360389733754E-3</v>
      </c>
      <c r="J331" s="9"/>
      <c r="K331" s="7">
        <v>6547.3200000000006</v>
      </c>
      <c r="L331" s="8">
        <f>IFERROR(K331/K445, "NA")</f>
        <v>1.1020579130312276E-2</v>
      </c>
      <c r="M331" s="9"/>
      <c r="N331" s="10">
        <f t="shared" si="81"/>
        <v>-142.96999999999935</v>
      </c>
      <c r="O331" s="8">
        <f>IFERROR(N331/N445, "NA")</f>
        <v>-0.39035111669292377</v>
      </c>
      <c r="P331" s="9"/>
      <c r="Q331" s="7">
        <v>34851.86</v>
      </c>
      <c r="R331" s="8">
        <f>IFERROR(Q331/Q445, "NA")</f>
        <v>1.1882800192363575E-2</v>
      </c>
      <c r="S331" s="9"/>
      <c r="T331" s="7">
        <v>32165.649999999998</v>
      </c>
      <c r="U331" s="8">
        <f>IFERROR(T331/T445, "NA")</f>
        <v>1.0484826303529473E-2</v>
      </c>
      <c r="V331" s="9"/>
      <c r="W331" s="10">
        <f t="shared" si="82"/>
        <v>-2686.2100000000028</v>
      </c>
      <c r="X331" s="8">
        <f>IFERROR(W331/W445, "NA")</f>
        <v>1.9918261430397564E-2</v>
      </c>
      <c r="Y331" s="9"/>
      <c r="Z331" s="7">
        <v>30491.17</v>
      </c>
      <c r="AA331" s="8">
        <f>IFERROR(Z331/Z445, "NA")</f>
        <v>1.0673673900990529E-2</v>
      </c>
      <c r="AB331" s="9"/>
      <c r="AC331" s="10">
        <f t="shared" si="83"/>
        <v>-4360.6900000000023</v>
      </c>
      <c r="AD331" s="8">
        <f>IFERROR(AC331/AC445, "NA")</f>
        <v>-5.7154619544809569E-2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IFERROR(B332/B445, "NA")</f>
        <v>0</v>
      </c>
      <c r="D332" s="9"/>
      <c r="E332" s="7">
        <v>0</v>
      </c>
      <c r="F332" s="8">
        <f>IFERROR(E332/E445, "NA")</f>
        <v>0</v>
      </c>
      <c r="G332" s="9"/>
      <c r="H332" s="10">
        <f t="shared" si="80"/>
        <v>0</v>
      </c>
      <c r="I332" s="8">
        <f>IFERROR(H332/H445, "NA")</f>
        <v>0</v>
      </c>
      <c r="J332" s="9"/>
      <c r="K332" s="7">
        <v>0</v>
      </c>
      <c r="L332" s="8">
        <f>IFERROR(K332/K445, "NA")</f>
        <v>0</v>
      </c>
      <c r="M332" s="9"/>
      <c r="N332" s="10">
        <f t="shared" si="81"/>
        <v>0</v>
      </c>
      <c r="O332" s="8">
        <f>IFERROR(N332/N445, "NA")</f>
        <v>0</v>
      </c>
      <c r="P332" s="9"/>
      <c r="Q332" s="7">
        <v>0</v>
      </c>
      <c r="R332" s="8">
        <f>IFERROR(Q332/Q445, "NA")</f>
        <v>0</v>
      </c>
      <c r="S332" s="9"/>
      <c r="T332" s="7">
        <v>0</v>
      </c>
      <c r="U332" s="8">
        <f>IFERROR(T332/T445, "NA")</f>
        <v>0</v>
      </c>
      <c r="V332" s="9"/>
      <c r="W332" s="10">
        <f t="shared" si="82"/>
        <v>0</v>
      </c>
      <c r="X332" s="8">
        <f>IFERROR(W332/W445, "NA")</f>
        <v>0</v>
      </c>
      <c r="Y332" s="9"/>
      <c r="Z332" s="7">
        <v>0</v>
      </c>
      <c r="AA332" s="8">
        <f>IFERROR(Z332/Z445, "NA")</f>
        <v>0</v>
      </c>
      <c r="AB332" s="9"/>
      <c r="AC332" s="10">
        <f t="shared" si="83"/>
        <v>0</v>
      </c>
      <c r="AD332" s="8">
        <f>IFERROR(AC332/AC445, "NA")</f>
        <v>0</v>
      </c>
    </row>
    <row r="333" spans="1:30" ht="16.5" customHeight="1" x14ac:dyDescent="0.45">
      <c r="A333" s="6" t="s">
        <v>304</v>
      </c>
      <c r="B333" s="7">
        <v>-99.55</v>
      </c>
      <c r="C333" s="8">
        <f>IFERROR(B333/B445, "NA")</f>
        <v>-1.6746129898728723E-4</v>
      </c>
      <c r="D333" s="9"/>
      <c r="E333" s="7">
        <v>313</v>
      </c>
      <c r="F333" s="8">
        <f>IFERROR(E333/E445, "NA")</f>
        <v>4.8251441003078702E-4</v>
      </c>
      <c r="G333" s="9"/>
      <c r="H333" s="10">
        <f t="shared" si="80"/>
        <v>412.55</v>
      </c>
      <c r="I333" s="8">
        <f>IFERROR(H333/H445, "NA")</f>
        <v>-7.6088748750912554E-3</v>
      </c>
      <c r="J333" s="9"/>
      <c r="K333" s="7">
        <v>195.16</v>
      </c>
      <c r="L333" s="8">
        <f>IFERROR(K333/K445, "NA")</f>
        <v>3.284971901589877E-4</v>
      </c>
      <c r="M333" s="9"/>
      <c r="N333" s="10">
        <f t="shared" si="81"/>
        <v>294.70999999999998</v>
      </c>
      <c r="O333" s="8">
        <f>IFERROR(N333/N445, "NA")</f>
        <v>0.80464697209604874</v>
      </c>
      <c r="P333" s="9"/>
      <c r="Q333" s="7">
        <v>2030.71</v>
      </c>
      <c r="R333" s="8">
        <f>IFERROR(Q333/Q445, "NA")</f>
        <v>6.9237398459177316E-4</v>
      </c>
      <c r="S333" s="9"/>
      <c r="T333" s="7">
        <v>1565</v>
      </c>
      <c r="U333" s="8">
        <f>IFERROR(T333/T445, "NA")</f>
        <v>5.101328020737535E-4</v>
      </c>
      <c r="V333" s="9"/>
      <c r="W333" s="10">
        <f t="shared" si="82"/>
        <v>-465.71000000000004</v>
      </c>
      <c r="X333" s="8">
        <f>IFERROR(W333/W445, "NA")</f>
        <v>3.4532421258019444E-3</v>
      </c>
      <c r="Y333" s="9"/>
      <c r="Z333" s="7">
        <v>975.8</v>
      </c>
      <c r="AA333" s="8">
        <f>IFERROR(Z333/Z445, "NA")</f>
        <v>3.4158646560911101E-4</v>
      </c>
      <c r="AB333" s="9"/>
      <c r="AC333" s="10">
        <f t="shared" si="83"/>
        <v>-1054.9100000000001</v>
      </c>
      <c r="AD333" s="8">
        <f>IFERROR(AC333/AC445, "NA")</f>
        <v>-1.3826476934617008E-2</v>
      </c>
    </row>
    <row r="334" spans="1:30" ht="16.5" customHeight="1" x14ac:dyDescent="0.45">
      <c r="A334" s="6" t="s">
        <v>305</v>
      </c>
      <c r="B334" s="7">
        <v>6639.83</v>
      </c>
      <c r="C334" s="8">
        <f>IFERROR(B334/B445, "NA")</f>
        <v>1.1169407904116116E-2</v>
      </c>
      <c r="D334" s="9"/>
      <c r="E334" s="7">
        <v>5619</v>
      </c>
      <c r="F334" s="8">
        <f>IFERROR(E334/E445, "NA")</f>
        <v>8.6621356867827223E-3</v>
      </c>
      <c r="G334" s="9"/>
      <c r="H334" s="10">
        <f t="shared" si="80"/>
        <v>-1020.8299999999999</v>
      </c>
      <c r="I334" s="8">
        <f>IFERROR(H334/H445, "NA")</f>
        <v>1.8827700251458988E-2</v>
      </c>
      <c r="J334" s="9"/>
      <c r="K334" s="7">
        <v>5618.89</v>
      </c>
      <c r="L334" s="8">
        <f>IFERROR(K334/K445, "NA")</f>
        <v>9.4578273048392843E-3</v>
      </c>
      <c r="M334" s="9"/>
      <c r="N334" s="10">
        <f t="shared" si="81"/>
        <v>-1020.9399999999996</v>
      </c>
      <c r="O334" s="8">
        <f>IFERROR(N334/N445, "NA")</f>
        <v>-2.78747337956547</v>
      </c>
      <c r="P334" s="9"/>
      <c r="Q334" s="7">
        <v>28274.080000000002</v>
      </c>
      <c r="R334" s="8">
        <f>IFERROR(Q334/Q445, "NA")</f>
        <v>9.6400950555552301E-3</v>
      </c>
      <c r="S334" s="9"/>
      <c r="T334" s="7">
        <v>28095</v>
      </c>
      <c r="U334" s="8">
        <f>IFERROR(T334/T445, "NA")</f>
        <v>9.1579431784422384E-3</v>
      </c>
      <c r="V334" s="9"/>
      <c r="W334" s="10">
        <f t="shared" si="82"/>
        <v>-179.08000000000175</v>
      </c>
      <c r="X334" s="8">
        <f>IFERROR(W334/W445, "NA")</f>
        <v>1.3278791520229718E-3</v>
      </c>
      <c r="Y334" s="9"/>
      <c r="Z334" s="7">
        <v>28529.45</v>
      </c>
      <c r="AA334" s="8">
        <f>IFERROR(Z334/Z445, "NA")</f>
        <v>9.9869583841687374E-3</v>
      </c>
      <c r="AB334" s="9"/>
      <c r="AC334" s="10">
        <f t="shared" si="83"/>
        <v>255.36999999999898</v>
      </c>
      <c r="AD334" s="8">
        <f>IFERROR(AC334/AC445, "NA")</f>
        <v>3.34707929092826E-3</v>
      </c>
    </row>
    <row r="335" spans="1:30" ht="16.5" customHeight="1" x14ac:dyDescent="0.45">
      <c r="A335" s="6" t="s">
        <v>306</v>
      </c>
      <c r="B335" s="7">
        <v>-4635.6899999999996</v>
      </c>
      <c r="C335" s="8">
        <f>IFERROR(B335/B445, "NA")</f>
        <v>-7.7980780422137368E-3</v>
      </c>
      <c r="D335" s="9"/>
      <c r="E335" s="7">
        <v>-4635.6899999999996</v>
      </c>
      <c r="F335" s="8">
        <f>IFERROR(E335/E445, "NA")</f>
        <v>-7.1462850652895173E-3</v>
      </c>
      <c r="G335" s="9"/>
      <c r="H335" s="10">
        <f t="shared" si="80"/>
        <v>0</v>
      </c>
      <c r="I335" s="8">
        <f>IFERROR(H335/H445, "NA")</f>
        <v>0</v>
      </c>
      <c r="J335" s="9"/>
      <c r="K335" s="7">
        <v>-4507.97</v>
      </c>
      <c r="L335" s="8">
        <f>IFERROR(K335/K445, "NA")</f>
        <v>-7.5879046849816152E-3</v>
      </c>
      <c r="M335" s="9"/>
      <c r="N335" s="10">
        <f t="shared" si="81"/>
        <v>127.71999999999935</v>
      </c>
      <c r="O335" s="8">
        <f>IFERROR(N335/N445, "NA")</f>
        <v>0.34871402828579562</v>
      </c>
      <c r="P335" s="9"/>
      <c r="Q335" s="7">
        <v>-9271.3799999999992</v>
      </c>
      <c r="R335" s="8">
        <f>IFERROR(Q335/Q445, "NA")</f>
        <v>-3.1610925800653333E-3</v>
      </c>
      <c r="S335" s="9"/>
      <c r="T335" s="7">
        <v>-9271.3799999999992</v>
      </c>
      <c r="U335" s="8">
        <f>IFERROR(T335/T445, "NA")</f>
        <v>-3.0221310277894924E-3</v>
      </c>
      <c r="V335" s="9"/>
      <c r="W335" s="10">
        <f t="shared" si="82"/>
        <v>0</v>
      </c>
      <c r="X335" s="8">
        <f>IFERROR(W335/W445, "NA")</f>
        <v>0</v>
      </c>
      <c r="Y335" s="9"/>
      <c r="Z335" s="7">
        <v>-9015.94</v>
      </c>
      <c r="AA335" s="8">
        <f>IFERROR(Z335/Z445, "NA")</f>
        <v>-3.1561007160727699E-3</v>
      </c>
      <c r="AB335" s="9"/>
      <c r="AC335" s="10">
        <f t="shared" si="83"/>
        <v>255.43999999999869</v>
      </c>
      <c r="AD335" s="8">
        <f>IFERROR(AC335/AC445, "NA")</f>
        <v>3.3479967657701129E-3</v>
      </c>
    </row>
    <row r="336" spans="1:30" ht="16.5" customHeight="1" x14ac:dyDescent="0.45">
      <c r="A336" s="6" t="s">
        <v>307</v>
      </c>
      <c r="B336" s="7">
        <v>1747.67</v>
      </c>
      <c r="C336" s="8">
        <f>IFERROR(B336/B445, "NA")</f>
        <v>2.9399004359730013E-3</v>
      </c>
      <c r="D336" s="9"/>
      <c r="E336" s="7">
        <v>288.88</v>
      </c>
      <c r="F336" s="8">
        <f>IFERROR(E336/E445, "NA")</f>
        <v>4.4533151044630592E-4</v>
      </c>
      <c r="G336" s="9"/>
      <c r="H336" s="10">
        <f t="shared" si="80"/>
        <v>-1458.79</v>
      </c>
      <c r="I336" s="8">
        <f>IFERROR(H336/H445, "NA")</f>
        <v>2.6905225012809047E-2</v>
      </c>
      <c r="J336" s="9"/>
      <c r="K336" s="7">
        <v>0</v>
      </c>
      <c r="L336" s="8">
        <f>IFERROR(K336/K445, "NA")</f>
        <v>0</v>
      </c>
      <c r="M336" s="9"/>
      <c r="N336" s="10">
        <f t="shared" si="81"/>
        <v>-1747.67</v>
      </c>
      <c r="O336" s="8">
        <f>IFERROR(N336/N445, "NA")</f>
        <v>-4.7716649374744717</v>
      </c>
      <c r="P336" s="9"/>
      <c r="Q336" s="7">
        <v>5257.68</v>
      </c>
      <c r="R336" s="8">
        <f>IFERROR(Q336/Q445, "NA")</f>
        <v>1.7926148250161146E-3</v>
      </c>
      <c r="S336" s="9"/>
      <c r="T336" s="7">
        <v>1439.84</v>
      </c>
      <c r="U336" s="8">
        <f>IFERROR(T336/T445, "NA")</f>
        <v>4.6933521644592534E-4</v>
      </c>
      <c r="V336" s="9"/>
      <c r="W336" s="10">
        <f t="shared" si="82"/>
        <v>-3817.84</v>
      </c>
      <c r="X336" s="8">
        <f>IFERROR(W336/W445, "NA")</f>
        <v>2.8309303896355446E-2</v>
      </c>
      <c r="Y336" s="9"/>
      <c r="Z336" s="7">
        <v>3309.62</v>
      </c>
      <c r="AA336" s="8">
        <f>IFERROR(Z336/Z445, "NA")</f>
        <v>1.1585585143566572E-3</v>
      </c>
      <c r="AB336" s="9"/>
      <c r="AC336" s="10">
        <f t="shared" si="83"/>
        <v>-1948.0600000000004</v>
      </c>
      <c r="AD336" s="8">
        <f>IFERROR(AC336/AC445, "NA")</f>
        <v>-2.5532800577537429E-2</v>
      </c>
    </row>
    <row r="337" spans="1:30" ht="16.5" customHeight="1" x14ac:dyDescent="0.45">
      <c r="A337" s="11" t="s">
        <v>308</v>
      </c>
      <c r="B337" s="2"/>
      <c r="C337" s="3"/>
      <c r="D337" s="4"/>
      <c r="E337" s="2"/>
      <c r="F337" s="3"/>
      <c r="G337" s="4"/>
      <c r="H337" s="2"/>
      <c r="I337" s="3"/>
      <c r="J337" s="4"/>
      <c r="K337" s="2"/>
      <c r="L337" s="3"/>
      <c r="M337" s="4"/>
      <c r="N337" s="2"/>
      <c r="O337" s="3"/>
      <c r="P337" s="4"/>
      <c r="Q337" s="2"/>
      <c r="R337" s="3"/>
      <c r="S337" s="4"/>
      <c r="T337" s="2"/>
      <c r="U337" s="3"/>
      <c r="V337" s="4"/>
      <c r="W337" s="2"/>
      <c r="X337" s="3"/>
      <c r="Y337" s="4"/>
      <c r="Z337" s="2"/>
      <c r="AA337" s="3"/>
      <c r="AB337" s="4"/>
      <c r="AC337" s="2"/>
      <c r="AD337" s="3"/>
    </row>
    <row r="338" spans="1:30" ht="16.5" hidden="1" customHeight="1" x14ac:dyDescent="0.45">
      <c r="A338" s="12" t="s">
        <v>308</v>
      </c>
      <c r="B338" s="7">
        <v>0</v>
      </c>
      <c r="C338" s="8">
        <f>IFERROR(B338/B445, "NA")</f>
        <v>0</v>
      </c>
      <c r="D338" s="9"/>
      <c r="E338" s="7">
        <v>0</v>
      </c>
      <c r="F338" s="8">
        <f>IFERROR(E338/E445, "NA")</f>
        <v>0</v>
      </c>
      <c r="G338" s="9"/>
      <c r="H338" s="10">
        <f t="shared" ref="H338:H345" si="84">IFERROR(-(B338-E338), "NA")</f>
        <v>0</v>
      </c>
      <c r="I338" s="8">
        <f>IFERROR(H338/H445, "NA")</f>
        <v>0</v>
      </c>
      <c r="J338" s="9"/>
      <c r="K338" s="7">
        <v>0</v>
      </c>
      <c r="L338" s="8">
        <f>IFERROR(K338/K445, "NA")</f>
        <v>0</v>
      </c>
      <c r="M338" s="9"/>
      <c r="N338" s="10">
        <f t="shared" ref="N338:N345" si="85">IFERROR(-(B338-K338), "NA")</f>
        <v>0</v>
      </c>
      <c r="O338" s="8">
        <f>IFERROR(N338/N445, "NA")</f>
        <v>0</v>
      </c>
      <c r="P338" s="9"/>
      <c r="Q338" s="7">
        <v>0</v>
      </c>
      <c r="R338" s="8">
        <f>IFERROR(Q338/Q445, "NA")</f>
        <v>0</v>
      </c>
      <c r="S338" s="9"/>
      <c r="T338" s="7">
        <v>0</v>
      </c>
      <c r="U338" s="8">
        <f>IFERROR(T338/T445, "NA")</f>
        <v>0</v>
      </c>
      <c r="V338" s="9"/>
      <c r="W338" s="10">
        <f t="shared" ref="W338:W345" si="86">IFERROR(-(Q338-T338), "NA")</f>
        <v>0</v>
      </c>
      <c r="X338" s="8">
        <f>IFERROR(W338/W445, "NA")</f>
        <v>0</v>
      </c>
      <c r="Y338" s="9"/>
      <c r="Z338" s="7">
        <v>0</v>
      </c>
      <c r="AA338" s="8">
        <f>IFERROR(Z338/Z445, "NA")</f>
        <v>0</v>
      </c>
      <c r="AB338" s="9"/>
      <c r="AC338" s="10">
        <f t="shared" ref="AC338:AC345" si="87">IFERROR(-(Q338-Z338), "NA")</f>
        <v>0</v>
      </c>
      <c r="AD338" s="8">
        <f>IFERROR(AC338/AC445, "NA")</f>
        <v>0</v>
      </c>
    </row>
    <row r="339" spans="1:30" ht="16.5" customHeight="1" x14ac:dyDescent="0.45">
      <c r="A339" s="12" t="s">
        <v>309</v>
      </c>
      <c r="B339" s="7">
        <v>8907.32</v>
      </c>
      <c r="C339" s="8">
        <f>IFERROR(B339/B445, "NA")</f>
        <v>1.4983740609698074E-2</v>
      </c>
      <c r="D339" s="9"/>
      <c r="E339" s="7">
        <v>10898.689999999999</v>
      </c>
      <c r="F339" s="8">
        <f>IFERROR(E339/E445, "NA")</f>
        <v>1.6801198004659543E-2</v>
      </c>
      <c r="G339" s="9"/>
      <c r="H339" s="10">
        <f t="shared" si="84"/>
        <v>1991.369999999999</v>
      </c>
      <c r="I339" s="8">
        <f>IFERROR(H339/H445, "NA")</f>
        <v>-3.6727875796898471E-2</v>
      </c>
      <c r="J339" s="9"/>
      <c r="K339" s="7">
        <v>9442.51</v>
      </c>
      <c r="L339" s="8">
        <f>IFERROR(K339/K445, "NA")</f>
        <v>1.5893820470629962E-2</v>
      </c>
      <c r="M339" s="9"/>
      <c r="N339" s="10">
        <f t="shared" si="85"/>
        <v>535.19000000000051</v>
      </c>
      <c r="O339" s="8">
        <f>IFERROR(N339/N445, "NA")</f>
        <v>1.461229727515472</v>
      </c>
      <c r="P339" s="9"/>
      <c r="Q339" s="7">
        <v>46219.130000000005</v>
      </c>
      <c r="R339" s="8">
        <f>IFERROR(Q339/Q445, "NA")</f>
        <v>1.5758489987474904E-2</v>
      </c>
      <c r="S339" s="9"/>
      <c r="T339" s="7">
        <v>52595.85</v>
      </c>
      <c r="U339" s="8">
        <f>IFERROR(T339/T445, "NA")</f>
        <v>1.7144324816581995E-2</v>
      </c>
      <c r="V339" s="9"/>
      <c r="W339" s="10">
        <f t="shared" si="86"/>
        <v>6376.7199999999939</v>
      </c>
      <c r="X339" s="8">
        <f>IFERROR(W339/W445, "NA")</f>
        <v>-4.7283412699842715E-2</v>
      </c>
      <c r="Y339" s="9"/>
      <c r="Z339" s="7">
        <v>48175.799999999996</v>
      </c>
      <c r="AA339" s="8">
        <f>IFERROR(Z339/Z445, "NA")</f>
        <v>1.6864317739179555E-2</v>
      </c>
      <c r="AB339" s="9"/>
      <c r="AC339" s="10">
        <f t="shared" si="87"/>
        <v>1956.669999999991</v>
      </c>
      <c r="AD339" s="8">
        <f>IFERROR(AC339/AC445, "NA")</f>
        <v>2.5645649983085696E-2</v>
      </c>
    </row>
    <row r="340" spans="1:30" ht="16.5" customHeight="1" x14ac:dyDescent="0.45">
      <c r="A340" s="12" t="s">
        <v>310</v>
      </c>
      <c r="B340" s="7">
        <v>2400.73</v>
      </c>
      <c r="C340" s="8">
        <f>IFERROR(B340/B445, "NA")</f>
        <v>4.0384667435233558E-3</v>
      </c>
      <c r="D340" s="9"/>
      <c r="E340" s="7">
        <v>2537.92</v>
      </c>
      <c r="F340" s="8">
        <f>IFERROR(E340/E445, "NA")</f>
        <v>3.9124056597614537E-3</v>
      </c>
      <c r="G340" s="9"/>
      <c r="H340" s="10">
        <f t="shared" si="84"/>
        <v>137.19000000000005</v>
      </c>
      <c r="I340" s="8">
        <f>IFERROR(H340/H445, "NA")</f>
        <v>-2.5302667412768626E-3</v>
      </c>
      <c r="J340" s="9"/>
      <c r="K340" s="7">
        <v>2176.71</v>
      </c>
      <c r="L340" s="8">
        <f>IFERROR(K340/K445, "NA")</f>
        <v>3.6638815269059754E-3</v>
      </c>
      <c r="M340" s="9"/>
      <c r="N340" s="10">
        <f t="shared" si="85"/>
        <v>-224.01999999999998</v>
      </c>
      <c r="O340" s="8">
        <f>IFERROR(N340/N445, "NA")</f>
        <v>-0.6116420029485149</v>
      </c>
      <c r="P340" s="9"/>
      <c r="Q340" s="7">
        <v>14160.61</v>
      </c>
      <c r="R340" s="8">
        <f>IFERROR(Q340/Q445, "NA")</f>
        <v>4.828083758857793E-3</v>
      </c>
      <c r="S340" s="9"/>
      <c r="T340" s="7">
        <v>12021.119999999999</v>
      </c>
      <c r="U340" s="8">
        <f>IFERROR(T340/T445, "NA")</f>
        <v>3.9184457697538904E-3</v>
      </c>
      <c r="V340" s="9"/>
      <c r="W340" s="10">
        <f t="shared" si="86"/>
        <v>-2139.4900000000016</v>
      </c>
      <c r="X340" s="8">
        <f>IFERROR(W340/W445, "NA")</f>
        <v>1.5864329723931217E-2</v>
      </c>
      <c r="Y340" s="9"/>
      <c r="Z340" s="7">
        <v>13203.220000000001</v>
      </c>
      <c r="AA340" s="8">
        <f>IFERROR(Z340/Z445, "NA")</f>
        <v>4.6218910170726865E-3</v>
      </c>
      <c r="AB340" s="9"/>
      <c r="AC340" s="10">
        <f t="shared" si="87"/>
        <v>-957.38999999999942</v>
      </c>
      <c r="AD340" s="8">
        <f>IFERROR(AC340/AC445, "NA")</f>
        <v>-1.2548303412075881E-2</v>
      </c>
    </row>
    <row r="341" spans="1:30" ht="16.5" customHeight="1" x14ac:dyDescent="0.45">
      <c r="A341" s="12" t="s">
        <v>311</v>
      </c>
      <c r="B341" s="7">
        <v>3888.9700000000003</v>
      </c>
      <c r="C341" s="8">
        <f>IFERROR(B341/B445, "NA")</f>
        <v>6.5419584924418933E-3</v>
      </c>
      <c r="D341" s="9"/>
      <c r="E341" s="7">
        <v>2828.3599999999997</v>
      </c>
      <c r="F341" s="8">
        <f>IFERROR(E341/E445, "NA")</f>
        <v>4.3601420343599888E-3</v>
      </c>
      <c r="G341" s="9"/>
      <c r="H341" s="10">
        <f t="shared" si="84"/>
        <v>-1060.6100000000006</v>
      </c>
      <c r="I341" s="8">
        <f>IFERROR(H341/H445, "NA")</f>
        <v>1.9561383544468649E-2</v>
      </c>
      <c r="J341" s="9"/>
      <c r="K341" s="7">
        <v>2711.05</v>
      </c>
      <c r="L341" s="8">
        <f>IFERROR(K341/K445, "NA")</f>
        <v>4.5632932331447209E-3</v>
      </c>
      <c r="M341" s="9"/>
      <c r="N341" s="10">
        <f t="shared" si="85"/>
        <v>-1177.92</v>
      </c>
      <c r="O341" s="8">
        <f>IFERROR(N341/N445, "NA")</f>
        <v>-3.2160760115753719</v>
      </c>
      <c r="P341" s="9"/>
      <c r="Q341" s="7">
        <v>13577.04</v>
      </c>
      <c r="R341" s="8">
        <f>IFERROR(Q341/Q445, "NA")</f>
        <v>4.629114587391547E-3</v>
      </c>
      <c r="S341" s="9"/>
      <c r="T341" s="7">
        <v>13461.91</v>
      </c>
      <c r="U341" s="8">
        <f>IFERROR(T341/T445, "NA")</f>
        <v>4.3880906514790303E-3</v>
      </c>
      <c r="V341" s="9"/>
      <c r="W341" s="10">
        <f t="shared" si="86"/>
        <v>-115.13000000000102</v>
      </c>
      <c r="X341" s="8">
        <f>IFERROR(W341/W445, "NA")</f>
        <v>8.5368956205273956E-4</v>
      </c>
      <c r="Y341" s="9"/>
      <c r="Z341" s="7">
        <v>13394.59</v>
      </c>
      <c r="AA341" s="8">
        <f>IFERROR(Z341/Z445, "NA")</f>
        <v>4.688881590882499E-3</v>
      </c>
      <c r="AB341" s="9"/>
      <c r="AC341" s="10">
        <f t="shared" si="87"/>
        <v>-182.45000000000073</v>
      </c>
      <c r="AD341" s="8">
        <f>IFERROR(AC341/AC445, "NA")</f>
        <v>-2.3913326413825659E-3</v>
      </c>
    </row>
    <row r="342" spans="1:30" ht="16.5" customHeight="1" x14ac:dyDescent="0.45">
      <c r="A342" s="12" t="s">
        <v>312</v>
      </c>
      <c r="B342" s="7">
        <v>1951.3600000000001</v>
      </c>
      <c r="C342" s="8">
        <f>IFERROR(B342/B445, "NA")</f>
        <v>3.2825442530570854E-3</v>
      </c>
      <c r="D342" s="9"/>
      <c r="E342" s="7">
        <v>2084.58</v>
      </c>
      <c r="F342" s="8">
        <f>IFERROR(E342/E445, "NA")</f>
        <v>3.2135459708050413E-3</v>
      </c>
      <c r="G342" s="9"/>
      <c r="H342" s="10">
        <f t="shared" si="84"/>
        <v>133.2199999999998</v>
      </c>
      <c r="I342" s="8">
        <f>IFERROR(H342/H445, "NA")</f>
        <v>-2.4570459601494497E-3</v>
      </c>
      <c r="J342" s="9"/>
      <c r="K342" s="7">
        <v>1884.19</v>
      </c>
      <c r="L342" s="8">
        <f>IFERROR(K342/K445, "NA")</f>
        <v>3.1715060500392659E-3</v>
      </c>
      <c r="M342" s="9"/>
      <c r="N342" s="10">
        <f t="shared" si="85"/>
        <v>-67.170000000000073</v>
      </c>
      <c r="O342" s="8">
        <f>IFERROR(N342/N445, "NA")</f>
        <v>-0.18339431005290507</v>
      </c>
      <c r="P342" s="9"/>
      <c r="Q342" s="7">
        <v>9623.26</v>
      </c>
      <c r="R342" s="8">
        <f>IFERROR(Q342/Q445, "NA")</f>
        <v>3.2810666569636367E-3</v>
      </c>
      <c r="S342" s="9"/>
      <c r="T342" s="7">
        <v>9644.57</v>
      </c>
      <c r="U342" s="8">
        <f>IFERROR(T342/T445, "NA")</f>
        <v>3.143777328368345E-3</v>
      </c>
      <c r="V342" s="9"/>
      <c r="W342" s="10">
        <f t="shared" si="86"/>
        <v>21.309999999999491</v>
      </c>
      <c r="X342" s="8">
        <f>IFERROR(W342/W445, "NA")</f>
        <v>-1.580137632879639E-4</v>
      </c>
      <c r="Y342" s="9"/>
      <c r="Z342" s="7">
        <v>9380.49</v>
      </c>
      <c r="AA342" s="8">
        <f>IFERROR(Z342/Z445, "NA")</f>
        <v>3.2837143111104838E-3</v>
      </c>
      <c r="AB342" s="9"/>
      <c r="AC342" s="10">
        <f t="shared" si="87"/>
        <v>-242.77000000000044</v>
      </c>
      <c r="AD342" s="8">
        <f>IFERROR(AC342/AC445, "NA")</f>
        <v>-3.1819338193940492E-3</v>
      </c>
    </row>
    <row r="343" spans="1:30" ht="16.5" customHeight="1" x14ac:dyDescent="0.45">
      <c r="A343" s="13" t="s">
        <v>313</v>
      </c>
      <c r="B343" s="14">
        <f>IFERROR(B338+B339+B340+B341+B342, "NA")</f>
        <v>17148.38</v>
      </c>
      <c r="C343" s="15">
        <f>IFERROR(B343/B445, "NA")</f>
        <v>2.8846710098720411E-2</v>
      </c>
      <c r="D343" s="2"/>
      <c r="E343" s="14">
        <f>IFERROR(E338+E339+E340+E341+E342, "NA")</f>
        <v>18349.549999999996</v>
      </c>
      <c r="F343" s="15">
        <f>IFERROR(E343/E445, "NA")</f>
        <v>2.8287291669586025E-2</v>
      </c>
      <c r="G343" s="2"/>
      <c r="H343" s="14">
        <f t="shared" si="84"/>
        <v>1201.1699999999946</v>
      </c>
      <c r="I343" s="15">
        <f>IFERROR(H343/H445, "NA")</f>
        <v>-2.215380495385607E-2</v>
      </c>
      <c r="J343" s="2"/>
      <c r="K343" s="14">
        <f>IFERROR(K338+K339+K340+K341+K342, "NA")</f>
        <v>16214.460000000001</v>
      </c>
      <c r="L343" s="15">
        <f>IFERROR(K343/K445, "NA")</f>
        <v>2.7292501280719923E-2</v>
      </c>
      <c r="M343" s="2"/>
      <c r="N343" s="14">
        <f t="shared" si="85"/>
        <v>-933.92000000000007</v>
      </c>
      <c r="O343" s="15">
        <f>IFERROR(N343/N445, "NA")</f>
        <v>-2.549882597061321</v>
      </c>
      <c r="P343" s="2"/>
      <c r="Q343" s="14">
        <f>IFERROR(Q338+Q339+Q340+Q341+Q342, "NA")</f>
        <v>83580.039999999994</v>
      </c>
      <c r="R343" s="15">
        <f>IFERROR(Q343/Q445, "NA")</f>
        <v>2.8496754990687878E-2</v>
      </c>
      <c r="S343" s="2"/>
      <c r="T343" s="14">
        <f>IFERROR(T338+T339+T340+T341+T342, "NA")</f>
        <v>87723.450000000012</v>
      </c>
      <c r="U343" s="15">
        <f>IFERROR(T343/T445, "NA")</f>
        <v>2.8594638566183269E-2</v>
      </c>
      <c r="V343" s="2"/>
      <c r="W343" s="14">
        <f t="shared" si="86"/>
        <v>4143.410000000018</v>
      </c>
      <c r="X343" s="15">
        <f>IFERROR(W343/W445, "NA")</f>
        <v>-3.0723407177146927E-2</v>
      </c>
      <c r="Y343" s="2"/>
      <c r="Z343" s="14">
        <f>IFERROR(Z338+Z339+Z340+Z341+Z342, "NA")</f>
        <v>84154.1</v>
      </c>
      <c r="AA343" s="15">
        <f>IFERROR(Z343/Z445, "NA")</f>
        <v>2.9458804658245227E-2</v>
      </c>
      <c r="AB343" s="2"/>
      <c r="AC343" s="14">
        <f t="shared" si="87"/>
        <v>574.06000000001222</v>
      </c>
      <c r="AD343" s="15">
        <f>IFERROR(AC343/AC445, "NA")</f>
        <v>7.5240801102334871E-3</v>
      </c>
    </row>
    <row r="344" spans="1:30" ht="16.5" customHeight="1" x14ac:dyDescent="0.45">
      <c r="A344" s="19" t="s">
        <v>314</v>
      </c>
      <c r="B344" s="14">
        <f>IFERROR(B329+B330+B331+B332+B333+B334+B335+B336+B338+B339+B340+B341+B342, "NA")</f>
        <v>87694.56</v>
      </c>
      <c r="C344" s="15">
        <f>IFERROR(B344/B445, "NA")</f>
        <v>0.1475182815843154</v>
      </c>
      <c r="D344" s="2"/>
      <c r="E344" s="14">
        <f>IFERROR(E329+E330+E331+E332+E333+E334+E335+E336+E338+E339+E340+E341+E342, "NA")</f>
        <v>86571.5</v>
      </c>
      <c r="F344" s="15">
        <f>IFERROR(E344/E445, "NA")</f>
        <v>0.1334568570223012</v>
      </c>
      <c r="G344" s="2"/>
      <c r="H344" s="14">
        <f t="shared" si="84"/>
        <v>-1123.0599999999977</v>
      </c>
      <c r="I344" s="15">
        <f>IFERROR(H344/H445, "NA")</f>
        <v>2.0713181474293945E-2</v>
      </c>
      <c r="J344" s="2"/>
      <c r="K344" s="14">
        <f>IFERROR(K329+K330+K331+K332+K333+K334+K335+K336+K338+K339+K340+K341+K342, "NA")</f>
        <v>82612.970000000016</v>
      </c>
      <c r="L344" s="15">
        <f>IFERROR(K344/K445, "NA")</f>
        <v>0.13905579276331601</v>
      </c>
      <c r="M344" s="2"/>
      <c r="N344" s="14">
        <f t="shared" si="85"/>
        <v>-5081.589999999982</v>
      </c>
      <c r="O344" s="15">
        <f>IFERROR(N344/N445, "NA")</f>
        <v>-13.874269644510013</v>
      </c>
      <c r="P344" s="2"/>
      <c r="Q344" s="14">
        <f>IFERROR(Q329+Q330+Q331+Q332+Q333+Q334+Q335+Q336+Q338+Q339+Q340+Q341+Q342, "NA")</f>
        <v>445741.13999999996</v>
      </c>
      <c r="R344" s="15">
        <f>IFERROR(Q344/Q445, "NA")</f>
        <v>0.15197619019863956</v>
      </c>
      <c r="S344" s="2"/>
      <c r="T344" s="14">
        <f>IFERROR(T329+T330+T331+T332+T333+T334+T335+T336+T338+T339+T340+T341+T342, "NA")</f>
        <v>442735.70999999996</v>
      </c>
      <c r="U344" s="15">
        <f>IFERROR(T344/T445, "NA")</f>
        <v>0.14431566026863432</v>
      </c>
      <c r="V344" s="2"/>
      <c r="W344" s="14">
        <f t="shared" si="86"/>
        <v>-3005.429999999993</v>
      </c>
      <c r="X344" s="15">
        <f>IFERROR(W344/W445, "NA")</f>
        <v>2.2285279427431047E-2</v>
      </c>
      <c r="Y344" s="2"/>
      <c r="Z344" s="14">
        <f>IFERROR(Z329+Z330+Z331+Z332+Z333+Z334+Z335+Z336+Z338+Z339+Z340+Z341+Z342, "NA")</f>
        <v>414023.16</v>
      </c>
      <c r="AA344" s="15">
        <f>IFERROR(Z344/Z445, "NA")</f>
        <v>0.14493206384988264</v>
      </c>
      <c r="AB344" s="2"/>
      <c r="AC344" s="14">
        <f t="shared" si="87"/>
        <v>-31717.979999999981</v>
      </c>
      <c r="AD344" s="15">
        <f>IFERROR(AC344/AC445, "NA")</f>
        <v>-0.41572069549311624</v>
      </c>
    </row>
    <row r="345" spans="1:30" ht="16.5" customHeight="1" x14ac:dyDescent="0.45">
      <c r="A345" s="21" t="s">
        <v>315</v>
      </c>
      <c r="B345" s="14">
        <f>IFERROR(B329+B330+B331+B332+B333+B334+B335+B336+B338+B339+B340+B341+B342, "NA")</f>
        <v>87694.56</v>
      </c>
      <c r="C345" s="15">
        <f>IFERROR(B345/B445, "NA")</f>
        <v>0.1475182815843154</v>
      </c>
      <c r="D345" s="2"/>
      <c r="E345" s="14">
        <f>IFERROR(E329+E330+E331+E332+E333+E334+E335+E336+E338+E339+E340+E341+E342, "NA")</f>
        <v>86571.5</v>
      </c>
      <c r="F345" s="15">
        <f>IFERROR(E345/E445, "NA")</f>
        <v>0.1334568570223012</v>
      </c>
      <c r="G345" s="2"/>
      <c r="H345" s="14">
        <f t="shared" si="84"/>
        <v>-1123.0599999999977</v>
      </c>
      <c r="I345" s="15">
        <f>IFERROR(H345/H445, "NA")</f>
        <v>2.0713181474293945E-2</v>
      </c>
      <c r="J345" s="2"/>
      <c r="K345" s="14">
        <f>IFERROR(K329+K330+K331+K332+K333+K334+K335+K336+K338+K339+K340+K341+K342, "NA")</f>
        <v>82612.970000000016</v>
      </c>
      <c r="L345" s="15">
        <f>IFERROR(K345/K445, "NA")</f>
        <v>0.13905579276331601</v>
      </c>
      <c r="M345" s="2"/>
      <c r="N345" s="14">
        <f t="shared" si="85"/>
        <v>-5081.589999999982</v>
      </c>
      <c r="O345" s="15">
        <f>IFERROR(N345/N445, "NA")</f>
        <v>-13.874269644510013</v>
      </c>
      <c r="P345" s="2"/>
      <c r="Q345" s="14">
        <f>IFERROR(Q329+Q330+Q331+Q332+Q333+Q334+Q335+Q336+Q338+Q339+Q340+Q341+Q342, "NA")</f>
        <v>445741.13999999996</v>
      </c>
      <c r="R345" s="15">
        <f>IFERROR(Q345/Q445, "NA")</f>
        <v>0.15197619019863956</v>
      </c>
      <c r="S345" s="2"/>
      <c r="T345" s="14">
        <f>IFERROR(T329+T330+T331+T332+T333+T334+T335+T336+T338+T339+T340+T341+T342, "NA")</f>
        <v>442735.70999999996</v>
      </c>
      <c r="U345" s="15">
        <f>IFERROR(T345/T445, "NA")</f>
        <v>0.14431566026863432</v>
      </c>
      <c r="V345" s="2"/>
      <c r="W345" s="14">
        <f t="shared" si="86"/>
        <v>-3005.429999999993</v>
      </c>
      <c r="X345" s="15">
        <f>IFERROR(W345/W445, "NA")</f>
        <v>2.2285279427431047E-2</v>
      </c>
      <c r="Y345" s="2"/>
      <c r="Z345" s="14">
        <f>IFERROR(Z329+Z330+Z331+Z332+Z333+Z334+Z335+Z336+Z338+Z339+Z340+Z341+Z342, "NA")</f>
        <v>414023.16</v>
      </c>
      <c r="AA345" s="15">
        <f>IFERROR(Z345/Z445, "NA")</f>
        <v>0.14493206384988264</v>
      </c>
      <c r="AB345" s="2"/>
      <c r="AC345" s="14">
        <f t="shared" si="87"/>
        <v>-31717.979999999981</v>
      </c>
      <c r="AD345" s="15">
        <f>IFERROR(AC345/AC445, "NA")</f>
        <v>-0.41572069549311624</v>
      </c>
    </row>
    <row r="346" spans="1:30" ht="16.5" customHeight="1" x14ac:dyDescent="0.45">
      <c r="A346" s="22" t="s">
        <v>316</v>
      </c>
      <c r="B346" s="23">
        <f>IFERROR(B198-B326-B345, "NA")</f>
        <v>39281.489999999962</v>
      </c>
      <c r="C346" s="24">
        <f>IFERROR(B346/B445, "NA")</f>
        <v>6.60786473285397E-2</v>
      </c>
      <c r="D346" s="25"/>
      <c r="E346" s="23">
        <f>IFERROR(E198-E326-E345, "NA")</f>
        <v>71812.750000000058</v>
      </c>
      <c r="F346" s="24">
        <f>IFERROR(E346/E445, "NA")</f>
        <v>0.11070506932568187</v>
      </c>
      <c r="G346" s="25"/>
      <c r="H346" s="23">
        <f>IFERROR(B346-E346, "NA")</f>
        <v>-32531.260000000097</v>
      </c>
      <c r="I346" s="24">
        <f>IFERROR(H346/H445, "NA")</f>
        <v>0.59999099956141533</v>
      </c>
      <c r="J346" s="25"/>
      <c r="K346" s="23">
        <f>IFERROR(K198-K326-K345, "NA")</f>
        <v>24659.840000000098</v>
      </c>
      <c r="L346" s="24">
        <f>IFERROR(K346/K445, "NA")</f>
        <v>4.1507932720691969E-2</v>
      </c>
      <c r="M346" s="25"/>
      <c r="N346" s="23">
        <f>IFERROR(B346-K346, "NA")</f>
        <v>14621.649999999863</v>
      </c>
      <c r="O346" s="24">
        <f>IFERROR(N346/N445, "NA")</f>
        <v>39.921503849710163</v>
      </c>
      <c r="P346" s="25"/>
      <c r="Q346" s="23">
        <f>IFERROR(Q198-Q326-Q345, "NA")</f>
        <v>130065.59000000026</v>
      </c>
      <c r="R346" s="24">
        <f>IFERROR(Q346/Q445, "NA")</f>
        <v>4.4346081324551541E-2</v>
      </c>
      <c r="S346" s="25"/>
      <c r="T346" s="23">
        <f>IFERROR(T198-T326-T345, "NA")</f>
        <v>271189.6400000006</v>
      </c>
      <c r="U346" s="24">
        <f>IFERROR(T346/T445, "NA")</f>
        <v>8.8397911147969813E-2</v>
      </c>
      <c r="V346" s="25"/>
      <c r="W346" s="23">
        <f>IFERROR(Q346-T346, "NA")</f>
        <v>-141124.05000000034</v>
      </c>
      <c r="X346" s="24">
        <f>IFERROR(W346/W445, "NA")</f>
        <v>1.046435580991993</v>
      </c>
      <c r="Y346" s="25"/>
      <c r="Z346" s="23">
        <f>IFERROR(Z198-Z326-Z345, "NA")</f>
        <v>69844.889999999839</v>
      </c>
      <c r="AA346" s="24">
        <f>IFERROR(Z346/Z445, "NA")</f>
        <v>2.4449753141993328E-2</v>
      </c>
      <c r="AB346" s="25"/>
      <c r="AC346" s="23">
        <f>IFERROR(Q346-Z346, "NA")</f>
        <v>60220.700000000419</v>
      </c>
      <c r="AD346" s="24">
        <f>IFERROR(AC346/AC445, "NA")</f>
        <v>0.7892996744144013</v>
      </c>
    </row>
    <row r="347" spans="1:30" ht="16.5" customHeight="1" x14ac:dyDescent="0.45">
      <c r="A347" s="1" t="s">
        <v>317</v>
      </c>
      <c r="B347" s="2"/>
      <c r="C347" s="3"/>
      <c r="D347" s="4"/>
      <c r="E347" s="2"/>
      <c r="F347" s="3"/>
      <c r="G347" s="4"/>
      <c r="H347" s="2"/>
      <c r="I347" s="3"/>
      <c r="J347" s="4"/>
      <c r="K347" s="2"/>
      <c r="L347" s="3"/>
      <c r="M347" s="4"/>
      <c r="N347" s="2"/>
      <c r="O347" s="3"/>
      <c r="P347" s="4"/>
      <c r="Q347" s="2"/>
      <c r="R347" s="3"/>
      <c r="S347" s="4"/>
      <c r="T347" s="2"/>
      <c r="U347" s="3"/>
      <c r="V347" s="4"/>
      <c r="W347" s="2"/>
      <c r="X347" s="3"/>
      <c r="Y347" s="4"/>
      <c r="Z347" s="2"/>
      <c r="AA347" s="3"/>
      <c r="AB347" s="4"/>
      <c r="AC347" s="2"/>
      <c r="AD347" s="3"/>
    </row>
    <row r="348" spans="1:30" ht="16.5" hidden="1" customHeight="1" x14ac:dyDescent="0.45">
      <c r="A348" s="20" t="s">
        <v>318</v>
      </c>
      <c r="B348" s="7">
        <v>0</v>
      </c>
      <c r="C348" s="8">
        <f>IFERROR(B348/B445, "NA")</f>
        <v>0</v>
      </c>
      <c r="D348" s="9"/>
      <c r="E348" s="7">
        <v>0</v>
      </c>
      <c r="F348" s="8">
        <f>IFERROR(E348/E445, "NA")</f>
        <v>0</v>
      </c>
      <c r="G348" s="9"/>
      <c r="H348" s="10">
        <f>IFERROR(-(B348-E348), "NA")</f>
        <v>0</v>
      </c>
      <c r="I348" s="8">
        <f>IFERROR(H348/H445, "NA")</f>
        <v>0</v>
      </c>
      <c r="J348" s="9"/>
      <c r="K348" s="7">
        <v>0</v>
      </c>
      <c r="L348" s="8">
        <f>IFERROR(K348/K445, "NA")</f>
        <v>0</v>
      </c>
      <c r="M348" s="9"/>
      <c r="N348" s="10">
        <f>IFERROR(-(B348-K348), "NA")</f>
        <v>0</v>
      </c>
      <c r="O348" s="8">
        <f>IFERROR(N348/N445, "NA")</f>
        <v>0</v>
      </c>
      <c r="P348" s="9"/>
      <c r="Q348" s="7">
        <v>0</v>
      </c>
      <c r="R348" s="8">
        <f>IFERROR(Q348/Q445, "NA")</f>
        <v>0</v>
      </c>
      <c r="S348" s="9"/>
      <c r="T348" s="7">
        <v>0</v>
      </c>
      <c r="U348" s="8">
        <f>IFERROR(T348/T445, "NA")</f>
        <v>0</v>
      </c>
      <c r="V348" s="9"/>
      <c r="W348" s="10">
        <f>IFERROR(-(Q348-T348), "NA")</f>
        <v>0</v>
      </c>
      <c r="X348" s="8">
        <f>IFERROR(W348/W445, "NA")</f>
        <v>0</v>
      </c>
      <c r="Y348" s="9"/>
      <c r="Z348" s="7">
        <v>0</v>
      </c>
      <c r="AA348" s="8">
        <f>IFERROR(Z348/Z445, "NA")</f>
        <v>0</v>
      </c>
      <c r="AB348" s="9"/>
      <c r="AC348" s="10">
        <f>IFERROR(-(Q348-Z348), "NA")</f>
        <v>0</v>
      </c>
      <c r="AD348" s="8">
        <f>IFERROR(AC348/AC445, "NA")</f>
        <v>0</v>
      </c>
    </row>
    <row r="349" spans="1:30" ht="16.5" customHeight="1" x14ac:dyDescent="0.45">
      <c r="A349" s="5" t="s">
        <v>319</v>
      </c>
      <c r="B349" s="2"/>
      <c r="C349" s="3"/>
      <c r="D349" s="4"/>
      <c r="E349" s="2"/>
      <c r="F349" s="3"/>
      <c r="G349" s="4"/>
      <c r="H349" s="2"/>
      <c r="I349" s="3"/>
      <c r="J349" s="4"/>
      <c r="K349" s="2"/>
      <c r="L349" s="3"/>
      <c r="M349" s="4"/>
      <c r="N349" s="2"/>
      <c r="O349" s="3"/>
      <c r="P349" s="4"/>
      <c r="Q349" s="2"/>
      <c r="R349" s="3"/>
      <c r="S349" s="4"/>
      <c r="T349" s="2"/>
      <c r="U349" s="3"/>
      <c r="V349" s="4"/>
      <c r="W349" s="2"/>
      <c r="X349" s="3"/>
      <c r="Y349" s="4"/>
      <c r="Z349" s="2"/>
      <c r="AA349" s="3"/>
      <c r="AB349" s="4"/>
      <c r="AC349" s="2"/>
      <c r="AD349" s="3"/>
    </row>
    <row r="350" spans="1:30" ht="16.5" hidden="1" customHeight="1" x14ac:dyDescent="0.45">
      <c r="A350" s="6" t="s">
        <v>319</v>
      </c>
      <c r="B350" s="7">
        <v>0</v>
      </c>
      <c r="C350" s="8">
        <f>IFERROR(B350/B445, "NA")</f>
        <v>0</v>
      </c>
      <c r="D350" s="9"/>
      <c r="E350" s="7">
        <v>0</v>
      </c>
      <c r="F350" s="8">
        <f>IFERROR(E350/E445, "NA")</f>
        <v>0</v>
      </c>
      <c r="G350" s="9"/>
      <c r="H350" s="10">
        <f t="shared" ref="H350:H359" si="88">IFERROR(-(B350-E350), "NA")</f>
        <v>0</v>
      </c>
      <c r="I350" s="8">
        <f>IFERROR(H350/H445, "NA")</f>
        <v>0</v>
      </c>
      <c r="J350" s="9"/>
      <c r="K350" s="7">
        <v>0</v>
      </c>
      <c r="L350" s="8">
        <f>IFERROR(K350/K445, "NA")</f>
        <v>0</v>
      </c>
      <c r="M350" s="9"/>
      <c r="N350" s="10">
        <f t="shared" ref="N350:N359" si="89">IFERROR(-(B350-K350), "NA")</f>
        <v>0</v>
      </c>
      <c r="O350" s="8">
        <f>IFERROR(N350/N445, "NA")</f>
        <v>0</v>
      </c>
      <c r="P350" s="9"/>
      <c r="Q350" s="7">
        <v>0</v>
      </c>
      <c r="R350" s="8">
        <f>IFERROR(Q350/Q445, "NA")</f>
        <v>0</v>
      </c>
      <c r="S350" s="9"/>
      <c r="T350" s="7">
        <v>0</v>
      </c>
      <c r="U350" s="8">
        <f>IFERROR(T350/T445, "NA")</f>
        <v>0</v>
      </c>
      <c r="V350" s="9"/>
      <c r="W350" s="10">
        <f t="shared" ref="W350:W359" si="90">IFERROR(-(Q350-T350), "NA")</f>
        <v>0</v>
      </c>
      <c r="X350" s="8">
        <f>IFERROR(W350/W445, "NA")</f>
        <v>0</v>
      </c>
      <c r="Y350" s="9"/>
      <c r="Z350" s="7">
        <v>0</v>
      </c>
      <c r="AA350" s="8">
        <f>IFERROR(Z350/Z445, "NA")</f>
        <v>0</v>
      </c>
      <c r="AB350" s="9"/>
      <c r="AC350" s="10">
        <f t="shared" ref="AC350:AC359" si="91">IFERROR(-(Q350-Z350), "NA")</f>
        <v>0</v>
      </c>
      <c r="AD350" s="8">
        <f>IFERROR(AC350/AC445, "NA")</f>
        <v>0</v>
      </c>
    </row>
    <row r="351" spans="1:30" ht="16.5" customHeight="1" x14ac:dyDescent="0.45">
      <c r="A351" s="6" t="s">
        <v>320</v>
      </c>
      <c r="B351" s="7">
        <v>35384.6</v>
      </c>
      <c r="C351" s="8">
        <f>IFERROR(B351/B445, "NA")</f>
        <v>5.9523365948222641E-2</v>
      </c>
      <c r="D351" s="9"/>
      <c r="E351" s="7">
        <v>43307.69</v>
      </c>
      <c r="F351" s="8">
        <f>IFERROR(E351/E445, "NA")</f>
        <v>6.6762250767240308E-2</v>
      </c>
      <c r="G351" s="9"/>
      <c r="H351" s="10">
        <f t="shared" si="88"/>
        <v>7923.0900000000038</v>
      </c>
      <c r="I351" s="8">
        <f>IFERROR(H351/H445, "NA")</f>
        <v>-0.14612968230296158</v>
      </c>
      <c r="J351" s="9"/>
      <c r="K351" s="7">
        <v>41182.639999999999</v>
      </c>
      <c r="L351" s="8">
        <f>IFERROR(K351/K445, "NA")</f>
        <v>6.9319438016648569E-2</v>
      </c>
      <c r="M351" s="9"/>
      <c r="N351" s="10">
        <f t="shared" si="89"/>
        <v>5798.0400000000009</v>
      </c>
      <c r="O351" s="8">
        <f>IFERROR(N351/N445, "NA")</f>
        <v>15.830393709381342</v>
      </c>
      <c r="P351" s="9"/>
      <c r="Q351" s="7">
        <v>185802.82</v>
      </c>
      <c r="R351" s="8">
        <f>IFERROR(Q351/Q445, "NA")</f>
        <v>6.3349783490398923E-2</v>
      </c>
      <c r="S351" s="9"/>
      <c r="T351" s="7">
        <v>212942.3</v>
      </c>
      <c r="U351" s="8">
        <f>IFERROR(T351/T445, "NA")</f>
        <v>6.9411407143150056E-2</v>
      </c>
      <c r="V351" s="9"/>
      <c r="W351" s="10">
        <f t="shared" si="90"/>
        <v>27139.479999999981</v>
      </c>
      <c r="X351" s="8">
        <f>IFERROR(W351/W445, "NA")</f>
        <v>-0.20123938847857956</v>
      </c>
      <c r="Y351" s="9"/>
      <c r="Z351" s="7">
        <v>262612.25</v>
      </c>
      <c r="AA351" s="8">
        <f>IFERROR(Z351/Z445, "NA")</f>
        <v>9.192948381139196E-2</v>
      </c>
      <c r="AB351" s="9"/>
      <c r="AC351" s="10">
        <f t="shared" si="91"/>
        <v>76809.429999999993</v>
      </c>
      <c r="AD351" s="8">
        <f>IFERROR(AC351/AC445, "NA")</f>
        <v>1.0067245663194768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IFERROR(B352/B445, "NA")</f>
        <v>0</v>
      </c>
      <c r="D352" s="9"/>
      <c r="E352" s="7">
        <v>0</v>
      </c>
      <c r="F352" s="8">
        <f>IFERROR(E352/E445, "NA")</f>
        <v>0</v>
      </c>
      <c r="G352" s="9"/>
      <c r="H352" s="10">
        <f t="shared" si="88"/>
        <v>0</v>
      </c>
      <c r="I352" s="8">
        <f>IFERROR(H352/H445, "NA")</f>
        <v>0</v>
      </c>
      <c r="J352" s="9"/>
      <c r="K352" s="7">
        <v>0</v>
      </c>
      <c r="L352" s="8">
        <f>IFERROR(K352/K445, "NA")</f>
        <v>0</v>
      </c>
      <c r="M352" s="9"/>
      <c r="N352" s="10">
        <f t="shared" si="89"/>
        <v>0</v>
      </c>
      <c r="O352" s="8">
        <f>IFERROR(N352/N445, "NA")</f>
        <v>0</v>
      </c>
      <c r="P352" s="9"/>
      <c r="Q352" s="7">
        <v>0</v>
      </c>
      <c r="R352" s="8">
        <f>IFERROR(Q352/Q445, "NA")</f>
        <v>0</v>
      </c>
      <c r="S352" s="9"/>
      <c r="T352" s="7">
        <v>0</v>
      </c>
      <c r="U352" s="8">
        <f>IFERROR(T352/T445, "NA")</f>
        <v>0</v>
      </c>
      <c r="V352" s="9"/>
      <c r="W352" s="10">
        <f t="shared" si="90"/>
        <v>0</v>
      </c>
      <c r="X352" s="8">
        <f>IFERROR(W352/W445, "NA")</f>
        <v>0</v>
      </c>
      <c r="Y352" s="9"/>
      <c r="Z352" s="7">
        <v>0</v>
      </c>
      <c r="AA352" s="8">
        <f>IFERROR(Z352/Z445, "NA")</f>
        <v>0</v>
      </c>
      <c r="AB352" s="9"/>
      <c r="AC352" s="10">
        <f t="shared" si="91"/>
        <v>0</v>
      </c>
      <c r="AD352" s="8">
        <f>IFERROR(AC352/AC445,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IFERROR(B353/B445, "NA")</f>
        <v>0</v>
      </c>
      <c r="D353" s="9"/>
      <c r="E353" s="7">
        <v>0</v>
      </c>
      <c r="F353" s="8">
        <f>IFERROR(E353/E445, "NA")</f>
        <v>0</v>
      </c>
      <c r="G353" s="9"/>
      <c r="H353" s="10">
        <f t="shared" si="88"/>
        <v>0</v>
      </c>
      <c r="I353" s="8">
        <f>IFERROR(H353/H445, "NA")</f>
        <v>0</v>
      </c>
      <c r="J353" s="9"/>
      <c r="K353" s="7">
        <v>0</v>
      </c>
      <c r="L353" s="8">
        <f>IFERROR(K353/K445, "NA")</f>
        <v>0</v>
      </c>
      <c r="M353" s="9"/>
      <c r="N353" s="10">
        <f t="shared" si="89"/>
        <v>0</v>
      </c>
      <c r="O353" s="8">
        <f>IFERROR(N353/N445, "NA")</f>
        <v>0</v>
      </c>
      <c r="P353" s="9"/>
      <c r="Q353" s="7">
        <v>0</v>
      </c>
      <c r="R353" s="8">
        <f>IFERROR(Q353/Q445, "NA")</f>
        <v>0</v>
      </c>
      <c r="S353" s="9"/>
      <c r="T353" s="7">
        <v>0</v>
      </c>
      <c r="U353" s="8">
        <f>IFERROR(T353/T445, "NA")</f>
        <v>0</v>
      </c>
      <c r="V353" s="9"/>
      <c r="W353" s="10">
        <f t="shared" si="90"/>
        <v>0</v>
      </c>
      <c r="X353" s="8">
        <f>IFERROR(W353/W445, "NA")</f>
        <v>0</v>
      </c>
      <c r="Y353" s="9"/>
      <c r="Z353" s="7">
        <v>0</v>
      </c>
      <c r="AA353" s="8">
        <f>IFERROR(Z353/Z445, "NA")</f>
        <v>0</v>
      </c>
      <c r="AB353" s="9"/>
      <c r="AC353" s="10">
        <f t="shared" si="91"/>
        <v>0</v>
      </c>
      <c r="AD353" s="8">
        <f>IFERROR(AC353/AC445, "NA")</f>
        <v>0</v>
      </c>
    </row>
    <row r="354" spans="1:30" ht="16.5" customHeight="1" x14ac:dyDescent="0.45">
      <c r="A354" s="6" t="s">
        <v>323</v>
      </c>
      <c r="B354" s="7">
        <v>0</v>
      </c>
      <c r="C354" s="8">
        <f>IFERROR(B354/B445, "NA")</f>
        <v>0</v>
      </c>
      <c r="D354" s="9"/>
      <c r="E354" s="7">
        <v>0</v>
      </c>
      <c r="F354" s="8">
        <f>IFERROR(E354/E445, "NA")</f>
        <v>0</v>
      </c>
      <c r="G354" s="9"/>
      <c r="H354" s="10">
        <f t="shared" si="88"/>
        <v>0</v>
      </c>
      <c r="I354" s="8">
        <f>IFERROR(H354/H445, "NA")</f>
        <v>0</v>
      </c>
      <c r="J354" s="9"/>
      <c r="K354" s="7">
        <v>0</v>
      </c>
      <c r="L354" s="8">
        <f>IFERROR(K354/K445, "NA")</f>
        <v>0</v>
      </c>
      <c r="M354" s="9"/>
      <c r="N354" s="10">
        <f t="shared" si="89"/>
        <v>0</v>
      </c>
      <c r="O354" s="8">
        <f>IFERROR(N354/N445, "NA")</f>
        <v>0</v>
      </c>
      <c r="P354" s="9"/>
      <c r="Q354" s="7">
        <v>0</v>
      </c>
      <c r="R354" s="8">
        <f>IFERROR(Q354/Q445, "NA")</f>
        <v>0</v>
      </c>
      <c r="S354" s="9"/>
      <c r="T354" s="7">
        <v>0</v>
      </c>
      <c r="U354" s="8">
        <f>IFERROR(T354/T445, "NA")</f>
        <v>0</v>
      </c>
      <c r="V354" s="9"/>
      <c r="W354" s="10">
        <f t="shared" si="90"/>
        <v>0</v>
      </c>
      <c r="X354" s="8">
        <f>IFERROR(W354/W445, "NA")</f>
        <v>0</v>
      </c>
      <c r="Y354" s="9"/>
      <c r="Z354" s="7">
        <v>6774.8</v>
      </c>
      <c r="AA354" s="8">
        <f>IFERROR(Z354/Z445, "NA")</f>
        <v>2.3715720303429037E-3</v>
      </c>
      <c r="AB354" s="9"/>
      <c r="AC354" s="10">
        <f t="shared" si="91"/>
        <v>6774.8</v>
      </c>
      <c r="AD354" s="8">
        <f>IFERROR(AC354/AC445, "NA")</f>
        <v>8.8795836551595203E-2</v>
      </c>
    </row>
    <row r="355" spans="1:30" ht="16.5" customHeight="1" x14ac:dyDescent="0.45">
      <c r="A355" s="6" t="s">
        <v>324</v>
      </c>
      <c r="B355" s="7">
        <v>2833.65</v>
      </c>
      <c r="C355" s="8">
        <f>IFERROR(B355/B445, "NA")</f>
        <v>4.7667173267235208E-3</v>
      </c>
      <c r="D355" s="9"/>
      <c r="E355" s="7">
        <v>3594.54</v>
      </c>
      <c r="F355" s="8">
        <f>IFERROR(E355/E445, "NA")</f>
        <v>5.5412694806136267E-3</v>
      </c>
      <c r="G355" s="9"/>
      <c r="H355" s="10">
        <f t="shared" si="88"/>
        <v>760.88999999999987</v>
      </c>
      <c r="I355" s="8">
        <f>IFERROR(H355/H445, "NA")</f>
        <v>-1.4033491222174729E-2</v>
      </c>
      <c r="J355" s="9"/>
      <c r="K355" s="7">
        <v>3454.45</v>
      </c>
      <c r="L355" s="8">
        <f>IFERROR(K355/K445, "NA")</f>
        <v>5.8145988857589417E-3</v>
      </c>
      <c r="M355" s="9"/>
      <c r="N355" s="10">
        <f t="shared" si="89"/>
        <v>620.79999999999973</v>
      </c>
      <c r="O355" s="8">
        <f>IFERROR(N355/N445, "NA")</f>
        <v>1.6949707857800105</v>
      </c>
      <c r="P355" s="9"/>
      <c r="Q355" s="7">
        <v>15216.88</v>
      </c>
      <c r="R355" s="8">
        <f>IFERROR(Q355/Q445, "NA")</f>
        <v>5.1882207891106365E-3</v>
      </c>
      <c r="S355" s="9"/>
      <c r="T355" s="7">
        <v>17674.21</v>
      </c>
      <c r="U355" s="8">
        <f>IFERROR(T355/T445, "NA")</f>
        <v>5.7611464995143474E-3</v>
      </c>
      <c r="V355" s="9"/>
      <c r="W355" s="10">
        <f t="shared" si="90"/>
        <v>2457.33</v>
      </c>
      <c r="X355" s="8">
        <f>IFERROR(W355/W445, "NA")</f>
        <v>-1.8221115013628417E-2</v>
      </c>
      <c r="Y355" s="9"/>
      <c r="Z355" s="7">
        <v>23661.43</v>
      </c>
      <c r="AA355" s="8">
        <f>IFERROR(Z355/Z445, "NA")</f>
        <v>8.2828696914914821E-3</v>
      </c>
      <c r="AB355" s="9"/>
      <c r="AC355" s="10">
        <f t="shared" si="91"/>
        <v>8444.5500000000011</v>
      </c>
      <c r="AD355" s="8">
        <f>IFERROR(AC355/AC445, "NA")</f>
        <v>0.11068088822574443</v>
      </c>
    </row>
    <row r="356" spans="1:30" ht="16.5" customHeight="1" x14ac:dyDescent="0.45">
      <c r="A356" s="6" t="s">
        <v>325</v>
      </c>
      <c r="B356" s="7">
        <v>127.83</v>
      </c>
      <c r="C356" s="8">
        <f>IFERROR(B356/B445, "NA")</f>
        <v>2.1503342892561454E-4</v>
      </c>
      <c r="D356" s="9"/>
      <c r="E356" s="7">
        <v>212</v>
      </c>
      <c r="F356" s="8">
        <f>IFERROR(E356/E445, "NA")</f>
        <v>3.2681487196973435E-4</v>
      </c>
      <c r="G356" s="9"/>
      <c r="H356" s="10">
        <f t="shared" si="88"/>
        <v>84.17</v>
      </c>
      <c r="I356" s="8">
        <f>IFERROR(H356/H445, "NA")</f>
        <v>-1.5523912210312228E-3</v>
      </c>
      <c r="J356" s="9"/>
      <c r="K356" s="7">
        <v>212</v>
      </c>
      <c r="L356" s="8">
        <f>IFERROR(K356/K445, "NA")</f>
        <v>3.568426127982445E-4</v>
      </c>
      <c r="M356" s="9"/>
      <c r="N356" s="10">
        <f t="shared" si="89"/>
        <v>84.17</v>
      </c>
      <c r="O356" s="8">
        <f>IFERROR(N356/N445, "NA")</f>
        <v>0.22980942499855597</v>
      </c>
      <c r="P356" s="9"/>
      <c r="Q356" s="7">
        <v>633.87</v>
      </c>
      <c r="R356" s="8">
        <f>IFERROR(Q356/Q445, "NA")</f>
        <v>2.1611904093306639E-4</v>
      </c>
      <c r="S356" s="9"/>
      <c r="T356" s="7">
        <v>1081</v>
      </c>
      <c r="U356" s="8">
        <f>IFERROR(T356/T445, "NA")</f>
        <v>3.5236649140046487E-4</v>
      </c>
      <c r="V356" s="9"/>
      <c r="W356" s="10">
        <f t="shared" si="90"/>
        <v>447.13</v>
      </c>
      <c r="X356" s="8">
        <f>IFERROR(W356/W445, "NA")</f>
        <v>-3.3154713270271696E-3</v>
      </c>
      <c r="Y356" s="9"/>
      <c r="Z356" s="7">
        <v>1219</v>
      </c>
      <c r="AA356" s="8">
        <f>IFERROR(Z356/Z445, "NA")</f>
        <v>4.2672053861191468E-4</v>
      </c>
      <c r="AB356" s="9"/>
      <c r="AC356" s="10">
        <f t="shared" si="91"/>
        <v>585.13</v>
      </c>
      <c r="AD356" s="8">
        <f>IFERROR(AC356/AC445, "NA")</f>
        <v>7.6691722030812568E-3</v>
      </c>
    </row>
    <row r="357" spans="1:30" ht="16.5" customHeight="1" x14ac:dyDescent="0.45">
      <c r="A357" s="6" t="s">
        <v>326</v>
      </c>
      <c r="B357" s="7">
        <v>5413</v>
      </c>
      <c r="C357" s="8">
        <f>IFERROR(B357/B445, "NA")</f>
        <v>9.1056555642208513E-3</v>
      </c>
      <c r="D357" s="9"/>
      <c r="E357" s="7">
        <v>5413.46</v>
      </c>
      <c r="F357" s="8">
        <f>IFERROR(E357/E445, "NA")</f>
        <v>8.3452794189305575E-3</v>
      </c>
      <c r="G357" s="9"/>
      <c r="H357" s="10">
        <f t="shared" si="88"/>
        <v>0.46000000000003638</v>
      </c>
      <c r="I357" s="8">
        <f>IFERROR(H357/H445, "NA")</f>
        <v>-8.4840199794988585E-6</v>
      </c>
      <c r="J357" s="9"/>
      <c r="K357" s="7">
        <v>6687.5</v>
      </c>
      <c r="L357" s="8">
        <f>IFERROR(K357/K445, "NA")</f>
        <v>1.1256532891925755E-2</v>
      </c>
      <c r="M357" s="9"/>
      <c r="N357" s="10">
        <f t="shared" si="89"/>
        <v>1274.5</v>
      </c>
      <c r="O357" s="8">
        <f>IFERROR(N357/N445, "NA")</f>
        <v>3.4797684704842529</v>
      </c>
      <c r="P357" s="9"/>
      <c r="Q357" s="7">
        <v>26617</v>
      </c>
      <c r="R357" s="8">
        <f>IFERROR(Q357/Q445, "NA")</f>
        <v>9.0751108468856839E-3</v>
      </c>
      <c r="S357" s="9"/>
      <c r="T357" s="7">
        <v>26617.79</v>
      </c>
      <c r="U357" s="8">
        <f>IFERROR(T357/T445, "NA")</f>
        <v>8.6764267078023871E-3</v>
      </c>
      <c r="V357" s="9"/>
      <c r="W357" s="10">
        <f t="shared" si="90"/>
        <v>0.79000000000087311</v>
      </c>
      <c r="X357" s="8">
        <f>IFERROR(W357/W445, "NA")</f>
        <v>-5.8578541997950461E-6</v>
      </c>
      <c r="Y357" s="9"/>
      <c r="Z357" s="7">
        <v>34050</v>
      </c>
      <c r="AA357" s="8">
        <f>IFERROR(Z357/Z445, "NA")</f>
        <v>1.1919470336124442E-2</v>
      </c>
      <c r="AB357" s="9"/>
      <c r="AC357" s="10">
        <f t="shared" si="91"/>
        <v>7433</v>
      </c>
      <c r="AD357" s="8">
        <f>IFERROR(AC357/AC445, "NA")</f>
        <v>9.7422721421740438E-2</v>
      </c>
    </row>
    <row r="358" spans="1:30" ht="16.5" customHeight="1" x14ac:dyDescent="0.45">
      <c r="A358" s="6" t="s">
        <v>327</v>
      </c>
      <c r="B358" s="7">
        <v>2988.52</v>
      </c>
      <c r="C358" s="8">
        <f>IFERROR(B358/B445, "NA")</f>
        <v>5.0272369788999264E-3</v>
      </c>
      <c r="D358" s="9"/>
      <c r="E358" s="7">
        <v>3680</v>
      </c>
      <c r="F358" s="8">
        <f>IFERROR(E358/E445, "NA")</f>
        <v>5.6730128719274641E-3</v>
      </c>
      <c r="G358" s="9"/>
      <c r="H358" s="10">
        <f t="shared" si="88"/>
        <v>691.48</v>
      </c>
      <c r="I358" s="8">
        <f>IFERROR(H358/H445, "NA")</f>
        <v>-1.2753326381355233E-2</v>
      </c>
      <c r="J358" s="9"/>
      <c r="K358" s="7">
        <v>3674.43</v>
      </c>
      <c r="L358" s="8">
        <f>IFERROR(K358/K445, "NA")</f>
        <v>6.1848735931332713E-3</v>
      </c>
      <c r="M358" s="9"/>
      <c r="N358" s="10">
        <f t="shared" si="89"/>
        <v>685.90999999999985</v>
      </c>
      <c r="O358" s="8">
        <f>IFERROR(N358/N445, "NA")</f>
        <v>1.8727406760218543</v>
      </c>
      <c r="P358" s="9"/>
      <c r="Q358" s="7">
        <v>15895.04</v>
      </c>
      <c r="R358" s="8">
        <f>IFERROR(Q358/Q445, "NA")</f>
        <v>5.4194405799181658E-3</v>
      </c>
      <c r="S358" s="9"/>
      <c r="T358" s="7">
        <v>18400</v>
      </c>
      <c r="U358" s="8">
        <f>IFERROR(T358/T445, "NA")</f>
        <v>5.9977275131994018E-3</v>
      </c>
      <c r="V358" s="9"/>
      <c r="W358" s="10">
        <f t="shared" si="90"/>
        <v>2504.9599999999991</v>
      </c>
      <c r="X358" s="8">
        <f>IFERROR(W358/W445, "NA")</f>
        <v>-1.8574291716838449E-2</v>
      </c>
      <c r="Y358" s="9"/>
      <c r="Z358" s="7">
        <v>17505.03</v>
      </c>
      <c r="AA358" s="8">
        <f>IFERROR(Z358/Z445, "NA")</f>
        <v>6.1277734454616281E-3</v>
      </c>
      <c r="AB358" s="9"/>
      <c r="AC358" s="10">
        <f t="shared" si="91"/>
        <v>1609.989999999998</v>
      </c>
      <c r="AD358" s="8">
        <f>IFERROR(AC358/AC445, "NA")</f>
        <v>2.1101790294872552E-2</v>
      </c>
    </row>
    <row r="359" spans="1:30" ht="16.5" customHeight="1" x14ac:dyDescent="0.45">
      <c r="A359" s="19" t="s">
        <v>328</v>
      </c>
      <c r="B359" s="14">
        <f>IFERROR(B350+B351+B352+B353+B354+B355+B356+B357+B358, "NA")</f>
        <v>46747.6</v>
      </c>
      <c r="C359" s="15">
        <f>IFERROR(B359/B445, "NA")</f>
        <v>7.8638009246992546E-2</v>
      </c>
      <c r="D359" s="2"/>
      <c r="E359" s="14">
        <f>IFERROR(E350+E351+E352+E353+E354+E355+E356+E357+E358, "NA")</f>
        <v>56207.69</v>
      </c>
      <c r="F359" s="15">
        <f>IFERROR(E359/E445, "NA")</f>
        <v>8.6648627410681689E-2</v>
      </c>
      <c r="G359" s="2"/>
      <c r="H359" s="14">
        <f t="shared" si="88"/>
        <v>9460.0900000000038</v>
      </c>
      <c r="I359" s="15">
        <f>IFERROR(H359/H445, "NA")</f>
        <v>-0.17447737514750228</v>
      </c>
      <c r="J359" s="2"/>
      <c r="K359" s="14">
        <f>IFERROR(K350+K351+K352+K353+K354+K355+K356+K357+K358, "NA")</f>
        <v>55211.02</v>
      </c>
      <c r="L359" s="15">
        <f>IFERROR(K359/K445, "NA")</f>
        <v>9.2932286000264777E-2</v>
      </c>
      <c r="M359" s="2"/>
      <c r="N359" s="14">
        <f t="shared" si="89"/>
        <v>8463.4199999999983</v>
      </c>
      <c r="O359" s="15">
        <f>IFERROR(N359/N445, "NA")</f>
        <v>23.107683066666009</v>
      </c>
      <c r="P359" s="2"/>
      <c r="Q359" s="14">
        <f>IFERROR(Q350+Q351+Q352+Q353+Q354+Q355+Q356+Q357+Q358, "NA")</f>
        <v>244165.61000000002</v>
      </c>
      <c r="R359" s="15">
        <f>IFERROR(Q359/Q445, "NA")</f>
        <v>8.3248674747246482E-2</v>
      </c>
      <c r="S359" s="2"/>
      <c r="T359" s="14">
        <f>IFERROR(T350+T351+T352+T353+T354+T355+T356+T357+T358, "NA")</f>
        <v>276715.3</v>
      </c>
      <c r="U359" s="15">
        <f>IFERROR(T359/T445, "NA")</f>
        <v>9.0199074355066647E-2</v>
      </c>
      <c r="V359" s="2"/>
      <c r="W359" s="14">
        <f t="shared" si="90"/>
        <v>32549.689999999973</v>
      </c>
      <c r="X359" s="15">
        <f>IFERROR(W359/W445, "NA")</f>
        <v>-0.24135612439027332</v>
      </c>
      <c r="Y359" s="2"/>
      <c r="Z359" s="14">
        <f>IFERROR(Z350+Z351+Z352+Z353+Z354+Z355+Z356+Z357+Z358, "NA")</f>
        <v>345822.51</v>
      </c>
      <c r="AA359" s="15">
        <f>IFERROR(Z359/Z445, "NA")</f>
        <v>0.12105788985342433</v>
      </c>
      <c r="AB359" s="2"/>
      <c r="AC359" s="14">
        <f t="shared" si="91"/>
        <v>101656.9</v>
      </c>
      <c r="AD359" s="15">
        <f>IFERROR(AC359/AC445, "NA")</f>
        <v>1.3323949750165107</v>
      </c>
    </row>
    <row r="360" spans="1:30" ht="16.5" customHeight="1" x14ac:dyDescent="0.45">
      <c r="A360" s="5" t="s">
        <v>329</v>
      </c>
      <c r="B360" s="2"/>
      <c r="C360" s="3"/>
      <c r="D360" s="4"/>
      <c r="E360" s="2"/>
      <c r="F360" s="3"/>
      <c r="G360" s="4"/>
      <c r="H360" s="2"/>
      <c r="I360" s="3"/>
      <c r="J360" s="4"/>
      <c r="K360" s="2"/>
      <c r="L360" s="3"/>
      <c r="M360" s="4"/>
      <c r="N360" s="2"/>
      <c r="O360" s="3"/>
      <c r="P360" s="4"/>
      <c r="Q360" s="2"/>
      <c r="R360" s="3"/>
      <c r="S360" s="4"/>
      <c r="T360" s="2"/>
      <c r="U360" s="3"/>
      <c r="V360" s="4"/>
      <c r="W360" s="2"/>
      <c r="X360" s="3"/>
      <c r="Y360" s="4"/>
      <c r="Z360" s="2"/>
      <c r="AA360" s="3"/>
      <c r="AB360" s="4"/>
      <c r="AC360" s="2"/>
      <c r="AD360" s="3"/>
    </row>
    <row r="361" spans="1:30" ht="16.5" hidden="1" customHeight="1" x14ac:dyDescent="0.45">
      <c r="A361" s="6" t="s">
        <v>329</v>
      </c>
      <c r="B361" s="7">
        <v>0</v>
      </c>
      <c r="C361" s="8">
        <f>IFERROR(B361/B445, "NA")</f>
        <v>0</v>
      </c>
      <c r="D361" s="9"/>
      <c r="E361" s="7">
        <v>0</v>
      </c>
      <c r="F361" s="8">
        <f>IFERROR(E361/E445, "NA")</f>
        <v>0</v>
      </c>
      <c r="G361" s="9"/>
      <c r="H361" s="10">
        <f t="shared" ref="H361:H384" si="92">IFERROR(-(B361-E361), "NA")</f>
        <v>0</v>
      </c>
      <c r="I361" s="8">
        <f>IFERROR(H361/H445, "NA")</f>
        <v>0</v>
      </c>
      <c r="J361" s="9"/>
      <c r="K361" s="7">
        <v>0</v>
      </c>
      <c r="L361" s="8">
        <f>IFERROR(K361/K445, "NA")</f>
        <v>0</v>
      </c>
      <c r="M361" s="9"/>
      <c r="N361" s="10">
        <f t="shared" ref="N361:N384" si="93">IFERROR(-(B361-K361), "NA")</f>
        <v>0</v>
      </c>
      <c r="O361" s="8">
        <f>IFERROR(N361/N445, "NA")</f>
        <v>0</v>
      </c>
      <c r="P361" s="9"/>
      <c r="Q361" s="7">
        <v>0</v>
      </c>
      <c r="R361" s="8">
        <f>IFERROR(Q361/Q445, "NA")</f>
        <v>0</v>
      </c>
      <c r="S361" s="9"/>
      <c r="T361" s="7">
        <v>0</v>
      </c>
      <c r="U361" s="8">
        <f>IFERROR(T361/T445, "NA")</f>
        <v>0</v>
      </c>
      <c r="V361" s="9"/>
      <c r="W361" s="10">
        <f t="shared" ref="W361:W384" si="94">IFERROR(-(Q361-T361), "NA")</f>
        <v>0</v>
      </c>
      <c r="X361" s="8">
        <f>IFERROR(W361/W445, "NA")</f>
        <v>0</v>
      </c>
      <c r="Y361" s="9"/>
      <c r="Z361" s="7">
        <v>0</v>
      </c>
      <c r="AA361" s="8">
        <f>IFERROR(Z361/Z445, "NA")</f>
        <v>0</v>
      </c>
      <c r="AB361" s="9"/>
      <c r="AC361" s="10">
        <f t="shared" ref="AC361:AC384" si="95">IFERROR(-(Q361-Z361), "NA")</f>
        <v>0</v>
      </c>
      <c r="AD361" s="8">
        <f>IFERROR(AC361/AC445,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IFERROR(B362/B445, "NA")</f>
        <v>0</v>
      </c>
      <c r="D362" s="9"/>
      <c r="E362" s="7">
        <v>0</v>
      </c>
      <c r="F362" s="8">
        <f>IFERROR(E362/E445, "NA")</f>
        <v>0</v>
      </c>
      <c r="G362" s="9"/>
      <c r="H362" s="10">
        <f t="shared" si="92"/>
        <v>0</v>
      </c>
      <c r="I362" s="8">
        <f>IFERROR(H362/H445, "NA")</f>
        <v>0</v>
      </c>
      <c r="J362" s="9"/>
      <c r="K362" s="7">
        <v>0</v>
      </c>
      <c r="L362" s="8">
        <f>IFERROR(K362/K445, "NA")</f>
        <v>0</v>
      </c>
      <c r="M362" s="9"/>
      <c r="N362" s="10">
        <f t="shared" si="93"/>
        <v>0</v>
      </c>
      <c r="O362" s="8">
        <f>IFERROR(N362/N445, "NA")</f>
        <v>0</v>
      </c>
      <c r="P362" s="9"/>
      <c r="Q362" s="7">
        <v>0</v>
      </c>
      <c r="R362" s="8">
        <f>IFERROR(Q362/Q445, "NA")</f>
        <v>0</v>
      </c>
      <c r="S362" s="9"/>
      <c r="T362" s="7">
        <v>0</v>
      </c>
      <c r="U362" s="8">
        <f>IFERROR(T362/T445, "NA")</f>
        <v>0</v>
      </c>
      <c r="V362" s="9"/>
      <c r="W362" s="10">
        <f t="shared" si="94"/>
        <v>0</v>
      </c>
      <c r="X362" s="8">
        <f>IFERROR(W362/W445, "NA")</f>
        <v>0</v>
      </c>
      <c r="Y362" s="9"/>
      <c r="Z362" s="7">
        <v>0</v>
      </c>
      <c r="AA362" s="8">
        <f>IFERROR(Z362/Z445, "NA")</f>
        <v>0</v>
      </c>
      <c r="AB362" s="9"/>
      <c r="AC362" s="10">
        <f t="shared" si="95"/>
        <v>0</v>
      </c>
      <c r="AD362" s="8">
        <f>IFERROR(AC362/AC445, "NA")</f>
        <v>0</v>
      </c>
    </row>
    <row r="363" spans="1:30" ht="16.5" customHeight="1" x14ac:dyDescent="0.45">
      <c r="A363" s="6" t="s">
        <v>331</v>
      </c>
      <c r="B363" s="7">
        <v>225.99</v>
      </c>
      <c r="C363" s="8">
        <f>IFERROR(B363/B445, "NA")</f>
        <v>3.8015649380348615E-4</v>
      </c>
      <c r="D363" s="9"/>
      <c r="E363" s="7">
        <v>864</v>
      </c>
      <c r="F363" s="8">
        <f>IFERROR(E363/E445, "NA")</f>
        <v>1.3319247612351437E-3</v>
      </c>
      <c r="G363" s="9"/>
      <c r="H363" s="10">
        <f t="shared" si="92"/>
        <v>638.01</v>
      </c>
      <c r="I363" s="8">
        <f>IFERROR(H363/H445, "NA")</f>
        <v>-1.1767151276347041E-2</v>
      </c>
      <c r="J363" s="9"/>
      <c r="K363" s="7">
        <v>679.65</v>
      </c>
      <c r="L363" s="8">
        <f>IFERROR(K363/K445, "NA")</f>
        <v>1.1440003857939947E-3</v>
      </c>
      <c r="M363" s="9"/>
      <c r="N363" s="10">
        <f t="shared" si="93"/>
        <v>453.65999999999997</v>
      </c>
      <c r="O363" s="8">
        <f>IFERROR(N363/N445, "NA")</f>
        <v>1.2386282968378863</v>
      </c>
      <c r="P363" s="9"/>
      <c r="Q363" s="7">
        <v>1595.35</v>
      </c>
      <c r="R363" s="8">
        <f>IFERROR(Q363/Q445, "NA")</f>
        <v>5.4393726150877533E-4</v>
      </c>
      <c r="S363" s="9"/>
      <c r="T363" s="7">
        <v>4536</v>
      </c>
      <c r="U363" s="8">
        <f>IFERROR(T363/T445, "NA")</f>
        <v>1.4785702173843742E-3</v>
      </c>
      <c r="V363" s="9"/>
      <c r="W363" s="10">
        <f t="shared" si="94"/>
        <v>2940.65</v>
      </c>
      <c r="X363" s="8">
        <f>IFERROR(W363/W445, "NA")</f>
        <v>-2.1804935383048434E-2</v>
      </c>
      <c r="Y363" s="9"/>
      <c r="Z363" s="7">
        <v>4176.6000000000004</v>
      </c>
      <c r="AA363" s="8">
        <f>IFERROR(Z363/Z445, "NA")</f>
        <v>1.4620516829914052E-3</v>
      </c>
      <c r="AB363" s="9"/>
      <c r="AC363" s="10">
        <f t="shared" si="95"/>
        <v>2581.2500000000005</v>
      </c>
      <c r="AD363" s="8">
        <f>IFERROR(AC363/AC445, "NA")</f>
        <v>3.3831884793470678E-2</v>
      </c>
    </row>
    <row r="364" spans="1:30" ht="16.5" customHeight="1" x14ac:dyDescent="0.45">
      <c r="A364" s="6" t="s">
        <v>332</v>
      </c>
      <c r="B364" s="7">
        <v>1603.27</v>
      </c>
      <c r="C364" s="8">
        <f>IFERROR(B364/B445, "NA")</f>
        <v>2.6969932378437772E-3</v>
      </c>
      <c r="D364" s="9"/>
      <c r="E364" s="7">
        <v>150</v>
      </c>
      <c r="F364" s="8">
        <f>IFERROR(E364/E445, "NA")</f>
        <v>2.3123693771443467E-4</v>
      </c>
      <c r="G364" s="9"/>
      <c r="H364" s="10">
        <f t="shared" si="92"/>
        <v>-1453.27</v>
      </c>
      <c r="I364" s="8">
        <f>IFERROR(H364/H445, "NA")</f>
        <v>2.6803416773055068E-2</v>
      </c>
      <c r="J364" s="9"/>
      <c r="K364" s="7">
        <v>1574.06</v>
      </c>
      <c r="L364" s="8">
        <f>IFERROR(K364/K445, "NA")</f>
        <v>2.6494890712320976E-3</v>
      </c>
      <c r="M364" s="9"/>
      <c r="N364" s="10">
        <f t="shared" si="93"/>
        <v>-29.210000000000036</v>
      </c>
      <c r="O364" s="8">
        <f>IFERROR(N364/N445, "NA")</f>
        <v>-7.9752088680145272E-2</v>
      </c>
      <c r="P364" s="9"/>
      <c r="Q364" s="7">
        <v>5141.28</v>
      </c>
      <c r="R364" s="8">
        <f>IFERROR(Q364/Q445, "NA")</f>
        <v>1.752928049550153E-3</v>
      </c>
      <c r="S364" s="9"/>
      <c r="T364" s="7">
        <v>825</v>
      </c>
      <c r="U364" s="8">
        <f>IFERROR(T364/T445, "NA")</f>
        <v>2.6891984773856013E-4</v>
      </c>
      <c r="V364" s="9"/>
      <c r="W364" s="10">
        <f t="shared" si="94"/>
        <v>-4316.28</v>
      </c>
      <c r="X364" s="8">
        <f>IFERROR(W364/W445, "NA")</f>
        <v>3.2005239146156224E-2</v>
      </c>
      <c r="Y364" s="9"/>
      <c r="Z364" s="7">
        <v>5001.76</v>
      </c>
      <c r="AA364" s="8">
        <f>IFERROR(Z364/Z445, "NA")</f>
        <v>1.7509054316714771E-3</v>
      </c>
      <c r="AB364" s="9"/>
      <c r="AC364" s="10">
        <f t="shared" si="95"/>
        <v>-139.51999999999953</v>
      </c>
      <c r="AD364" s="8">
        <f>IFERROR(AC364/AC445, "NA")</f>
        <v>-1.8286584276552104E-3</v>
      </c>
    </row>
    <row r="365" spans="1:30" ht="16.5" customHeight="1" x14ac:dyDescent="0.45">
      <c r="A365" s="6" t="s">
        <v>333</v>
      </c>
      <c r="B365" s="7">
        <v>199.73</v>
      </c>
      <c r="C365" s="8">
        <f>IFERROR(B365/B445, "NA")</f>
        <v>3.359823731464679E-4</v>
      </c>
      <c r="D365" s="9"/>
      <c r="E365" s="7">
        <v>500</v>
      </c>
      <c r="F365" s="8">
        <f>IFERROR(E365/E445, "NA")</f>
        <v>7.7078979238144889E-4</v>
      </c>
      <c r="G365" s="9"/>
      <c r="H365" s="10">
        <f t="shared" si="92"/>
        <v>300.27</v>
      </c>
      <c r="I365" s="8">
        <f>IFERROR(H365/H445, "NA")</f>
        <v>-5.5380362592259147E-3</v>
      </c>
      <c r="J365" s="9"/>
      <c r="K365" s="7">
        <v>1034.8499999999999</v>
      </c>
      <c r="L365" s="8">
        <f>IFERROR(K365/K445, "NA")</f>
        <v>1.741880084218223E-3</v>
      </c>
      <c r="M365" s="9"/>
      <c r="N365" s="10">
        <f t="shared" si="93"/>
        <v>835.11999999999989</v>
      </c>
      <c r="O365" s="8">
        <f>IFERROR(N365/N445, "NA")</f>
        <v>2.2801288702007132</v>
      </c>
      <c r="P365" s="9"/>
      <c r="Q365" s="7">
        <v>792.42</v>
      </c>
      <c r="R365" s="8">
        <f>IFERROR(Q365/Q445, "NA")</f>
        <v>2.70176929679872E-4</v>
      </c>
      <c r="S365" s="9"/>
      <c r="T365" s="7">
        <v>2900</v>
      </c>
      <c r="U365" s="8">
        <f>IFERROR(T365/T445, "NA")</f>
        <v>9.4529401023251444E-4</v>
      </c>
      <c r="V365" s="9"/>
      <c r="W365" s="10">
        <f t="shared" si="94"/>
        <v>2107.58</v>
      </c>
      <c r="X365" s="8">
        <f>IFERROR(W365/W445, "NA")</f>
        <v>-1.5627716904291641E-2</v>
      </c>
      <c r="Y365" s="9"/>
      <c r="Z365" s="7">
        <v>3959.6</v>
      </c>
      <c r="AA365" s="8">
        <f>IFERROR(Z365/Z445, "NA")</f>
        <v>1.386089126076897E-3</v>
      </c>
      <c r="AB365" s="9"/>
      <c r="AC365" s="10">
        <f t="shared" si="95"/>
        <v>3167.18</v>
      </c>
      <c r="AD365" s="8">
        <f>IFERROR(AC365/AC445, "NA")</f>
        <v>4.1511542423316006E-2</v>
      </c>
    </row>
    <row r="366" spans="1:30" ht="16.5" customHeight="1" x14ac:dyDescent="0.45">
      <c r="A366" s="6" t="s">
        <v>334</v>
      </c>
      <c r="B366" s="7">
        <v>-292</v>
      </c>
      <c r="C366" s="8">
        <f>IFERROR(B366/B445, "NA")</f>
        <v>-4.9119738125854217E-4</v>
      </c>
      <c r="D366" s="9"/>
      <c r="E366" s="7">
        <v>1125</v>
      </c>
      <c r="F366" s="8">
        <f>IFERROR(E366/E445, "NA")</f>
        <v>1.7342770328582599E-3</v>
      </c>
      <c r="G366" s="9"/>
      <c r="H366" s="10">
        <f t="shared" si="92"/>
        <v>1417</v>
      </c>
      <c r="I366" s="8">
        <f>IFERROR(H366/H445, "NA")</f>
        <v>-2.6134470241193329E-2</v>
      </c>
      <c r="J366" s="9"/>
      <c r="K366" s="7">
        <v>1823.32</v>
      </c>
      <c r="L366" s="8">
        <f>IFERROR(K366/K445, "NA")</f>
        <v>3.0690484564495054E-3</v>
      </c>
      <c r="M366" s="9"/>
      <c r="N366" s="10">
        <f t="shared" si="93"/>
        <v>2115.3199999999997</v>
      </c>
      <c r="O366" s="8">
        <f>IFERROR(N366/N445, "NA")</f>
        <v>5.7754600556961542</v>
      </c>
      <c r="P366" s="9"/>
      <c r="Q366" s="7">
        <v>4375.46</v>
      </c>
      <c r="R366" s="8">
        <f>IFERROR(Q366/Q445, "NA")</f>
        <v>1.4918204345386193E-3</v>
      </c>
      <c r="S366" s="9"/>
      <c r="T366" s="7">
        <v>4050</v>
      </c>
      <c r="U366" s="8">
        <f>IFERROR(T366/T445, "NA")</f>
        <v>1.320151979807477E-3</v>
      </c>
      <c r="V366" s="9"/>
      <c r="W366" s="10">
        <f t="shared" si="94"/>
        <v>-325.46000000000004</v>
      </c>
      <c r="X366" s="8">
        <f>IFERROR(W366/W445, "NA")</f>
        <v>2.413287630206568E-3</v>
      </c>
      <c r="Y366" s="9"/>
      <c r="Z366" s="7">
        <v>4358.38</v>
      </c>
      <c r="AA366" s="8">
        <f>IFERROR(Z366/Z445, "NA")</f>
        <v>1.5256852018666093E-3</v>
      </c>
      <c r="AB366" s="9"/>
      <c r="AC366" s="10">
        <f t="shared" si="95"/>
        <v>-17.079999999999927</v>
      </c>
      <c r="AD366" s="8">
        <f>IFERROR(AC366/AC445, "NA")</f>
        <v>-2.2386386141306599E-4</v>
      </c>
    </row>
    <row r="367" spans="1:30" ht="16.5" customHeight="1" x14ac:dyDescent="0.45">
      <c r="A367" s="6" t="s">
        <v>335</v>
      </c>
      <c r="B367" s="7">
        <v>0</v>
      </c>
      <c r="C367" s="8">
        <f>IFERROR(B367/B445, "NA")</f>
        <v>0</v>
      </c>
      <c r="D367" s="9"/>
      <c r="E367" s="7">
        <v>225</v>
      </c>
      <c r="F367" s="8">
        <f>IFERROR(E367/E445, "NA")</f>
        <v>3.4685540657165202E-4</v>
      </c>
      <c r="G367" s="9"/>
      <c r="H367" s="10">
        <f t="shared" si="92"/>
        <v>225</v>
      </c>
      <c r="I367" s="8">
        <f>IFERROR(H367/H445, "NA")</f>
        <v>-4.1497923812762877E-3</v>
      </c>
      <c r="J367" s="9"/>
      <c r="K367" s="7">
        <v>1375.6</v>
      </c>
      <c r="L367" s="8">
        <f>IFERROR(K367/K445, "NA")</f>
        <v>2.3154372554965333E-3</v>
      </c>
      <c r="M367" s="9"/>
      <c r="N367" s="10">
        <f t="shared" si="93"/>
        <v>1375.6</v>
      </c>
      <c r="O367" s="8">
        <f>IFERROR(N367/N445, "NA")</f>
        <v>3.7558018893669187</v>
      </c>
      <c r="P367" s="9"/>
      <c r="Q367" s="7">
        <v>2548.41</v>
      </c>
      <c r="R367" s="8">
        <f>IFERROR(Q367/Q445, "NA")</f>
        <v>8.6888466894510807E-4</v>
      </c>
      <c r="S367" s="9"/>
      <c r="T367" s="7">
        <v>1800</v>
      </c>
      <c r="U367" s="8">
        <f>IFERROR(T367/T445, "NA")</f>
        <v>5.8673421324776753E-4</v>
      </c>
      <c r="V367" s="9"/>
      <c r="W367" s="10">
        <f t="shared" si="94"/>
        <v>-748.40999999999985</v>
      </c>
      <c r="X367" s="8">
        <f>IFERROR(W367/W445, "NA")</f>
        <v>5.5494641286883088E-3</v>
      </c>
      <c r="Y367" s="9"/>
      <c r="Z367" s="7">
        <v>2793.51</v>
      </c>
      <c r="AA367" s="8">
        <f>IFERROR(Z367/Z445, "NA")</f>
        <v>9.7789014915321574E-4</v>
      </c>
      <c r="AB367" s="9"/>
      <c r="AC367" s="10">
        <f t="shared" si="95"/>
        <v>245.10000000000036</v>
      </c>
      <c r="AD367" s="8">
        <f>IFERROR(AC367/AC445, "NA")</f>
        <v>3.2124726248444258E-3</v>
      </c>
    </row>
    <row r="368" spans="1:30" ht="16.5" customHeight="1" x14ac:dyDescent="0.45">
      <c r="A368" s="6" t="s">
        <v>336</v>
      </c>
      <c r="B368" s="7">
        <v>1212.74</v>
      </c>
      <c r="C368" s="8">
        <f>IFERROR(B368/B445, "NA")</f>
        <v>2.0400503840667275E-3</v>
      </c>
      <c r="D368" s="9"/>
      <c r="E368" s="7">
        <v>0</v>
      </c>
      <c r="F368" s="8">
        <f>IFERROR(E368/E445, "NA")</f>
        <v>0</v>
      </c>
      <c r="G368" s="9"/>
      <c r="H368" s="10">
        <f t="shared" si="92"/>
        <v>-1212.74</v>
      </c>
      <c r="I368" s="8">
        <f>IFERROR(H368/H445, "NA")</f>
        <v>2.2367196499862244E-2</v>
      </c>
      <c r="J368" s="9"/>
      <c r="K368" s="7">
        <v>0</v>
      </c>
      <c r="L368" s="8">
        <f>IFERROR(K368/K445, "NA")</f>
        <v>0</v>
      </c>
      <c r="M368" s="9"/>
      <c r="N368" s="10">
        <f t="shared" si="93"/>
        <v>-1212.74</v>
      </c>
      <c r="O368" s="8">
        <f>IFERROR(N368/N445, "NA")</f>
        <v>-3.3111450881875819</v>
      </c>
      <c r="P368" s="9"/>
      <c r="Q368" s="7">
        <v>8148.15</v>
      </c>
      <c r="R368" s="8">
        <f>IFERROR(Q368/Q445, "NA")</f>
        <v>2.7781254253691841E-3</v>
      </c>
      <c r="S368" s="9"/>
      <c r="T368" s="7">
        <v>0</v>
      </c>
      <c r="U368" s="8">
        <f>IFERROR(T368/T445, "NA")</f>
        <v>0</v>
      </c>
      <c r="V368" s="9"/>
      <c r="W368" s="10">
        <f t="shared" si="94"/>
        <v>-8148.15</v>
      </c>
      <c r="X368" s="8">
        <f>IFERROR(W368/W445, "NA")</f>
        <v>6.0418575567097781E-2</v>
      </c>
      <c r="Y368" s="9"/>
      <c r="Z368" s="7">
        <v>5481.74</v>
      </c>
      <c r="AA368" s="8">
        <f>IFERROR(Z368/Z445, "NA")</f>
        <v>1.9189262061775859E-3</v>
      </c>
      <c r="AB368" s="9"/>
      <c r="AC368" s="10">
        <f t="shared" si="95"/>
        <v>-2666.41</v>
      </c>
      <c r="AD368" s="8">
        <f>IFERROR(AC368/AC445, "NA")</f>
        <v>-3.4948058472506781E-2</v>
      </c>
    </row>
    <row r="369" spans="1:30" ht="16.5" customHeight="1" x14ac:dyDescent="0.45">
      <c r="A369" s="19" t="s">
        <v>337</v>
      </c>
      <c r="B369" s="14">
        <f>IFERROR(B361+B362+B363+B364+B365+B366+B367+B368, "NA")</f>
        <v>2949.73</v>
      </c>
      <c r="C369" s="15">
        <f>IFERROR(B369/B445, "NA")</f>
        <v>4.9619851076019164E-3</v>
      </c>
      <c r="D369" s="2"/>
      <c r="E369" s="14">
        <f>IFERROR(E361+E362+E363+E364+E365+E366+E367+E368, "NA")</f>
        <v>2864</v>
      </c>
      <c r="F369" s="15">
        <f>IFERROR(E369/E445, "NA")</f>
        <v>4.415083930760939E-3</v>
      </c>
      <c r="G369" s="2"/>
      <c r="H369" s="14">
        <f t="shared" si="92"/>
        <v>-85.730000000000018</v>
      </c>
      <c r="I369" s="15">
        <f>IFERROR(H369/H445, "NA")</f>
        <v>1.5811631148747386E-3</v>
      </c>
      <c r="J369" s="2"/>
      <c r="K369" s="14">
        <f>IFERROR(K361+K362+K363+K364+K365+K366+K367+K368, "NA")</f>
        <v>6487.48</v>
      </c>
      <c r="L369" s="15">
        <f>IFERROR(K369/K445, "NA")</f>
        <v>1.0919855253190353E-2</v>
      </c>
      <c r="M369" s="2"/>
      <c r="N369" s="14">
        <f t="shared" si="93"/>
        <v>3537.7499999999995</v>
      </c>
      <c r="O369" s="15">
        <f>IFERROR(N369/N445, "NA")</f>
        <v>9.6591219352339461</v>
      </c>
      <c r="P369" s="2"/>
      <c r="Q369" s="14">
        <f>IFERROR(Q361+Q362+Q363+Q364+Q365+Q366+Q367+Q368, "NA")</f>
        <v>22601.07</v>
      </c>
      <c r="R369" s="15">
        <f>IFERROR(Q369/Q445, "NA")</f>
        <v>7.7058727695917123E-3</v>
      </c>
      <c r="S369" s="2"/>
      <c r="T369" s="14">
        <f>IFERROR(T361+T362+T363+T364+T365+T366+T367+T368, "NA")</f>
        <v>14111</v>
      </c>
      <c r="U369" s="15">
        <f>IFERROR(T369/T445, "NA")</f>
        <v>4.5996702684106931E-3</v>
      </c>
      <c r="V369" s="2"/>
      <c r="W369" s="14">
        <f t="shared" si="94"/>
        <v>-8490.07</v>
      </c>
      <c r="X369" s="15">
        <f>IFERROR(W369/W445, "NA")</f>
        <v>6.2953914184808807E-2</v>
      </c>
      <c r="Y369" s="2"/>
      <c r="Z369" s="14">
        <f>IFERROR(Z361+Z362+Z363+Z364+Z365+Z366+Z367+Z368, "NA")</f>
        <v>25771.589999999997</v>
      </c>
      <c r="AA369" s="15">
        <f>IFERROR(Z369/Z445, "NA")</f>
        <v>9.0215477979371881E-3</v>
      </c>
      <c r="AB369" s="2"/>
      <c r="AC369" s="14">
        <f t="shared" si="95"/>
        <v>3170.5199999999968</v>
      </c>
      <c r="AD369" s="15">
        <f>IFERROR(AC369/AC445, "NA")</f>
        <v>4.155531908005599E-2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IFERROR(B370/B445, "NA")</f>
        <v>0</v>
      </c>
      <c r="D370" s="9"/>
      <c r="E370" s="7">
        <v>0</v>
      </c>
      <c r="F370" s="8">
        <f>IFERROR(E370/E445, "NA")</f>
        <v>0</v>
      </c>
      <c r="G370" s="9"/>
      <c r="H370" s="10">
        <f t="shared" si="92"/>
        <v>0</v>
      </c>
      <c r="I370" s="8">
        <f>IFERROR(H370/H445, "NA")</f>
        <v>0</v>
      </c>
      <c r="J370" s="9"/>
      <c r="K370" s="7">
        <v>0</v>
      </c>
      <c r="L370" s="8">
        <f>IFERROR(K370/K445, "NA")</f>
        <v>0</v>
      </c>
      <c r="M370" s="9"/>
      <c r="N370" s="10">
        <f t="shared" si="93"/>
        <v>0</v>
      </c>
      <c r="O370" s="8">
        <f>IFERROR(N370/N445, "NA")</f>
        <v>0</v>
      </c>
      <c r="P370" s="9"/>
      <c r="Q370" s="7">
        <v>0</v>
      </c>
      <c r="R370" s="8">
        <f>IFERROR(Q370/Q445, "NA")</f>
        <v>0</v>
      </c>
      <c r="S370" s="9"/>
      <c r="T370" s="7">
        <v>0</v>
      </c>
      <c r="U370" s="8">
        <f>IFERROR(T370/T445, "NA")</f>
        <v>0</v>
      </c>
      <c r="V370" s="9"/>
      <c r="W370" s="10">
        <f t="shared" si="94"/>
        <v>0</v>
      </c>
      <c r="X370" s="8">
        <f>IFERROR(W370/W445, "NA")</f>
        <v>0</v>
      </c>
      <c r="Y370" s="9"/>
      <c r="Z370" s="7">
        <v>0</v>
      </c>
      <c r="AA370" s="8">
        <f>IFERROR(Z370/Z445, "NA")</f>
        <v>0</v>
      </c>
      <c r="AB370" s="9"/>
      <c r="AC370" s="10">
        <f t="shared" si="95"/>
        <v>0</v>
      </c>
      <c r="AD370" s="8">
        <f>IFERROR(AC370/AC445, "NA")</f>
        <v>0</v>
      </c>
    </row>
    <row r="371" spans="1:30" ht="16.5" customHeight="1" x14ac:dyDescent="0.45">
      <c r="A371" s="20" t="s">
        <v>339</v>
      </c>
      <c r="B371" s="7">
        <v>110.71</v>
      </c>
      <c r="C371" s="8">
        <f>IFERROR(B371/B445, "NA")</f>
        <v>1.862344591751137E-4</v>
      </c>
      <c r="D371" s="9"/>
      <c r="E371" s="7">
        <v>100</v>
      </c>
      <c r="F371" s="8">
        <f>IFERROR(E371/E445, "NA")</f>
        <v>1.5415795847628977E-4</v>
      </c>
      <c r="G371" s="9"/>
      <c r="H371" s="10">
        <f t="shared" si="92"/>
        <v>-10.709999999999994</v>
      </c>
      <c r="I371" s="8">
        <f>IFERROR(H371/H445, "NA")</f>
        <v>1.9753011734875117E-4</v>
      </c>
      <c r="J371" s="9"/>
      <c r="K371" s="7">
        <v>98</v>
      </c>
      <c r="L371" s="8">
        <f>IFERROR(K371/K445, "NA")</f>
        <v>1.649555474256036E-4</v>
      </c>
      <c r="M371" s="9"/>
      <c r="N371" s="10">
        <f t="shared" si="93"/>
        <v>-12.709999999999994</v>
      </c>
      <c r="O371" s="8">
        <f>IFERROR(N371/N445, "NA")</f>
        <v>-3.4702124174072056E-2</v>
      </c>
      <c r="P371" s="9"/>
      <c r="Q371" s="7">
        <v>569.66</v>
      </c>
      <c r="R371" s="8">
        <f>IFERROR(Q371/Q445, "NA")</f>
        <v>1.9422653360772808E-4</v>
      </c>
      <c r="S371" s="9"/>
      <c r="T371" s="7">
        <v>1400</v>
      </c>
      <c r="U371" s="8">
        <f>IFERROR(T371/T445, "NA")</f>
        <v>4.5634883252604146E-4</v>
      </c>
      <c r="V371" s="9"/>
      <c r="W371" s="10">
        <f t="shared" si="94"/>
        <v>830.34</v>
      </c>
      <c r="X371" s="8">
        <f>IFERROR(W371/W445, "NA")</f>
        <v>-6.1569755142435985E-3</v>
      </c>
      <c r="Y371" s="9"/>
      <c r="Z371" s="7">
        <v>1389</v>
      </c>
      <c r="AA371" s="8">
        <f>IFERROR(Z371/Z445, "NA")</f>
        <v>4.8623037582604556E-4</v>
      </c>
      <c r="AB371" s="9"/>
      <c r="AC371" s="10">
        <f t="shared" si="95"/>
        <v>819.34</v>
      </c>
      <c r="AD371" s="8">
        <f>IFERROR(AC371/AC445, "NA")</f>
        <v>1.0738911956099665E-2</v>
      </c>
    </row>
    <row r="372" spans="1:30" ht="16.5" customHeight="1" x14ac:dyDescent="0.45">
      <c r="A372" s="20" t="s">
        <v>340</v>
      </c>
      <c r="B372" s="7">
        <v>348.13</v>
      </c>
      <c r="C372" s="8">
        <f>IFERROR(B372/B445, "NA")</f>
        <v>5.8561830252580919E-4</v>
      </c>
      <c r="D372" s="9"/>
      <c r="E372" s="7">
        <v>125</v>
      </c>
      <c r="F372" s="8">
        <f>IFERROR(E372/E445, "NA")</f>
        <v>1.9269744809536222E-4</v>
      </c>
      <c r="G372" s="9"/>
      <c r="H372" s="10">
        <f t="shared" si="92"/>
        <v>-223.13</v>
      </c>
      <c r="I372" s="8">
        <f>IFERROR(H372/H445, "NA")</f>
        <v>4.1153029957074578E-3</v>
      </c>
      <c r="J372" s="9"/>
      <c r="K372" s="7">
        <v>1529.36</v>
      </c>
      <c r="L372" s="8">
        <f>IFERROR(K372/K445, "NA")</f>
        <v>2.5742491429675621E-3</v>
      </c>
      <c r="M372" s="9"/>
      <c r="N372" s="10">
        <f t="shared" si="93"/>
        <v>1181.23</v>
      </c>
      <c r="O372" s="8">
        <f>IFERROR(N372/N445, "NA")</f>
        <v>3.2251133074853779</v>
      </c>
      <c r="P372" s="9"/>
      <c r="Q372" s="7">
        <v>1968.74</v>
      </c>
      <c r="R372" s="8">
        <f>IFERROR(Q372/Q445, "NA")</f>
        <v>6.7124520902797917E-4</v>
      </c>
      <c r="S372" s="9"/>
      <c r="T372" s="7">
        <v>625</v>
      </c>
      <c r="U372" s="8">
        <f>IFERROR(T372/T445, "NA")</f>
        <v>2.0372715737769707E-4</v>
      </c>
      <c r="V372" s="9"/>
      <c r="W372" s="10">
        <f t="shared" si="94"/>
        <v>-1343.74</v>
      </c>
      <c r="X372" s="8">
        <f>IFERROR(W372/W445, "NA")</f>
        <v>9.9638392435745515E-3</v>
      </c>
      <c r="Y372" s="9"/>
      <c r="Z372" s="7">
        <v>2404.83</v>
      </c>
      <c r="AA372" s="8">
        <f>IFERROR(Z372/Z445, "NA")</f>
        <v>8.4182965780975458E-4</v>
      </c>
      <c r="AB372" s="9"/>
      <c r="AC372" s="10">
        <f t="shared" si="95"/>
        <v>436.08999999999992</v>
      </c>
      <c r="AD372" s="8">
        <f>IFERROR(AC372/AC445, "NA")</f>
        <v>5.7157371969335097E-3</v>
      </c>
    </row>
    <row r="373" spans="1:30" ht="16.5" customHeight="1" x14ac:dyDescent="0.45">
      <c r="A373" s="20" t="s">
        <v>341</v>
      </c>
      <c r="B373" s="7">
        <v>781.8</v>
      </c>
      <c r="C373" s="8">
        <f>IFERROR(B373/B445, "NA")</f>
        <v>1.3151305228353708E-3</v>
      </c>
      <c r="D373" s="9"/>
      <c r="E373" s="7">
        <v>0</v>
      </c>
      <c r="F373" s="8">
        <f>IFERROR(E373/E445, "NA")</f>
        <v>0</v>
      </c>
      <c r="G373" s="9"/>
      <c r="H373" s="10">
        <f t="shared" si="92"/>
        <v>-781.8</v>
      </c>
      <c r="I373" s="8">
        <f>IFERROR(H373/H445, "NA")</f>
        <v>1.4419145260808007E-2</v>
      </c>
      <c r="J373" s="9"/>
      <c r="K373" s="7">
        <v>277.17</v>
      </c>
      <c r="L373" s="8">
        <f>IFERROR(K373/K445, "NA")</f>
        <v>4.6653805183627091E-4</v>
      </c>
      <c r="M373" s="9"/>
      <c r="N373" s="10">
        <f t="shared" si="93"/>
        <v>-504.62999999999994</v>
      </c>
      <c r="O373" s="8">
        <f>IFERROR(N373/N445, "NA")</f>
        <v>-1.3777917326484648</v>
      </c>
      <c r="P373" s="9"/>
      <c r="Q373" s="7">
        <v>2853.56</v>
      </c>
      <c r="R373" s="8">
        <f>IFERROR(Q373/Q445, "NA")</f>
        <v>9.7292607387155236E-4</v>
      </c>
      <c r="S373" s="9"/>
      <c r="T373" s="7">
        <v>0</v>
      </c>
      <c r="U373" s="8">
        <f>IFERROR(T373/T445, "NA")</f>
        <v>0</v>
      </c>
      <c r="V373" s="9"/>
      <c r="W373" s="10">
        <f t="shared" si="94"/>
        <v>-2853.56</v>
      </c>
      <c r="X373" s="8">
        <f>IFERROR(W373/W445, "NA")</f>
        <v>2.1159162570061615E-2</v>
      </c>
      <c r="Y373" s="9"/>
      <c r="Z373" s="7">
        <v>2108.6799999999998</v>
      </c>
      <c r="AA373" s="8">
        <f>IFERROR(Z373/Z445, "NA")</f>
        <v>7.3816002080407891E-4</v>
      </c>
      <c r="AB373" s="9"/>
      <c r="AC373" s="10">
        <f t="shared" si="95"/>
        <v>-744.88000000000011</v>
      </c>
      <c r="AD373" s="8">
        <f>IFERROR(AC373/AC445, "NA")</f>
        <v>-9.7629808600330995E-3</v>
      </c>
    </row>
    <row r="374" spans="1:30" ht="16.5" customHeight="1" x14ac:dyDescent="0.45">
      <c r="A374" s="20" t="s">
        <v>342</v>
      </c>
      <c r="B374" s="7">
        <v>387.98</v>
      </c>
      <c r="C374" s="8">
        <f>IFERROR(B374/B445, "NA")</f>
        <v>6.526532876051E-4</v>
      </c>
      <c r="D374" s="9"/>
      <c r="E374" s="7">
        <v>629</v>
      </c>
      <c r="F374" s="8">
        <f>IFERROR(E374/E445, "NA")</f>
        <v>9.6965355881586273E-4</v>
      </c>
      <c r="G374" s="9"/>
      <c r="H374" s="10">
        <f t="shared" si="92"/>
        <v>241.01999999999998</v>
      </c>
      <c r="I374" s="8">
        <f>IFERROR(H374/H445, "NA")</f>
        <v>-4.4452575988231588E-3</v>
      </c>
      <c r="J374" s="9"/>
      <c r="K374" s="7">
        <v>368.33</v>
      </c>
      <c r="L374" s="8">
        <f>IFERROR(K374/K445, "NA")</f>
        <v>6.1998037533951599E-4</v>
      </c>
      <c r="M374" s="9"/>
      <c r="N374" s="10">
        <f t="shared" si="93"/>
        <v>-19.650000000000034</v>
      </c>
      <c r="O374" s="8">
        <f>IFERROR(N374/N445, "NA")</f>
        <v>-5.3650412275414429E-2</v>
      </c>
      <c r="P374" s="9"/>
      <c r="Q374" s="7">
        <v>3345.85</v>
      </c>
      <c r="R374" s="8">
        <f>IFERROR(Q374/Q445, "NA")</f>
        <v>1.1407731760548696E-3</v>
      </c>
      <c r="S374" s="9"/>
      <c r="T374" s="7">
        <v>3145</v>
      </c>
      <c r="U374" s="8">
        <f>IFERROR(T374/T445, "NA")</f>
        <v>1.0251550559245716E-3</v>
      </c>
      <c r="V374" s="9"/>
      <c r="W374" s="10">
        <f t="shared" si="94"/>
        <v>-200.84999999999991</v>
      </c>
      <c r="X374" s="8">
        <f>IFERROR(W374/W445, "NA")</f>
        <v>1.4893038177563724E-3</v>
      </c>
      <c r="Y374" s="9"/>
      <c r="Z374" s="7">
        <v>2150.64</v>
      </c>
      <c r="AA374" s="8">
        <f>IFERROR(Z374/Z445, "NA")</f>
        <v>7.5284844885999027E-4</v>
      </c>
      <c r="AB374" s="9"/>
      <c r="AC374" s="10">
        <f t="shared" si="95"/>
        <v>-1195.21</v>
      </c>
      <c r="AD374" s="8">
        <f>IFERROR(AC374/AC445, "NA")</f>
        <v>-1.5665358653367198E-2</v>
      </c>
    </row>
    <row r="375" spans="1:30" ht="16.5" customHeight="1" x14ac:dyDescent="0.45">
      <c r="A375" s="20" t="s">
        <v>343</v>
      </c>
      <c r="B375" s="7">
        <v>2117.81</v>
      </c>
      <c r="C375" s="8">
        <f>IFERROR(B375/B445, "NA")</f>
        <v>3.5625435822025792E-3</v>
      </c>
      <c r="D375" s="9"/>
      <c r="E375" s="7">
        <v>2150</v>
      </c>
      <c r="F375" s="8">
        <f>IFERROR(E375/E445, "NA")</f>
        <v>3.3143961072402304E-3</v>
      </c>
      <c r="G375" s="9"/>
      <c r="H375" s="10">
        <f t="shared" si="92"/>
        <v>32.190000000000055</v>
      </c>
      <c r="I375" s="8">
        <f>IFERROR(H375/H445, "NA")</f>
        <v>-5.9369696334792856E-4</v>
      </c>
      <c r="J375" s="9"/>
      <c r="K375" s="7">
        <v>1925</v>
      </c>
      <c r="L375" s="8">
        <f>IFERROR(K375/K445, "NA")</f>
        <v>3.2401982530029278E-3</v>
      </c>
      <c r="M375" s="9"/>
      <c r="N375" s="10">
        <f t="shared" si="93"/>
        <v>-192.80999999999995</v>
      </c>
      <c r="O375" s="8">
        <f>IFERROR(N375/N445, "NA")</f>
        <v>-0.52642931251005776</v>
      </c>
      <c r="P375" s="9"/>
      <c r="Q375" s="7">
        <v>10577.92</v>
      </c>
      <c r="R375" s="8">
        <f>IFERROR(Q375/Q445, "NA")</f>
        <v>3.6065595870867868E-3</v>
      </c>
      <c r="S375" s="9"/>
      <c r="T375" s="7">
        <v>10750</v>
      </c>
      <c r="U375" s="8">
        <f>IFERROR(T375/T445, "NA")</f>
        <v>3.5041071068963895E-3</v>
      </c>
      <c r="V375" s="9"/>
      <c r="W375" s="10">
        <f t="shared" si="94"/>
        <v>172.07999999999993</v>
      </c>
      <c r="X375" s="8">
        <f>IFERROR(W375/W445, "NA")</f>
        <v>-1.2759741148096419E-3</v>
      </c>
      <c r="Y375" s="9"/>
      <c r="Z375" s="7">
        <v>9584.01</v>
      </c>
      <c r="AA375" s="8">
        <f>IFERROR(Z375/Z445, "NA")</f>
        <v>3.3549580879917774E-3</v>
      </c>
      <c r="AB375" s="9"/>
      <c r="AC375" s="10">
        <f t="shared" si="95"/>
        <v>-993.90999999999985</v>
      </c>
      <c r="AD375" s="8">
        <f>IFERROR(AC375/AC445, "NA")</f>
        <v>-1.3026963143856051E-2</v>
      </c>
    </row>
    <row r="376" spans="1:30" ht="16.5" customHeight="1" x14ac:dyDescent="0.45">
      <c r="A376" s="20" t="s">
        <v>344</v>
      </c>
      <c r="B376" s="7">
        <v>658.21</v>
      </c>
      <c r="C376" s="8">
        <f>IFERROR(B376/B445, "NA")</f>
        <v>1.1072295490348804E-3</v>
      </c>
      <c r="D376" s="9"/>
      <c r="E376" s="7">
        <v>0</v>
      </c>
      <c r="F376" s="8">
        <f>IFERROR(E376/E445, "NA")</f>
        <v>0</v>
      </c>
      <c r="G376" s="9"/>
      <c r="H376" s="10">
        <f t="shared" si="92"/>
        <v>-658.21</v>
      </c>
      <c r="I376" s="8">
        <f>IFERROR(H376/H445, "NA")</f>
        <v>1.213971041457718E-2</v>
      </c>
      <c r="J376" s="9"/>
      <c r="K376" s="7">
        <v>0</v>
      </c>
      <c r="L376" s="8">
        <f>IFERROR(K376/K445, "NA")</f>
        <v>0</v>
      </c>
      <c r="M376" s="9"/>
      <c r="N376" s="10">
        <f t="shared" si="93"/>
        <v>-658.21</v>
      </c>
      <c r="O376" s="8">
        <f>IFERROR(N376/N445, "NA")</f>
        <v>-1.7971113416692353</v>
      </c>
      <c r="P376" s="9"/>
      <c r="Q376" s="7">
        <v>843.21</v>
      </c>
      <c r="R376" s="8">
        <f>IFERROR(Q376/Q445, "NA")</f>
        <v>2.8749386546952991E-4</v>
      </c>
      <c r="S376" s="9"/>
      <c r="T376" s="7">
        <v>0</v>
      </c>
      <c r="U376" s="8">
        <f>IFERROR(T376/T445, "NA")</f>
        <v>0</v>
      </c>
      <c r="V376" s="9"/>
      <c r="W376" s="10">
        <f t="shared" si="94"/>
        <v>-843.21</v>
      </c>
      <c r="X376" s="8">
        <f>IFERROR(W376/W445, "NA")</f>
        <v>6.2524066326629388E-3</v>
      </c>
      <c r="Y376" s="9"/>
      <c r="Z376" s="7">
        <v>205.26</v>
      </c>
      <c r="AA376" s="8">
        <f>IFERROR(Z376/Z445, "NA")</f>
        <v>7.185287756807351E-5</v>
      </c>
      <c r="AB376" s="9"/>
      <c r="AC376" s="10">
        <f t="shared" si="95"/>
        <v>-637.95000000000005</v>
      </c>
      <c r="AD376" s="8">
        <f>IFERROR(AC376/AC445, "NA")</f>
        <v>-8.3614725051795128E-3</v>
      </c>
    </row>
    <row r="377" spans="1:30" ht="16.5" customHeight="1" x14ac:dyDescent="0.45">
      <c r="A377" s="20" t="s">
        <v>345</v>
      </c>
      <c r="B377" s="7">
        <v>41.72</v>
      </c>
      <c r="C377" s="8">
        <f>IFERROR(B377/B445, "NA")</f>
        <v>7.0180666938720473E-5</v>
      </c>
      <c r="D377" s="9"/>
      <c r="E377" s="7">
        <v>0</v>
      </c>
      <c r="F377" s="8">
        <f>IFERROR(E377/E445, "NA")</f>
        <v>0</v>
      </c>
      <c r="G377" s="9"/>
      <c r="H377" s="10">
        <f t="shared" si="92"/>
        <v>-41.72</v>
      </c>
      <c r="I377" s="8">
        <f>IFERROR(H377/H445, "NA")</f>
        <v>7.6946372509709648E-4</v>
      </c>
      <c r="J377" s="9"/>
      <c r="K377" s="7">
        <v>0</v>
      </c>
      <c r="L377" s="8">
        <f>IFERROR(K377/K445, "NA")</f>
        <v>0</v>
      </c>
      <c r="M377" s="9"/>
      <c r="N377" s="10">
        <f t="shared" si="93"/>
        <v>-41.72</v>
      </c>
      <c r="O377" s="8">
        <f>IFERROR(N377/N445, "NA")</f>
        <v>-0.11390815267838605</v>
      </c>
      <c r="P377" s="9"/>
      <c r="Q377" s="7">
        <v>180.5</v>
      </c>
      <c r="R377" s="8">
        <f>IFERROR(Q377/Q445, "NA")</f>
        <v>6.1541778106580971E-5</v>
      </c>
      <c r="S377" s="9"/>
      <c r="T377" s="7">
        <v>0</v>
      </c>
      <c r="U377" s="8">
        <f>IFERROR(T377/T445, "NA")</f>
        <v>0</v>
      </c>
      <c r="V377" s="9"/>
      <c r="W377" s="10">
        <f t="shared" si="94"/>
        <v>-180.5</v>
      </c>
      <c r="X377" s="8">
        <f>IFERROR(W377/W445, "NA")</f>
        <v>1.3384084595719457E-3</v>
      </c>
      <c r="Y377" s="9"/>
      <c r="Z377" s="7">
        <v>-2413</v>
      </c>
      <c r="AA377" s="8">
        <f>IFERROR(Z377/Z445, "NA")</f>
        <v>-8.4468963057469254E-4</v>
      </c>
      <c r="AB377" s="9"/>
      <c r="AC377" s="10">
        <f t="shared" si="95"/>
        <v>-2593.5</v>
      </c>
      <c r="AD377" s="8">
        <f>IFERROR(AC377/AC445, "NA")</f>
        <v>-3.3992442890795616E-2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IFERROR(B378/B445, "NA")</f>
        <v>0</v>
      </c>
      <c r="D378" s="9"/>
      <c r="E378" s="7">
        <v>0</v>
      </c>
      <c r="F378" s="8">
        <f>IFERROR(E378/E445, "NA")</f>
        <v>0</v>
      </c>
      <c r="G378" s="9"/>
      <c r="H378" s="10">
        <f t="shared" si="92"/>
        <v>0</v>
      </c>
      <c r="I378" s="8">
        <f>IFERROR(H378/H445, "NA")</f>
        <v>0</v>
      </c>
      <c r="J378" s="9"/>
      <c r="K378" s="7">
        <v>0</v>
      </c>
      <c r="L378" s="8">
        <f>IFERROR(K378/K445, "NA")</f>
        <v>0</v>
      </c>
      <c r="M378" s="9"/>
      <c r="N378" s="10">
        <f t="shared" si="93"/>
        <v>0</v>
      </c>
      <c r="O378" s="8">
        <f>IFERROR(N378/N445, "NA")</f>
        <v>0</v>
      </c>
      <c r="P378" s="9"/>
      <c r="Q378" s="7">
        <v>0</v>
      </c>
      <c r="R378" s="8">
        <f>IFERROR(Q378/Q445, "NA")</f>
        <v>0</v>
      </c>
      <c r="S378" s="9"/>
      <c r="T378" s="7">
        <v>0</v>
      </c>
      <c r="U378" s="8">
        <f>IFERROR(T378/T445, "NA")</f>
        <v>0</v>
      </c>
      <c r="V378" s="9"/>
      <c r="W378" s="10">
        <f t="shared" si="94"/>
        <v>0</v>
      </c>
      <c r="X378" s="8">
        <f>IFERROR(W378/W445, "NA")</f>
        <v>0</v>
      </c>
      <c r="Y378" s="9"/>
      <c r="Z378" s="7">
        <v>0</v>
      </c>
      <c r="AA378" s="8">
        <f>IFERROR(Z378/Z445, "NA")</f>
        <v>0</v>
      </c>
      <c r="AB378" s="9"/>
      <c r="AC378" s="10">
        <f t="shared" si="95"/>
        <v>0</v>
      </c>
      <c r="AD378" s="8">
        <f>IFERROR(AC378/AC445, "NA")</f>
        <v>0</v>
      </c>
    </row>
    <row r="379" spans="1:30" ht="16.5" customHeight="1" x14ac:dyDescent="0.45">
      <c r="A379" s="20" t="s">
        <v>347</v>
      </c>
      <c r="B379" s="7">
        <v>5987.86</v>
      </c>
      <c r="C379" s="8">
        <f>IFERROR(B379/B445, "NA")</f>
        <v>1.0072675175831419E-2</v>
      </c>
      <c r="D379" s="9"/>
      <c r="E379" s="7">
        <v>7184</v>
      </c>
      <c r="F379" s="8">
        <f>IFERROR(E379/E445, "NA")</f>
        <v>1.1074707736936657E-2</v>
      </c>
      <c r="G379" s="9"/>
      <c r="H379" s="10">
        <f t="shared" si="92"/>
        <v>1196.1400000000003</v>
      </c>
      <c r="I379" s="8">
        <f>IFERROR(H379/H445, "NA")</f>
        <v>-2.2061034039732533E-2</v>
      </c>
      <c r="J379" s="9"/>
      <c r="K379" s="7">
        <v>9061.9</v>
      </c>
      <c r="L379" s="8">
        <f>IFERROR(K379/K445, "NA")</f>
        <v>1.5253170155266093E-2</v>
      </c>
      <c r="M379" s="9"/>
      <c r="N379" s="10">
        <f t="shared" si="93"/>
        <v>3074.04</v>
      </c>
      <c r="O379" s="8">
        <f>IFERROR(N379/N445, "NA")</f>
        <v>8.3930541145605435</v>
      </c>
      <c r="P379" s="9"/>
      <c r="Q379" s="7">
        <v>32404.26</v>
      </c>
      <c r="R379" s="8">
        <f>IFERROR(Q379/Q445, "NA")</f>
        <v>1.1048286862204751E-2</v>
      </c>
      <c r="S379" s="9"/>
      <c r="T379" s="7">
        <v>39120</v>
      </c>
      <c r="U379" s="8">
        <f>IFERROR(T379/T445, "NA")</f>
        <v>1.2751690234584815E-2</v>
      </c>
      <c r="V379" s="9"/>
      <c r="W379" s="10">
        <f t="shared" si="94"/>
        <v>6715.7400000000016</v>
      </c>
      <c r="X379" s="8">
        <f>IFERROR(W379/W445, "NA")</f>
        <v>-4.9797247802136853E-2</v>
      </c>
      <c r="Y379" s="9"/>
      <c r="Z379" s="7">
        <v>43630.02</v>
      </c>
      <c r="AA379" s="8">
        <f>IFERROR(Z379/Z445, "NA")</f>
        <v>1.5273031693231017E-2</v>
      </c>
      <c r="AB379" s="9"/>
      <c r="AC379" s="10">
        <f t="shared" si="95"/>
        <v>11225.759999999998</v>
      </c>
      <c r="AD379" s="8">
        <f>IFERROR(AC379/AC445, "NA")</f>
        <v>0.14713360543889639</v>
      </c>
    </row>
    <row r="380" spans="1:30" ht="16.5" customHeight="1" x14ac:dyDescent="0.45">
      <c r="A380" s="20" t="s">
        <v>348</v>
      </c>
      <c r="B380" s="7">
        <v>1113</v>
      </c>
      <c r="C380" s="8">
        <f>IFERROR(B380/B445, "NA")</f>
        <v>1.8722694703450597E-3</v>
      </c>
      <c r="D380" s="9"/>
      <c r="E380" s="7">
        <v>0</v>
      </c>
      <c r="F380" s="8">
        <f>IFERROR(E380/E445, "NA")</f>
        <v>0</v>
      </c>
      <c r="G380" s="9"/>
      <c r="H380" s="10">
        <f t="shared" si="92"/>
        <v>-1113</v>
      </c>
      <c r="I380" s="8">
        <f>IFERROR(H380/H445, "NA")</f>
        <v>2.0527639646046703E-2</v>
      </c>
      <c r="J380" s="9"/>
      <c r="K380" s="7">
        <v>1217.19</v>
      </c>
      <c r="L380" s="8">
        <f>IFERROR(K380/K445, "NA")</f>
        <v>2.0487983956221476E-3</v>
      </c>
      <c r="M380" s="9"/>
      <c r="N380" s="10">
        <f t="shared" si="93"/>
        <v>104.19000000000005</v>
      </c>
      <c r="O380" s="8">
        <f>IFERROR(N380/N445, "NA")</f>
        <v>0.28447004859925812</v>
      </c>
      <c r="P380" s="9"/>
      <c r="Q380" s="7">
        <v>3033.56</v>
      </c>
      <c r="R380" s="8">
        <f>IFERROR(Q380/Q445, "NA")</f>
        <v>1.0342973761385029E-3</v>
      </c>
      <c r="S380" s="9"/>
      <c r="T380" s="7">
        <v>0</v>
      </c>
      <c r="U380" s="8">
        <f>IFERROR(T380/T445, "NA")</f>
        <v>0</v>
      </c>
      <c r="V380" s="9"/>
      <c r="W380" s="10">
        <f t="shared" si="94"/>
        <v>-3033.56</v>
      </c>
      <c r="X380" s="8">
        <f>IFERROR(W380/W445, "NA")</f>
        <v>2.2493863526975466E-2</v>
      </c>
      <c r="Y380" s="9"/>
      <c r="Z380" s="7">
        <v>5028.83</v>
      </c>
      <c r="AA380" s="8">
        <f>IFERROR(Z380/Z445, "NA")</f>
        <v>1.7603814981031623E-3</v>
      </c>
      <c r="AB380" s="9"/>
      <c r="AC380" s="10">
        <f t="shared" si="95"/>
        <v>1995.27</v>
      </c>
      <c r="AD380" s="8">
        <f>IFERROR(AC380/AC445, "NA")</f>
        <v>2.6151571824452581E-2</v>
      </c>
    </row>
    <row r="381" spans="1:30" ht="16.5" customHeight="1" x14ac:dyDescent="0.45">
      <c r="A381" s="20" t="s">
        <v>349</v>
      </c>
      <c r="B381" s="7">
        <v>11800</v>
      </c>
      <c r="C381" s="8">
        <f>IFERROR(B381/B445, "NA")</f>
        <v>1.9849757187845197E-2</v>
      </c>
      <c r="D381" s="9"/>
      <c r="E381" s="7">
        <v>11800</v>
      </c>
      <c r="F381" s="8">
        <f>IFERROR(E381/E445, "NA")</f>
        <v>1.8190639100202195E-2</v>
      </c>
      <c r="G381" s="9"/>
      <c r="H381" s="10">
        <f t="shared" si="92"/>
        <v>0</v>
      </c>
      <c r="I381" s="8">
        <f>IFERROR(H381/H445, "NA")</f>
        <v>0</v>
      </c>
      <c r="J381" s="9"/>
      <c r="K381" s="7">
        <v>11500</v>
      </c>
      <c r="L381" s="8">
        <f>IFERROR(K381/K445, "NA")</f>
        <v>1.9357028524433075E-2</v>
      </c>
      <c r="M381" s="9"/>
      <c r="N381" s="10">
        <f t="shared" si="93"/>
        <v>-300</v>
      </c>
      <c r="O381" s="8">
        <f>IFERROR(N381/N445, "NA")</f>
        <v>-0.81909026374678373</v>
      </c>
      <c r="P381" s="9"/>
      <c r="Q381" s="7">
        <v>59055.67</v>
      </c>
      <c r="R381" s="8">
        <f>IFERROR(Q381/Q445, "NA")</f>
        <v>2.01351298563738E-2</v>
      </c>
      <c r="S381" s="9"/>
      <c r="T381" s="7">
        <v>59000</v>
      </c>
      <c r="U381" s="8">
        <f>IFERROR(T381/T445, "NA")</f>
        <v>1.9231843656454604E-2</v>
      </c>
      <c r="V381" s="9"/>
      <c r="W381" s="10">
        <f t="shared" si="94"/>
        <v>-55.669999999998254</v>
      </c>
      <c r="X381" s="8">
        <f>IFERROR(W381/W445, "NA")</f>
        <v>4.1279334595217669E-4</v>
      </c>
      <c r="Y381" s="9"/>
      <c r="Z381" s="7">
        <v>57500</v>
      </c>
      <c r="AA381" s="8">
        <f>IFERROR(Z381/Z445, "NA")</f>
        <v>2.0128327293014843E-2</v>
      </c>
      <c r="AB381" s="9"/>
      <c r="AC381" s="10">
        <f t="shared" si="95"/>
        <v>-1555.6699999999983</v>
      </c>
      <c r="AD381" s="8">
        <f>IFERROR(AC381/AC445, "NA")</f>
        <v>-2.0389829817591656E-2</v>
      </c>
    </row>
    <row r="382" spans="1:30" ht="16.5" customHeight="1" x14ac:dyDescent="0.45">
      <c r="A382" s="20" t="s">
        <v>350</v>
      </c>
      <c r="B382" s="7">
        <v>0</v>
      </c>
      <c r="C382" s="8">
        <f>IFERROR(B382/B445, "NA")</f>
        <v>0</v>
      </c>
      <c r="D382" s="9"/>
      <c r="E382" s="7">
        <v>3000</v>
      </c>
      <c r="F382" s="8">
        <f>IFERROR(E382/E445, "NA")</f>
        <v>4.6247387542886938E-3</v>
      </c>
      <c r="G382" s="9"/>
      <c r="H382" s="10">
        <f t="shared" si="92"/>
        <v>3000</v>
      </c>
      <c r="I382" s="8">
        <f>IFERROR(H382/H445, "NA")</f>
        <v>-5.5330565083683836E-2</v>
      </c>
      <c r="J382" s="9"/>
      <c r="K382" s="7">
        <v>4000</v>
      </c>
      <c r="L382" s="8">
        <f>IFERROR(K382/K445, "NA")</f>
        <v>6.7328794867593305E-3</v>
      </c>
      <c r="M382" s="9"/>
      <c r="N382" s="10">
        <f t="shared" si="93"/>
        <v>4000</v>
      </c>
      <c r="O382" s="8">
        <f>IFERROR(N382/N445, "NA")</f>
        <v>10.921203516623784</v>
      </c>
      <c r="P382" s="9"/>
      <c r="Q382" s="7">
        <v>3672.5</v>
      </c>
      <c r="R382" s="8">
        <f>IFERROR(Q382/Q445, "NA")</f>
        <v>1.2521450420854218E-3</v>
      </c>
      <c r="S382" s="9"/>
      <c r="T382" s="7">
        <v>14000</v>
      </c>
      <c r="U382" s="8">
        <f>IFERROR(T382/T445, "NA")</f>
        <v>4.5634883252604142E-3</v>
      </c>
      <c r="V382" s="9"/>
      <c r="W382" s="10">
        <f t="shared" si="94"/>
        <v>10327.5</v>
      </c>
      <c r="X382" s="8">
        <f>IFERROR(W382/W445, "NA")</f>
        <v>-7.657846740293224E-2</v>
      </c>
      <c r="Y382" s="9"/>
      <c r="Z382" s="7">
        <v>30491.51</v>
      </c>
      <c r="AA382" s="8">
        <f>IFERROR(Z382/Z445, "NA")</f>
        <v>1.0673792920664957E-2</v>
      </c>
      <c r="AB382" s="9"/>
      <c r="AC382" s="10">
        <f t="shared" si="95"/>
        <v>26819.01</v>
      </c>
      <c r="AD382" s="8">
        <f>IFERROR(AC382/AC445, "NA")</f>
        <v>0.35151095655009695</v>
      </c>
    </row>
    <row r="383" spans="1:30" ht="16.5" customHeight="1" x14ac:dyDescent="0.45">
      <c r="A383" s="20" t="s">
        <v>351</v>
      </c>
      <c r="B383" s="7">
        <v>0</v>
      </c>
      <c r="C383" s="8">
        <f>IFERROR(B383/B445, "NA")</f>
        <v>0</v>
      </c>
      <c r="D383" s="9"/>
      <c r="E383" s="7">
        <v>506</v>
      </c>
      <c r="F383" s="8">
        <f>IFERROR(E383/E445, "NA")</f>
        <v>7.8003926989002629E-4</v>
      </c>
      <c r="G383" s="9"/>
      <c r="H383" s="10">
        <f t="shared" si="92"/>
        <v>506</v>
      </c>
      <c r="I383" s="8">
        <f>IFERROR(H383/H445, "NA")</f>
        <v>-9.3324219774480067E-3</v>
      </c>
      <c r="J383" s="9"/>
      <c r="K383" s="7">
        <v>648.72</v>
      </c>
      <c r="L383" s="8">
        <f>IFERROR(K383/K445, "NA")</f>
        <v>1.0919383951626283E-3</v>
      </c>
      <c r="M383" s="9"/>
      <c r="N383" s="10">
        <f t="shared" si="93"/>
        <v>648.72</v>
      </c>
      <c r="O383" s="8">
        <f>IFERROR(N383/N445, "NA")</f>
        <v>1.7712007863260453</v>
      </c>
      <c r="P383" s="9"/>
      <c r="Q383" s="7">
        <v>2741.64</v>
      </c>
      <c r="R383" s="8">
        <f>IFERROR(Q383/Q445, "NA")</f>
        <v>9.3476676192867951E-4</v>
      </c>
      <c r="S383" s="9"/>
      <c r="T383" s="7">
        <v>2530</v>
      </c>
      <c r="U383" s="8">
        <f>IFERROR(T383/T445, "NA")</f>
        <v>8.2468753306491778E-4</v>
      </c>
      <c r="V383" s="9"/>
      <c r="W383" s="10">
        <f t="shared" si="94"/>
        <v>-211.63999999999987</v>
      </c>
      <c r="X383" s="8">
        <f>IFERROR(W383/W445, "NA")</f>
        <v>1.5693117251180412E-3</v>
      </c>
      <c r="Y383" s="9"/>
      <c r="Z383" s="7">
        <v>2791.76</v>
      </c>
      <c r="AA383" s="8">
        <f>IFERROR(Z383/Z445, "NA")</f>
        <v>9.7727754788777608E-4</v>
      </c>
      <c r="AB383" s="9"/>
      <c r="AC383" s="10">
        <f t="shared" si="95"/>
        <v>50.120000000000346</v>
      </c>
      <c r="AD383" s="8">
        <f>IFERROR(AC383/AC445, "NA")</f>
        <v>6.5691198676949612E-4</v>
      </c>
    </row>
    <row r="384" spans="1:30" ht="16.5" hidden="1" customHeight="1" x14ac:dyDescent="0.45">
      <c r="A384" s="20" t="s">
        <v>352</v>
      </c>
      <c r="B384" s="7">
        <v>0</v>
      </c>
      <c r="C384" s="8">
        <f>IFERROR(B384/B445, "NA")</f>
        <v>0</v>
      </c>
      <c r="D384" s="9"/>
      <c r="E384" s="7">
        <v>0</v>
      </c>
      <c r="F384" s="8">
        <f>IFERROR(E384/E445, "NA")</f>
        <v>0</v>
      </c>
      <c r="G384" s="9"/>
      <c r="H384" s="10">
        <f t="shared" si="92"/>
        <v>0</v>
      </c>
      <c r="I384" s="8">
        <f>IFERROR(H384/H445, "NA")</f>
        <v>0</v>
      </c>
      <c r="J384" s="9"/>
      <c r="K384" s="7">
        <v>0</v>
      </c>
      <c r="L384" s="8">
        <f>IFERROR(K384/K445, "NA")</f>
        <v>0</v>
      </c>
      <c r="M384" s="9"/>
      <c r="N384" s="10">
        <f t="shared" si="93"/>
        <v>0</v>
      </c>
      <c r="O384" s="8">
        <f>IFERROR(N384/N445, "NA")</f>
        <v>0</v>
      </c>
      <c r="P384" s="9"/>
      <c r="Q384" s="7">
        <v>0</v>
      </c>
      <c r="R384" s="8">
        <f>IFERROR(Q384/Q445, "NA")</f>
        <v>0</v>
      </c>
      <c r="S384" s="9"/>
      <c r="T384" s="7">
        <v>0</v>
      </c>
      <c r="U384" s="8">
        <f>IFERROR(T384/T445, "NA")</f>
        <v>0</v>
      </c>
      <c r="V384" s="9"/>
      <c r="W384" s="10">
        <f t="shared" si="94"/>
        <v>0</v>
      </c>
      <c r="X384" s="8">
        <f>IFERROR(W384/W445, "NA")</f>
        <v>0</v>
      </c>
      <c r="Y384" s="9"/>
      <c r="Z384" s="7">
        <v>0</v>
      </c>
      <c r="AA384" s="8">
        <f>IFERROR(Z384/Z445, "NA")</f>
        <v>0</v>
      </c>
      <c r="AB384" s="9"/>
      <c r="AC384" s="10">
        <f t="shared" si="95"/>
        <v>0</v>
      </c>
      <c r="AD384" s="8">
        <f>IFERROR(AC384/AC445, "NA")</f>
        <v>0</v>
      </c>
    </row>
    <row r="385" spans="1:30" ht="16.5" customHeight="1" x14ac:dyDescent="0.45">
      <c r="A385" s="5" t="s">
        <v>353</v>
      </c>
      <c r="B385" s="2"/>
      <c r="C385" s="3"/>
      <c r="D385" s="4"/>
      <c r="E385" s="2"/>
      <c r="F385" s="3"/>
      <c r="G385" s="4"/>
      <c r="H385" s="2"/>
      <c r="I385" s="3"/>
      <c r="J385" s="4"/>
      <c r="K385" s="2"/>
      <c r="L385" s="3"/>
      <c r="M385" s="4"/>
      <c r="N385" s="2"/>
      <c r="O385" s="3"/>
      <c r="P385" s="4"/>
      <c r="Q385" s="2"/>
      <c r="R385" s="3"/>
      <c r="S385" s="4"/>
      <c r="T385" s="2"/>
      <c r="U385" s="3"/>
      <c r="V385" s="4"/>
      <c r="W385" s="2"/>
      <c r="X385" s="3"/>
      <c r="Y385" s="4"/>
      <c r="Z385" s="2"/>
      <c r="AA385" s="3"/>
      <c r="AB385" s="4"/>
      <c r="AC385" s="2"/>
      <c r="AD385" s="3"/>
    </row>
    <row r="386" spans="1:30" ht="16.5" customHeight="1" x14ac:dyDescent="0.45">
      <c r="A386" s="6" t="s">
        <v>353</v>
      </c>
      <c r="B386" s="7">
        <v>419.69</v>
      </c>
      <c r="C386" s="8">
        <f>IFERROR(B386/B445, "NA")</f>
        <v>7.0599530459040255E-4</v>
      </c>
      <c r="D386" s="9"/>
      <c r="E386" s="7">
        <v>750</v>
      </c>
      <c r="F386" s="8">
        <f>IFERROR(E386/E445, "NA")</f>
        <v>1.1561846885721734E-3</v>
      </c>
      <c r="G386" s="9"/>
      <c r="H386" s="10">
        <f>IFERROR(-(B386-E386), "NA")</f>
        <v>330.31</v>
      </c>
      <c r="I386" s="8">
        <f>IFERROR(H386/H445, "NA")</f>
        <v>-6.0920796509305354E-3</v>
      </c>
      <c r="J386" s="9"/>
      <c r="K386" s="7">
        <v>3768.79</v>
      </c>
      <c r="L386" s="8">
        <f>IFERROR(K386/K445, "NA")</f>
        <v>6.343702220225924E-3</v>
      </c>
      <c r="M386" s="9"/>
      <c r="N386" s="10">
        <f>IFERROR(-(B386-K386), "NA")</f>
        <v>3349.1</v>
      </c>
      <c r="O386" s="8">
        <f>IFERROR(N386/N445, "NA")</f>
        <v>9.1440506743811785</v>
      </c>
      <c r="P386" s="9"/>
      <c r="Q386" s="7">
        <v>11767.12</v>
      </c>
      <c r="R386" s="8">
        <f>IFERROR(Q386/Q445, "NA")</f>
        <v>4.0120193240637736E-3</v>
      </c>
      <c r="S386" s="9"/>
      <c r="T386" s="7">
        <v>4500</v>
      </c>
      <c r="U386" s="8">
        <f>IFERROR(T386/T445, "NA")</f>
        <v>1.4668355331194189E-3</v>
      </c>
      <c r="V386" s="9"/>
      <c r="W386" s="10">
        <f>IFERROR(-(Q386-T386), "NA")</f>
        <v>-7267.1200000000008</v>
      </c>
      <c r="X386" s="8">
        <f>IFERROR(W386/W445, "NA")</f>
        <v>5.3885733433376617E-2</v>
      </c>
      <c r="Y386" s="9"/>
      <c r="Z386" s="7">
        <v>17586.55</v>
      </c>
      <c r="AA386" s="8">
        <f>IFERROR(Z386/Z445, "NA")</f>
        <v>6.1563101626951342E-3</v>
      </c>
      <c r="AB386" s="9"/>
      <c r="AC386" s="10">
        <f>IFERROR(-(Q386-Z386), "NA")</f>
        <v>5819.4299999999985</v>
      </c>
      <c r="AD386" s="8">
        <f>IFERROR(AC386/AC445, "NA")</f>
        <v>7.627400884209859E-2</v>
      </c>
    </row>
    <row r="387" spans="1:30" ht="16.5" customHeight="1" x14ac:dyDescent="0.45">
      <c r="A387" s="6" t="s">
        <v>354</v>
      </c>
      <c r="B387" s="7">
        <v>0</v>
      </c>
      <c r="C387" s="8">
        <f>IFERROR(B387/B445, "NA")</f>
        <v>0</v>
      </c>
      <c r="D387" s="9"/>
      <c r="E387" s="7">
        <v>0</v>
      </c>
      <c r="F387" s="8">
        <f>IFERROR(E387/E445, "NA")</f>
        <v>0</v>
      </c>
      <c r="G387" s="9"/>
      <c r="H387" s="10">
        <f>IFERROR(-(B387-E387), "NA")</f>
        <v>0</v>
      </c>
      <c r="I387" s="8">
        <f>IFERROR(H387/H445, "NA")</f>
        <v>0</v>
      </c>
      <c r="J387" s="9"/>
      <c r="K387" s="7">
        <v>0</v>
      </c>
      <c r="L387" s="8">
        <f>IFERROR(K387/K445, "NA")</f>
        <v>0</v>
      </c>
      <c r="M387" s="9"/>
      <c r="N387" s="10">
        <f>IFERROR(-(B387-K387), "NA")</f>
        <v>0</v>
      </c>
      <c r="O387" s="8">
        <f>IFERROR(N387/N445, "NA")</f>
        <v>0</v>
      </c>
      <c r="P387" s="9"/>
      <c r="Q387" s="7">
        <v>0</v>
      </c>
      <c r="R387" s="8">
        <f>IFERROR(Q387/Q445, "NA")</f>
        <v>0</v>
      </c>
      <c r="S387" s="9"/>
      <c r="T387" s="7">
        <v>0</v>
      </c>
      <c r="U387" s="8">
        <f>IFERROR(T387/T445, "NA")</f>
        <v>0</v>
      </c>
      <c r="V387" s="9"/>
      <c r="W387" s="10">
        <f>IFERROR(-(Q387-T387), "NA")</f>
        <v>0</v>
      </c>
      <c r="X387" s="8">
        <f>IFERROR(W387/W445, "NA")</f>
        <v>0</v>
      </c>
      <c r="Y387" s="9"/>
      <c r="Z387" s="7">
        <v>51.47</v>
      </c>
      <c r="AA387" s="8">
        <f>IFERROR(Z387/Z445, "NA")</f>
        <v>1.8017478361243026E-5</v>
      </c>
      <c r="AB387" s="9"/>
      <c r="AC387" s="10">
        <f>IFERROR(-(Q387-Z387), "NA")</f>
        <v>51.47</v>
      </c>
      <c r="AD387" s="8">
        <f>IFERROR(AC387/AC445, "NA")</f>
        <v>6.7460614443387329E-4</v>
      </c>
    </row>
    <row r="388" spans="1:30" ht="16.5" customHeight="1" x14ac:dyDescent="0.45">
      <c r="A388" s="11" t="s">
        <v>355</v>
      </c>
      <c r="B388" s="2"/>
      <c r="C388" s="3"/>
      <c r="D388" s="4"/>
      <c r="E388" s="2"/>
      <c r="F388" s="3"/>
      <c r="G388" s="4"/>
      <c r="H388" s="2"/>
      <c r="I388" s="3"/>
      <c r="J388" s="4"/>
      <c r="K388" s="2"/>
      <c r="L388" s="3"/>
      <c r="M388" s="4"/>
      <c r="N388" s="2"/>
      <c r="O388" s="3"/>
      <c r="P388" s="4"/>
      <c r="Q388" s="2"/>
      <c r="R388" s="3"/>
      <c r="S388" s="4"/>
      <c r="T388" s="2"/>
      <c r="U388" s="3"/>
      <c r="V388" s="4"/>
      <c r="W388" s="2"/>
      <c r="X388" s="3"/>
      <c r="Y388" s="4"/>
      <c r="Z388" s="2"/>
      <c r="AA388" s="3"/>
      <c r="AB388" s="4"/>
      <c r="AC388" s="2"/>
      <c r="AD388" s="3"/>
    </row>
    <row r="389" spans="1:30" ht="16.5" customHeight="1" x14ac:dyDescent="0.45">
      <c r="A389" s="12" t="s">
        <v>355</v>
      </c>
      <c r="B389" s="7">
        <v>0</v>
      </c>
      <c r="C389" s="8">
        <f>IFERROR(B389/B445, "NA")</f>
        <v>0</v>
      </c>
      <c r="D389" s="9"/>
      <c r="E389" s="7">
        <v>13622.39</v>
      </c>
      <c r="F389" s="8">
        <f>IFERROR(E389/E445, "NA")</f>
        <v>2.0999998319678252E-2</v>
      </c>
      <c r="G389" s="9"/>
      <c r="H389" s="10">
        <f t="shared" ref="H389:H404" si="96">IFERROR(-(B389-E389), "NA")</f>
        <v>13622.39</v>
      </c>
      <c r="I389" s="8">
        <f>IFERROR(H389/H445, "NA")</f>
        <v>-0.25124484549677462</v>
      </c>
      <c r="J389" s="9"/>
      <c r="K389" s="7">
        <v>0</v>
      </c>
      <c r="L389" s="8">
        <f>IFERROR(K389/K445, "NA")</f>
        <v>0</v>
      </c>
      <c r="M389" s="9"/>
      <c r="N389" s="10">
        <f t="shared" ref="N389:N404" si="97">IFERROR(-(B389-K389), "NA")</f>
        <v>0</v>
      </c>
      <c r="O389" s="8">
        <f>IFERROR(N389/N445, "NA")</f>
        <v>0</v>
      </c>
      <c r="P389" s="9"/>
      <c r="Q389" s="7">
        <v>0</v>
      </c>
      <c r="R389" s="8">
        <f>IFERROR(Q389/Q445, "NA")</f>
        <v>0</v>
      </c>
      <c r="S389" s="9"/>
      <c r="T389" s="7">
        <v>64424.4</v>
      </c>
      <c r="U389" s="8">
        <f>IFERROR(T389/T445, "NA")</f>
        <v>2.0999999804421934E-2</v>
      </c>
      <c r="V389" s="9"/>
      <c r="W389" s="10">
        <f t="shared" ref="W389:W404" si="98">IFERROR(-(Q389-T389), "NA")</f>
        <v>64424.4</v>
      </c>
      <c r="X389" s="8">
        <f>IFERROR(W389/W445, "NA")</f>
        <v>-0.47770726849222644</v>
      </c>
      <c r="Y389" s="9"/>
      <c r="Z389" s="7">
        <v>0</v>
      </c>
      <c r="AA389" s="8">
        <f>IFERROR(Z389/Z445, "NA")</f>
        <v>0</v>
      </c>
      <c r="AB389" s="9"/>
      <c r="AC389" s="10">
        <f t="shared" ref="AC389:AC404" si="99">IFERROR(-(Q389-Z389), "NA")</f>
        <v>0</v>
      </c>
      <c r="AD389" s="8">
        <f>IFERROR(AC389/AC445, "NA")</f>
        <v>0</v>
      </c>
    </row>
    <row r="390" spans="1:30" ht="16.5" customHeight="1" x14ac:dyDescent="0.45">
      <c r="A390" s="12" t="s">
        <v>356</v>
      </c>
      <c r="B390" s="7">
        <v>6446.98</v>
      </c>
      <c r="C390" s="8">
        <f>IFERROR(B390/B445, "NA")</f>
        <v>1.0844998948719849E-2</v>
      </c>
      <c r="D390" s="9"/>
      <c r="E390" s="7">
        <v>0</v>
      </c>
      <c r="F390" s="8">
        <f>IFERROR(E390/E445, "NA")</f>
        <v>0</v>
      </c>
      <c r="G390" s="9"/>
      <c r="H390" s="10">
        <f t="shared" si="96"/>
        <v>-6446.98</v>
      </c>
      <c r="I390" s="8">
        <f>IFERROR(H390/H445, "NA")</f>
        <v>0.11890501549440266</v>
      </c>
      <c r="J390" s="9"/>
      <c r="K390" s="7">
        <v>4539.07</v>
      </c>
      <c r="L390" s="8">
        <f>IFERROR(K390/K445, "NA")</f>
        <v>7.6402528229911676E-3</v>
      </c>
      <c r="M390" s="9"/>
      <c r="N390" s="10">
        <f t="shared" si="97"/>
        <v>-1907.9099999999999</v>
      </c>
      <c r="O390" s="8">
        <f>IFERROR(N390/N445, "NA")</f>
        <v>-5.2091683503504198</v>
      </c>
      <c r="P390" s="9"/>
      <c r="Q390" s="7">
        <v>33075.360000000001</v>
      </c>
      <c r="R390" s="8">
        <f>IFERROR(Q390/Q445, "NA")</f>
        <v>1.1277099534156699E-2</v>
      </c>
      <c r="S390" s="9"/>
      <c r="T390" s="7">
        <v>0</v>
      </c>
      <c r="U390" s="8">
        <f>IFERROR(T390/T445, "NA")</f>
        <v>0</v>
      </c>
      <c r="V390" s="9"/>
      <c r="W390" s="10">
        <f t="shared" si="98"/>
        <v>-33075.360000000001</v>
      </c>
      <c r="X390" s="8">
        <f>IFERROR(W390/W445, "NA")</f>
        <v>0.24525397023483411</v>
      </c>
      <c r="Y390" s="9"/>
      <c r="Z390" s="7">
        <v>21081.37</v>
      </c>
      <c r="AA390" s="8">
        <f>IFERROR(Z390/Z445, "NA")</f>
        <v>7.3796993938285973E-3</v>
      </c>
      <c r="AB390" s="9"/>
      <c r="AC390" s="10">
        <f t="shared" si="99"/>
        <v>-11993.990000000002</v>
      </c>
      <c r="AD390" s="8">
        <f>IFERROR(AC390/AC445, "NA")</f>
        <v>-0.15720262969260604</v>
      </c>
    </row>
    <row r="391" spans="1:30" ht="16.5" customHeight="1" x14ac:dyDescent="0.45">
      <c r="A391" s="12" t="s">
        <v>357</v>
      </c>
      <c r="B391" s="7">
        <v>3014.19</v>
      </c>
      <c r="C391" s="8">
        <f>IFERROR(B391/B445, "NA")</f>
        <v>5.0704186116975521E-3</v>
      </c>
      <c r="D391" s="9"/>
      <c r="E391" s="7">
        <v>0</v>
      </c>
      <c r="F391" s="8">
        <f>IFERROR(E391/E445, "NA")</f>
        <v>0</v>
      </c>
      <c r="G391" s="9"/>
      <c r="H391" s="10">
        <f t="shared" si="96"/>
        <v>-3014.19</v>
      </c>
      <c r="I391" s="8">
        <f>IFERROR(H391/H445, "NA")</f>
        <v>5.5592278656529659E-2</v>
      </c>
      <c r="J391" s="9"/>
      <c r="K391" s="7">
        <v>9868.84</v>
      </c>
      <c r="L391" s="8">
        <f>IFERROR(K391/K445, "NA")</f>
        <v>1.6611427598527486E-2</v>
      </c>
      <c r="M391" s="9"/>
      <c r="N391" s="10">
        <f t="shared" si="97"/>
        <v>6854.65</v>
      </c>
      <c r="O391" s="8">
        <f>IFERROR(N391/N445, "NA")</f>
        <v>18.715256921306302</v>
      </c>
      <c r="P391" s="9"/>
      <c r="Q391" s="7">
        <v>26472.19</v>
      </c>
      <c r="R391" s="8">
        <f>IFERROR(Q391/Q445, "NA")</f>
        <v>9.0257376342119215E-3</v>
      </c>
      <c r="S391" s="9"/>
      <c r="T391" s="7">
        <v>0</v>
      </c>
      <c r="U391" s="8">
        <f>IFERROR(T391/T445, "NA")</f>
        <v>0</v>
      </c>
      <c r="V391" s="9"/>
      <c r="W391" s="10">
        <f t="shared" si="98"/>
        <v>-26472.19</v>
      </c>
      <c r="X391" s="8">
        <f>IFERROR(W391/W445, "NA")</f>
        <v>0.19629142958114054</v>
      </c>
      <c r="Y391" s="9"/>
      <c r="Z391" s="7">
        <v>54838.06</v>
      </c>
      <c r="AA391" s="8">
        <f>IFERROR(Z391/Z445, "NA")</f>
        <v>1.9196494257286704E-2</v>
      </c>
      <c r="AB391" s="9"/>
      <c r="AC391" s="10">
        <f t="shared" si="99"/>
        <v>28365.87</v>
      </c>
      <c r="AD391" s="8">
        <f>IFERROR(AC391/AC445, "NA")</f>
        <v>0.37178531560544925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IFERROR(B392/B445, "NA")</f>
        <v>0</v>
      </c>
      <c r="D392" s="9"/>
      <c r="E392" s="7">
        <v>0</v>
      </c>
      <c r="F392" s="8">
        <f>IFERROR(E392/E445, "NA")</f>
        <v>0</v>
      </c>
      <c r="G392" s="9"/>
      <c r="H392" s="10">
        <f t="shared" si="96"/>
        <v>0</v>
      </c>
      <c r="I392" s="8">
        <f>IFERROR(H392/H445, "NA")</f>
        <v>0</v>
      </c>
      <c r="J392" s="9"/>
      <c r="K392" s="7">
        <v>0</v>
      </c>
      <c r="L392" s="8">
        <f>IFERROR(K392/K445, "NA")</f>
        <v>0</v>
      </c>
      <c r="M392" s="9"/>
      <c r="N392" s="10">
        <f t="shared" si="97"/>
        <v>0</v>
      </c>
      <c r="O392" s="8">
        <f>IFERROR(N392/N445, "NA")</f>
        <v>0</v>
      </c>
      <c r="P392" s="9"/>
      <c r="Q392" s="7">
        <v>0</v>
      </c>
      <c r="R392" s="8">
        <f>IFERROR(Q392/Q445, "NA")</f>
        <v>0</v>
      </c>
      <c r="S392" s="9"/>
      <c r="T392" s="7">
        <v>0</v>
      </c>
      <c r="U392" s="8">
        <f>IFERROR(T392/T445, "NA")</f>
        <v>0</v>
      </c>
      <c r="V392" s="9"/>
      <c r="W392" s="10">
        <f t="shared" si="98"/>
        <v>0</v>
      </c>
      <c r="X392" s="8">
        <f>IFERROR(W392/W445, "NA")</f>
        <v>0</v>
      </c>
      <c r="Y392" s="9"/>
      <c r="Z392" s="7">
        <v>0</v>
      </c>
      <c r="AA392" s="8">
        <f>IFERROR(Z392/Z445, "NA")</f>
        <v>0</v>
      </c>
      <c r="AB392" s="9"/>
      <c r="AC392" s="10">
        <f t="shared" si="99"/>
        <v>0</v>
      </c>
      <c r="AD392" s="8">
        <f>IFERROR(AC392/AC445, "NA")</f>
        <v>0</v>
      </c>
    </row>
    <row r="393" spans="1:30" ht="16.5" customHeight="1" x14ac:dyDescent="0.45">
      <c r="A393" s="12" t="s">
        <v>359</v>
      </c>
      <c r="B393" s="7">
        <v>2705.8</v>
      </c>
      <c r="C393" s="8">
        <f>IFERROR(B393/B445, "NA")</f>
        <v>4.5516502541416556E-3</v>
      </c>
      <c r="D393" s="9"/>
      <c r="E393" s="7">
        <v>0</v>
      </c>
      <c r="F393" s="8">
        <f>IFERROR(E393/E445, "NA")</f>
        <v>0</v>
      </c>
      <c r="G393" s="9"/>
      <c r="H393" s="10">
        <f t="shared" si="96"/>
        <v>-2705.8</v>
      </c>
      <c r="I393" s="8">
        <f>IFERROR(H393/H445, "NA")</f>
        <v>4.9904481001143912E-2</v>
      </c>
      <c r="J393" s="9"/>
      <c r="K393" s="7">
        <v>4240.24</v>
      </c>
      <c r="L393" s="8">
        <f>IFERROR(K393/K445, "NA")</f>
        <v>7.1372562287340948E-3</v>
      </c>
      <c r="M393" s="9"/>
      <c r="N393" s="10">
        <f t="shared" si="97"/>
        <v>1534.4399999999996</v>
      </c>
      <c r="O393" s="8">
        <f>IFERROR(N393/N445, "NA")</f>
        <v>4.1894828810120481</v>
      </c>
      <c r="P393" s="9"/>
      <c r="Q393" s="7">
        <v>17928.03</v>
      </c>
      <c r="R393" s="8">
        <f>IFERROR(Q393/Q445, "NA")</f>
        <v>6.112591934338653E-3</v>
      </c>
      <c r="S393" s="9"/>
      <c r="T393" s="7">
        <v>0</v>
      </c>
      <c r="U393" s="8">
        <f>IFERROR(T393/T445, "NA")</f>
        <v>0</v>
      </c>
      <c r="V393" s="9"/>
      <c r="W393" s="10">
        <f t="shared" si="98"/>
        <v>-17928.03</v>
      </c>
      <c r="X393" s="8">
        <f>IFERROR(W393/W445, "NA")</f>
        <v>0.13293643775877911</v>
      </c>
      <c r="Y393" s="9"/>
      <c r="Z393" s="7">
        <v>24215.119999999999</v>
      </c>
      <c r="AA393" s="8">
        <f>IFERROR(Z393/Z445, "NA")</f>
        <v>8.4766932312979066E-3</v>
      </c>
      <c r="AB393" s="9"/>
      <c r="AC393" s="10">
        <f t="shared" si="99"/>
        <v>6287.09</v>
      </c>
      <c r="AD393" s="8">
        <f>IFERROR(AC393/AC445, "NA")</f>
        <v>8.2403527192709547E-2</v>
      </c>
    </row>
    <row r="394" spans="1:30" ht="16.5" customHeight="1" x14ac:dyDescent="0.45">
      <c r="A394" s="13" t="s">
        <v>360</v>
      </c>
      <c r="B394" s="14">
        <f>IFERROR(B389+B390+B391+B392+B393, "NA")</f>
        <v>12166.970000000001</v>
      </c>
      <c r="C394" s="15">
        <f>IFERROR(B394/B445, "NA")</f>
        <v>2.0467067814559058E-2</v>
      </c>
      <c r="D394" s="2"/>
      <c r="E394" s="14">
        <f>IFERROR(E389+E390+E391+E392+E393, "NA")</f>
        <v>13622.39</v>
      </c>
      <c r="F394" s="15">
        <f>IFERROR(E394/E445, "NA")</f>
        <v>2.0999998319678252E-2</v>
      </c>
      <c r="G394" s="2"/>
      <c r="H394" s="14">
        <f t="shared" si="96"/>
        <v>1455.4199999999983</v>
      </c>
      <c r="I394" s="15">
        <f>IFERROR(H394/H445, "NA")</f>
        <v>-2.6843070344698343E-2</v>
      </c>
      <c r="J394" s="2"/>
      <c r="K394" s="14">
        <f>IFERROR(K389+K390+K391+K392+K393, "NA")</f>
        <v>18648.150000000001</v>
      </c>
      <c r="L394" s="15">
        <f>IFERROR(K394/K445, "NA")</f>
        <v>3.1388936650252754E-2</v>
      </c>
      <c r="M394" s="2"/>
      <c r="N394" s="14">
        <f t="shared" si="97"/>
        <v>6481.18</v>
      </c>
      <c r="O394" s="15">
        <f>IFERROR(N394/N445, "NA")</f>
        <v>17.695571451967933</v>
      </c>
      <c r="P394" s="2"/>
      <c r="Q394" s="14">
        <f>IFERROR(Q389+Q390+Q391+Q392+Q393, "NA")</f>
        <v>77475.58</v>
      </c>
      <c r="R394" s="15">
        <f>IFERROR(Q394/Q445, "NA")</f>
        <v>2.6415429102707274E-2</v>
      </c>
      <c r="S394" s="2"/>
      <c r="T394" s="14">
        <f>IFERROR(T389+T390+T391+T392+T393, "NA")</f>
        <v>64424.4</v>
      </c>
      <c r="U394" s="15">
        <f>IFERROR(T394/T445, "NA")</f>
        <v>2.0999999804421934E-2</v>
      </c>
      <c r="V394" s="2"/>
      <c r="W394" s="14">
        <f t="shared" si="98"/>
        <v>-13051.18</v>
      </c>
      <c r="X394" s="15">
        <f>IFERROR(W394/W445, "NA")</f>
        <v>9.6774569082527365E-2</v>
      </c>
      <c r="Y394" s="2"/>
      <c r="Z394" s="14">
        <f>IFERROR(Z389+Z390+Z391+Z392+Z393, "NA")</f>
        <v>100134.54999999999</v>
      </c>
      <c r="AA394" s="15">
        <f>IFERROR(Z394/Z445, "NA")</f>
        <v>3.5052886882413203E-2</v>
      </c>
      <c r="AB394" s="2"/>
      <c r="AC394" s="14">
        <f t="shared" si="99"/>
        <v>22658.969999999987</v>
      </c>
      <c r="AD394" s="15">
        <f>IFERROR(AC394/AC445, "NA")</f>
        <v>0.29698621310555262</v>
      </c>
    </row>
    <row r="395" spans="1:30" ht="16.5" customHeight="1" x14ac:dyDescent="0.45">
      <c r="A395" s="6" t="s">
        <v>361</v>
      </c>
      <c r="B395" s="7">
        <v>5465.51</v>
      </c>
      <c r="C395" s="8">
        <f>IFERROR(B395/B445, "NA")</f>
        <v>9.1939869837067631E-3</v>
      </c>
      <c r="D395" s="9"/>
      <c r="E395" s="7">
        <v>5189.4799999999996</v>
      </c>
      <c r="F395" s="8">
        <f>IFERROR(E395/E445, "NA")</f>
        <v>7.9999964235353618E-3</v>
      </c>
      <c r="G395" s="9"/>
      <c r="H395" s="10">
        <f t="shared" si="96"/>
        <v>-276.03000000000065</v>
      </c>
      <c r="I395" s="8">
        <f>IFERROR(H395/H445, "NA")</f>
        <v>5.0909652933497614E-3</v>
      </c>
      <c r="J395" s="9"/>
      <c r="K395" s="7">
        <v>0</v>
      </c>
      <c r="L395" s="8">
        <f>IFERROR(K395/K445, "NA")</f>
        <v>0</v>
      </c>
      <c r="M395" s="9"/>
      <c r="N395" s="10">
        <f t="shared" si="97"/>
        <v>-5465.51</v>
      </c>
      <c r="O395" s="8">
        <f>IFERROR(N395/N445, "NA")</f>
        <v>-14.922486758035614</v>
      </c>
      <c r="P395" s="9"/>
      <c r="Q395" s="7">
        <v>5465.51</v>
      </c>
      <c r="R395" s="8">
        <f>IFERROR(Q395/Q445, "NA")</f>
        <v>1.8634748125168942E-3</v>
      </c>
      <c r="S395" s="9"/>
      <c r="T395" s="7">
        <v>20952.96</v>
      </c>
      <c r="U395" s="8">
        <f>IFERROR(T395/T445, "NA")</f>
        <v>6.8298991671177462E-3</v>
      </c>
      <c r="V395" s="9"/>
      <c r="W395" s="10">
        <f t="shared" si="98"/>
        <v>15487.449999999999</v>
      </c>
      <c r="X395" s="8">
        <f>IFERROR(W395/W445, "NA")</f>
        <v>-0.11483952408419684</v>
      </c>
      <c r="Y395" s="9"/>
      <c r="Z395" s="7">
        <v>6612.06</v>
      </c>
      <c r="AA395" s="8">
        <f>IFERROR(Z395/Z445, "NA")</f>
        <v>2.3146036132356824E-3</v>
      </c>
      <c r="AB395" s="9"/>
      <c r="AC395" s="10">
        <f t="shared" si="99"/>
        <v>1146.5500000000002</v>
      </c>
      <c r="AD395" s="8">
        <f>IFERROR(AC395/AC445, "NA")</f>
        <v>1.5027582570442151E-2</v>
      </c>
    </row>
    <row r="396" spans="1:30" ht="16.5" customHeight="1" x14ac:dyDescent="0.45">
      <c r="A396" s="6" t="s">
        <v>362</v>
      </c>
      <c r="B396" s="7">
        <v>276.98</v>
      </c>
      <c r="C396" s="8">
        <f>IFERROR(B396/B445, "NA")</f>
        <v>4.6593099541435281E-4</v>
      </c>
      <c r="D396" s="9"/>
      <c r="E396" s="7">
        <v>0</v>
      </c>
      <c r="F396" s="8">
        <f>IFERROR(E396/E445, "NA")</f>
        <v>0</v>
      </c>
      <c r="G396" s="9"/>
      <c r="H396" s="10">
        <f t="shared" si="96"/>
        <v>-276.98</v>
      </c>
      <c r="I396" s="8">
        <f>IFERROR(H396/H445, "NA")</f>
        <v>5.1084866389595829E-3</v>
      </c>
      <c r="J396" s="9"/>
      <c r="K396" s="7">
        <v>0</v>
      </c>
      <c r="L396" s="8">
        <f>IFERROR(K396/K445, "NA")</f>
        <v>0</v>
      </c>
      <c r="M396" s="9"/>
      <c r="N396" s="10">
        <f t="shared" si="97"/>
        <v>-276.98</v>
      </c>
      <c r="O396" s="8">
        <f>IFERROR(N396/N445, "NA")</f>
        <v>-0.75623873750861392</v>
      </c>
      <c r="P396" s="9"/>
      <c r="Q396" s="7">
        <v>770.53</v>
      </c>
      <c r="R396" s="8">
        <f>IFERROR(Q396/Q445, "NA")</f>
        <v>2.6271349742085231E-4</v>
      </c>
      <c r="S396" s="9"/>
      <c r="T396" s="7">
        <v>0</v>
      </c>
      <c r="U396" s="8">
        <f>IFERROR(T396/T445, "NA")</f>
        <v>0</v>
      </c>
      <c r="V396" s="9"/>
      <c r="W396" s="10">
        <f t="shared" si="98"/>
        <v>-770.53</v>
      </c>
      <c r="X396" s="8">
        <f>IFERROR(W396/W445, "NA")</f>
        <v>5.7134840462823898E-3</v>
      </c>
      <c r="Y396" s="9"/>
      <c r="Z396" s="7">
        <v>0</v>
      </c>
      <c r="AA396" s="8">
        <f>IFERROR(Z396/Z445, "NA")</f>
        <v>0</v>
      </c>
      <c r="AB396" s="9"/>
      <c r="AC396" s="10">
        <f t="shared" si="99"/>
        <v>-770.53</v>
      </c>
      <c r="AD396" s="8">
        <f>IFERROR(AC396/AC445, "NA")</f>
        <v>-1.0099169855656351E-2</v>
      </c>
    </row>
    <row r="397" spans="1:30" ht="16.5" customHeight="1" x14ac:dyDescent="0.45">
      <c r="A397" s="19" t="s">
        <v>363</v>
      </c>
      <c r="B397" s="14">
        <f>IFERROR(B386+B387+B389+B390+B391+B392+B393+B395+B396, "NA")</f>
        <v>18329.149999999998</v>
      </c>
      <c r="C397" s="15">
        <f>IFERROR(B397/B445, "NA")</f>
        <v>3.0832981098270571E-2</v>
      </c>
      <c r="D397" s="2"/>
      <c r="E397" s="14">
        <f>IFERROR(E386+E387+E389+E390+E391+E392+E393+E395+E396, "NA")</f>
        <v>19561.87</v>
      </c>
      <c r="F397" s="15">
        <f>IFERROR(E397/E445, "NA")</f>
        <v>3.0156179431785786E-2</v>
      </c>
      <c r="G397" s="2"/>
      <c r="H397" s="14">
        <f t="shared" si="96"/>
        <v>1232.7200000000012</v>
      </c>
      <c r="I397" s="15">
        <f>IFERROR(H397/H445, "NA")</f>
        <v>-2.2735698063319602E-2</v>
      </c>
      <c r="J397" s="2"/>
      <c r="K397" s="14">
        <f>IFERROR(K386+K387+K389+K390+K391+K392+K393+K395+K396, "NA")</f>
        <v>22416.940000000002</v>
      </c>
      <c r="L397" s="15">
        <f>IFERROR(K397/K445, "NA")</f>
        <v>3.7732638870478681E-2</v>
      </c>
      <c r="M397" s="2"/>
      <c r="N397" s="14">
        <f t="shared" si="97"/>
        <v>4087.7900000000045</v>
      </c>
      <c r="O397" s="15">
        <f>IFERROR(N397/N445, "NA")</f>
        <v>11.160896630804896</v>
      </c>
      <c r="P397" s="2"/>
      <c r="Q397" s="14">
        <f>IFERROR(Q386+Q387+Q389+Q390+Q391+Q392+Q393+Q395+Q396, "NA")</f>
        <v>95478.739999999991</v>
      </c>
      <c r="R397" s="15">
        <f>IFERROR(Q397/Q445, "NA")</f>
        <v>3.2553636736708788E-2</v>
      </c>
      <c r="S397" s="2"/>
      <c r="T397" s="14">
        <f>IFERROR(T386+T387+T389+T390+T391+T392+T393+T395+T396, "NA")</f>
        <v>89877.359999999986</v>
      </c>
      <c r="U397" s="15">
        <f>IFERROR(T397/T445, "NA")</f>
        <v>2.9296734504659094E-2</v>
      </c>
      <c r="V397" s="2"/>
      <c r="W397" s="14">
        <f t="shared" si="98"/>
        <v>-5601.3800000000047</v>
      </c>
      <c r="X397" s="15">
        <f>IFERROR(W397/W445, "NA")</f>
        <v>4.1534262477989539E-2</v>
      </c>
      <c r="Y397" s="2"/>
      <c r="Z397" s="14">
        <f>IFERROR(Z386+Z387+Z389+Z390+Z391+Z392+Z393+Z395+Z396, "NA")</f>
        <v>124384.62999999999</v>
      </c>
      <c r="AA397" s="15">
        <f>IFERROR(Z397/Z445, "NA")</f>
        <v>4.3541818136705268E-2</v>
      </c>
      <c r="AB397" s="2"/>
      <c r="AC397" s="14">
        <f t="shared" si="99"/>
        <v>28905.89</v>
      </c>
      <c r="AD397" s="15">
        <f>IFERROR(AC397/AC445, "NA")</f>
        <v>0.37886324080687106</v>
      </c>
    </row>
    <row r="398" spans="1:30" ht="16.5" customHeight="1" x14ac:dyDescent="0.45">
      <c r="A398" s="20" t="s">
        <v>364</v>
      </c>
      <c r="B398" s="7">
        <v>21896.87</v>
      </c>
      <c r="C398" s="8">
        <f>IFERROR(B398/B445, "NA")</f>
        <v>3.6834538362187447E-2</v>
      </c>
      <c r="D398" s="9"/>
      <c r="E398" s="7">
        <v>9200</v>
      </c>
      <c r="F398" s="8">
        <f>IFERROR(E398/E445, "NA")</f>
        <v>1.4182532179818659E-2</v>
      </c>
      <c r="G398" s="9"/>
      <c r="H398" s="10">
        <f t="shared" si="96"/>
        <v>-12696.869999999999</v>
      </c>
      <c r="I398" s="8">
        <f>IFERROR(H398/H445, "NA")</f>
        <v>0.23417499729802424</v>
      </c>
      <c r="J398" s="9"/>
      <c r="K398" s="7">
        <v>6516.99</v>
      </c>
      <c r="L398" s="8">
        <f>IFERROR(K398/K445, "NA")</f>
        <v>1.0969527071603922E-2</v>
      </c>
      <c r="M398" s="9"/>
      <c r="N398" s="10">
        <f t="shared" si="97"/>
        <v>-15379.88</v>
      </c>
      <c r="O398" s="8">
        <f>IFERROR(N398/N445, "NA")</f>
        <v>-41.991699885312947</v>
      </c>
      <c r="P398" s="9"/>
      <c r="Q398" s="7">
        <v>71508.87</v>
      </c>
      <c r="R398" s="8">
        <f>IFERROR(Q398/Q445, "NA")</f>
        <v>2.4381069308544848E-2</v>
      </c>
      <c r="S398" s="9"/>
      <c r="T398" s="7">
        <v>44000</v>
      </c>
      <c r="U398" s="8">
        <f>IFERROR(T398/T445, "NA")</f>
        <v>1.4342391879389875E-2</v>
      </c>
      <c r="V398" s="9"/>
      <c r="W398" s="10">
        <f t="shared" si="98"/>
        <v>-27508.869999999995</v>
      </c>
      <c r="X398" s="8">
        <f>IFERROR(W398/W445, "NA")</f>
        <v>0.20397841729232635</v>
      </c>
      <c r="Y398" s="9"/>
      <c r="Z398" s="7">
        <v>22317.26</v>
      </c>
      <c r="AA398" s="8">
        <f>IFERROR(Z398/Z445, "NA")</f>
        <v>7.8123324097966679E-3</v>
      </c>
      <c r="AB398" s="9"/>
      <c r="AC398" s="10">
        <f t="shared" si="99"/>
        <v>-49191.61</v>
      </c>
      <c r="AD398" s="8">
        <f>IFERROR(AC398/AC445, "NA")</f>
        <v>-0.64474378007761346</v>
      </c>
    </row>
    <row r="399" spans="1:30" ht="16.5" customHeight="1" x14ac:dyDescent="0.45">
      <c r="A399" s="20" t="s">
        <v>365</v>
      </c>
      <c r="B399" s="7">
        <v>241.59</v>
      </c>
      <c r="C399" s="8">
        <f>IFERROR(B399/B445, "NA")</f>
        <v>4.063985456789425E-4</v>
      </c>
      <c r="D399" s="9"/>
      <c r="E399" s="7">
        <v>0</v>
      </c>
      <c r="F399" s="8">
        <f>IFERROR(E399/E445, "NA")</f>
        <v>0</v>
      </c>
      <c r="G399" s="9"/>
      <c r="H399" s="10">
        <f t="shared" si="96"/>
        <v>-241.59</v>
      </c>
      <c r="I399" s="8">
        <f>IFERROR(H399/H445, "NA")</f>
        <v>4.4557704061890593E-3</v>
      </c>
      <c r="J399" s="9"/>
      <c r="K399" s="7">
        <v>120.93</v>
      </c>
      <c r="L399" s="8">
        <f>IFERROR(K399/K445, "NA")</f>
        <v>2.0355177908345146E-4</v>
      </c>
      <c r="M399" s="9"/>
      <c r="N399" s="10">
        <f t="shared" si="97"/>
        <v>-120.66</v>
      </c>
      <c r="O399" s="8">
        <f>IFERROR(N399/N445, "NA")</f>
        <v>-0.32943810407895641</v>
      </c>
      <c r="P399" s="9"/>
      <c r="Q399" s="7">
        <v>1247.8</v>
      </c>
      <c r="R399" s="8">
        <f>IFERROR(Q399/Q445, "NA")</f>
        <v>4.2543950538167168E-4</v>
      </c>
      <c r="S399" s="9"/>
      <c r="T399" s="7">
        <v>0</v>
      </c>
      <c r="U399" s="8">
        <f>IFERROR(T399/T445, "NA")</f>
        <v>0</v>
      </c>
      <c r="V399" s="9"/>
      <c r="W399" s="10">
        <f t="shared" si="98"/>
        <v>-1247.8</v>
      </c>
      <c r="X399" s="8">
        <f>IFERROR(W399/W445, "NA")</f>
        <v>9.2524436335394682E-3</v>
      </c>
      <c r="Y399" s="9"/>
      <c r="Z399" s="7">
        <v>703.84</v>
      </c>
      <c r="AA399" s="8">
        <f>IFERROR(Z399/Z445, "NA")</f>
        <v>2.4638472838114033E-4</v>
      </c>
      <c r="AB399" s="9"/>
      <c r="AC399" s="10">
        <f t="shared" si="99"/>
        <v>-543.95999999999992</v>
      </c>
      <c r="AD399" s="8">
        <f>IFERROR(AC399/AC445, "NA")</f>
        <v>-7.1295659282348874E-3</v>
      </c>
    </row>
    <row r="400" spans="1:30" ht="16.5" customHeight="1" x14ac:dyDescent="0.45">
      <c r="A400" s="20" t="s">
        <v>366</v>
      </c>
      <c r="B400" s="7">
        <v>150</v>
      </c>
      <c r="C400" s="8">
        <f>IFERROR(B400/B445, "NA")</f>
        <v>2.5232742187938808E-4</v>
      </c>
      <c r="D400" s="9"/>
      <c r="E400" s="7">
        <v>0</v>
      </c>
      <c r="F400" s="8">
        <f>IFERROR(E400/E445, "NA")</f>
        <v>0</v>
      </c>
      <c r="G400" s="9"/>
      <c r="H400" s="10">
        <f t="shared" si="96"/>
        <v>-150</v>
      </c>
      <c r="I400" s="8">
        <f>IFERROR(H400/H445, "NA")</f>
        <v>2.7665282541841918E-3</v>
      </c>
      <c r="J400" s="9"/>
      <c r="K400" s="7">
        <v>0</v>
      </c>
      <c r="L400" s="8">
        <f>IFERROR(K400/K445, "NA")</f>
        <v>0</v>
      </c>
      <c r="M400" s="9"/>
      <c r="N400" s="10">
        <f t="shared" si="97"/>
        <v>-150</v>
      </c>
      <c r="O400" s="8">
        <f>IFERROR(N400/N445, "NA")</f>
        <v>-0.40954513187339187</v>
      </c>
      <c r="P400" s="9"/>
      <c r="Q400" s="7">
        <v>2826.84</v>
      </c>
      <c r="R400" s="8">
        <f>IFERROR(Q400/Q445, "NA")</f>
        <v>9.6381584500170286E-4</v>
      </c>
      <c r="S400" s="9"/>
      <c r="T400" s="7">
        <v>600</v>
      </c>
      <c r="U400" s="8">
        <f>IFERROR(T400/T445, "NA")</f>
        <v>1.9557807108258919E-4</v>
      </c>
      <c r="V400" s="9"/>
      <c r="W400" s="10">
        <f t="shared" si="98"/>
        <v>-2226.84</v>
      </c>
      <c r="X400" s="8">
        <f>IFERROR(W400/W445, "NA")</f>
        <v>1.6512030438300233E-2</v>
      </c>
      <c r="Y400" s="9"/>
      <c r="Z400" s="7">
        <v>500</v>
      </c>
      <c r="AA400" s="8">
        <f>IFERROR(Z400/Z445, "NA")</f>
        <v>1.7502893298273778E-4</v>
      </c>
      <c r="AB400" s="9"/>
      <c r="AC400" s="10">
        <f t="shared" si="99"/>
        <v>-2326.84</v>
      </c>
      <c r="AD400" s="8">
        <f>IFERROR(AC400/AC445, "NA")</f>
        <v>-3.0497388014659295E-2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IFERROR(B401/B445, "NA")</f>
        <v>0</v>
      </c>
      <c r="D401" s="9"/>
      <c r="E401" s="7">
        <v>0</v>
      </c>
      <c r="F401" s="8">
        <f>IFERROR(E401/E445, "NA")</f>
        <v>0</v>
      </c>
      <c r="G401" s="9"/>
      <c r="H401" s="10">
        <f t="shared" si="96"/>
        <v>0</v>
      </c>
      <c r="I401" s="8">
        <f>IFERROR(H401/H445, "NA")</f>
        <v>0</v>
      </c>
      <c r="J401" s="9"/>
      <c r="K401" s="7">
        <v>0</v>
      </c>
      <c r="L401" s="8">
        <f>IFERROR(K401/K445, "NA")</f>
        <v>0</v>
      </c>
      <c r="M401" s="9"/>
      <c r="N401" s="10">
        <f t="shared" si="97"/>
        <v>0</v>
      </c>
      <c r="O401" s="8">
        <f>IFERROR(N401/N445, "NA")</f>
        <v>0</v>
      </c>
      <c r="P401" s="9"/>
      <c r="Q401" s="7">
        <v>0</v>
      </c>
      <c r="R401" s="8">
        <f>IFERROR(Q401/Q445, "NA")</f>
        <v>0</v>
      </c>
      <c r="S401" s="9"/>
      <c r="T401" s="7">
        <v>0</v>
      </c>
      <c r="U401" s="8">
        <f>IFERROR(T401/T445, "NA")</f>
        <v>0</v>
      </c>
      <c r="V401" s="9"/>
      <c r="W401" s="10">
        <f t="shared" si="98"/>
        <v>0</v>
      </c>
      <c r="X401" s="8">
        <f>IFERROR(W401/W445, "NA")</f>
        <v>0</v>
      </c>
      <c r="Y401" s="9"/>
      <c r="Z401" s="7">
        <v>0</v>
      </c>
      <c r="AA401" s="8">
        <f>IFERROR(Z401/Z445, "NA")</f>
        <v>0</v>
      </c>
      <c r="AB401" s="9"/>
      <c r="AC401" s="10">
        <f t="shared" si="99"/>
        <v>0</v>
      </c>
      <c r="AD401" s="8">
        <f>IFERROR(AC401/AC445,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IFERROR(B402/B445, "NA")</f>
        <v>0</v>
      </c>
      <c r="D402" s="9"/>
      <c r="E402" s="7">
        <v>0</v>
      </c>
      <c r="F402" s="8">
        <f>IFERROR(E402/E445, "NA")</f>
        <v>0</v>
      </c>
      <c r="G402" s="9"/>
      <c r="H402" s="10">
        <f t="shared" si="96"/>
        <v>0</v>
      </c>
      <c r="I402" s="8">
        <f>IFERROR(H402/H445, "NA")</f>
        <v>0</v>
      </c>
      <c r="J402" s="9"/>
      <c r="K402" s="7">
        <v>0</v>
      </c>
      <c r="L402" s="8">
        <f>IFERROR(K402/K445, "NA")</f>
        <v>0</v>
      </c>
      <c r="M402" s="9"/>
      <c r="N402" s="10">
        <f t="shared" si="97"/>
        <v>0</v>
      </c>
      <c r="O402" s="8">
        <f>IFERROR(N402/N445, "NA")</f>
        <v>0</v>
      </c>
      <c r="P402" s="9"/>
      <c r="Q402" s="7">
        <v>0</v>
      </c>
      <c r="R402" s="8">
        <f>IFERROR(Q402/Q445, "NA")</f>
        <v>0</v>
      </c>
      <c r="S402" s="9"/>
      <c r="T402" s="7">
        <v>0</v>
      </c>
      <c r="U402" s="8">
        <f>IFERROR(T402/T445, "NA")</f>
        <v>0</v>
      </c>
      <c r="V402" s="9"/>
      <c r="W402" s="10">
        <f t="shared" si="98"/>
        <v>0</v>
      </c>
      <c r="X402" s="8">
        <f>IFERROR(W402/W445, "NA")</f>
        <v>0</v>
      </c>
      <c r="Y402" s="9"/>
      <c r="Z402" s="7">
        <v>0</v>
      </c>
      <c r="AA402" s="8">
        <f>IFERROR(Z402/Z445, "NA")</f>
        <v>0</v>
      </c>
      <c r="AB402" s="9"/>
      <c r="AC402" s="10">
        <f t="shared" si="99"/>
        <v>0</v>
      </c>
      <c r="AD402" s="8">
        <f>IFERROR(AC402/AC445, "NA")</f>
        <v>0</v>
      </c>
    </row>
    <row r="403" spans="1:30" ht="16.5" hidden="1" customHeight="1" x14ac:dyDescent="0.45">
      <c r="A403" s="20" t="s">
        <v>369</v>
      </c>
      <c r="B403" s="7">
        <v>0</v>
      </c>
      <c r="C403" s="8">
        <f>IFERROR(B403/B445, "NA")</f>
        <v>0</v>
      </c>
      <c r="D403" s="9"/>
      <c r="E403" s="7">
        <v>0</v>
      </c>
      <c r="F403" s="8">
        <f>IFERROR(E403/E445, "NA")</f>
        <v>0</v>
      </c>
      <c r="G403" s="9"/>
      <c r="H403" s="10">
        <f t="shared" si="96"/>
        <v>0</v>
      </c>
      <c r="I403" s="8">
        <f>IFERROR(H403/H445, "NA")</f>
        <v>0</v>
      </c>
      <c r="J403" s="9"/>
      <c r="K403" s="7">
        <v>0</v>
      </c>
      <c r="L403" s="8">
        <f>IFERROR(K403/K445, "NA")</f>
        <v>0</v>
      </c>
      <c r="M403" s="9"/>
      <c r="N403" s="10">
        <f t="shared" si="97"/>
        <v>0</v>
      </c>
      <c r="O403" s="8">
        <f>IFERROR(N403/N445, "NA")</f>
        <v>0</v>
      </c>
      <c r="P403" s="9"/>
      <c r="Q403" s="7">
        <v>0</v>
      </c>
      <c r="R403" s="8">
        <f>IFERROR(Q403/Q445, "NA")</f>
        <v>0</v>
      </c>
      <c r="S403" s="9"/>
      <c r="T403" s="7">
        <v>0</v>
      </c>
      <c r="U403" s="8">
        <f>IFERROR(T403/T445, "NA")</f>
        <v>0</v>
      </c>
      <c r="V403" s="9"/>
      <c r="W403" s="10">
        <f t="shared" si="98"/>
        <v>0</v>
      </c>
      <c r="X403" s="8">
        <f>IFERROR(W403/W445, "NA")</f>
        <v>0</v>
      </c>
      <c r="Y403" s="9"/>
      <c r="Z403" s="7">
        <v>0</v>
      </c>
      <c r="AA403" s="8">
        <f>IFERROR(Z403/Z445, "NA")</f>
        <v>0</v>
      </c>
      <c r="AB403" s="9"/>
      <c r="AC403" s="10">
        <f t="shared" si="99"/>
        <v>0</v>
      </c>
      <c r="AD403" s="8">
        <f>IFERROR(AC403/AC445, "NA")</f>
        <v>0</v>
      </c>
    </row>
    <row r="404" spans="1:30" ht="16.5" customHeight="1" x14ac:dyDescent="0.45">
      <c r="A404" s="21" t="s">
        <v>370</v>
      </c>
      <c r="B404" s="14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113662.15999999997</v>
      </c>
      <c r="C404" s="15">
        <f>IFERROR(B404/B445, "NA")</f>
        <v>0.19120053198695003</v>
      </c>
      <c r="D404" s="2"/>
      <c r="E404" s="14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113327.56</v>
      </c>
      <c r="F404" s="15">
        <f>IFERROR(E404/E445, "NA")</f>
        <v>0.17470345288699238</v>
      </c>
      <c r="G404" s="2"/>
      <c r="H404" s="14">
        <f t="shared" si="96"/>
        <v>-334.59999999997672</v>
      </c>
      <c r="I404" s="15">
        <f>IFERROR(H404/H445, "NA")</f>
        <v>6.1712023589997741E-3</v>
      </c>
      <c r="J404" s="2"/>
      <c r="K404" s="14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121379.02999999997</v>
      </c>
      <c r="L404" s="15">
        <f>IFERROR(K404/K445, "NA")</f>
        <v>0.20430759530243628</v>
      </c>
      <c r="M404" s="2"/>
      <c r="N404" s="14">
        <f t="shared" si="97"/>
        <v>7716.8699999999953</v>
      </c>
      <c r="O404" s="15">
        <f>IFERROR(N404/N445, "NA")</f>
        <v>21.069376945332131</v>
      </c>
      <c r="P404" s="2"/>
      <c r="Q404" s="14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559076</v>
      </c>
      <c r="R404" s="15">
        <f>IFERROR(Q404/Q445, "NA")</f>
        <v>0.19061790103443138</v>
      </c>
      <c r="S404" s="2"/>
      <c r="T404" s="14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555873.66</v>
      </c>
      <c r="U404" s="15">
        <f>IFERROR(T404/T445, "NA")</f>
        <v>0.18119449698069837</v>
      </c>
      <c r="V404" s="2"/>
      <c r="W404" s="14">
        <f t="shared" si="98"/>
        <v>-3202.3399999999674</v>
      </c>
      <c r="X404" s="15">
        <f>IFERROR(W404/W445, "NA")</f>
        <v>2.374536812424145E-2</v>
      </c>
      <c r="Y404" s="2"/>
      <c r="Z404" s="14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674371.37000000011</v>
      </c>
      <c r="AA404" s="15">
        <f>IFERROR(Z404/Z445, "NA")</f>
        <v>0.23606900265041417</v>
      </c>
      <c r="AB404" s="2"/>
      <c r="AC404" s="14">
        <f t="shared" si="99"/>
        <v>115295.37000000011</v>
      </c>
      <c r="AD404" s="15">
        <f>IFERROR(AC404/AC445, "NA")</f>
        <v>1.5111514479653574</v>
      </c>
    </row>
    <row r="405" spans="1:30" ht="16.5" customHeight="1" x14ac:dyDescent="0.45">
      <c r="A405" s="22" t="s">
        <v>371</v>
      </c>
      <c r="B405" s="23">
        <f>IFERROR(B346-B404, "NA")</f>
        <v>-74380.670000000013</v>
      </c>
      <c r="C405" s="24">
        <f>IFERROR(B405/B445, "NA")</f>
        <v>-0.12512188465841032</v>
      </c>
      <c r="D405" s="25"/>
      <c r="E405" s="23">
        <f>IFERROR(E346-E404, "NA")</f>
        <v>-41514.809999999939</v>
      </c>
      <c r="F405" s="24">
        <f>IFERROR(E405/E445, "NA")</f>
        <v>-6.3998383561310504E-2</v>
      </c>
      <c r="G405" s="25"/>
      <c r="H405" s="23">
        <f>IFERROR(B405-E405, "NA")</f>
        <v>-32865.860000000073</v>
      </c>
      <c r="I405" s="24">
        <f>IFERROR(H405/H445, "NA")</f>
        <v>0.60616220192041503</v>
      </c>
      <c r="J405" s="25"/>
      <c r="K405" s="23">
        <f>IFERROR(K346-K404, "NA")</f>
        <v>-96719.189999999871</v>
      </c>
      <c r="L405" s="24">
        <f>IFERROR(K405/K445, "NA")</f>
        <v>-0.16279966258174433</v>
      </c>
      <c r="M405" s="25"/>
      <c r="N405" s="23">
        <f>IFERROR(B405-K405, "NA")</f>
        <v>22338.519999999859</v>
      </c>
      <c r="O405" s="24">
        <f>IFERROR(N405/N445, "NA")</f>
        <v>60.990880795042294</v>
      </c>
      <c r="P405" s="25"/>
      <c r="Q405" s="23">
        <f>IFERROR(Q346-Q404, "NA")</f>
        <v>-429010.40999999974</v>
      </c>
      <c r="R405" s="24">
        <f>IFERROR(Q405/Q445, "NA")</f>
        <v>-0.14627181970987985</v>
      </c>
      <c r="S405" s="25"/>
      <c r="T405" s="23">
        <f>IFERROR(T346-T404, "NA")</f>
        <v>-284684.01999999944</v>
      </c>
      <c r="U405" s="24">
        <f>IFERROR(T405/T445, "NA")</f>
        <v>-9.2796585832728554E-2</v>
      </c>
      <c r="V405" s="25"/>
      <c r="W405" s="23">
        <f>IFERROR(Q405-T405, "NA")</f>
        <v>-144326.39000000031</v>
      </c>
      <c r="X405" s="24">
        <f>IFERROR(W405/W445, "NA")</f>
        <v>1.0701809491162344</v>
      </c>
      <c r="Y405" s="25"/>
      <c r="Z405" s="23">
        <f>IFERROR(Z346-Z404, "NA")</f>
        <v>-604526.48000000021</v>
      </c>
      <c r="AA405" s="24">
        <f>IFERROR(Z405/Z445, "NA")</f>
        <v>-0.21161924950842081</v>
      </c>
      <c r="AB405" s="25"/>
      <c r="AC405" s="23">
        <f>IFERROR(Q405-Z405, "NA")</f>
        <v>175516.07000000047</v>
      </c>
      <c r="AD405" s="24">
        <f>IFERROR(AC405/AC445, "NA")</f>
        <v>2.3004511223797577</v>
      </c>
    </row>
    <row r="406" spans="1:30" ht="16.5" customHeight="1" x14ac:dyDescent="0.45">
      <c r="A406" s="1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5" t="s">
        <v>373</v>
      </c>
      <c r="B407" s="2"/>
      <c r="C407" s="3"/>
      <c r="D407" s="4"/>
      <c r="E407" s="2"/>
      <c r="F407" s="3"/>
      <c r="G407" s="4"/>
      <c r="H407" s="2"/>
      <c r="I407" s="3"/>
      <c r="J407" s="4"/>
      <c r="K407" s="2"/>
      <c r="L407" s="3"/>
      <c r="M407" s="4"/>
      <c r="N407" s="2"/>
      <c r="O407" s="3"/>
      <c r="P407" s="4"/>
      <c r="Q407" s="2"/>
      <c r="R407" s="3"/>
      <c r="S407" s="4"/>
      <c r="T407" s="2"/>
      <c r="U407" s="3"/>
      <c r="V407" s="4"/>
      <c r="W407" s="2"/>
      <c r="X407" s="3"/>
      <c r="Y407" s="4"/>
      <c r="Z407" s="2"/>
      <c r="AA407" s="3"/>
      <c r="AB407" s="4"/>
      <c r="AC407" s="2"/>
      <c r="AD407" s="3"/>
    </row>
    <row r="408" spans="1:30" ht="16.5" customHeight="1" x14ac:dyDescent="0.45">
      <c r="A408" s="6" t="s">
        <v>373</v>
      </c>
      <c r="B408" s="7">
        <v>0</v>
      </c>
      <c r="C408" s="8">
        <f>IFERROR(B408/B445, "NA")</f>
        <v>0</v>
      </c>
      <c r="D408" s="9"/>
      <c r="E408" s="7">
        <v>17073.129999999997</v>
      </c>
      <c r="F408" s="8">
        <f>IFERROR(E408/E445, "NA")</f>
        <v>2.6319588656002969E-2</v>
      </c>
      <c r="G408" s="9"/>
      <c r="H408" s="10">
        <f t="shared" ref="H408:H430" si="100">IFERROR(-(B408-E408), "NA")</f>
        <v>17073.129999999997</v>
      </c>
      <c r="I408" s="8">
        <f>IFERROR(H408/H445, "NA")</f>
        <v>-0.31488864354906493</v>
      </c>
      <c r="J408" s="9"/>
      <c r="K408" s="7">
        <v>0</v>
      </c>
      <c r="L408" s="8">
        <f>IFERROR(K408/K445, "NA")</f>
        <v>0</v>
      </c>
      <c r="M408" s="9"/>
      <c r="N408" s="10">
        <f t="shared" ref="N408:N430" si="101">IFERROR(-(B408-K408), "NA")</f>
        <v>0</v>
      </c>
      <c r="O408" s="8">
        <f>IFERROR(N408/N445, "NA")</f>
        <v>0</v>
      </c>
      <c r="P408" s="9"/>
      <c r="Q408" s="7">
        <v>0</v>
      </c>
      <c r="R408" s="8">
        <f>IFERROR(Q408/Q445, "NA")</f>
        <v>0</v>
      </c>
      <c r="S408" s="9"/>
      <c r="T408" s="7">
        <v>81124.78</v>
      </c>
      <c r="U408" s="8">
        <f>IFERROR(T408/T445, "NA")</f>
        <v>2.6443713315665682E-2</v>
      </c>
      <c r="V408" s="9"/>
      <c r="W408" s="10">
        <f t="shared" ref="W408:W430" si="102">IFERROR(-(Q408-T408), "NA")</f>
        <v>81124.78</v>
      </c>
      <c r="X408" s="8">
        <f>IFERROR(W408/W445, "NA")</f>
        <v>-0.6015406749745873</v>
      </c>
      <c r="Y408" s="9"/>
      <c r="Z408" s="7">
        <v>0</v>
      </c>
      <c r="AA408" s="8">
        <f>IFERROR(Z408/Z445, "NA")</f>
        <v>0</v>
      </c>
      <c r="AB408" s="9"/>
      <c r="AC408" s="10">
        <f t="shared" ref="AC408:AC430" si="103">IFERROR(-(Q408-Z408), "NA")</f>
        <v>0</v>
      </c>
      <c r="AD408" s="8">
        <f>IFERROR(AC408/AC445, "NA")</f>
        <v>0</v>
      </c>
    </row>
    <row r="409" spans="1:30" ht="16.5" customHeight="1" x14ac:dyDescent="0.45">
      <c r="A409" s="6" t="s">
        <v>374</v>
      </c>
      <c r="B409" s="7">
        <v>310.05</v>
      </c>
      <c r="C409" s="8">
        <f>IFERROR(B409/B445, "NA")</f>
        <v>5.2156078102469524E-4</v>
      </c>
      <c r="D409" s="9"/>
      <c r="E409" s="7">
        <v>0</v>
      </c>
      <c r="F409" s="8">
        <f>IFERROR(E409/E445, "NA")</f>
        <v>0</v>
      </c>
      <c r="G409" s="9"/>
      <c r="H409" s="10">
        <f t="shared" si="100"/>
        <v>-310.05</v>
      </c>
      <c r="I409" s="8">
        <f>IFERROR(H409/H445, "NA")</f>
        <v>5.7184139013987242E-3</v>
      </c>
      <c r="J409" s="9"/>
      <c r="K409" s="7">
        <v>0</v>
      </c>
      <c r="L409" s="8">
        <f>IFERROR(K409/K445, "NA")</f>
        <v>0</v>
      </c>
      <c r="M409" s="9"/>
      <c r="N409" s="10">
        <f t="shared" si="101"/>
        <v>-310.05</v>
      </c>
      <c r="O409" s="8">
        <f>IFERROR(N409/N445, "NA")</f>
        <v>-0.84652978758230102</v>
      </c>
      <c r="P409" s="9"/>
      <c r="Q409" s="7">
        <v>310.05</v>
      </c>
      <c r="R409" s="8">
        <f>IFERROR(Q409/Q445, "NA")</f>
        <v>1.0571206815482234E-4</v>
      </c>
      <c r="S409" s="9"/>
      <c r="T409" s="7">
        <v>0</v>
      </c>
      <c r="U409" s="8">
        <f>IFERROR(T409/T445, "NA")</f>
        <v>0</v>
      </c>
      <c r="V409" s="9"/>
      <c r="W409" s="10">
        <f t="shared" si="102"/>
        <v>-310.05</v>
      </c>
      <c r="X409" s="8">
        <f>IFERROR(W409/W445, "NA")</f>
        <v>2.2990223982841096E-3</v>
      </c>
      <c r="Y409" s="9"/>
      <c r="Z409" s="7">
        <v>0</v>
      </c>
      <c r="AA409" s="8">
        <f>IFERROR(Z409/Z445, "NA")</f>
        <v>0</v>
      </c>
      <c r="AB409" s="9"/>
      <c r="AC409" s="10">
        <f t="shared" si="103"/>
        <v>-310.05</v>
      </c>
      <c r="AD409" s="8">
        <f>IFERROR(AC409/AC445, "NA")</f>
        <v>-4.0637582102530101E-3</v>
      </c>
    </row>
    <row r="410" spans="1:30" ht="16.5" hidden="1" customHeight="1" x14ac:dyDescent="0.45">
      <c r="A410" s="6" t="s">
        <v>375</v>
      </c>
      <c r="B410" s="7">
        <v>0</v>
      </c>
      <c r="C410" s="8">
        <f>IFERROR(B410/B445, "NA")</f>
        <v>0</v>
      </c>
      <c r="D410" s="9"/>
      <c r="E410" s="7">
        <v>0</v>
      </c>
      <c r="F410" s="8">
        <f>IFERROR(E410/E445, "NA")</f>
        <v>0</v>
      </c>
      <c r="G410" s="9"/>
      <c r="H410" s="10">
        <f t="shared" si="100"/>
        <v>0</v>
      </c>
      <c r="I410" s="8">
        <f>IFERROR(H410/H445, "NA")</f>
        <v>0</v>
      </c>
      <c r="J410" s="9"/>
      <c r="K410" s="7">
        <v>0</v>
      </c>
      <c r="L410" s="8">
        <f>IFERROR(K410/K445, "NA")</f>
        <v>0</v>
      </c>
      <c r="M410" s="9"/>
      <c r="N410" s="10">
        <f t="shared" si="101"/>
        <v>0</v>
      </c>
      <c r="O410" s="8">
        <f>IFERROR(N410/N445, "NA")</f>
        <v>0</v>
      </c>
      <c r="P410" s="9"/>
      <c r="Q410" s="7">
        <v>0</v>
      </c>
      <c r="R410" s="8">
        <f>IFERROR(Q410/Q445, "NA")</f>
        <v>0</v>
      </c>
      <c r="S410" s="9"/>
      <c r="T410" s="7">
        <v>0</v>
      </c>
      <c r="U410" s="8">
        <f>IFERROR(T410/T445, "NA")</f>
        <v>0</v>
      </c>
      <c r="V410" s="9"/>
      <c r="W410" s="10">
        <f t="shared" si="102"/>
        <v>0</v>
      </c>
      <c r="X410" s="8">
        <f>IFERROR(W410/W445, "NA")</f>
        <v>0</v>
      </c>
      <c r="Y410" s="9"/>
      <c r="Z410" s="7">
        <v>0</v>
      </c>
      <c r="AA410" s="8">
        <f>IFERROR(Z410/Z445, "NA")</f>
        <v>0</v>
      </c>
      <c r="AB410" s="9"/>
      <c r="AC410" s="10">
        <f t="shared" si="103"/>
        <v>0</v>
      </c>
      <c r="AD410" s="8">
        <f>IFERROR(AC410/AC445, "NA")</f>
        <v>0</v>
      </c>
    </row>
    <row r="411" spans="1:30" ht="16.5" customHeight="1" x14ac:dyDescent="0.45">
      <c r="A411" s="6" t="s">
        <v>376</v>
      </c>
      <c r="B411" s="7">
        <v>32301.48</v>
      </c>
      <c r="C411" s="8">
        <f>IFERROR(B411/B445, "NA")</f>
        <v>5.4336994475257444E-2</v>
      </c>
      <c r="D411" s="9"/>
      <c r="E411" s="7">
        <v>0</v>
      </c>
      <c r="F411" s="8">
        <f>IFERROR(E411/E445, "NA")</f>
        <v>0</v>
      </c>
      <c r="G411" s="9"/>
      <c r="H411" s="10">
        <f t="shared" si="100"/>
        <v>-32301.48</v>
      </c>
      <c r="I411" s="8">
        <f>IFERROR(H411/H445, "NA")</f>
        <v>0.59575304714643718</v>
      </c>
      <c r="J411" s="9"/>
      <c r="K411" s="7">
        <v>28107.67</v>
      </c>
      <c r="L411" s="8">
        <f>IFERROR(K411/K445, "NA")</f>
        <v>4.7311388690900152E-2</v>
      </c>
      <c r="M411" s="9"/>
      <c r="N411" s="10">
        <f t="shared" si="101"/>
        <v>-4193.8100000000013</v>
      </c>
      <c r="O411" s="8">
        <f>IFERROR(N411/N445, "NA")</f>
        <v>-11.450363130013001</v>
      </c>
      <c r="P411" s="9"/>
      <c r="Q411" s="7">
        <v>159509.45000000001</v>
      </c>
      <c r="R411" s="8">
        <f>IFERROR(Q411/Q445, "NA")</f>
        <v>5.438501483547243E-2</v>
      </c>
      <c r="S411" s="9"/>
      <c r="T411" s="7">
        <v>0</v>
      </c>
      <c r="U411" s="8">
        <f>IFERROR(T411/T445, "NA")</f>
        <v>0</v>
      </c>
      <c r="V411" s="9"/>
      <c r="W411" s="10">
        <f t="shared" si="102"/>
        <v>-159509.45000000001</v>
      </c>
      <c r="X411" s="8">
        <f>IFERROR(W411/W445, "NA")</f>
        <v>1.1827634197322345</v>
      </c>
      <c r="Y411" s="9"/>
      <c r="Z411" s="7">
        <v>140159.71</v>
      </c>
      <c r="AA411" s="8">
        <f>IFERROR(Z411/Z445, "NA")</f>
        <v>4.9064008976939917E-2</v>
      </c>
      <c r="AB411" s="9"/>
      <c r="AC411" s="10">
        <f t="shared" si="103"/>
        <v>-19349.74000000002</v>
      </c>
      <c r="AD411" s="8">
        <f>IFERROR(AC411/AC445, "NA")</f>
        <v>-0.25361285209244044</v>
      </c>
    </row>
    <row r="412" spans="1:30" ht="16.5" customHeight="1" x14ac:dyDescent="0.45">
      <c r="A412" s="6" t="s">
        <v>377</v>
      </c>
      <c r="B412" s="7">
        <v>268.37</v>
      </c>
      <c r="C412" s="8">
        <f>IFERROR(B412/B445, "NA")</f>
        <v>4.5144740139847588E-4</v>
      </c>
      <c r="D412" s="9"/>
      <c r="E412" s="7">
        <v>0</v>
      </c>
      <c r="F412" s="8">
        <f>IFERROR(E412/E445, "NA")</f>
        <v>0</v>
      </c>
      <c r="G412" s="9"/>
      <c r="H412" s="10">
        <f t="shared" si="100"/>
        <v>-268.37</v>
      </c>
      <c r="I412" s="8">
        <f>IFERROR(H412/H445, "NA")</f>
        <v>4.9496879171694102E-3</v>
      </c>
      <c r="J412" s="9"/>
      <c r="K412" s="7">
        <v>268.37</v>
      </c>
      <c r="L412" s="8">
        <f>IFERROR(K412/K445, "NA")</f>
        <v>4.5172571696540034E-4</v>
      </c>
      <c r="M412" s="9"/>
      <c r="N412" s="10">
        <f t="shared" si="101"/>
        <v>0</v>
      </c>
      <c r="O412" s="8">
        <f>IFERROR(N412/N445, "NA")</f>
        <v>0</v>
      </c>
      <c r="P412" s="9"/>
      <c r="Q412" s="7">
        <v>1341.86</v>
      </c>
      <c r="R412" s="8">
        <f>IFERROR(Q412/Q445, "NA")</f>
        <v>4.5750942033294595E-4</v>
      </c>
      <c r="S412" s="9"/>
      <c r="T412" s="7">
        <v>0</v>
      </c>
      <c r="U412" s="8">
        <f>IFERROR(T412/T445, "NA")</f>
        <v>0</v>
      </c>
      <c r="V412" s="9"/>
      <c r="W412" s="10">
        <f t="shared" si="102"/>
        <v>-1341.86</v>
      </c>
      <c r="X412" s="8">
        <f>IFERROR(W412/W445, "NA")</f>
        <v>9.949899033580116E-3</v>
      </c>
      <c r="Y412" s="9"/>
      <c r="Z412" s="7">
        <v>1073.48</v>
      </c>
      <c r="AA412" s="8">
        <f>IFERROR(Z412/Z445, "NA")</f>
        <v>3.7578011795661869E-4</v>
      </c>
      <c r="AB412" s="9"/>
      <c r="AC412" s="10">
        <f t="shared" si="103"/>
        <v>-268.37999999999988</v>
      </c>
      <c r="AD412" s="8">
        <f>IFERROR(AC412/AC445, "NA")</f>
        <v>-3.5175985436790916E-3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IFERROR(B413/B445, "NA")</f>
        <v>0</v>
      </c>
      <c r="D413" s="9"/>
      <c r="E413" s="7">
        <v>0</v>
      </c>
      <c r="F413" s="8">
        <f>IFERROR(E413/E445, "NA")</f>
        <v>0</v>
      </c>
      <c r="G413" s="9"/>
      <c r="H413" s="10">
        <f t="shared" si="100"/>
        <v>0</v>
      </c>
      <c r="I413" s="8">
        <f>IFERROR(H413/H445, "NA")</f>
        <v>0</v>
      </c>
      <c r="J413" s="9"/>
      <c r="K413" s="7">
        <v>0</v>
      </c>
      <c r="L413" s="8">
        <f>IFERROR(K413/K445, "NA")</f>
        <v>0</v>
      </c>
      <c r="M413" s="9"/>
      <c r="N413" s="10">
        <f t="shared" si="101"/>
        <v>0</v>
      </c>
      <c r="O413" s="8">
        <f>IFERROR(N413/N445, "NA")</f>
        <v>0</v>
      </c>
      <c r="P413" s="9"/>
      <c r="Q413" s="7">
        <v>0</v>
      </c>
      <c r="R413" s="8">
        <f>IFERROR(Q413/Q445, "NA")</f>
        <v>0</v>
      </c>
      <c r="S413" s="9"/>
      <c r="T413" s="7">
        <v>0</v>
      </c>
      <c r="U413" s="8">
        <f>IFERROR(T413/T445, "NA")</f>
        <v>0</v>
      </c>
      <c r="V413" s="9"/>
      <c r="W413" s="10">
        <f t="shared" si="102"/>
        <v>0</v>
      </c>
      <c r="X413" s="8">
        <f>IFERROR(W413/W445, "NA")</f>
        <v>0</v>
      </c>
      <c r="Y413" s="9"/>
      <c r="Z413" s="7">
        <v>0</v>
      </c>
      <c r="AA413" s="8">
        <f>IFERROR(Z413/Z445, "NA")</f>
        <v>0</v>
      </c>
      <c r="AB413" s="9"/>
      <c r="AC413" s="10">
        <f t="shared" si="103"/>
        <v>0</v>
      </c>
      <c r="AD413" s="8">
        <f>IFERROR(AC413/AC445,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IFERROR(B414/B445, "NA")</f>
        <v>0</v>
      </c>
      <c r="D414" s="9"/>
      <c r="E414" s="7">
        <v>0</v>
      </c>
      <c r="F414" s="8">
        <f>IFERROR(E414/E445, "NA")</f>
        <v>0</v>
      </c>
      <c r="G414" s="9"/>
      <c r="H414" s="10">
        <f t="shared" si="100"/>
        <v>0</v>
      </c>
      <c r="I414" s="8">
        <f>IFERROR(H414/H445, "NA")</f>
        <v>0</v>
      </c>
      <c r="J414" s="9"/>
      <c r="K414" s="7">
        <v>0</v>
      </c>
      <c r="L414" s="8">
        <f>IFERROR(K414/K445, "NA")</f>
        <v>0</v>
      </c>
      <c r="M414" s="9"/>
      <c r="N414" s="10">
        <f t="shared" si="101"/>
        <v>0</v>
      </c>
      <c r="O414" s="8">
        <f>IFERROR(N414/N445, "NA")</f>
        <v>0</v>
      </c>
      <c r="P414" s="9"/>
      <c r="Q414" s="7">
        <v>0</v>
      </c>
      <c r="R414" s="8">
        <f>IFERROR(Q414/Q445, "NA")</f>
        <v>0</v>
      </c>
      <c r="S414" s="9"/>
      <c r="T414" s="7">
        <v>0</v>
      </c>
      <c r="U414" s="8">
        <f>IFERROR(T414/T445, "NA")</f>
        <v>0</v>
      </c>
      <c r="V414" s="9"/>
      <c r="W414" s="10">
        <f t="shared" si="102"/>
        <v>0</v>
      </c>
      <c r="X414" s="8">
        <f>IFERROR(W414/W445, "NA")</f>
        <v>0</v>
      </c>
      <c r="Y414" s="9"/>
      <c r="Z414" s="7">
        <v>0</v>
      </c>
      <c r="AA414" s="8">
        <f>IFERROR(Z414/Z445, "NA")</f>
        <v>0</v>
      </c>
      <c r="AB414" s="9"/>
      <c r="AC414" s="10">
        <f t="shared" si="103"/>
        <v>0</v>
      </c>
      <c r="AD414" s="8">
        <f>IFERROR(AC414/AC445,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IFERROR(B415/B445, "NA")</f>
        <v>0</v>
      </c>
      <c r="D415" s="9"/>
      <c r="E415" s="7">
        <v>0</v>
      </c>
      <c r="F415" s="8">
        <f>IFERROR(E415/E445, "NA")</f>
        <v>0</v>
      </c>
      <c r="G415" s="9"/>
      <c r="H415" s="10">
        <f t="shared" si="100"/>
        <v>0</v>
      </c>
      <c r="I415" s="8">
        <f>IFERROR(H415/H445, "NA")</f>
        <v>0</v>
      </c>
      <c r="J415" s="9"/>
      <c r="K415" s="7">
        <v>0</v>
      </c>
      <c r="L415" s="8">
        <f>IFERROR(K415/K445, "NA")</f>
        <v>0</v>
      </c>
      <c r="M415" s="9"/>
      <c r="N415" s="10">
        <f t="shared" si="101"/>
        <v>0</v>
      </c>
      <c r="O415" s="8">
        <f>IFERROR(N415/N445, "NA")</f>
        <v>0</v>
      </c>
      <c r="P415" s="9"/>
      <c r="Q415" s="7">
        <v>0</v>
      </c>
      <c r="R415" s="8">
        <f>IFERROR(Q415/Q445, "NA")</f>
        <v>0</v>
      </c>
      <c r="S415" s="9"/>
      <c r="T415" s="7">
        <v>0</v>
      </c>
      <c r="U415" s="8">
        <f>IFERROR(T415/T445, "NA")</f>
        <v>0</v>
      </c>
      <c r="V415" s="9"/>
      <c r="W415" s="10">
        <f t="shared" si="102"/>
        <v>0</v>
      </c>
      <c r="X415" s="8">
        <f>IFERROR(W415/W445, "NA")</f>
        <v>0</v>
      </c>
      <c r="Y415" s="9"/>
      <c r="Z415" s="7">
        <v>0</v>
      </c>
      <c r="AA415" s="8">
        <f>IFERROR(Z415/Z445, "NA")</f>
        <v>0</v>
      </c>
      <c r="AB415" s="9"/>
      <c r="AC415" s="10">
        <f t="shared" si="103"/>
        <v>0</v>
      </c>
      <c r="AD415" s="8">
        <f>IFERROR(AC415/AC445,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IFERROR(B416/B445, "NA")</f>
        <v>0</v>
      </c>
      <c r="D416" s="9"/>
      <c r="E416" s="7">
        <v>0</v>
      </c>
      <c r="F416" s="8">
        <f>IFERROR(E416/E445, "NA")</f>
        <v>0</v>
      </c>
      <c r="G416" s="9"/>
      <c r="H416" s="10">
        <f t="shared" si="100"/>
        <v>0</v>
      </c>
      <c r="I416" s="8">
        <f>IFERROR(H416/H445, "NA")</f>
        <v>0</v>
      </c>
      <c r="J416" s="9"/>
      <c r="K416" s="7">
        <v>0</v>
      </c>
      <c r="L416" s="8">
        <f>IFERROR(K416/K445, "NA")</f>
        <v>0</v>
      </c>
      <c r="M416" s="9"/>
      <c r="N416" s="10">
        <f t="shared" si="101"/>
        <v>0</v>
      </c>
      <c r="O416" s="8">
        <f>IFERROR(N416/N445, "NA")</f>
        <v>0</v>
      </c>
      <c r="P416" s="9"/>
      <c r="Q416" s="7">
        <v>0</v>
      </c>
      <c r="R416" s="8">
        <f>IFERROR(Q416/Q445, "NA")</f>
        <v>0</v>
      </c>
      <c r="S416" s="9"/>
      <c r="T416" s="7">
        <v>0</v>
      </c>
      <c r="U416" s="8">
        <f>IFERROR(T416/T445, "NA")</f>
        <v>0</v>
      </c>
      <c r="V416" s="9"/>
      <c r="W416" s="10">
        <f t="shared" si="102"/>
        <v>0</v>
      </c>
      <c r="X416" s="8">
        <f>IFERROR(W416/W445, "NA")</f>
        <v>0</v>
      </c>
      <c r="Y416" s="9"/>
      <c r="Z416" s="7">
        <v>0</v>
      </c>
      <c r="AA416" s="8">
        <f>IFERROR(Z416/Z445, "NA")</f>
        <v>0</v>
      </c>
      <c r="AB416" s="9"/>
      <c r="AC416" s="10">
        <f t="shared" si="103"/>
        <v>0</v>
      </c>
      <c r="AD416" s="8">
        <f>IFERROR(AC416/AC445, "NA")</f>
        <v>0</v>
      </c>
    </row>
    <row r="417" spans="1:30" ht="16.5" customHeight="1" x14ac:dyDescent="0.45">
      <c r="A417" s="6" t="s">
        <v>382</v>
      </c>
      <c r="B417" s="7">
        <v>-255.54999999999998</v>
      </c>
      <c r="C417" s="8">
        <f>IFERROR(B417/B445, "NA")</f>
        <v>-4.2988181774185081E-4</v>
      </c>
      <c r="D417" s="9"/>
      <c r="E417" s="7">
        <v>0</v>
      </c>
      <c r="F417" s="8">
        <f>IFERROR(E417/E445, "NA")</f>
        <v>0</v>
      </c>
      <c r="G417" s="9"/>
      <c r="H417" s="10">
        <f t="shared" si="100"/>
        <v>255.54999999999998</v>
      </c>
      <c r="I417" s="8">
        <f>IFERROR(H417/H445, "NA")</f>
        <v>-4.713241969045134E-3</v>
      </c>
      <c r="J417" s="9"/>
      <c r="K417" s="7">
        <v>-56.53</v>
      </c>
      <c r="L417" s="8">
        <f>IFERROR(K417/K445, "NA")</f>
        <v>-9.515241934662623E-5</v>
      </c>
      <c r="M417" s="9"/>
      <c r="N417" s="10">
        <f t="shared" si="101"/>
        <v>199.01999999999998</v>
      </c>
      <c r="O417" s="8">
        <f>IFERROR(N417/N445, "NA")</f>
        <v>0.54338448096961633</v>
      </c>
      <c r="P417" s="9"/>
      <c r="Q417" s="7">
        <v>-901.3599999999999</v>
      </c>
      <c r="R417" s="8">
        <f>IFERROR(Q417/Q445, "NA")</f>
        <v>-3.073202056185475E-4</v>
      </c>
      <c r="S417" s="9"/>
      <c r="T417" s="7">
        <v>0</v>
      </c>
      <c r="U417" s="8">
        <f>IFERROR(T417/T445, "NA")</f>
        <v>0</v>
      </c>
      <c r="V417" s="9"/>
      <c r="W417" s="10">
        <f t="shared" si="102"/>
        <v>901.3599999999999</v>
      </c>
      <c r="X417" s="8">
        <f>IFERROR(W417/W445, "NA")</f>
        <v>-6.6835891917992737E-3</v>
      </c>
      <c r="Y417" s="9"/>
      <c r="Z417" s="7">
        <v>-67.429999999999978</v>
      </c>
      <c r="AA417" s="8">
        <f>IFERROR(Z417/Z445, "NA")</f>
        <v>-2.360440190205201E-5</v>
      </c>
      <c r="AB417" s="9"/>
      <c r="AC417" s="10">
        <f t="shared" si="103"/>
        <v>833.93</v>
      </c>
      <c r="AD417" s="8">
        <f>IFERROR(AC417/AC445, "NA")</f>
        <v>1.0930139926709539E-2</v>
      </c>
    </row>
    <row r="418" spans="1:30" ht="16.5" customHeight="1" x14ac:dyDescent="0.45">
      <c r="A418" s="6" t="s">
        <v>383</v>
      </c>
      <c r="B418" s="7">
        <v>-14.019999999999998</v>
      </c>
      <c r="C418" s="8">
        <f>IFERROR(B418/B445, "NA")</f>
        <v>-2.3584203031660138E-5</v>
      </c>
      <c r="D418" s="9"/>
      <c r="E418" s="7">
        <v>0</v>
      </c>
      <c r="F418" s="8">
        <f>IFERROR(E418/E445, "NA")</f>
        <v>0</v>
      </c>
      <c r="G418" s="9"/>
      <c r="H418" s="10">
        <f t="shared" si="100"/>
        <v>14.019999999999998</v>
      </c>
      <c r="I418" s="8">
        <f>IFERROR(H418/H445, "NA")</f>
        <v>-2.5857817415774907E-4</v>
      </c>
      <c r="J418" s="9"/>
      <c r="K418" s="7">
        <v>93.170000000000016</v>
      </c>
      <c r="L418" s="8">
        <f>IFERROR(K418/K445, "NA")</f>
        <v>1.5682559544534172E-4</v>
      </c>
      <c r="M418" s="9"/>
      <c r="N418" s="10">
        <f t="shared" si="101"/>
        <v>107.19000000000001</v>
      </c>
      <c r="O418" s="8">
        <f>IFERROR(N418/N445, "NA")</f>
        <v>0.29266095123672586</v>
      </c>
      <c r="P418" s="9"/>
      <c r="Q418" s="7">
        <v>357.49000000000007</v>
      </c>
      <c r="R418" s="8">
        <f>IFERROR(Q418/Q445, "NA")</f>
        <v>1.2188681581895644E-4</v>
      </c>
      <c r="S418" s="9"/>
      <c r="T418" s="7">
        <v>0</v>
      </c>
      <c r="U418" s="8">
        <f>IFERROR(T418/T445, "NA")</f>
        <v>0</v>
      </c>
      <c r="V418" s="9"/>
      <c r="W418" s="10">
        <f t="shared" si="102"/>
        <v>-357.49000000000007</v>
      </c>
      <c r="X418" s="8">
        <f>IFERROR(W418/W445, "NA")</f>
        <v>2.6507902504840719E-3</v>
      </c>
      <c r="Y418" s="9"/>
      <c r="Z418" s="7">
        <v>-263.29999999999995</v>
      </c>
      <c r="AA418" s="8">
        <f>IFERROR(Z418/Z445, "NA")</f>
        <v>-9.2170236108709698E-5</v>
      </c>
      <c r="AB418" s="9"/>
      <c r="AC418" s="10">
        <f t="shared" si="103"/>
        <v>-620.79</v>
      </c>
      <c r="AD418" s="8">
        <f>IFERROR(AC418/AC445, "NA")</f>
        <v>-8.1365601010900367E-3</v>
      </c>
    </row>
    <row r="419" spans="1:30" ht="16.5" customHeight="1" x14ac:dyDescent="0.45">
      <c r="A419" s="6" t="s">
        <v>384</v>
      </c>
      <c r="B419" s="7">
        <v>0</v>
      </c>
      <c r="C419" s="8">
        <f>IFERROR(B419/B445, "NA")</f>
        <v>0</v>
      </c>
      <c r="D419" s="9"/>
      <c r="E419" s="7">
        <v>0</v>
      </c>
      <c r="F419" s="8">
        <f>IFERROR(E419/E445, "NA")</f>
        <v>0</v>
      </c>
      <c r="G419" s="9"/>
      <c r="H419" s="10">
        <f t="shared" si="100"/>
        <v>0</v>
      </c>
      <c r="I419" s="8">
        <f>IFERROR(H419/H445, "NA")</f>
        <v>0</v>
      </c>
      <c r="J419" s="9"/>
      <c r="K419" s="7">
        <v>-2000</v>
      </c>
      <c r="L419" s="8">
        <f>IFERROR(K419/K445, "NA")</f>
        <v>-3.3664397433796653E-3</v>
      </c>
      <c r="M419" s="9"/>
      <c r="N419" s="10">
        <f t="shared" si="101"/>
        <v>-2000</v>
      </c>
      <c r="O419" s="8">
        <f>IFERROR(N419/N445, "NA")</f>
        <v>-5.460601758311892</v>
      </c>
      <c r="P419" s="9"/>
      <c r="Q419" s="7">
        <v>0</v>
      </c>
      <c r="R419" s="8">
        <f>IFERROR(Q419/Q445, "NA")</f>
        <v>0</v>
      </c>
      <c r="S419" s="9"/>
      <c r="T419" s="7">
        <v>0</v>
      </c>
      <c r="U419" s="8">
        <f>IFERROR(T419/T445, "NA")</f>
        <v>0</v>
      </c>
      <c r="V419" s="9"/>
      <c r="W419" s="10">
        <f t="shared" si="102"/>
        <v>0</v>
      </c>
      <c r="X419" s="8">
        <f>IFERROR(W419/W445, "NA")</f>
        <v>0</v>
      </c>
      <c r="Y419" s="9"/>
      <c r="Z419" s="7">
        <v>-3725.69</v>
      </c>
      <c r="AA419" s="8">
        <f>IFERROR(Z419/Z445, "NA")</f>
        <v>-1.3042070906489126E-3</v>
      </c>
      <c r="AB419" s="9"/>
      <c r="AC419" s="10">
        <f t="shared" si="103"/>
        <v>-3725.69</v>
      </c>
      <c r="AD419" s="8">
        <f>IFERROR(AC419/AC445, "NA")</f>
        <v>-4.8831812050822564E-2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IFERROR(B420/B445, "NA")</f>
        <v>0</v>
      </c>
      <c r="D420" s="9"/>
      <c r="E420" s="7">
        <v>0</v>
      </c>
      <c r="F420" s="8">
        <f>IFERROR(E420/E445, "NA")</f>
        <v>0</v>
      </c>
      <c r="G420" s="9"/>
      <c r="H420" s="10">
        <f t="shared" si="100"/>
        <v>0</v>
      </c>
      <c r="I420" s="8">
        <f>IFERROR(H420/H445, "NA")</f>
        <v>0</v>
      </c>
      <c r="J420" s="9"/>
      <c r="K420" s="7">
        <v>0</v>
      </c>
      <c r="L420" s="8">
        <f>IFERROR(K420/K445, "NA")</f>
        <v>0</v>
      </c>
      <c r="M420" s="9"/>
      <c r="N420" s="10">
        <f t="shared" si="101"/>
        <v>0</v>
      </c>
      <c r="O420" s="8">
        <f>IFERROR(N420/N445, "NA")</f>
        <v>0</v>
      </c>
      <c r="P420" s="9"/>
      <c r="Q420" s="7">
        <v>0</v>
      </c>
      <c r="R420" s="8">
        <f>IFERROR(Q420/Q445, "NA")</f>
        <v>0</v>
      </c>
      <c r="S420" s="9"/>
      <c r="T420" s="7">
        <v>0</v>
      </c>
      <c r="U420" s="8">
        <f>IFERROR(T420/T445, "NA")</f>
        <v>0</v>
      </c>
      <c r="V420" s="9"/>
      <c r="W420" s="10">
        <f t="shared" si="102"/>
        <v>0</v>
      </c>
      <c r="X420" s="8">
        <f>IFERROR(W420/W445, "NA")</f>
        <v>0</v>
      </c>
      <c r="Y420" s="9"/>
      <c r="Z420" s="7">
        <v>0</v>
      </c>
      <c r="AA420" s="8">
        <f>IFERROR(Z420/Z445, "NA")</f>
        <v>0</v>
      </c>
      <c r="AB420" s="9"/>
      <c r="AC420" s="10">
        <f t="shared" si="103"/>
        <v>0</v>
      </c>
      <c r="AD420" s="8">
        <f>IFERROR(AC420/AC445,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IFERROR(B421/B445, "NA")</f>
        <v>0</v>
      </c>
      <c r="D421" s="9"/>
      <c r="E421" s="7">
        <v>0</v>
      </c>
      <c r="F421" s="8">
        <f>IFERROR(E421/E445, "NA")</f>
        <v>0</v>
      </c>
      <c r="G421" s="9"/>
      <c r="H421" s="10">
        <f t="shared" si="100"/>
        <v>0</v>
      </c>
      <c r="I421" s="8">
        <f>IFERROR(H421/H445, "NA")</f>
        <v>0</v>
      </c>
      <c r="J421" s="9"/>
      <c r="K421" s="7">
        <v>0</v>
      </c>
      <c r="L421" s="8">
        <f>IFERROR(K421/K445, "NA")</f>
        <v>0</v>
      </c>
      <c r="M421" s="9"/>
      <c r="N421" s="10">
        <f t="shared" si="101"/>
        <v>0</v>
      </c>
      <c r="O421" s="8">
        <f>IFERROR(N421/N445, "NA")</f>
        <v>0</v>
      </c>
      <c r="P421" s="9"/>
      <c r="Q421" s="7">
        <v>0</v>
      </c>
      <c r="R421" s="8">
        <f>IFERROR(Q421/Q445, "NA")</f>
        <v>0</v>
      </c>
      <c r="S421" s="9"/>
      <c r="T421" s="7">
        <v>0</v>
      </c>
      <c r="U421" s="8">
        <f>IFERROR(T421/T445, "NA")</f>
        <v>0</v>
      </c>
      <c r="V421" s="9"/>
      <c r="W421" s="10">
        <f t="shared" si="102"/>
        <v>0</v>
      </c>
      <c r="X421" s="8">
        <f>IFERROR(W421/W445, "NA")</f>
        <v>0</v>
      </c>
      <c r="Y421" s="9"/>
      <c r="Z421" s="7">
        <v>0</v>
      </c>
      <c r="AA421" s="8">
        <f>IFERROR(Z421/Z445, "NA")</f>
        <v>0</v>
      </c>
      <c r="AB421" s="9"/>
      <c r="AC421" s="10">
        <f t="shared" si="103"/>
        <v>0</v>
      </c>
      <c r="AD421" s="8">
        <f>IFERROR(AC421/AC445, "NA")</f>
        <v>0</v>
      </c>
    </row>
    <row r="422" spans="1:30" ht="16.5" customHeight="1" x14ac:dyDescent="0.45">
      <c r="A422" s="6" t="s">
        <v>387</v>
      </c>
      <c r="B422" s="7">
        <v>0</v>
      </c>
      <c r="C422" s="8">
        <f>IFERROR(B422/B445, "NA")</f>
        <v>0</v>
      </c>
      <c r="D422" s="9"/>
      <c r="E422" s="7">
        <v>0</v>
      </c>
      <c r="F422" s="8">
        <f>IFERROR(E422/E445, "NA")</f>
        <v>0</v>
      </c>
      <c r="G422" s="9"/>
      <c r="H422" s="10">
        <f t="shared" si="100"/>
        <v>0</v>
      </c>
      <c r="I422" s="8">
        <f>IFERROR(H422/H445, "NA")</f>
        <v>0</v>
      </c>
      <c r="J422" s="9"/>
      <c r="K422" s="7">
        <v>0</v>
      </c>
      <c r="L422" s="8">
        <f>IFERROR(K422/K445, "NA")</f>
        <v>0</v>
      </c>
      <c r="M422" s="9"/>
      <c r="N422" s="10">
        <f t="shared" si="101"/>
        <v>0</v>
      </c>
      <c r="O422" s="8">
        <f>IFERROR(N422/N445, "NA")</f>
        <v>0</v>
      </c>
      <c r="P422" s="9"/>
      <c r="Q422" s="7">
        <v>76</v>
      </c>
      <c r="R422" s="8">
        <f>IFERROR(Q422/Q445, "NA")</f>
        <v>2.591232762382357E-5</v>
      </c>
      <c r="S422" s="9"/>
      <c r="T422" s="7">
        <v>0</v>
      </c>
      <c r="U422" s="8">
        <f>IFERROR(T422/T445, "NA")</f>
        <v>0</v>
      </c>
      <c r="V422" s="9"/>
      <c r="W422" s="10">
        <f t="shared" si="102"/>
        <v>-76</v>
      </c>
      <c r="X422" s="8">
        <f>IFERROR(W422/W445, "NA")</f>
        <v>5.6354040403029302E-4</v>
      </c>
      <c r="Y422" s="9"/>
      <c r="Z422" s="7">
        <v>-50</v>
      </c>
      <c r="AA422" s="8">
        <f>IFERROR(Z422/Z445, "NA")</f>
        <v>-1.7502893298273778E-5</v>
      </c>
      <c r="AB422" s="9"/>
      <c r="AC422" s="10">
        <f t="shared" si="103"/>
        <v>-126</v>
      </c>
      <c r="AD422" s="8">
        <f>IFERROR(AC422/AC445, "NA")</f>
        <v>-1.6514547153422972E-3</v>
      </c>
    </row>
    <row r="423" spans="1:30" ht="16.5" customHeight="1" x14ac:dyDescent="0.45">
      <c r="A423" s="6" t="s">
        <v>388</v>
      </c>
      <c r="B423" s="7">
        <v>-512.16999999999996</v>
      </c>
      <c r="C423" s="8">
        <f>IFERROR(B423/B445, "NA")</f>
        <v>-8.6156357109310789E-4</v>
      </c>
      <c r="D423" s="9"/>
      <c r="E423" s="7">
        <v>0</v>
      </c>
      <c r="F423" s="8">
        <f>IFERROR(E423/E445, "NA")</f>
        <v>0</v>
      </c>
      <c r="G423" s="9"/>
      <c r="H423" s="10">
        <f t="shared" si="100"/>
        <v>512.16999999999996</v>
      </c>
      <c r="I423" s="8">
        <f>IFERROR(H423/H445, "NA")</f>
        <v>-9.4462185063034481E-3</v>
      </c>
      <c r="J423" s="9"/>
      <c r="K423" s="7">
        <v>0</v>
      </c>
      <c r="L423" s="8">
        <f>IFERROR(K423/K445, "NA")</f>
        <v>0</v>
      </c>
      <c r="M423" s="9"/>
      <c r="N423" s="10">
        <f t="shared" si="101"/>
        <v>512.16999999999996</v>
      </c>
      <c r="O423" s="8">
        <f>IFERROR(N423/N445, "NA")</f>
        <v>1.3983782012773007</v>
      </c>
      <c r="P423" s="9"/>
      <c r="Q423" s="7">
        <v>5.21</v>
      </c>
      <c r="R423" s="8">
        <f>IFERROR(Q423/Q445, "NA")</f>
        <v>1.7763582489489579E-6</v>
      </c>
      <c r="S423" s="9"/>
      <c r="T423" s="7">
        <v>0</v>
      </c>
      <c r="U423" s="8">
        <f>IFERROR(T423/T445, "NA")</f>
        <v>0</v>
      </c>
      <c r="V423" s="9"/>
      <c r="W423" s="10">
        <f t="shared" si="102"/>
        <v>-5.21</v>
      </c>
      <c r="X423" s="8">
        <f>IFERROR(W423/W445, "NA")</f>
        <v>3.8632177697339819E-5</v>
      </c>
      <c r="Y423" s="9"/>
      <c r="Z423" s="7">
        <v>0</v>
      </c>
      <c r="AA423" s="8">
        <f>IFERROR(Z423/Z445, "NA")</f>
        <v>0</v>
      </c>
      <c r="AB423" s="9"/>
      <c r="AC423" s="10">
        <f t="shared" si="103"/>
        <v>-5.21</v>
      </c>
      <c r="AD423" s="8">
        <f>IFERROR(AC423/AC445, "NA")</f>
        <v>-6.8286341801058475E-5</v>
      </c>
    </row>
    <row r="424" spans="1:30" ht="16.5" customHeight="1" x14ac:dyDescent="0.45">
      <c r="A424" s="6" t="s">
        <v>389</v>
      </c>
      <c r="B424" s="7">
        <v>-15118.23</v>
      </c>
      <c r="C424" s="8">
        <f>IFERROR(B424/B445, "NA")</f>
        <v>-2.5431626661864142E-2</v>
      </c>
      <c r="D424" s="9"/>
      <c r="E424" s="7">
        <v>0</v>
      </c>
      <c r="F424" s="8">
        <f>IFERROR(E424/E445, "NA")</f>
        <v>0</v>
      </c>
      <c r="G424" s="9"/>
      <c r="H424" s="10">
        <f t="shared" si="100"/>
        <v>15118.23</v>
      </c>
      <c r="I424" s="8">
        <f>IFERROR(H424/H445, "NA")</f>
        <v>-0.27883340298836712</v>
      </c>
      <c r="J424" s="9"/>
      <c r="K424" s="7">
        <v>0</v>
      </c>
      <c r="L424" s="8">
        <f>IFERROR(K424/K445, "NA")</f>
        <v>0</v>
      </c>
      <c r="M424" s="9"/>
      <c r="N424" s="10">
        <f t="shared" si="101"/>
        <v>15118.23</v>
      </c>
      <c r="O424" s="8">
        <f>IFERROR(N424/N445, "NA")</f>
        <v>41.277316660281791</v>
      </c>
      <c r="P424" s="9"/>
      <c r="Q424" s="7">
        <v>-75661.8</v>
      </c>
      <c r="R424" s="8">
        <f>IFERROR(Q424/Q445, "NA")</f>
        <v>-2.5797017765897556E-2</v>
      </c>
      <c r="S424" s="9"/>
      <c r="T424" s="7">
        <v>0</v>
      </c>
      <c r="U424" s="8">
        <f>IFERROR(T424/T445, "NA")</f>
        <v>0</v>
      </c>
      <c r="V424" s="9"/>
      <c r="W424" s="10">
        <f t="shared" si="102"/>
        <v>75661.8</v>
      </c>
      <c r="X424" s="8">
        <f>IFERROR(W424/W445, "NA")</f>
        <v>-0.56103264923235818</v>
      </c>
      <c r="Y424" s="9"/>
      <c r="Z424" s="7">
        <v>-3.84</v>
      </c>
      <c r="AA424" s="8">
        <f>IFERROR(Z424/Z445, "NA")</f>
        <v>-1.3442222053074261E-6</v>
      </c>
      <c r="AB424" s="9"/>
      <c r="AC424" s="10">
        <f t="shared" si="103"/>
        <v>75657.960000000006</v>
      </c>
      <c r="AD424" s="8">
        <f>IFERROR(AC424/AC445, "NA")</f>
        <v>0.9916324983744359</v>
      </c>
    </row>
    <row r="425" spans="1:30" ht="16.5" customHeight="1" x14ac:dyDescent="0.45">
      <c r="A425" s="6" t="s">
        <v>390</v>
      </c>
      <c r="B425" s="7">
        <v>67.08</v>
      </c>
      <c r="C425" s="8">
        <f>IFERROR(B425/B445, "NA")</f>
        <v>1.1284082306446235E-4</v>
      </c>
      <c r="D425" s="9"/>
      <c r="E425" s="7">
        <v>0</v>
      </c>
      <c r="F425" s="8">
        <f>IFERROR(E425/E445, "NA")</f>
        <v>0</v>
      </c>
      <c r="G425" s="9"/>
      <c r="H425" s="10">
        <f t="shared" si="100"/>
        <v>-67.08</v>
      </c>
      <c r="I425" s="8">
        <f>IFERROR(H425/H445, "NA")</f>
        <v>1.2371914352711706E-3</v>
      </c>
      <c r="J425" s="9"/>
      <c r="K425" s="7">
        <v>47.92</v>
      </c>
      <c r="L425" s="8">
        <f>IFERROR(K425/K445, "NA")</f>
        <v>8.0659896251376772E-5</v>
      </c>
      <c r="M425" s="9"/>
      <c r="N425" s="10">
        <f t="shared" si="101"/>
        <v>-19.159999999999997</v>
      </c>
      <c r="O425" s="8">
        <f>IFERROR(N425/N445, "NA")</f>
        <v>-5.2312564844627915E-2</v>
      </c>
      <c r="P425" s="9"/>
      <c r="Q425" s="7">
        <v>335.4</v>
      </c>
      <c r="R425" s="8">
        <f>IFERROR(Q425/Q445, "NA")</f>
        <v>1.1435519322408453E-4</v>
      </c>
      <c r="S425" s="9"/>
      <c r="T425" s="7">
        <v>0</v>
      </c>
      <c r="U425" s="8">
        <f>IFERROR(T425/T445, "NA")</f>
        <v>0</v>
      </c>
      <c r="V425" s="9"/>
      <c r="W425" s="10">
        <f t="shared" si="102"/>
        <v>-335.4</v>
      </c>
      <c r="X425" s="8">
        <f>IFERROR(W425/W445, "NA")</f>
        <v>2.4869927830494772E-3</v>
      </c>
      <c r="Y425" s="9"/>
      <c r="Z425" s="7">
        <v>239.6</v>
      </c>
      <c r="AA425" s="8">
        <f>IFERROR(Z425/Z445, "NA")</f>
        <v>8.3873864685327939E-5</v>
      </c>
      <c r="AB425" s="9"/>
      <c r="AC425" s="10">
        <f t="shared" si="103"/>
        <v>-95.799999999999983</v>
      </c>
      <c r="AD425" s="8">
        <f>IFERROR(AC425/AC445, "NA")</f>
        <v>-1.2556298549983495E-3</v>
      </c>
    </row>
    <row r="426" spans="1:30" ht="16.5" customHeight="1" x14ac:dyDescent="0.45">
      <c r="A426" s="6" t="s">
        <v>391</v>
      </c>
      <c r="B426" s="7">
        <v>0</v>
      </c>
      <c r="C426" s="8">
        <f>IFERROR(B426/B445, "NA")</f>
        <v>0</v>
      </c>
      <c r="D426" s="9"/>
      <c r="E426" s="7">
        <v>0</v>
      </c>
      <c r="F426" s="8">
        <f>IFERROR(E426/E445, "NA")</f>
        <v>0</v>
      </c>
      <c r="G426" s="9"/>
      <c r="H426" s="10">
        <f t="shared" si="100"/>
        <v>0</v>
      </c>
      <c r="I426" s="8">
        <f>IFERROR(H426/H445, "NA")</f>
        <v>0</v>
      </c>
      <c r="J426" s="9"/>
      <c r="K426" s="7">
        <v>0</v>
      </c>
      <c r="L426" s="8">
        <f>IFERROR(K426/K445, "NA")</f>
        <v>0</v>
      </c>
      <c r="M426" s="9"/>
      <c r="N426" s="10">
        <f t="shared" si="101"/>
        <v>0</v>
      </c>
      <c r="O426" s="8">
        <f>IFERROR(N426/N445, "NA")</f>
        <v>0</v>
      </c>
      <c r="P426" s="9"/>
      <c r="Q426" s="7">
        <v>12875.21</v>
      </c>
      <c r="R426" s="8">
        <f>IFERROR(Q426/Q445, "NA")</f>
        <v>4.3898244703359139E-3</v>
      </c>
      <c r="S426" s="9"/>
      <c r="T426" s="7">
        <v>0</v>
      </c>
      <c r="U426" s="8">
        <f>IFERROR(T426/T445, "NA")</f>
        <v>0</v>
      </c>
      <c r="V426" s="9"/>
      <c r="W426" s="10">
        <f t="shared" si="102"/>
        <v>-12875.21</v>
      </c>
      <c r="X426" s="8">
        <f>IFERROR(W426/W445, "NA")</f>
        <v>9.5469750597037731E-2</v>
      </c>
      <c r="Y426" s="9"/>
      <c r="Z426" s="7">
        <v>0</v>
      </c>
      <c r="AA426" s="8">
        <f>IFERROR(Z426/Z445, "NA")</f>
        <v>0</v>
      </c>
      <c r="AB426" s="9"/>
      <c r="AC426" s="10">
        <f t="shared" si="103"/>
        <v>-12875.21</v>
      </c>
      <c r="AD426" s="8">
        <f>IFERROR(AC426/AC445, "NA")</f>
        <v>-0.16875258940890711</v>
      </c>
    </row>
    <row r="427" spans="1:30" ht="16.5" customHeight="1" x14ac:dyDescent="0.45">
      <c r="A427" s="6" t="s">
        <v>392</v>
      </c>
      <c r="B427" s="7">
        <v>-1165.3899999999999</v>
      </c>
      <c r="C427" s="8">
        <f>IFERROR(B427/B445, "NA")</f>
        <v>-1.9603990278934669E-3</v>
      </c>
      <c r="D427" s="9"/>
      <c r="E427" s="7">
        <v>0</v>
      </c>
      <c r="F427" s="8">
        <f>IFERROR(E427/E445, "NA")</f>
        <v>0</v>
      </c>
      <c r="G427" s="9"/>
      <c r="H427" s="10">
        <f t="shared" si="100"/>
        <v>1165.3899999999999</v>
      </c>
      <c r="I427" s="8">
        <f>IFERROR(H427/H445, "NA")</f>
        <v>-2.1493895747624767E-2</v>
      </c>
      <c r="J427" s="9"/>
      <c r="K427" s="7">
        <v>-16559.61</v>
      </c>
      <c r="L427" s="8">
        <f>IFERROR(K427/K445, "NA")</f>
        <v>-2.7873464619433668E-2</v>
      </c>
      <c r="M427" s="9"/>
      <c r="N427" s="10">
        <f t="shared" si="101"/>
        <v>-15394.220000000001</v>
      </c>
      <c r="O427" s="8">
        <f>IFERROR(N427/N445, "NA")</f>
        <v>-42.03085239992005</v>
      </c>
      <c r="P427" s="9"/>
      <c r="Q427" s="7">
        <v>-7963.52</v>
      </c>
      <c r="R427" s="8">
        <f>IFERROR(Q427/Q445, "NA")</f>
        <v>-2.7151755168272561E-3</v>
      </c>
      <c r="S427" s="9"/>
      <c r="T427" s="7">
        <v>0</v>
      </c>
      <c r="U427" s="8">
        <f>IFERROR(T427/T445, "NA")</f>
        <v>0</v>
      </c>
      <c r="V427" s="9"/>
      <c r="W427" s="10">
        <f t="shared" si="102"/>
        <v>7963.52</v>
      </c>
      <c r="X427" s="8">
        <f>IFERROR(W427/W445, "NA")</f>
        <v>-5.9049543135569989E-2</v>
      </c>
      <c r="Y427" s="9"/>
      <c r="Z427" s="7">
        <v>-46510.200000000004</v>
      </c>
      <c r="AA427" s="8">
        <f>IFERROR(Z427/Z445, "NA")</f>
        <v>-1.6281261357627464E-2</v>
      </c>
      <c r="AB427" s="9"/>
      <c r="AC427" s="10">
        <f t="shared" si="103"/>
        <v>-38546.680000000008</v>
      </c>
      <c r="AD427" s="8">
        <f>IFERROR(AC427/AC445, "NA")</f>
        <v>-0.50522298767294149</v>
      </c>
    </row>
    <row r="428" spans="1:30" ht="16.5" hidden="1" customHeight="1" x14ac:dyDescent="0.45">
      <c r="A428" s="6" t="s">
        <v>393</v>
      </c>
      <c r="B428" s="7">
        <v>0</v>
      </c>
      <c r="C428" s="8">
        <f>IFERROR(B428/B445, "NA")</f>
        <v>0</v>
      </c>
      <c r="D428" s="9"/>
      <c r="E428" s="7">
        <v>0</v>
      </c>
      <c r="F428" s="8">
        <f>IFERROR(E428/E445, "NA")</f>
        <v>0</v>
      </c>
      <c r="G428" s="9"/>
      <c r="H428" s="10">
        <f t="shared" si="100"/>
        <v>0</v>
      </c>
      <c r="I428" s="8">
        <f>IFERROR(H428/H445, "NA")</f>
        <v>0</v>
      </c>
      <c r="J428" s="9"/>
      <c r="K428" s="7">
        <v>0</v>
      </c>
      <c r="L428" s="8">
        <f>IFERROR(K428/K445, "NA")</f>
        <v>0</v>
      </c>
      <c r="M428" s="9"/>
      <c r="N428" s="10">
        <f t="shared" si="101"/>
        <v>0</v>
      </c>
      <c r="O428" s="8">
        <f>IFERROR(N428/N445, "NA")</f>
        <v>0</v>
      </c>
      <c r="P428" s="9"/>
      <c r="Q428" s="7">
        <v>0</v>
      </c>
      <c r="R428" s="8">
        <f>IFERROR(Q428/Q445, "NA")</f>
        <v>0</v>
      </c>
      <c r="S428" s="9"/>
      <c r="T428" s="7">
        <v>0</v>
      </c>
      <c r="U428" s="8">
        <f>IFERROR(T428/T445, "NA")</f>
        <v>0</v>
      </c>
      <c r="V428" s="9"/>
      <c r="W428" s="10">
        <f t="shared" si="102"/>
        <v>0</v>
      </c>
      <c r="X428" s="8">
        <f>IFERROR(W428/W445, "NA")</f>
        <v>0</v>
      </c>
      <c r="Y428" s="9"/>
      <c r="Z428" s="7">
        <v>0</v>
      </c>
      <c r="AA428" s="8">
        <f>IFERROR(Z428/Z445, "NA")</f>
        <v>0</v>
      </c>
      <c r="AB428" s="9"/>
      <c r="AC428" s="10">
        <f t="shared" si="103"/>
        <v>0</v>
      </c>
      <c r="AD428" s="8">
        <f>IFERROR(AC428/AC445, "NA")</f>
        <v>0</v>
      </c>
    </row>
    <row r="429" spans="1:30" ht="16.5" customHeight="1" x14ac:dyDescent="0.45">
      <c r="A429" s="19" t="s">
        <v>394</v>
      </c>
      <c r="B429" s="14">
        <f>IFERROR(B408+B409+B410+B411+B412+B413+B414+B415+B416+B417+B418+B419+B420+B421+B422+B423+B424+B425+B426+B427+B428, "NA")</f>
        <v>15881.620000000006</v>
      </c>
      <c r="C429" s="15">
        <f>IFERROR(B429/B445, "NA")</f>
        <v>2.6715788199120863E-2</v>
      </c>
      <c r="D429" s="2"/>
      <c r="E429" s="14">
        <f>IFERROR(E408+E409+E410+E411+E412+E413+E414+E415+E416+E417+E418+E419+E420+E421+E422+E423+E424+E425+E426+E427+E428, "NA")</f>
        <v>17073.129999999997</v>
      </c>
      <c r="F429" s="15">
        <f>IFERROR(E429/E445, "NA")</f>
        <v>2.6319588656002969E-2</v>
      </c>
      <c r="G429" s="2"/>
      <c r="H429" s="14">
        <f t="shared" si="100"/>
        <v>1191.5099999999911</v>
      </c>
      <c r="I429" s="15">
        <f>IFERROR(H429/H445, "NA")</f>
        <v>-2.1975640534286543E-2</v>
      </c>
      <c r="J429" s="2"/>
      <c r="K429" s="14">
        <f>IFERROR(K408+K409+K410+K411+K412+K413+K414+K415+K416+K417+K418+K419+K420+K421+K422+K423+K424+K425+K426+K427+K428, "NA")</f>
        <v>9900.9899999999943</v>
      </c>
      <c r="L429" s="15">
        <f>IFERROR(K429/K445, "NA")</f>
        <v>1.6665543117402305E-2</v>
      </c>
      <c r="M429" s="2"/>
      <c r="N429" s="14">
        <f t="shared" si="101"/>
        <v>-5980.6300000000119</v>
      </c>
      <c r="O429" s="15">
        <f>IFERROR(N429/N445, "NA")</f>
        <v>-16.328919346906456</v>
      </c>
      <c r="P429" s="2"/>
      <c r="Q429" s="14">
        <f>IFERROR(Q408+Q409+Q410+Q411+Q412+Q413+Q414+Q415+Q416+Q417+Q418+Q419+Q420+Q421+Q422+Q423+Q424+Q425+Q426+Q427+Q428, "NA")</f>
        <v>90283.989999999976</v>
      </c>
      <c r="R429" s="15">
        <f>IFERROR(Q429/Q445, "NA")</f>
        <v>3.0782478000868557E-2</v>
      </c>
      <c r="S429" s="2"/>
      <c r="T429" s="14">
        <f>IFERROR(T408+T409+T410+T411+T412+T413+T414+T415+T416+T417+T418+T419+T420+T421+T422+T423+T424+T425+T426+T427+T428, "NA")</f>
        <v>81124.78</v>
      </c>
      <c r="U429" s="15">
        <f>IFERROR(T429/T445, "NA")</f>
        <v>2.6443713315665682E-2</v>
      </c>
      <c r="V429" s="2"/>
      <c r="W429" s="14">
        <f t="shared" si="102"/>
        <v>-9159.2099999999773</v>
      </c>
      <c r="X429" s="15">
        <f>IFERROR(W429/W445, "NA")</f>
        <v>6.7915590842082721E-2</v>
      </c>
      <c r="Y429" s="2"/>
      <c r="Z429" s="14">
        <f>IFERROR(Z408+Z409+Z410+Z411+Z412+Z413+Z414+Z415+Z416+Z417+Z418+Z419+Z420+Z421+Z422+Z423+Z424+Z425+Z426+Z427+Z428, "NA")</f>
        <v>90852.330000000016</v>
      </c>
      <c r="AA429" s="15">
        <f>IFERROR(Z429/Z445, "NA")</f>
        <v>3.1803572757791158E-2</v>
      </c>
      <c r="AB429" s="2"/>
      <c r="AC429" s="14">
        <f t="shared" si="103"/>
        <v>568.34000000004016</v>
      </c>
      <c r="AD429" s="15">
        <f>IFERROR(AC429/AC445, "NA")</f>
        <v>7.4491093088706944E-3</v>
      </c>
    </row>
    <row r="430" spans="1:30" ht="16.5" customHeight="1" x14ac:dyDescent="0.45">
      <c r="A430" s="21" t="s">
        <v>395</v>
      </c>
      <c r="B430" s="14">
        <f>IFERROR(B408+B409+B410+B411+B412+B413+B414+B415+B416+B417+B418+B419+B420+B421+B422+B423+B424+B425+B426+B427+B428, "NA")</f>
        <v>15881.620000000006</v>
      </c>
      <c r="C430" s="15">
        <f>IFERROR(B430/B445, "NA")</f>
        <v>2.6715788199120863E-2</v>
      </c>
      <c r="D430" s="2"/>
      <c r="E430" s="14">
        <f>IFERROR(E408+E409+E410+E411+E412+E413+E414+E415+E416+E417+E418+E419+E420+E421+E422+E423+E424+E425+E426+E427+E428, "NA")</f>
        <v>17073.129999999997</v>
      </c>
      <c r="F430" s="15">
        <f>IFERROR(E430/E445, "NA")</f>
        <v>2.6319588656002969E-2</v>
      </c>
      <c r="G430" s="2"/>
      <c r="H430" s="14">
        <f t="shared" si="100"/>
        <v>1191.5099999999911</v>
      </c>
      <c r="I430" s="15">
        <f>IFERROR(H430/H445, "NA")</f>
        <v>-2.1975640534286543E-2</v>
      </c>
      <c r="J430" s="2"/>
      <c r="K430" s="14">
        <f>IFERROR(K408+K409+K410+K411+K412+K413+K414+K415+K416+K417+K418+K419+K420+K421+K422+K423+K424+K425+K426+K427+K428, "NA")</f>
        <v>9900.9899999999943</v>
      </c>
      <c r="L430" s="15">
        <f>IFERROR(K430/K445, "NA")</f>
        <v>1.6665543117402305E-2</v>
      </c>
      <c r="M430" s="2"/>
      <c r="N430" s="14">
        <f t="shared" si="101"/>
        <v>-5980.6300000000119</v>
      </c>
      <c r="O430" s="15">
        <f>IFERROR(N430/N445, "NA")</f>
        <v>-16.328919346906456</v>
      </c>
      <c r="P430" s="2"/>
      <c r="Q430" s="14">
        <f>IFERROR(Q408+Q409+Q410+Q411+Q412+Q413+Q414+Q415+Q416+Q417+Q418+Q419+Q420+Q421+Q422+Q423+Q424+Q425+Q426+Q427+Q428, "NA")</f>
        <v>90283.989999999976</v>
      </c>
      <c r="R430" s="15">
        <f>IFERROR(Q430/Q445, "NA")</f>
        <v>3.0782478000868557E-2</v>
      </c>
      <c r="S430" s="2"/>
      <c r="T430" s="14">
        <f>IFERROR(T408+T409+T410+T411+T412+T413+T414+T415+T416+T417+T418+T419+T420+T421+T422+T423+T424+T425+T426+T427+T428, "NA")</f>
        <v>81124.78</v>
      </c>
      <c r="U430" s="15">
        <f>IFERROR(T430/T445, "NA")</f>
        <v>2.6443713315665682E-2</v>
      </c>
      <c r="V430" s="2"/>
      <c r="W430" s="14">
        <f t="shared" si="102"/>
        <v>-9159.2099999999773</v>
      </c>
      <c r="X430" s="15">
        <f>IFERROR(W430/W445, "NA")</f>
        <v>6.7915590842082721E-2</v>
      </c>
      <c r="Y430" s="2"/>
      <c r="Z430" s="14">
        <f>IFERROR(Z408+Z409+Z410+Z411+Z412+Z413+Z414+Z415+Z416+Z417+Z418+Z419+Z420+Z421+Z422+Z423+Z424+Z425+Z426+Z427+Z428, "NA")</f>
        <v>90852.330000000016</v>
      </c>
      <c r="AA430" s="15">
        <f>IFERROR(Z430/Z445, "NA")</f>
        <v>3.1803572757791158E-2</v>
      </c>
      <c r="AB430" s="2"/>
      <c r="AC430" s="14">
        <f t="shared" si="103"/>
        <v>568.34000000004016</v>
      </c>
      <c r="AD430" s="15">
        <f>IFERROR(AC430/AC445, "NA")</f>
        <v>7.4491093088706944E-3</v>
      </c>
    </row>
    <row r="431" spans="1:30" ht="16.5" customHeight="1" x14ac:dyDescent="0.45">
      <c r="A431" s="1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customHeight="1" x14ac:dyDescent="0.45">
      <c r="A432" s="5" t="s">
        <v>397</v>
      </c>
      <c r="B432" s="2"/>
      <c r="C432" s="3"/>
      <c r="D432" s="4"/>
      <c r="E432" s="2"/>
      <c r="F432" s="3"/>
      <c r="G432" s="4"/>
      <c r="H432" s="2"/>
      <c r="I432" s="3"/>
      <c r="J432" s="4"/>
      <c r="K432" s="2"/>
      <c r="L432" s="3"/>
      <c r="M432" s="4"/>
      <c r="N432" s="2"/>
      <c r="O432" s="3"/>
      <c r="P432" s="4"/>
      <c r="Q432" s="2"/>
      <c r="R432" s="3"/>
      <c r="S432" s="4"/>
      <c r="T432" s="2"/>
      <c r="U432" s="3"/>
      <c r="V432" s="4"/>
      <c r="W432" s="2"/>
      <c r="X432" s="3"/>
      <c r="Y432" s="4"/>
      <c r="Z432" s="2"/>
      <c r="AA432" s="3"/>
      <c r="AB432" s="4"/>
      <c r="AC432" s="2"/>
      <c r="AD432" s="3"/>
    </row>
    <row r="433" spans="1:30" ht="16.5" hidden="1" customHeight="1" x14ac:dyDescent="0.45">
      <c r="A433" s="6" t="s">
        <v>397</v>
      </c>
      <c r="B433" s="7">
        <v>0</v>
      </c>
      <c r="C433" s="8">
        <f>IFERROR(B433/B445, "NA")</f>
        <v>0</v>
      </c>
      <c r="D433" s="9"/>
      <c r="E433" s="7">
        <v>0</v>
      </c>
      <c r="F433" s="8">
        <f>IFERROR(E433/E445, "NA")</f>
        <v>0</v>
      </c>
      <c r="G433" s="9"/>
      <c r="H433" s="10">
        <f t="shared" ref="H433:H443" si="104">IFERROR(-(B433-E433), "NA")</f>
        <v>0</v>
      </c>
      <c r="I433" s="8">
        <f>IFERROR(H433/H445, "NA")</f>
        <v>0</v>
      </c>
      <c r="J433" s="9"/>
      <c r="K433" s="7">
        <v>0</v>
      </c>
      <c r="L433" s="8">
        <f>IFERROR(K433/K445, "NA")</f>
        <v>0</v>
      </c>
      <c r="M433" s="9"/>
      <c r="N433" s="10">
        <f t="shared" ref="N433:N443" si="105">IFERROR(-(B433-K433), "NA")</f>
        <v>0</v>
      </c>
      <c r="O433" s="8">
        <f>IFERROR(N433/N445, "NA")</f>
        <v>0</v>
      </c>
      <c r="P433" s="9"/>
      <c r="Q433" s="7">
        <v>0</v>
      </c>
      <c r="R433" s="8">
        <f>IFERROR(Q433/Q445, "NA")</f>
        <v>0</v>
      </c>
      <c r="S433" s="9"/>
      <c r="T433" s="7">
        <v>0</v>
      </c>
      <c r="U433" s="8">
        <f>IFERROR(T433/T445, "NA")</f>
        <v>0</v>
      </c>
      <c r="V433" s="9"/>
      <c r="W433" s="10">
        <f t="shared" ref="W433:W443" si="106">IFERROR(-(Q433-T433), "NA")</f>
        <v>0</v>
      </c>
      <c r="X433" s="8">
        <f>IFERROR(W433/W445, "NA")</f>
        <v>0</v>
      </c>
      <c r="Y433" s="9"/>
      <c r="Z433" s="7">
        <v>0</v>
      </c>
      <c r="AA433" s="8">
        <f>IFERROR(Z433/Z445, "NA")</f>
        <v>0</v>
      </c>
      <c r="AB433" s="9"/>
      <c r="AC433" s="10">
        <f t="shared" ref="AC433:AC443" si="107">IFERROR(-(Q433-Z433), "NA")</f>
        <v>0</v>
      </c>
      <c r="AD433" s="8">
        <f>IFERROR(AC433/AC445,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IFERROR(B434/B445, "NA")</f>
        <v>0</v>
      </c>
      <c r="D434" s="9"/>
      <c r="E434" s="7">
        <v>0</v>
      </c>
      <c r="F434" s="8">
        <f>IFERROR(E434/E445, "NA")</f>
        <v>0</v>
      </c>
      <c r="G434" s="9"/>
      <c r="H434" s="10">
        <f t="shared" si="104"/>
        <v>0</v>
      </c>
      <c r="I434" s="8">
        <f>IFERROR(H434/H445, "NA")</f>
        <v>0</v>
      </c>
      <c r="J434" s="9"/>
      <c r="K434" s="7">
        <v>0</v>
      </c>
      <c r="L434" s="8">
        <f>IFERROR(K434/K445, "NA")</f>
        <v>0</v>
      </c>
      <c r="M434" s="9"/>
      <c r="N434" s="10">
        <f t="shared" si="105"/>
        <v>0</v>
      </c>
      <c r="O434" s="8">
        <f>IFERROR(N434/N445, "NA")</f>
        <v>0</v>
      </c>
      <c r="P434" s="9"/>
      <c r="Q434" s="7">
        <v>0</v>
      </c>
      <c r="R434" s="8">
        <f>IFERROR(Q434/Q445, "NA")</f>
        <v>0</v>
      </c>
      <c r="S434" s="9"/>
      <c r="T434" s="7">
        <v>0</v>
      </c>
      <c r="U434" s="8">
        <f>IFERROR(T434/T445, "NA")</f>
        <v>0</v>
      </c>
      <c r="V434" s="9"/>
      <c r="W434" s="10">
        <f t="shared" si="106"/>
        <v>0</v>
      </c>
      <c r="X434" s="8">
        <f>IFERROR(W434/W445, "NA")</f>
        <v>0</v>
      </c>
      <c r="Y434" s="9"/>
      <c r="Z434" s="7">
        <v>0</v>
      </c>
      <c r="AA434" s="8">
        <f>IFERROR(Z434/Z445, "NA")</f>
        <v>0</v>
      </c>
      <c r="AB434" s="9"/>
      <c r="AC434" s="10">
        <f t="shared" si="107"/>
        <v>0</v>
      </c>
      <c r="AD434" s="8">
        <f>IFERROR(AC434/AC445,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IFERROR(B435/B445, "NA")</f>
        <v>0</v>
      </c>
      <c r="D435" s="9"/>
      <c r="E435" s="7">
        <v>0</v>
      </c>
      <c r="F435" s="8">
        <f>IFERROR(E435/E445, "NA")</f>
        <v>0</v>
      </c>
      <c r="G435" s="9"/>
      <c r="H435" s="10">
        <f t="shared" si="104"/>
        <v>0</v>
      </c>
      <c r="I435" s="8">
        <f>IFERROR(H435/H445, "NA")</f>
        <v>0</v>
      </c>
      <c r="J435" s="9"/>
      <c r="K435" s="7">
        <v>0</v>
      </c>
      <c r="L435" s="8">
        <f>IFERROR(K435/K445, "NA")</f>
        <v>0</v>
      </c>
      <c r="M435" s="9"/>
      <c r="N435" s="10">
        <f t="shared" si="105"/>
        <v>0</v>
      </c>
      <c r="O435" s="8">
        <f>IFERROR(N435/N445, "NA")</f>
        <v>0</v>
      </c>
      <c r="P435" s="9"/>
      <c r="Q435" s="7">
        <v>0</v>
      </c>
      <c r="R435" s="8">
        <f>IFERROR(Q435/Q445, "NA")</f>
        <v>0</v>
      </c>
      <c r="S435" s="9"/>
      <c r="T435" s="7">
        <v>0</v>
      </c>
      <c r="U435" s="8">
        <f>IFERROR(T435/T445, "NA")</f>
        <v>0</v>
      </c>
      <c r="V435" s="9"/>
      <c r="W435" s="10">
        <f t="shared" si="106"/>
        <v>0</v>
      </c>
      <c r="X435" s="8">
        <f>IFERROR(W435/W445, "NA")</f>
        <v>0</v>
      </c>
      <c r="Y435" s="9"/>
      <c r="Z435" s="7">
        <v>0</v>
      </c>
      <c r="AA435" s="8">
        <f>IFERROR(Z435/Z445, "NA")</f>
        <v>0</v>
      </c>
      <c r="AB435" s="9"/>
      <c r="AC435" s="10">
        <f t="shared" si="107"/>
        <v>0</v>
      </c>
      <c r="AD435" s="8">
        <f>IFERROR(AC435/AC445,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IFERROR(B436/B445, "NA")</f>
        <v>0</v>
      </c>
      <c r="D436" s="9"/>
      <c r="E436" s="7">
        <v>0</v>
      </c>
      <c r="F436" s="8">
        <f>IFERROR(E436/E445, "NA")</f>
        <v>0</v>
      </c>
      <c r="G436" s="9"/>
      <c r="H436" s="10">
        <f t="shared" si="104"/>
        <v>0</v>
      </c>
      <c r="I436" s="8">
        <f>IFERROR(H436/H445, "NA")</f>
        <v>0</v>
      </c>
      <c r="J436" s="9"/>
      <c r="K436" s="7">
        <v>0</v>
      </c>
      <c r="L436" s="8">
        <f>IFERROR(K436/K445, "NA")</f>
        <v>0</v>
      </c>
      <c r="M436" s="9"/>
      <c r="N436" s="10">
        <f t="shared" si="105"/>
        <v>0</v>
      </c>
      <c r="O436" s="8">
        <f>IFERROR(N436/N445, "NA")</f>
        <v>0</v>
      </c>
      <c r="P436" s="9"/>
      <c r="Q436" s="7">
        <v>0</v>
      </c>
      <c r="R436" s="8">
        <f>IFERROR(Q436/Q445, "NA")</f>
        <v>0</v>
      </c>
      <c r="S436" s="9"/>
      <c r="T436" s="7">
        <v>0</v>
      </c>
      <c r="U436" s="8">
        <f>IFERROR(T436/T445, "NA")</f>
        <v>0</v>
      </c>
      <c r="V436" s="9"/>
      <c r="W436" s="10">
        <f t="shared" si="106"/>
        <v>0</v>
      </c>
      <c r="X436" s="8">
        <f>IFERROR(W436/W445, "NA")</f>
        <v>0</v>
      </c>
      <c r="Y436" s="9"/>
      <c r="Z436" s="7">
        <v>0</v>
      </c>
      <c r="AA436" s="8">
        <f>IFERROR(Z436/Z445, "NA")</f>
        <v>0</v>
      </c>
      <c r="AB436" s="9"/>
      <c r="AC436" s="10">
        <f t="shared" si="107"/>
        <v>0</v>
      </c>
      <c r="AD436" s="8">
        <f>IFERROR(AC436/AC445,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IFERROR(B437/B445, "NA")</f>
        <v>0</v>
      </c>
      <c r="D437" s="9"/>
      <c r="E437" s="7">
        <v>0</v>
      </c>
      <c r="F437" s="8">
        <f>IFERROR(E437/E445, "NA")</f>
        <v>0</v>
      </c>
      <c r="G437" s="9"/>
      <c r="H437" s="10">
        <f t="shared" si="104"/>
        <v>0</v>
      </c>
      <c r="I437" s="8">
        <f>IFERROR(H437/H445, "NA")</f>
        <v>0</v>
      </c>
      <c r="J437" s="9"/>
      <c r="K437" s="7">
        <v>0</v>
      </c>
      <c r="L437" s="8">
        <f>IFERROR(K437/K445, "NA")</f>
        <v>0</v>
      </c>
      <c r="M437" s="9"/>
      <c r="N437" s="10">
        <f t="shared" si="105"/>
        <v>0</v>
      </c>
      <c r="O437" s="8">
        <f>IFERROR(N437/N445, "NA")</f>
        <v>0</v>
      </c>
      <c r="P437" s="9"/>
      <c r="Q437" s="7">
        <v>0</v>
      </c>
      <c r="R437" s="8">
        <f>IFERROR(Q437/Q445, "NA")</f>
        <v>0</v>
      </c>
      <c r="S437" s="9"/>
      <c r="T437" s="7">
        <v>0</v>
      </c>
      <c r="U437" s="8">
        <f>IFERROR(T437/T445, "NA")</f>
        <v>0</v>
      </c>
      <c r="V437" s="9"/>
      <c r="W437" s="10">
        <f t="shared" si="106"/>
        <v>0</v>
      </c>
      <c r="X437" s="8">
        <f>IFERROR(W437/W445, "NA")</f>
        <v>0</v>
      </c>
      <c r="Y437" s="9"/>
      <c r="Z437" s="7">
        <v>0</v>
      </c>
      <c r="AA437" s="8">
        <f>IFERROR(Z437/Z445, "NA")</f>
        <v>0</v>
      </c>
      <c r="AB437" s="9"/>
      <c r="AC437" s="10">
        <f t="shared" si="107"/>
        <v>0</v>
      </c>
      <c r="AD437" s="8">
        <f>IFERROR(AC437/AC445, "NA")</f>
        <v>0</v>
      </c>
    </row>
    <row r="438" spans="1:30" ht="16.5" hidden="1" customHeight="1" x14ac:dyDescent="0.45">
      <c r="A438" s="6" t="s">
        <v>402</v>
      </c>
      <c r="B438" s="7">
        <v>0</v>
      </c>
      <c r="C438" s="8">
        <f>IFERROR(B438/B445, "NA")</f>
        <v>0</v>
      </c>
      <c r="D438" s="9"/>
      <c r="E438" s="7">
        <v>0</v>
      </c>
      <c r="F438" s="8">
        <f>IFERROR(E438/E445, "NA")</f>
        <v>0</v>
      </c>
      <c r="G438" s="9"/>
      <c r="H438" s="10">
        <f t="shared" si="104"/>
        <v>0</v>
      </c>
      <c r="I438" s="8">
        <f>IFERROR(H438/H445, "NA")</f>
        <v>0</v>
      </c>
      <c r="J438" s="9"/>
      <c r="K438" s="7">
        <v>0</v>
      </c>
      <c r="L438" s="8">
        <f>IFERROR(K438/K445, "NA")</f>
        <v>0</v>
      </c>
      <c r="M438" s="9"/>
      <c r="N438" s="10">
        <f t="shared" si="105"/>
        <v>0</v>
      </c>
      <c r="O438" s="8">
        <f>IFERROR(N438/N445, "NA")</f>
        <v>0</v>
      </c>
      <c r="P438" s="9"/>
      <c r="Q438" s="7">
        <v>0</v>
      </c>
      <c r="R438" s="8">
        <f>IFERROR(Q438/Q445, "NA")</f>
        <v>0</v>
      </c>
      <c r="S438" s="9"/>
      <c r="T438" s="7">
        <v>0</v>
      </c>
      <c r="U438" s="8">
        <f>IFERROR(T438/T445, "NA")</f>
        <v>0</v>
      </c>
      <c r="V438" s="9"/>
      <c r="W438" s="10">
        <f t="shared" si="106"/>
        <v>0</v>
      </c>
      <c r="X438" s="8">
        <f>IFERROR(W438/W445, "NA")</f>
        <v>0</v>
      </c>
      <c r="Y438" s="9"/>
      <c r="Z438" s="7">
        <v>0</v>
      </c>
      <c r="AA438" s="8">
        <f>IFERROR(Z438/Z445, "NA")</f>
        <v>0</v>
      </c>
      <c r="AB438" s="9"/>
      <c r="AC438" s="10">
        <f t="shared" si="107"/>
        <v>0</v>
      </c>
      <c r="AD438" s="8">
        <f>IFERROR(AC438/AC445, "NA")</f>
        <v>0</v>
      </c>
    </row>
    <row r="439" spans="1:30" ht="30.75" hidden="1" customHeight="1" x14ac:dyDescent="0.45">
      <c r="A439" s="6" t="s">
        <v>403</v>
      </c>
      <c r="B439" s="7">
        <v>0</v>
      </c>
      <c r="C439" s="8">
        <f>IFERROR(B439/B445, "NA")</f>
        <v>0</v>
      </c>
      <c r="D439" s="9"/>
      <c r="E439" s="7">
        <v>0</v>
      </c>
      <c r="F439" s="8">
        <f>IFERROR(E439/E445, "NA")</f>
        <v>0</v>
      </c>
      <c r="G439" s="9"/>
      <c r="H439" s="10">
        <f t="shared" si="104"/>
        <v>0</v>
      </c>
      <c r="I439" s="8">
        <f>IFERROR(H439/H445, "NA")</f>
        <v>0</v>
      </c>
      <c r="J439" s="9"/>
      <c r="K439" s="7">
        <v>0</v>
      </c>
      <c r="L439" s="8">
        <f>IFERROR(K439/K445, "NA")</f>
        <v>0</v>
      </c>
      <c r="M439" s="9"/>
      <c r="N439" s="10">
        <f t="shared" si="105"/>
        <v>0</v>
      </c>
      <c r="O439" s="8">
        <f>IFERROR(N439/N445, "NA")</f>
        <v>0</v>
      </c>
      <c r="P439" s="9"/>
      <c r="Q439" s="7">
        <v>0</v>
      </c>
      <c r="R439" s="8">
        <f>IFERROR(Q439/Q445, "NA")</f>
        <v>0</v>
      </c>
      <c r="S439" s="9"/>
      <c r="T439" s="7">
        <v>0</v>
      </c>
      <c r="U439" s="8">
        <f>IFERROR(T439/T445, "NA")</f>
        <v>0</v>
      </c>
      <c r="V439" s="9"/>
      <c r="W439" s="10">
        <f t="shared" si="106"/>
        <v>0</v>
      </c>
      <c r="X439" s="8">
        <f>IFERROR(W439/W445, "NA")</f>
        <v>0</v>
      </c>
      <c r="Y439" s="9"/>
      <c r="Z439" s="7">
        <v>0</v>
      </c>
      <c r="AA439" s="8">
        <f>IFERROR(Z439/Z445, "NA")</f>
        <v>0</v>
      </c>
      <c r="AB439" s="9"/>
      <c r="AC439" s="10">
        <f t="shared" si="107"/>
        <v>0</v>
      </c>
      <c r="AD439" s="8">
        <f>IFERROR(AC439/AC445, "NA")</f>
        <v>0</v>
      </c>
    </row>
    <row r="440" spans="1:30" ht="16.5" hidden="1" customHeight="1" x14ac:dyDescent="0.45">
      <c r="A440" s="6" t="s">
        <v>404</v>
      </c>
      <c r="B440" s="7">
        <v>0</v>
      </c>
      <c r="C440" s="8">
        <f>IFERROR(B440/B445, "NA")</f>
        <v>0</v>
      </c>
      <c r="D440" s="9"/>
      <c r="E440" s="7">
        <v>0</v>
      </c>
      <c r="F440" s="8">
        <f>IFERROR(E440/E445, "NA")</f>
        <v>0</v>
      </c>
      <c r="G440" s="9"/>
      <c r="H440" s="10">
        <f t="shared" si="104"/>
        <v>0</v>
      </c>
      <c r="I440" s="8">
        <f>IFERROR(H440/H445, "NA")</f>
        <v>0</v>
      </c>
      <c r="J440" s="9"/>
      <c r="K440" s="7">
        <v>0</v>
      </c>
      <c r="L440" s="8">
        <f>IFERROR(K440/K445, "NA")</f>
        <v>0</v>
      </c>
      <c r="M440" s="9"/>
      <c r="N440" s="10">
        <f t="shared" si="105"/>
        <v>0</v>
      </c>
      <c r="O440" s="8">
        <f>IFERROR(N440/N445, "NA")</f>
        <v>0</v>
      </c>
      <c r="P440" s="9"/>
      <c r="Q440" s="7">
        <v>0</v>
      </c>
      <c r="R440" s="8">
        <f>IFERROR(Q440/Q445, "NA")</f>
        <v>0</v>
      </c>
      <c r="S440" s="9"/>
      <c r="T440" s="7">
        <v>0</v>
      </c>
      <c r="U440" s="8">
        <f>IFERROR(T440/T445, "NA")</f>
        <v>0</v>
      </c>
      <c r="V440" s="9"/>
      <c r="W440" s="10">
        <f t="shared" si="106"/>
        <v>0</v>
      </c>
      <c r="X440" s="8">
        <f>IFERROR(W440/W445, "NA")</f>
        <v>0</v>
      </c>
      <c r="Y440" s="9"/>
      <c r="Z440" s="7">
        <v>0</v>
      </c>
      <c r="AA440" s="8">
        <f>IFERROR(Z440/Z445, "NA")</f>
        <v>0</v>
      </c>
      <c r="AB440" s="9"/>
      <c r="AC440" s="10">
        <f t="shared" si="107"/>
        <v>0</v>
      </c>
      <c r="AD440" s="8">
        <f>IFERROR(AC440/AC445, "NA")</f>
        <v>0</v>
      </c>
    </row>
    <row r="441" spans="1:30" ht="30.75" hidden="1" customHeight="1" x14ac:dyDescent="0.45">
      <c r="A441" s="6" t="s">
        <v>405</v>
      </c>
      <c r="B441" s="7">
        <v>0</v>
      </c>
      <c r="C441" s="8">
        <f>IFERROR(B441/B445, "NA")</f>
        <v>0</v>
      </c>
      <c r="D441" s="9"/>
      <c r="E441" s="7">
        <v>0</v>
      </c>
      <c r="F441" s="8">
        <f>IFERROR(E441/E445, "NA")</f>
        <v>0</v>
      </c>
      <c r="G441" s="9"/>
      <c r="H441" s="10">
        <f t="shared" si="104"/>
        <v>0</v>
      </c>
      <c r="I441" s="8">
        <f>IFERROR(H441/H445, "NA")</f>
        <v>0</v>
      </c>
      <c r="J441" s="9"/>
      <c r="K441" s="7">
        <v>0</v>
      </c>
      <c r="L441" s="8">
        <f>IFERROR(K441/K445, "NA")</f>
        <v>0</v>
      </c>
      <c r="M441" s="9"/>
      <c r="N441" s="10">
        <f t="shared" si="105"/>
        <v>0</v>
      </c>
      <c r="O441" s="8">
        <f>IFERROR(N441/N445, "NA")</f>
        <v>0</v>
      </c>
      <c r="P441" s="9"/>
      <c r="Q441" s="7">
        <v>0</v>
      </c>
      <c r="R441" s="8">
        <f>IFERROR(Q441/Q445, "NA")</f>
        <v>0</v>
      </c>
      <c r="S441" s="9"/>
      <c r="T441" s="7">
        <v>0</v>
      </c>
      <c r="U441" s="8">
        <f>IFERROR(T441/T445, "NA")</f>
        <v>0</v>
      </c>
      <c r="V441" s="9"/>
      <c r="W441" s="10">
        <f t="shared" si="106"/>
        <v>0</v>
      </c>
      <c r="X441" s="8">
        <f>IFERROR(W441/W445, "NA")</f>
        <v>0</v>
      </c>
      <c r="Y441" s="9"/>
      <c r="Z441" s="7">
        <v>0</v>
      </c>
      <c r="AA441" s="8">
        <f>IFERROR(Z441/Z445, "NA")</f>
        <v>0</v>
      </c>
      <c r="AB441" s="9"/>
      <c r="AC441" s="10">
        <f t="shared" si="107"/>
        <v>0</v>
      </c>
      <c r="AD441" s="8">
        <f>IFERROR(AC441/AC445, "NA")</f>
        <v>0</v>
      </c>
    </row>
    <row r="442" spans="1:30" ht="16.5" customHeight="1" x14ac:dyDescent="0.45">
      <c r="A442" s="19" t="s">
        <v>406</v>
      </c>
      <c r="B442" s="14">
        <f>IFERROR(B433+B434+B435+B436+B437+B438+B439+B440+B441, "NA")</f>
        <v>0</v>
      </c>
      <c r="C442" s="15">
        <f>IFERROR(B442/B445, "NA")</f>
        <v>0</v>
      </c>
      <c r="D442" s="2"/>
      <c r="E442" s="14">
        <f>IFERROR(E433+E434+E435+E436+E437+E438+E439+E440+E441, "NA")</f>
        <v>0</v>
      </c>
      <c r="F442" s="15">
        <f>IFERROR(E442/E445, "NA")</f>
        <v>0</v>
      </c>
      <c r="G442" s="2"/>
      <c r="H442" s="14">
        <f t="shared" si="104"/>
        <v>0</v>
      </c>
      <c r="I442" s="15">
        <f>IFERROR(H442/H445, "NA")</f>
        <v>0</v>
      </c>
      <c r="J442" s="2"/>
      <c r="K442" s="14">
        <f>IFERROR(K433+K434+K435+K436+K437+K438+K439+K440+K441, "NA")</f>
        <v>0</v>
      </c>
      <c r="L442" s="15">
        <f>IFERROR(K442/K445, "NA")</f>
        <v>0</v>
      </c>
      <c r="M442" s="2"/>
      <c r="N442" s="14">
        <f t="shared" si="105"/>
        <v>0</v>
      </c>
      <c r="O442" s="15">
        <f>IFERROR(N442/N445, "NA")</f>
        <v>0</v>
      </c>
      <c r="P442" s="2"/>
      <c r="Q442" s="14">
        <f>IFERROR(Q433+Q434+Q435+Q436+Q437+Q438+Q439+Q440+Q441, "NA")</f>
        <v>0</v>
      </c>
      <c r="R442" s="15">
        <f>IFERROR(Q442/Q445, "NA")</f>
        <v>0</v>
      </c>
      <c r="S442" s="2"/>
      <c r="T442" s="14">
        <f>IFERROR(T433+T434+T435+T436+T437+T438+T439+T440+T441, "NA")</f>
        <v>0</v>
      </c>
      <c r="U442" s="15">
        <f>IFERROR(T442/T445, "NA")</f>
        <v>0</v>
      </c>
      <c r="V442" s="2"/>
      <c r="W442" s="14">
        <f t="shared" si="106"/>
        <v>0</v>
      </c>
      <c r="X442" s="15">
        <f>IFERROR(W442/W445, "NA")</f>
        <v>0</v>
      </c>
      <c r="Y442" s="2"/>
      <c r="Z442" s="14">
        <f>IFERROR(Z433+Z434+Z435+Z436+Z437+Z438+Z439+Z440+Z441, "NA")</f>
        <v>0</v>
      </c>
      <c r="AA442" s="15">
        <f>IFERROR(Z442/Z445, "NA")</f>
        <v>0</v>
      </c>
      <c r="AB442" s="2"/>
      <c r="AC442" s="14">
        <f t="shared" si="107"/>
        <v>0</v>
      </c>
      <c r="AD442" s="15">
        <f>IFERROR(AC442/AC445, "NA")</f>
        <v>0</v>
      </c>
    </row>
    <row r="443" spans="1:30" ht="16.5" customHeight="1" x14ac:dyDescent="0.45">
      <c r="A443" s="21" t="s">
        <v>407</v>
      </c>
      <c r="B443" s="14">
        <f>IFERROR(B433+B434+B435+B436+B437+B438+B439+B440+B441, "NA")</f>
        <v>0</v>
      </c>
      <c r="C443" s="15">
        <f>IFERROR(B443/B445, "NA")</f>
        <v>0</v>
      </c>
      <c r="D443" s="2"/>
      <c r="E443" s="14">
        <f>IFERROR(E433+E434+E435+E436+E437+E438+E439+E440+E441, "NA")</f>
        <v>0</v>
      </c>
      <c r="F443" s="15">
        <f>IFERROR(E443/E445, "NA")</f>
        <v>0</v>
      </c>
      <c r="G443" s="2"/>
      <c r="H443" s="14">
        <f t="shared" si="104"/>
        <v>0</v>
      </c>
      <c r="I443" s="15">
        <f>IFERROR(H443/H445, "NA")</f>
        <v>0</v>
      </c>
      <c r="J443" s="2"/>
      <c r="K443" s="14">
        <f>IFERROR(K433+K434+K435+K436+K437+K438+K439+K440+K441, "NA")</f>
        <v>0</v>
      </c>
      <c r="L443" s="15">
        <f>IFERROR(K443/K445, "NA")</f>
        <v>0</v>
      </c>
      <c r="M443" s="2"/>
      <c r="N443" s="14">
        <f t="shared" si="105"/>
        <v>0</v>
      </c>
      <c r="O443" s="15">
        <f>IFERROR(N443/N445, "NA")</f>
        <v>0</v>
      </c>
      <c r="P443" s="2"/>
      <c r="Q443" s="14">
        <f>IFERROR(Q433+Q434+Q435+Q436+Q437+Q438+Q439+Q440+Q441, "NA")</f>
        <v>0</v>
      </c>
      <c r="R443" s="15">
        <f>IFERROR(Q443/Q445, "NA")</f>
        <v>0</v>
      </c>
      <c r="S443" s="2"/>
      <c r="T443" s="14">
        <f>IFERROR(T433+T434+T435+T436+T437+T438+T439+T440+T441, "NA")</f>
        <v>0</v>
      </c>
      <c r="U443" s="15">
        <f>IFERROR(T443/T445, "NA")</f>
        <v>0</v>
      </c>
      <c r="V443" s="2"/>
      <c r="W443" s="14">
        <f t="shared" si="106"/>
        <v>0</v>
      </c>
      <c r="X443" s="15">
        <f>IFERROR(W443/W445, "NA")</f>
        <v>0</v>
      </c>
      <c r="Y443" s="2"/>
      <c r="Z443" s="14">
        <f>IFERROR(Z433+Z434+Z435+Z436+Z437+Z438+Z439+Z440+Z441, "NA")</f>
        <v>0</v>
      </c>
      <c r="AA443" s="15">
        <f>IFERROR(Z443/Z445, "NA")</f>
        <v>0</v>
      </c>
      <c r="AB443" s="2"/>
      <c r="AC443" s="14">
        <f t="shared" si="107"/>
        <v>0</v>
      </c>
      <c r="AD443" s="15">
        <f>IFERROR(AC443/AC445, "NA")</f>
        <v>0</v>
      </c>
    </row>
    <row r="444" spans="1:30" ht="16.5" customHeight="1" x14ac:dyDescent="0.45">
      <c r="A444" s="22" t="s">
        <v>408</v>
      </c>
      <c r="B444" s="23">
        <f>IFERROR(B405-B430-B443, "NA")</f>
        <v>-90262.290000000023</v>
      </c>
      <c r="C444" s="24">
        <f>IFERROR(B444/B445, "NA")</f>
        <v>-0.15183767285753119</v>
      </c>
      <c r="D444" s="25"/>
      <c r="E444" s="23">
        <f>IFERROR(E405-E430-E443, "NA")</f>
        <v>-58587.939999999937</v>
      </c>
      <c r="F444" s="24">
        <f>IFERROR(E444/E445, "NA")</f>
        <v>-9.0317972217313469E-2</v>
      </c>
      <c r="G444" s="25"/>
      <c r="H444" s="23">
        <f>IFERROR(B444-E444, "NA")</f>
        <v>-31674.350000000086</v>
      </c>
      <c r="I444" s="24">
        <f>IFERROR(H444/H445, "NA")</f>
        <v>0.58418656138612857</v>
      </c>
      <c r="J444" s="25"/>
      <c r="K444" s="23">
        <f>IFERROR(K405-K430-K443, "NA")</f>
        <v>-106620.17999999986</v>
      </c>
      <c r="L444" s="24">
        <f>IFERROR(K444/K445, "NA")</f>
        <v>-0.17946520569914662</v>
      </c>
      <c r="M444" s="25"/>
      <c r="N444" s="23">
        <f>IFERROR(B444-K444, "NA")</f>
        <v>16357.889999999839</v>
      </c>
      <c r="O444" s="24">
        <f>IFERROR(N444/N445, "NA")</f>
        <v>44.66196144813582</v>
      </c>
      <c r="P444" s="25"/>
      <c r="Q444" s="23">
        <f>IFERROR(Q405-Q430-Q443, "NA")</f>
        <v>-519294.39999999973</v>
      </c>
      <c r="R444" s="24">
        <f>IFERROR(Q444/Q445, "NA")</f>
        <v>-0.1770542977107484</v>
      </c>
      <c r="S444" s="25"/>
      <c r="T444" s="23">
        <f>IFERROR(T405-T430-T443, "NA")</f>
        <v>-365808.79999999946</v>
      </c>
      <c r="U444" s="24">
        <f>IFERROR(T444/T445, "NA")</f>
        <v>-0.11924029914839425</v>
      </c>
      <c r="V444" s="25"/>
      <c r="W444" s="23">
        <f>IFERROR(Q444-T444, "NA")</f>
        <v>-153485.60000000027</v>
      </c>
      <c r="X444" s="24">
        <f>IFERROR(W444/W445, "NA")</f>
        <v>1.1380965399583169</v>
      </c>
      <c r="Y444" s="25"/>
      <c r="Z444" s="23">
        <f>IFERROR(Z405-Z430-Z443, "NA")</f>
        <v>-695378.81000000029</v>
      </c>
      <c r="AA444" s="24">
        <f>IFERROR(Z444/Z445, "NA")</f>
        <v>-0.24342282226621198</v>
      </c>
      <c r="AB444" s="25"/>
      <c r="AC444" s="23">
        <f>IFERROR(Q444-Z444, "NA")</f>
        <v>176084.41000000056</v>
      </c>
      <c r="AD444" s="24">
        <f>IFERROR(AC444/AC445, "NA")</f>
        <v>2.3079002316886292</v>
      </c>
    </row>
    <row r="445" spans="1:30" ht="15.75" hidden="1" x14ac:dyDescent="0.45">
      <c r="A445" s="26" t="s">
        <v>117</v>
      </c>
      <c r="B445" s="7">
        <v>594465.71000000008</v>
      </c>
      <c r="C445" s="27"/>
      <c r="D445" s="9"/>
      <c r="E445" s="7">
        <v>648685.29</v>
      </c>
      <c r="F445" s="27"/>
      <c r="G445" s="9"/>
      <c r="H445" s="10">
        <f>IFERROR(B445-E445, "NA")</f>
        <v>-54219.579999999958</v>
      </c>
      <c r="I445" s="27"/>
      <c r="J445" s="9"/>
      <c r="K445" s="7">
        <v>594099.44999999995</v>
      </c>
      <c r="L445" s="27"/>
      <c r="M445" s="9"/>
      <c r="N445" s="10">
        <f>IFERROR(B445-K445, "NA")</f>
        <v>366.26000000012573</v>
      </c>
      <c r="O445" s="27"/>
      <c r="P445" s="9"/>
      <c r="Q445" s="7">
        <v>2932966.9299999997</v>
      </c>
      <c r="R445" s="27"/>
      <c r="S445" s="9"/>
      <c r="T445" s="7">
        <v>3067828.5999999996</v>
      </c>
      <c r="U445" s="27"/>
      <c r="V445" s="9"/>
      <c r="W445" s="10">
        <f>IFERROR(Q445-T445, "NA")</f>
        <v>-134861.66999999993</v>
      </c>
      <c r="X445" s="27"/>
      <c r="Y445" s="9"/>
      <c r="Z445" s="7">
        <v>2856670.56</v>
      </c>
      <c r="AA445" s="27"/>
      <c r="AB445" s="9"/>
      <c r="AC445" s="10">
        <f>IFERROR(Q445-Z445, "NA")</f>
        <v>76296.369999999646</v>
      </c>
      <c r="AD445" s="27"/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  <row r="450" spans="1:1" ht="15.75" x14ac:dyDescent="0.5">
      <c r="A450" s="28" t="s">
        <v>411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IFERROR(B8/B445, "NA")</f>
        <v>NA</v>
      </c>
      <c r="D8" s="9"/>
      <c r="E8" s="7">
        <v>0</v>
      </c>
      <c r="F8" s="8" t="str">
        <f>IFERROR(E8/E445, "NA")</f>
        <v>NA</v>
      </c>
      <c r="G8" s="9"/>
      <c r="H8" s="10">
        <f>IFERROR(B8-E8, "NA")</f>
        <v>0</v>
      </c>
      <c r="I8" s="8" t="str">
        <f>IFERROR(H8/H445, "NA")</f>
        <v>NA</v>
      </c>
      <c r="J8" s="9"/>
      <c r="K8" s="7">
        <v>0</v>
      </c>
      <c r="L8" s="8" t="str">
        <f>IFERROR(K8/K445, "NA")</f>
        <v>NA</v>
      </c>
      <c r="M8" s="9"/>
      <c r="N8" s="10">
        <f>IFERROR(B8-K8, "NA")</f>
        <v>0</v>
      </c>
      <c r="O8" s="8" t="str">
        <f>IFERROR(N8/N445, "NA")</f>
        <v>NA</v>
      </c>
      <c r="P8" s="9"/>
      <c r="Q8" s="7">
        <v>0</v>
      </c>
      <c r="R8" s="8" t="str">
        <f>IFERROR(Q8/Q445, "NA")</f>
        <v>NA</v>
      </c>
      <c r="S8" s="9"/>
      <c r="T8" s="7">
        <v>0</v>
      </c>
      <c r="U8" s="8" t="str">
        <f>IFERROR(T8/T445, "NA")</f>
        <v>NA</v>
      </c>
      <c r="V8" s="9"/>
      <c r="W8" s="10">
        <f>IFERROR(Q8-T8, "NA")</f>
        <v>0</v>
      </c>
      <c r="X8" s="8" t="str">
        <f>IFERROR(W8/W445, "NA")</f>
        <v>NA</v>
      </c>
      <c r="Y8" s="9"/>
      <c r="Z8" s="7">
        <v>0</v>
      </c>
      <c r="AA8" s="8" t="str">
        <f>IFERROR(Z8/Z445, "NA")</f>
        <v>NA</v>
      </c>
      <c r="AB8" s="9"/>
      <c r="AC8" s="10">
        <f>IFERROR(Q8-Z8, "NA")</f>
        <v>0</v>
      </c>
      <c r="AD8" s="8" t="str">
        <f>IFERROR(AC8/AC445,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IFERROR(B10/B445, "NA")</f>
        <v>NA</v>
      </c>
      <c r="D10" s="9"/>
      <c r="E10" s="7">
        <v>0</v>
      </c>
      <c r="F10" s="8" t="str">
        <f>IFERROR(E10/E445, "NA")</f>
        <v>NA</v>
      </c>
      <c r="G10" s="9"/>
      <c r="H10" s="10">
        <f t="shared" ref="H10:H19" si="0">IFERROR(B10-E10, "NA")</f>
        <v>0</v>
      </c>
      <c r="I10" s="8" t="str">
        <f>IFERROR(H10/H445, "NA")</f>
        <v>NA</v>
      </c>
      <c r="J10" s="9"/>
      <c r="K10" s="7">
        <v>0</v>
      </c>
      <c r="L10" s="8" t="str">
        <f>IFERROR(K10/K445, "NA")</f>
        <v>NA</v>
      </c>
      <c r="M10" s="9"/>
      <c r="N10" s="10">
        <f t="shared" ref="N10:N19" si="1">IFERROR(B10-K10, "NA")</f>
        <v>0</v>
      </c>
      <c r="O10" s="8" t="str">
        <f>IFERROR(N10/N445, "NA")</f>
        <v>NA</v>
      </c>
      <c r="P10" s="9"/>
      <c r="Q10" s="7">
        <v>0</v>
      </c>
      <c r="R10" s="8" t="str">
        <f>IFERROR(Q10/Q445, "NA")</f>
        <v>NA</v>
      </c>
      <c r="S10" s="9"/>
      <c r="T10" s="7">
        <v>0</v>
      </c>
      <c r="U10" s="8" t="str">
        <f>IFERROR(T10/T445, "NA")</f>
        <v>NA</v>
      </c>
      <c r="V10" s="9"/>
      <c r="W10" s="10">
        <f t="shared" ref="W10:W19" si="2">IFERROR(Q10-T10, "NA")</f>
        <v>0</v>
      </c>
      <c r="X10" s="8" t="str">
        <f>IFERROR(W10/W445, "NA")</f>
        <v>NA</v>
      </c>
      <c r="Y10" s="9"/>
      <c r="Z10" s="7">
        <v>0</v>
      </c>
      <c r="AA10" s="8" t="str">
        <f>IFERROR(Z10/Z445, "NA")</f>
        <v>NA</v>
      </c>
      <c r="AB10" s="9"/>
      <c r="AC10" s="10">
        <f t="shared" ref="AC10:AC19" si="3">IFERROR(Q10-Z10, "NA")</f>
        <v>0</v>
      </c>
      <c r="AD10" s="8" t="str">
        <f>IFERROR(AC10/AC445,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IFERROR(B11/B445, "NA")</f>
        <v>NA</v>
      </c>
      <c r="D11" s="9"/>
      <c r="E11" s="7">
        <v>0</v>
      </c>
      <c r="F11" s="8" t="str">
        <f>IFERROR(E11/E445, "NA")</f>
        <v>NA</v>
      </c>
      <c r="G11" s="9"/>
      <c r="H11" s="10">
        <f t="shared" si="0"/>
        <v>0</v>
      </c>
      <c r="I11" s="8" t="str">
        <f>IFERROR(H11/H445, "NA")</f>
        <v>NA</v>
      </c>
      <c r="J11" s="9"/>
      <c r="K11" s="7">
        <v>0</v>
      </c>
      <c r="L11" s="8" t="str">
        <f>IFERROR(K11/K445, "NA")</f>
        <v>NA</v>
      </c>
      <c r="M11" s="9"/>
      <c r="N11" s="10">
        <f t="shared" si="1"/>
        <v>0</v>
      </c>
      <c r="O11" s="8" t="str">
        <f>IFERROR(N11/N445, "NA")</f>
        <v>NA</v>
      </c>
      <c r="P11" s="9"/>
      <c r="Q11" s="7">
        <v>0</v>
      </c>
      <c r="R11" s="8" t="str">
        <f>IFERROR(Q11/Q445, "NA")</f>
        <v>NA</v>
      </c>
      <c r="S11" s="9"/>
      <c r="T11" s="7">
        <v>0</v>
      </c>
      <c r="U11" s="8" t="str">
        <f>IFERROR(T11/T445, "NA")</f>
        <v>NA</v>
      </c>
      <c r="V11" s="9"/>
      <c r="W11" s="10">
        <f t="shared" si="2"/>
        <v>0</v>
      </c>
      <c r="X11" s="8" t="str">
        <f>IFERROR(W11/W445, "NA")</f>
        <v>NA</v>
      </c>
      <c r="Y11" s="9"/>
      <c r="Z11" s="7">
        <v>0</v>
      </c>
      <c r="AA11" s="8" t="str">
        <f>IFERROR(Z11/Z445, "NA")</f>
        <v>NA</v>
      </c>
      <c r="AB11" s="9"/>
      <c r="AC11" s="10">
        <f t="shared" si="3"/>
        <v>0</v>
      </c>
      <c r="AD11" s="8" t="str">
        <f>IFERROR(AC11/AC445,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IFERROR(B12/B445, "NA")</f>
        <v>NA</v>
      </c>
      <c r="D12" s="9"/>
      <c r="E12" s="7">
        <v>0</v>
      </c>
      <c r="F12" s="8" t="str">
        <f>IFERROR(E12/E445, "NA")</f>
        <v>NA</v>
      </c>
      <c r="G12" s="9"/>
      <c r="H12" s="10">
        <f t="shared" si="0"/>
        <v>0</v>
      </c>
      <c r="I12" s="8" t="str">
        <f>IFERROR(H12/H445, "NA")</f>
        <v>NA</v>
      </c>
      <c r="J12" s="9"/>
      <c r="K12" s="7">
        <v>0</v>
      </c>
      <c r="L12" s="8" t="str">
        <f>IFERROR(K12/K445, "NA")</f>
        <v>NA</v>
      </c>
      <c r="M12" s="9"/>
      <c r="N12" s="10">
        <f t="shared" si="1"/>
        <v>0</v>
      </c>
      <c r="O12" s="8" t="str">
        <f>IFERROR(N12/N445, "NA")</f>
        <v>NA</v>
      </c>
      <c r="P12" s="9"/>
      <c r="Q12" s="7">
        <v>0</v>
      </c>
      <c r="R12" s="8" t="str">
        <f>IFERROR(Q12/Q445, "NA")</f>
        <v>NA</v>
      </c>
      <c r="S12" s="9"/>
      <c r="T12" s="7">
        <v>0</v>
      </c>
      <c r="U12" s="8" t="str">
        <f>IFERROR(T12/T445, "NA")</f>
        <v>NA</v>
      </c>
      <c r="V12" s="9"/>
      <c r="W12" s="10">
        <f t="shared" si="2"/>
        <v>0</v>
      </c>
      <c r="X12" s="8" t="str">
        <f>IFERROR(W12/W445, "NA")</f>
        <v>NA</v>
      </c>
      <c r="Y12" s="9"/>
      <c r="Z12" s="7">
        <v>0</v>
      </c>
      <c r="AA12" s="8" t="str">
        <f>IFERROR(Z12/Z445, "NA")</f>
        <v>NA</v>
      </c>
      <c r="AB12" s="9"/>
      <c r="AC12" s="10">
        <f t="shared" si="3"/>
        <v>0</v>
      </c>
      <c r="AD12" s="8" t="str">
        <f>IFERROR(AC12/AC445,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IFERROR(B13/B445, "NA")</f>
        <v>NA</v>
      </c>
      <c r="D13" s="9"/>
      <c r="E13" s="7">
        <v>0</v>
      </c>
      <c r="F13" s="8" t="str">
        <f>IFERROR(E13/E445, "NA")</f>
        <v>NA</v>
      </c>
      <c r="G13" s="9"/>
      <c r="H13" s="10">
        <f t="shared" si="0"/>
        <v>0</v>
      </c>
      <c r="I13" s="8" t="str">
        <f>IFERROR(H13/H445, "NA")</f>
        <v>NA</v>
      </c>
      <c r="J13" s="9"/>
      <c r="K13" s="7">
        <v>0</v>
      </c>
      <c r="L13" s="8" t="str">
        <f>IFERROR(K13/K445, "NA")</f>
        <v>NA</v>
      </c>
      <c r="M13" s="9"/>
      <c r="N13" s="10">
        <f t="shared" si="1"/>
        <v>0</v>
      </c>
      <c r="O13" s="8" t="str">
        <f>IFERROR(N13/N445, "NA")</f>
        <v>NA</v>
      </c>
      <c r="P13" s="9"/>
      <c r="Q13" s="7">
        <v>0</v>
      </c>
      <c r="R13" s="8" t="str">
        <f>IFERROR(Q13/Q445, "NA")</f>
        <v>NA</v>
      </c>
      <c r="S13" s="9"/>
      <c r="T13" s="7">
        <v>0</v>
      </c>
      <c r="U13" s="8" t="str">
        <f>IFERROR(T13/T445, "NA")</f>
        <v>NA</v>
      </c>
      <c r="V13" s="9"/>
      <c r="W13" s="10">
        <f t="shared" si="2"/>
        <v>0</v>
      </c>
      <c r="X13" s="8" t="str">
        <f>IFERROR(W13/W445, "NA")</f>
        <v>NA</v>
      </c>
      <c r="Y13" s="9"/>
      <c r="Z13" s="7">
        <v>0</v>
      </c>
      <c r="AA13" s="8" t="str">
        <f>IFERROR(Z13/Z445, "NA")</f>
        <v>NA</v>
      </c>
      <c r="AB13" s="9"/>
      <c r="AC13" s="10">
        <f t="shared" si="3"/>
        <v>0</v>
      </c>
      <c r="AD13" s="8" t="str">
        <f>IFERROR(AC13/AC445,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IFERROR(B14/B445, "NA")</f>
        <v>NA</v>
      </c>
      <c r="D14" s="9"/>
      <c r="E14" s="7">
        <v>0</v>
      </c>
      <c r="F14" s="8" t="str">
        <f>IFERROR(E14/E445, "NA")</f>
        <v>NA</v>
      </c>
      <c r="G14" s="9"/>
      <c r="H14" s="10">
        <f t="shared" si="0"/>
        <v>0</v>
      </c>
      <c r="I14" s="8" t="str">
        <f>IFERROR(H14/H445, "NA")</f>
        <v>NA</v>
      </c>
      <c r="J14" s="9"/>
      <c r="K14" s="7">
        <v>0</v>
      </c>
      <c r="L14" s="8" t="str">
        <f>IFERROR(K14/K445, "NA")</f>
        <v>NA</v>
      </c>
      <c r="M14" s="9"/>
      <c r="N14" s="10">
        <f t="shared" si="1"/>
        <v>0</v>
      </c>
      <c r="O14" s="8" t="str">
        <f>IFERROR(N14/N445, "NA")</f>
        <v>NA</v>
      </c>
      <c r="P14" s="9"/>
      <c r="Q14" s="7">
        <v>0</v>
      </c>
      <c r="R14" s="8" t="str">
        <f>IFERROR(Q14/Q445, "NA")</f>
        <v>NA</v>
      </c>
      <c r="S14" s="9"/>
      <c r="T14" s="7">
        <v>0</v>
      </c>
      <c r="U14" s="8" t="str">
        <f>IFERROR(T14/T445, "NA")</f>
        <v>NA</v>
      </c>
      <c r="V14" s="9"/>
      <c r="W14" s="10">
        <f t="shared" si="2"/>
        <v>0</v>
      </c>
      <c r="X14" s="8" t="str">
        <f>IFERROR(W14/W445, "NA")</f>
        <v>NA</v>
      </c>
      <c r="Y14" s="9"/>
      <c r="Z14" s="7">
        <v>0</v>
      </c>
      <c r="AA14" s="8" t="str">
        <f>IFERROR(Z14/Z445, "NA")</f>
        <v>NA</v>
      </c>
      <c r="AB14" s="9"/>
      <c r="AC14" s="10">
        <f t="shared" si="3"/>
        <v>0</v>
      </c>
      <c r="AD14" s="8" t="str">
        <f>IFERROR(AC14/AC445,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IFERROR(B15/B445, "NA")</f>
        <v>NA</v>
      </c>
      <c r="D15" s="9"/>
      <c r="E15" s="7">
        <v>0</v>
      </c>
      <c r="F15" s="8" t="str">
        <f>IFERROR(E15/E445, "NA")</f>
        <v>NA</v>
      </c>
      <c r="G15" s="9"/>
      <c r="H15" s="10">
        <f t="shared" si="0"/>
        <v>0</v>
      </c>
      <c r="I15" s="8" t="str">
        <f>IFERROR(H15/H445, "NA")</f>
        <v>NA</v>
      </c>
      <c r="J15" s="9"/>
      <c r="K15" s="7">
        <v>0</v>
      </c>
      <c r="L15" s="8" t="str">
        <f>IFERROR(K15/K445, "NA")</f>
        <v>NA</v>
      </c>
      <c r="M15" s="9"/>
      <c r="N15" s="10">
        <f t="shared" si="1"/>
        <v>0</v>
      </c>
      <c r="O15" s="8" t="str">
        <f>IFERROR(N15/N445, "NA")</f>
        <v>NA</v>
      </c>
      <c r="P15" s="9"/>
      <c r="Q15" s="7">
        <v>0</v>
      </c>
      <c r="R15" s="8" t="str">
        <f>IFERROR(Q15/Q445, "NA")</f>
        <v>NA</v>
      </c>
      <c r="S15" s="9"/>
      <c r="T15" s="7">
        <v>0</v>
      </c>
      <c r="U15" s="8" t="str">
        <f>IFERROR(T15/T445, "NA")</f>
        <v>NA</v>
      </c>
      <c r="V15" s="9"/>
      <c r="W15" s="10">
        <f t="shared" si="2"/>
        <v>0</v>
      </c>
      <c r="X15" s="8" t="str">
        <f>IFERROR(W15/W445, "NA")</f>
        <v>NA</v>
      </c>
      <c r="Y15" s="9"/>
      <c r="Z15" s="7">
        <v>0</v>
      </c>
      <c r="AA15" s="8" t="str">
        <f>IFERROR(Z15/Z445, "NA")</f>
        <v>NA</v>
      </c>
      <c r="AB15" s="9"/>
      <c r="AC15" s="10">
        <f t="shared" si="3"/>
        <v>0</v>
      </c>
      <c r="AD15" s="8" t="str">
        <f>IFERROR(AC15/AC445,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IFERROR(B16/B445, "NA")</f>
        <v>NA</v>
      </c>
      <c r="D16" s="9"/>
      <c r="E16" s="7">
        <v>0</v>
      </c>
      <c r="F16" s="8" t="str">
        <f>IFERROR(E16/E445, "NA")</f>
        <v>NA</v>
      </c>
      <c r="G16" s="9"/>
      <c r="H16" s="10">
        <f t="shared" si="0"/>
        <v>0</v>
      </c>
      <c r="I16" s="8" t="str">
        <f>IFERROR(H16/H445, "NA")</f>
        <v>NA</v>
      </c>
      <c r="J16" s="9"/>
      <c r="K16" s="7">
        <v>0</v>
      </c>
      <c r="L16" s="8" t="str">
        <f>IFERROR(K16/K445, "NA")</f>
        <v>NA</v>
      </c>
      <c r="M16" s="9"/>
      <c r="N16" s="10">
        <f t="shared" si="1"/>
        <v>0</v>
      </c>
      <c r="O16" s="8" t="str">
        <f>IFERROR(N16/N445, "NA")</f>
        <v>NA</v>
      </c>
      <c r="P16" s="9"/>
      <c r="Q16" s="7">
        <v>0</v>
      </c>
      <c r="R16" s="8" t="str">
        <f>IFERROR(Q16/Q445, "NA")</f>
        <v>NA</v>
      </c>
      <c r="S16" s="9"/>
      <c r="T16" s="7">
        <v>0</v>
      </c>
      <c r="U16" s="8" t="str">
        <f>IFERROR(T16/T445, "NA")</f>
        <v>NA</v>
      </c>
      <c r="V16" s="9"/>
      <c r="W16" s="10">
        <f t="shared" si="2"/>
        <v>0</v>
      </c>
      <c r="X16" s="8" t="str">
        <f>IFERROR(W16/W445, "NA")</f>
        <v>NA</v>
      </c>
      <c r="Y16" s="9"/>
      <c r="Z16" s="7">
        <v>0</v>
      </c>
      <c r="AA16" s="8" t="str">
        <f>IFERROR(Z16/Z445, "NA")</f>
        <v>NA</v>
      </c>
      <c r="AB16" s="9"/>
      <c r="AC16" s="10">
        <f t="shared" si="3"/>
        <v>0</v>
      </c>
      <c r="AD16" s="8" t="str">
        <f>IFERROR(AC16/AC445,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IFERROR(B17/B445, "NA")</f>
        <v>NA</v>
      </c>
      <c r="D17" s="9"/>
      <c r="E17" s="7">
        <v>0</v>
      </c>
      <c r="F17" s="8" t="str">
        <f>IFERROR(E17/E445, "NA")</f>
        <v>NA</v>
      </c>
      <c r="G17" s="9"/>
      <c r="H17" s="10">
        <f t="shared" si="0"/>
        <v>0</v>
      </c>
      <c r="I17" s="8" t="str">
        <f>IFERROR(H17/H445, "NA")</f>
        <v>NA</v>
      </c>
      <c r="J17" s="9"/>
      <c r="K17" s="7">
        <v>0</v>
      </c>
      <c r="L17" s="8" t="str">
        <f>IFERROR(K17/K445, "NA")</f>
        <v>NA</v>
      </c>
      <c r="M17" s="9"/>
      <c r="N17" s="10">
        <f t="shared" si="1"/>
        <v>0</v>
      </c>
      <c r="O17" s="8" t="str">
        <f>IFERROR(N17/N445, "NA")</f>
        <v>NA</v>
      </c>
      <c r="P17" s="9"/>
      <c r="Q17" s="7">
        <v>0</v>
      </c>
      <c r="R17" s="8" t="str">
        <f>IFERROR(Q17/Q445, "NA")</f>
        <v>NA</v>
      </c>
      <c r="S17" s="9"/>
      <c r="T17" s="7">
        <v>0</v>
      </c>
      <c r="U17" s="8" t="str">
        <f>IFERROR(T17/T445, "NA")</f>
        <v>NA</v>
      </c>
      <c r="V17" s="9"/>
      <c r="W17" s="10">
        <f t="shared" si="2"/>
        <v>0</v>
      </c>
      <c r="X17" s="8" t="str">
        <f>IFERROR(W17/W445, "NA")</f>
        <v>NA</v>
      </c>
      <c r="Y17" s="9"/>
      <c r="Z17" s="7">
        <v>0</v>
      </c>
      <c r="AA17" s="8" t="str">
        <f>IFERROR(Z17/Z445, "NA")</f>
        <v>NA</v>
      </c>
      <c r="AB17" s="9"/>
      <c r="AC17" s="10">
        <f t="shared" si="3"/>
        <v>0</v>
      </c>
      <c r="AD17" s="8" t="str">
        <f>IFERROR(AC17/AC445,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IFERROR(B18/B445, "NA")</f>
        <v>NA</v>
      </c>
      <c r="D18" s="2"/>
      <c r="E18" s="14">
        <f>IFERROR(E10+E11+E12+E13+E14+E15+E16+E17, "NA")</f>
        <v>0</v>
      </c>
      <c r="F18" s="15" t="str">
        <f>IFERROR(E18/E445, "NA")</f>
        <v>NA</v>
      </c>
      <c r="G18" s="2"/>
      <c r="H18" s="14">
        <f t="shared" si="0"/>
        <v>0</v>
      </c>
      <c r="I18" s="15" t="str">
        <f>IFERROR(H18/H445, "NA")</f>
        <v>NA</v>
      </c>
      <c r="J18" s="2"/>
      <c r="K18" s="14">
        <f>IFERROR(K10+K11+K12+K13+K14+K15+K16+K17, "NA")</f>
        <v>0</v>
      </c>
      <c r="L18" s="15" t="str">
        <f>IFERROR(K18/K445, "NA")</f>
        <v>NA</v>
      </c>
      <c r="M18" s="2"/>
      <c r="N18" s="14">
        <f t="shared" si="1"/>
        <v>0</v>
      </c>
      <c r="O18" s="15" t="str">
        <f>IFERROR(N18/N445, "NA")</f>
        <v>NA</v>
      </c>
      <c r="P18" s="2"/>
      <c r="Q18" s="14">
        <f>IFERROR(Q10+Q11+Q12+Q13+Q14+Q15+Q16+Q17, "NA")</f>
        <v>0</v>
      </c>
      <c r="R18" s="15" t="str">
        <f>IFERROR(Q18/Q445, "NA")</f>
        <v>NA</v>
      </c>
      <c r="S18" s="2"/>
      <c r="T18" s="14">
        <f>IFERROR(T10+T11+T12+T13+T14+T15+T16+T17, "NA")</f>
        <v>0</v>
      </c>
      <c r="U18" s="15" t="str">
        <f>IFERROR(T18/T445, "NA")</f>
        <v>NA</v>
      </c>
      <c r="V18" s="2"/>
      <c r="W18" s="14">
        <f t="shared" si="2"/>
        <v>0</v>
      </c>
      <c r="X18" s="15" t="str">
        <f>IFERROR(W18/W445, "NA")</f>
        <v>NA</v>
      </c>
      <c r="Y18" s="2"/>
      <c r="Z18" s="14">
        <f>IFERROR(Z10+Z11+Z12+Z13+Z14+Z15+Z16+Z17, "NA")</f>
        <v>0</v>
      </c>
      <c r="AA18" s="15" t="str">
        <f>IFERROR(Z18/Z445, "NA")</f>
        <v>NA</v>
      </c>
      <c r="AB18" s="2"/>
      <c r="AC18" s="14">
        <f t="shared" si="3"/>
        <v>0</v>
      </c>
      <c r="AD18" s="15" t="str">
        <f>IFERROR(AC18/AC445,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IFERROR(B19/B445, "NA")</f>
        <v>NA</v>
      </c>
      <c r="D19" s="9"/>
      <c r="E19" s="7">
        <v>0</v>
      </c>
      <c r="F19" s="8" t="str">
        <f>IFERROR(E19/E445, "NA")</f>
        <v>NA</v>
      </c>
      <c r="G19" s="9"/>
      <c r="H19" s="10">
        <f t="shared" si="0"/>
        <v>0</v>
      </c>
      <c r="I19" s="8" t="str">
        <f>IFERROR(H19/H445, "NA")</f>
        <v>NA</v>
      </c>
      <c r="J19" s="9"/>
      <c r="K19" s="7">
        <v>0</v>
      </c>
      <c r="L19" s="8" t="str">
        <f>IFERROR(K19/K445, "NA")</f>
        <v>NA</v>
      </c>
      <c r="M19" s="9"/>
      <c r="N19" s="10">
        <f t="shared" si="1"/>
        <v>0</v>
      </c>
      <c r="O19" s="8" t="str">
        <f>IFERROR(N19/N445, "NA")</f>
        <v>NA</v>
      </c>
      <c r="P19" s="9"/>
      <c r="Q19" s="7">
        <v>0</v>
      </c>
      <c r="R19" s="8" t="str">
        <f>IFERROR(Q19/Q445, "NA")</f>
        <v>NA</v>
      </c>
      <c r="S19" s="9"/>
      <c r="T19" s="7">
        <v>0</v>
      </c>
      <c r="U19" s="8" t="str">
        <f>IFERROR(T19/T445, "NA")</f>
        <v>NA</v>
      </c>
      <c r="V19" s="9"/>
      <c r="W19" s="10">
        <f t="shared" si="2"/>
        <v>0</v>
      </c>
      <c r="X19" s="8" t="str">
        <f>IFERROR(W19/W445, "NA")</f>
        <v>NA</v>
      </c>
      <c r="Y19" s="9"/>
      <c r="Z19" s="7">
        <v>0</v>
      </c>
      <c r="AA19" s="8" t="str">
        <f>IFERROR(Z19/Z445, "NA")</f>
        <v>NA</v>
      </c>
      <c r="AB19" s="9"/>
      <c r="AC19" s="10">
        <f t="shared" si="3"/>
        <v>0</v>
      </c>
      <c r="AD19" s="8" t="str">
        <f>IFERROR(AC19/AC445,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IFERROR(B21/B445, "NA")</f>
        <v>NA</v>
      </c>
      <c r="D21" s="9"/>
      <c r="E21" s="7">
        <v>0</v>
      </c>
      <c r="F21" s="8" t="str">
        <f>IFERROR(E21/E445, "NA")</f>
        <v>NA</v>
      </c>
      <c r="G21" s="9"/>
      <c r="H21" s="10">
        <f t="shared" ref="H21:H29" si="4">IFERROR(B21-E21, "NA")</f>
        <v>0</v>
      </c>
      <c r="I21" s="8" t="str">
        <f>IFERROR(H21/H445, "NA")</f>
        <v>NA</v>
      </c>
      <c r="J21" s="9"/>
      <c r="K21" s="7">
        <v>0</v>
      </c>
      <c r="L21" s="8" t="str">
        <f>IFERROR(K21/K445, "NA")</f>
        <v>NA</v>
      </c>
      <c r="M21" s="9"/>
      <c r="N21" s="10">
        <f t="shared" ref="N21:N29" si="5">IFERROR(B21-K21, "NA")</f>
        <v>0</v>
      </c>
      <c r="O21" s="8" t="str">
        <f>IFERROR(N21/N445, "NA")</f>
        <v>NA</v>
      </c>
      <c r="P21" s="9"/>
      <c r="Q21" s="7">
        <v>0</v>
      </c>
      <c r="R21" s="8" t="str">
        <f>IFERROR(Q21/Q445, "NA")</f>
        <v>NA</v>
      </c>
      <c r="S21" s="9"/>
      <c r="T21" s="7">
        <v>0</v>
      </c>
      <c r="U21" s="8" t="str">
        <f>IFERROR(T21/T445, "NA")</f>
        <v>NA</v>
      </c>
      <c r="V21" s="9"/>
      <c r="W21" s="10">
        <f t="shared" ref="W21:W29" si="6">IFERROR(Q21-T21, "NA")</f>
        <v>0</v>
      </c>
      <c r="X21" s="8" t="str">
        <f>IFERROR(W21/W445, "NA")</f>
        <v>NA</v>
      </c>
      <c r="Y21" s="9"/>
      <c r="Z21" s="7">
        <v>0</v>
      </c>
      <c r="AA21" s="8" t="str">
        <f>IFERROR(Z21/Z445, "NA")</f>
        <v>NA</v>
      </c>
      <c r="AB21" s="9"/>
      <c r="AC21" s="10">
        <f t="shared" ref="AC21:AC29" si="7">IFERROR(Q21-Z21, "NA")</f>
        <v>0</v>
      </c>
      <c r="AD21" s="8" t="str">
        <f>IFERROR(AC21/AC445,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IFERROR(B22/B445, "NA")</f>
        <v>NA</v>
      </c>
      <c r="D22" s="9"/>
      <c r="E22" s="7">
        <v>0</v>
      </c>
      <c r="F22" s="8" t="str">
        <f>IFERROR(E22/E445, "NA")</f>
        <v>NA</v>
      </c>
      <c r="G22" s="9"/>
      <c r="H22" s="10">
        <f t="shared" si="4"/>
        <v>0</v>
      </c>
      <c r="I22" s="8" t="str">
        <f>IFERROR(H22/H445, "NA")</f>
        <v>NA</v>
      </c>
      <c r="J22" s="9"/>
      <c r="K22" s="7">
        <v>0</v>
      </c>
      <c r="L22" s="8" t="str">
        <f>IFERROR(K22/K445, "NA")</f>
        <v>NA</v>
      </c>
      <c r="M22" s="9"/>
      <c r="N22" s="10">
        <f t="shared" si="5"/>
        <v>0</v>
      </c>
      <c r="O22" s="8" t="str">
        <f>IFERROR(N22/N445, "NA")</f>
        <v>NA</v>
      </c>
      <c r="P22" s="9"/>
      <c r="Q22" s="7">
        <v>0</v>
      </c>
      <c r="R22" s="8" t="str">
        <f>IFERROR(Q22/Q445, "NA")</f>
        <v>NA</v>
      </c>
      <c r="S22" s="9"/>
      <c r="T22" s="7">
        <v>0</v>
      </c>
      <c r="U22" s="8" t="str">
        <f>IFERROR(T22/T445, "NA")</f>
        <v>NA</v>
      </c>
      <c r="V22" s="9"/>
      <c r="W22" s="10">
        <f t="shared" si="6"/>
        <v>0</v>
      </c>
      <c r="X22" s="8" t="str">
        <f>IFERROR(W22/W445, "NA")</f>
        <v>NA</v>
      </c>
      <c r="Y22" s="9"/>
      <c r="Z22" s="7">
        <v>0</v>
      </c>
      <c r="AA22" s="8" t="str">
        <f>IFERROR(Z22/Z445, "NA")</f>
        <v>NA</v>
      </c>
      <c r="AB22" s="9"/>
      <c r="AC22" s="10">
        <f t="shared" si="7"/>
        <v>0</v>
      </c>
      <c r="AD22" s="8" t="str">
        <f>IFERROR(AC22/AC445,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IFERROR(B23/B445, "NA")</f>
        <v>NA</v>
      </c>
      <c r="D23" s="9"/>
      <c r="E23" s="7">
        <v>0</v>
      </c>
      <c r="F23" s="8" t="str">
        <f>IFERROR(E23/E445, "NA")</f>
        <v>NA</v>
      </c>
      <c r="G23" s="9"/>
      <c r="H23" s="10">
        <f t="shared" si="4"/>
        <v>0</v>
      </c>
      <c r="I23" s="8" t="str">
        <f>IFERROR(H23/H445, "NA")</f>
        <v>NA</v>
      </c>
      <c r="J23" s="9"/>
      <c r="K23" s="7">
        <v>0</v>
      </c>
      <c r="L23" s="8" t="str">
        <f>IFERROR(K23/K445, "NA")</f>
        <v>NA</v>
      </c>
      <c r="M23" s="9"/>
      <c r="N23" s="10">
        <f t="shared" si="5"/>
        <v>0</v>
      </c>
      <c r="O23" s="8" t="str">
        <f>IFERROR(N23/N445, "NA")</f>
        <v>NA</v>
      </c>
      <c r="P23" s="9"/>
      <c r="Q23" s="7">
        <v>0</v>
      </c>
      <c r="R23" s="8" t="str">
        <f>IFERROR(Q23/Q445, "NA")</f>
        <v>NA</v>
      </c>
      <c r="S23" s="9"/>
      <c r="T23" s="7">
        <v>0</v>
      </c>
      <c r="U23" s="8" t="str">
        <f>IFERROR(T23/T445, "NA")</f>
        <v>NA</v>
      </c>
      <c r="V23" s="9"/>
      <c r="W23" s="10">
        <f t="shared" si="6"/>
        <v>0</v>
      </c>
      <c r="X23" s="8" t="str">
        <f>IFERROR(W23/W445, "NA")</f>
        <v>NA</v>
      </c>
      <c r="Y23" s="9"/>
      <c r="Z23" s="7">
        <v>0</v>
      </c>
      <c r="AA23" s="8" t="str">
        <f>IFERROR(Z23/Z445, "NA")</f>
        <v>NA</v>
      </c>
      <c r="AB23" s="9"/>
      <c r="AC23" s="10">
        <f t="shared" si="7"/>
        <v>0</v>
      </c>
      <c r="AD23" s="8" t="str">
        <f>IFERROR(AC23/AC445,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IFERROR(B24/B445, "NA")</f>
        <v>NA</v>
      </c>
      <c r="D24" s="9"/>
      <c r="E24" s="7">
        <v>0</v>
      </c>
      <c r="F24" s="8" t="str">
        <f>IFERROR(E24/E445, "NA")</f>
        <v>NA</v>
      </c>
      <c r="G24" s="9"/>
      <c r="H24" s="10">
        <f t="shared" si="4"/>
        <v>0</v>
      </c>
      <c r="I24" s="8" t="str">
        <f>IFERROR(H24/H445, "NA")</f>
        <v>NA</v>
      </c>
      <c r="J24" s="9"/>
      <c r="K24" s="7">
        <v>0</v>
      </c>
      <c r="L24" s="8" t="str">
        <f>IFERROR(K24/K445, "NA")</f>
        <v>NA</v>
      </c>
      <c r="M24" s="9"/>
      <c r="N24" s="10">
        <f t="shared" si="5"/>
        <v>0</v>
      </c>
      <c r="O24" s="8" t="str">
        <f>IFERROR(N24/N445, "NA")</f>
        <v>NA</v>
      </c>
      <c r="P24" s="9"/>
      <c r="Q24" s="7">
        <v>0</v>
      </c>
      <c r="R24" s="8" t="str">
        <f>IFERROR(Q24/Q445, "NA")</f>
        <v>NA</v>
      </c>
      <c r="S24" s="9"/>
      <c r="T24" s="7">
        <v>0</v>
      </c>
      <c r="U24" s="8" t="str">
        <f>IFERROR(T24/T445, "NA")</f>
        <v>NA</v>
      </c>
      <c r="V24" s="9"/>
      <c r="W24" s="10">
        <f t="shared" si="6"/>
        <v>0</v>
      </c>
      <c r="X24" s="8" t="str">
        <f>IFERROR(W24/W445, "NA")</f>
        <v>NA</v>
      </c>
      <c r="Y24" s="9"/>
      <c r="Z24" s="7">
        <v>0</v>
      </c>
      <c r="AA24" s="8" t="str">
        <f>IFERROR(Z24/Z445, "NA")</f>
        <v>NA</v>
      </c>
      <c r="AB24" s="9"/>
      <c r="AC24" s="10">
        <f t="shared" si="7"/>
        <v>0</v>
      </c>
      <c r="AD24" s="8" t="str">
        <f>IFERROR(AC24/AC445,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IFERROR(B25/B445, "NA")</f>
        <v>NA</v>
      </c>
      <c r="D25" s="9"/>
      <c r="E25" s="7">
        <v>0</v>
      </c>
      <c r="F25" s="8" t="str">
        <f>IFERROR(E25/E445, "NA")</f>
        <v>NA</v>
      </c>
      <c r="G25" s="9"/>
      <c r="H25" s="10">
        <f t="shared" si="4"/>
        <v>0</v>
      </c>
      <c r="I25" s="8" t="str">
        <f>IFERROR(H25/H445, "NA")</f>
        <v>NA</v>
      </c>
      <c r="J25" s="9"/>
      <c r="K25" s="7">
        <v>0</v>
      </c>
      <c r="L25" s="8" t="str">
        <f>IFERROR(K25/K445, "NA")</f>
        <v>NA</v>
      </c>
      <c r="M25" s="9"/>
      <c r="N25" s="10">
        <f t="shared" si="5"/>
        <v>0</v>
      </c>
      <c r="O25" s="8" t="str">
        <f>IFERROR(N25/N445, "NA")</f>
        <v>NA</v>
      </c>
      <c r="P25" s="9"/>
      <c r="Q25" s="7">
        <v>0</v>
      </c>
      <c r="R25" s="8" t="str">
        <f>IFERROR(Q25/Q445, "NA")</f>
        <v>NA</v>
      </c>
      <c r="S25" s="9"/>
      <c r="T25" s="7">
        <v>0</v>
      </c>
      <c r="U25" s="8" t="str">
        <f>IFERROR(T25/T445, "NA")</f>
        <v>NA</v>
      </c>
      <c r="V25" s="9"/>
      <c r="W25" s="10">
        <f t="shared" si="6"/>
        <v>0</v>
      </c>
      <c r="X25" s="8" t="str">
        <f>IFERROR(W25/W445, "NA")</f>
        <v>NA</v>
      </c>
      <c r="Y25" s="9"/>
      <c r="Z25" s="7">
        <v>0</v>
      </c>
      <c r="AA25" s="8" t="str">
        <f>IFERROR(Z25/Z445, "NA")</f>
        <v>NA</v>
      </c>
      <c r="AB25" s="9"/>
      <c r="AC25" s="10">
        <f t="shared" si="7"/>
        <v>0</v>
      </c>
      <c r="AD25" s="8" t="str">
        <f>IFERROR(AC25/AC445,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IFERROR(B26/B445, "NA")</f>
        <v>NA</v>
      </c>
      <c r="D26" s="9"/>
      <c r="E26" s="7">
        <v>0</v>
      </c>
      <c r="F26" s="8" t="str">
        <f>IFERROR(E26/E445, "NA")</f>
        <v>NA</v>
      </c>
      <c r="G26" s="9"/>
      <c r="H26" s="10">
        <f t="shared" si="4"/>
        <v>0</v>
      </c>
      <c r="I26" s="8" t="str">
        <f>IFERROR(H26/H445, "NA")</f>
        <v>NA</v>
      </c>
      <c r="J26" s="9"/>
      <c r="K26" s="7">
        <v>0</v>
      </c>
      <c r="L26" s="8" t="str">
        <f>IFERROR(K26/K445, "NA")</f>
        <v>NA</v>
      </c>
      <c r="M26" s="9"/>
      <c r="N26" s="10">
        <f t="shared" si="5"/>
        <v>0</v>
      </c>
      <c r="O26" s="8" t="str">
        <f>IFERROR(N26/N445, "NA")</f>
        <v>NA</v>
      </c>
      <c r="P26" s="9"/>
      <c r="Q26" s="7">
        <v>0</v>
      </c>
      <c r="R26" s="8" t="str">
        <f>IFERROR(Q26/Q445, "NA")</f>
        <v>NA</v>
      </c>
      <c r="S26" s="9"/>
      <c r="T26" s="7">
        <v>0</v>
      </c>
      <c r="U26" s="8" t="str">
        <f>IFERROR(T26/T445, "NA")</f>
        <v>NA</v>
      </c>
      <c r="V26" s="9"/>
      <c r="W26" s="10">
        <f t="shared" si="6"/>
        <v>0</v>
      </c>
      <c r="X26" s="8" t="str">
        <f>IFERROR(W26/W445, "NA")</f>
        <v>NA</v>
      </c>
      <c r="Y26" s="9"/>
      <c r="Z26" s="7">
        <v>0</v>
      </c>
      <c r="AA26" s="8" t="str">
        <f>IFERROR(Z26/Z445, "NA")</f>
        <v>NA</v>
      </c>
      <c r="AB26" s="9"/>
      <c r="AC26" s="10">
        <f t="shared" si="7"/>
        <v>0</v>
      </c>
      <c r="AD26" s="8" t="str">
        <f>IFERROR(AC26/AC445,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IFERROR(B27/B445, "NA")</f>
        <v>NA</v>
      </c>
      <c r="D27" s="9"/>
      <c r="E27" s="7">
        <v>0</v>
      </c>
      <c r="F27" s="8" t="str">
        <f>IFERROR(E27/E445, "NA")</f>
        <v>NA</v>
      </c>
      <c r="G27" s="9"/>
      <c r="H27" s="10">
        <f t="shared" si="4"/>
        <v>0</v>
      </c>
      <c r="I27" s="8" t="str">
        <f>IFERROR(H27/H445, "NA")</f>
        <v>NA</v>
      </c>
      <c r="J27" s="9"/>
      <c r="K27" s="7">
        <v>0</v>
      </c>
      <c r="L27" s="8" t="str">
        <f>IFERROR(K27/K445, "NA")</f>
        <v>NA</v>
      </c>
      <c r="M27" s="9"/>
      <c r="N27" s="10">
        <f t="shared" si="5"/>
        <v>0</v>
      </c>
      <c r="O27" s="8" t="str">
        <f>IFERROR(N27/N445, "NA")</f>
        <v>NA</v>
      </c>
      <c r="P27" s="9"/>
      <c r="Q27" s="7">
        <v>0</v>
      </c>
      <c r="R27" s="8" t="str">
        <f>IFERROR(Q27/Q445, "NA")</f>
        <v>NA</v>
      </c>
      <c r="S27" s="9"/>
      <c r="T27" s="7">
        <v>0</v>
      </c>
      <c r="U27" s="8" t="str">
        <f>IFERROR(T27/T445, "NA")</f>
        <v>NA</v>
      </c>
      <c r="V27" s="9"/>
      <c r="W27" s="10">
        <f t="shared" si="6"/>
        <v>0</v>
      </c>
      <c r="X27" s="8" t="str">
        <f>IFERROR(W27/W445, "NA")</f>
        <v>NA</v>
      </c>
      <c r="Y27" s="9"/>
      <c r="Z27" s="7">
        <v>0</v>
      </c>
      <c r="AA27" s="8" t="str">
        <f>IFERROR(Z27/Z445, "NA")</f>
        <v>NA</v>
      </c>
      <c r="AB27" s="9"/>
      <c r="AC27" s="10">
        <f t="shared" si="7"/>
        <v>0</v>
      </c>
      <c r="AD27" s="8" t="str">
        <f>IFERROR(AC27/AC445,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IFERROR(B28/B445, "NA")</f>
        <v>NA</v>
      </c>
      <c r="D28" s="9"/>
      <c r="E28" s="7">
        <v>0</v>
      </c>
      <c r="F28" s="8" t="str">
        <f>IFERROR(E28/E445, "NA")</f>
        <v>NA</v>
      </c>
      <c r="G28" s="9"/>
      <c r="H28" s="10">
        <f t="shared" si="4"/>
        <v>0</v>
      </c>
      <c r="I28" s="8" t="str">
        <f>IFERROR(H28/H445, "NA")</f>
        <v>NA</v>
      </c>
      <c r="J28" s="9"/>
      <c r="K28" s="7">
        <v>0</v>
      </c>
      <c r="L28" s="8" t="str">
        <f>IFERROR(K28/K445, "NA")</f>
        <v>NA</v>
      </c>
      <c r="M28" s="9"/>
      <c r="N28" s="10">
        <f t="shared" si="5"/>
        <v>0</v>
      </c>
      <c r="O28" s="8" t="str">
        <f>IFERROR(N28/N445, "NA")</f>
        <v>NA</v>
      </c>
      <c r="P28" s="9"/>
      <c r="Q28" s="7">
        <v>0</v>
      </c>
      <c r="R28" s="8" t="str">
        <f>IFERROR(Q28/Q445, "NA")</f>
        <v>NA</v>
      </c>
      <c r="S28" s="9"/>
      <c r="T28" s="7">
        <v>0</v>
      </c>
      <c r="U28" s="8" t="str">
        <f>IFERROR(T28/T445, "NA")</f>
        <v>NA</v>
      </c>
      <c r="V28" s="9"/>
      <c r="W28" s="10">
        <f t="shared" si="6"/>
        <v>0</v>
      </c>
      <c r="X28" s="8" t="str">
        <f>IFERROR(W28/W445, "NA")</f>
        <v>NA</v>
      </c>
      <c r="Y28" s="9"/>
      <c r="Z28" s="7">
        <v>0</v>
      </c>
      <c r="AA28" s="8" t="str">
        <f>IFERROR(Z28/Z445, "NA")</f>
        <v>NA</v>
      </c>
      <c r="AB28" s="9"/>
      <c r="AC28" s="10">
        <f t="shared" si="7"/>
        <v>0</v>
      </c>
      <c r="AD28" s="8" t="str">
        <f>IFERROR(AC28/AC445,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IFERROR(B29/B445, "NA")</f>
        <v>NA</v>
      </c>
      <c r="D29" s="2"/>
      <c r="E29" s="14">
        <f>IFERROR(E21+E22+E23+E24+E25+E26+E27+E28, "NA")</f>
        <v>0</v>
      </c>
      <c r="F29" s="15" t="str">
        <f>IFERROR(E29/E445, "NA")</f>
        <v>NA</v>
      </c>
      <c r="G29" s="2"/>
      <c r="H29" s="14">
        <f t="shared" si="4"/>
        <v>0</v>
      </c>
      <c r="I29" s="15" t="str">
        <f>IFERROR(H29/H445, "NA")</f>
        <v>NA</v>
      </c>
      <c r="J29" s="2"/>
      <c r="K29" s="14">
        <f>IFERROR(K21+K22+K23+K24+K25+K26+K27+K28, "NA")</f>
        <v>0</v>
      </c>
      <c r="L29" s="15" t="str">
        <f>IFERROR(K29/K445, "NA")</f>
        <v>NA</v>
      </c>
      <c r="M29" s="2"/>
      <c r="N29" s="14">
        <f t="shared" si="5"/>
        <v>0</v>
      </c>
      <c r="O29" s="15" t="str">
        <f>IFERROR(N29/N445, "NA")</f>
        <v>NA</v>
      </c>
      <c r="P29" s="2"/>
      <c r="Q29" s="14">
        <f>IFERROR(Q21+Q22+Q23+Q24+Q25+Q26+Q27+Q28, "NA")</f>
        <v>0</v>
      </c>
      <c r="R29" s="15" t="str">
        <f>IFERROR(Q29/Q445, "NA")</f>
        <v>NA</v>
      </c>
      <c r="S29" s="2"/>
      <c r="T29" s="14">
        <f>IFERROR(T21+T22+T23+T24+T25+T26+T27+T28, "NA")</f>
        <v>0</v>
      </c>
      <c r="U29" s="15" t="str">
        <f>IFERROR(T29/T445, "NA")</f>
        <v>NA</v>
      </c>
      <c r="V29" s="2"/>
      <c r="W29" s="14">
        <f t="shared" si="6"/>
        <v>0</v>
      </c>
      <c r="X29" s="15" t="str">
        <f>IFERROR(W29/W445, "NA")</f>
        <v>NA</v>
      </c>
      <c r="Y29" s="2"/>
      <c r="Z29" s="14">
        <f>IFERROR(Z21+Z22+Z23+Z24+Z25+Z26+Z27+Z28, "NA")</f>
        <v>0</v>
      </c>
      <c r="AA29" s="15" t="str">
        <f>IFERROR(Z29/Z445, "NA")</f>
        <v>NA</v>
      </c>
      <c r="AB29" s="2"/>
      <c r="AC29" s="14">
        <f t="shared" si="7"/>
        <v>0</v>
      </c>
      <c r="AD29" s="15" t="str">
        <f>IFERROR(AC29/AC445,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IFERROR(B31/B445, "NA")</f>
        <v>NA</v>
      </c>
      <c r="D31" s="9"/>
      <c r="E31" s="7">
        <v>0</v>
      </c>
      <c r="F31" s="8" t="str">
        <f>IFERROR(E31/E445, "NA")</f>
        <v>NA</v>
      </c>
      <c r="G31" s="9"/>
      <c r="H31" s="10">
        <f t="shared" ref="H31:H40" si="8">IFERROR(B31-E31, "NA")</f>
        <v>0</v>
      </c>
      <c r="I31" s="8" t="str">
        <f>IFERROR(H31/H445, "NA")</f>
        <v>NA</v>
      </c>
      <c r="J31" s="9"/>
      <c r="K31" s="7">
        <v>0</v>
      </c>
      <c r="L31" s="8" t="str">
        <f>IFERROR(K31/K445, "NA")</f>
        <v>NA</v>
      </c>
      <c r="M31" s="9"/>
      <c r="N31" s="10">
        <f t="shared" ref="N31:N40" si="9">IFERROR(B31-K31, "NA")</f>
        <v>0</v>
      </c>
      <c r="O31" s="8" t="str">
        <f>IFERROR(N31/N445, "NA")</f>
        <v>NA</v>
      </c>
      <c r="P31" s="9"/>
      <c r="Q31" s="7">
        <v>0</v>
      </c>
      <c r="R31" s="8" t="str">
        <f>IFERROR(Q31/Q445, "NA")</f>
        <v>NA</v>
      </c>
      <c r="S31" s="9"/>
      <c r="T31" s="7">
        <v>0</v>
      </c>
      <c r="U31" s="8" t="str">
        <f>IFERROR(T31/T445, "NA")</f>
        <v>NA</v>
      </c>
      <c r="V31" s="9"/>
      <c r="W31" s="10">
        <f t="shared" ref="W31:W40" si="10">IFERROR(Q31-T31, "NA")</f>
        <v>0</v>
      </c>
      <c r="X31" s="8" t="str">
        <f>IFERROR(W31/W445, "NA")</f>
        <v>NA</v>
      </c>
      <c r="Y31" s="9"/>
      <c r="Z31" s="7">
        <v>0</v>
      </c>
      <c r="AA31" s="8" t="str">
        <f>IFERROR(Z31/Z445, "NA")</f>
        <v>NA</v>
      </c>
      <c r="AB31" s="9"/>
      <c r="AC31" s="10">
        <f t="shared" ref="AC31:AC40" si="11">IFERROR(Q31-Z31, "NA")</f>
        <v>0</v>
      </c>
      <c r="AD31" s="8" t="str">
        <f>IFERROR(AC31/AC445,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IFERROR(B32/B445, "NA")</f>
        <v>NA</v>
      </c>
      <c r="D32" s="9"/>
      <c r="E32" s="7">
        <v>0</v>
      </c>
      <c r="F32" s="8" t="str">
        <f>IFERROR(E32/E445, "NA")</f>
        <v>NA</v>
      </c>
      <c r="G32" s="9"/>
      <c r="H32" s="10">
        <f t="shared" si="8"/>
        <v>0</v>
      </c>
      <c r="I32" s="8" t="str">
        <f>IFERROR(H32/H445, "NA")</f>
        <v>NA</v>
      </c>
      <c r="J32" s="9"/>
      <c r="K32" s="7">
        <v>0</v>
      </c>
      <c r="L32" s="8" t="str">
        <f>IFERROR(K32/K445, "NA")</f>
        <v>NA</v>
      </c>
      <c r="M32" s="9"/>
      <c r="N32" s="10">
        <f t="shared" si="9"/>
        <v>0</v>
      </c>
      <c r="O32" s="8" t="str">
        <f>IFERROR(N32/N445, "NA")</f>
        <v>NA</v>
      </c>
      <c r="P32" s="9"/>
      <c r="Q32" s="7">
        <v>0</v>
      </c>
      <c r="R32" s="8" t="str">
        <f>IFERROR(Q32/Q445, "NA")</f>
        <v>NA</v>
      </c>
      <c r="S32" s="9"/>
      <c r="T32" s="7">
        <v>0</v>
      </c>
      <c r="U32" s="8" t="str">
        <f>IFERROR(T32/T445, "NA")</f>
        <v>NA</v>
      </c>
      <c r="V32" s="9"/>
      <c r="W32" s="10">
        <f t="shared" si="10"/>
        <v>0</v>
      </c>
      <c r="X32" s="8" t="str">
        <f>IFERROR(W32/W445, "NA")</f>
        <v>NA</v>
      </c>
      <c r="Y32" s="9"/>
      <c r="Z32" s="7">
        <v>0</v>
      </c>
      <c r="AA32" s="8" t="str">
        <f>IFERROR(Z32/Z445, "NA")</f>
        <v>NA</v>
      </c>
      <c r="AB32" s="9"/>
      <c r="AC32" s="10">
        <f t="shared" si="11"/>
        <v>0</v>
      </c>
      <c r="AD32" s="8" t="str">
        <f>IFERROR(AC32/AC445,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IFERROR(B33/B445, "NA")</f>
        <v>NA</v>
      </c>
      <c r="D33" s="9"/>
      <c r="E33" s="7">
        <v>0</v>
      </c>
      <c r="F33" s="8" t="str">
        <f>IFERROR(E33/E445, "NA")</f>
        <v>NA</v>
      </c>
      <c r="G33" s="9"/>
      <c r="H33" s="10">
        <f t="shared" si="8"/>
        <v>0</v>
      </c>
      <c r="I33" s="8" t="str">
        <f>IFERROR(H33/H445, "NA")</f>
        <v>NA</v>
      </c>
      <c r="J33" s="9"/>
      <c r="K33" s="7">
        <v>0</v>
      </c>
      <c r="L33" s="8" t="str">
        <f>IFERROR(K33/K445, "NA")</f>
        <v>NA</v>
      </c>
      <c r="M33" s="9"/>
      <c r="N33" s="10">
        <f t="shared" si="9"/>
        <v>0</v>
      </c>
      <c r="O33" s="8" t="str">
        <f>IFERROR(N33/N445, "NA")</f>
        <v>NA</v>
      </c>
      <c r="P33" s="9"/>
      <c r="Q33" s="7">
        <v>0</v>
      </c>
      <c r="R33" s="8" t="str">
        <f>IFERROR(Q33/Q445, "NA")</f>
        <v>NA</v>
      </c>
      <c r="S33" s="9"/>
      <c r="T33" s="7">
        <v>0</v>
      </c>
      <c r="U33" s="8" t="str">
        <f>IFERROR(T33/T445, "NA")</f>
        <v>NA</v>
      </c>
      <c r="V33" s="9"/>
      <c r="W33" s="10">
        <f t="shared" si="10"/>
        <v>0</v>
      </c>
      <c r="X33" s="8" t="str">
        <f>IFERROR(W33/W445, "NA")</f>
        <v>NA</v>
      </c>
      <c r="Y33" s="9"/>
      <c r="Z33" s="7">
        <v>0</v>
      </c>
      <c r="AA33" s="8" t="str">
        <f>IFERROR(Z33/Z445, "NA")</f>
        <v>NA</v>
      </c>
      <c r="AB33" s="9"/>
      <c r="AC33" s="10">
        <f t="shared" si="11"/>
        <v>0</v>
      </c>
      <c r="AD33" s="8" t="str">
        <f>IFERROR(AC33/AC445,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IFERROR(B34/B445, "NA")</f>
        <v>NA</v>
      </c>
      <c r="D34" s="9"/>
      <c r="E34" s="7">
        <v>0</v>
      </c>
      <c r="F34" s="8" t="str">
        <f>IFERROR(E34/E445, "NA")</f>
        <v>NA</v>
      </c>
      <c r="G34" s="9"/>
      <c r="H34" s="10">
        <f t="shared" si="8"/>
        <v>0</v>
      </c>
      <c r="I34" s="8" t="str">
        <f>IFERROR(H34/H445, "NA")</f>
        <v>NA</v>
      </c>
      <c r="J34" s="9"/>
      <c r="K34" s="7">
        <v>0</v>
      </c>
      <c r="L34" s="8" t="str">
        <f>IFERROR(K34/K445, "NA")</f>
        <v>NA</v>
      </c>
      <c r="M34" s="9"/>
      <c r="N34" s="10">
        <f t="shared" si="9"/>
        <v>0</v>
      </c>
      <c r="O34" s="8" t="str">
        <f>IFERROR(N34/N445, "NA")</f>
        <v>NA</v>
      </c>
      <c r="P34" s="9"/>
      <c r="Q34" s="7">
        <v>0</v>
      </c>
      <c r="R34" s="8" t="str">
        <f>IFERROR(Q34/Q445, "NA")</f>
        <v>NA</v>
      </c>
      <c r="S34" s="9"/>
      <c r="T34" s="7">
        <v>0</v>
      </c>
      <c r="U34" s="8" t="str">
        <f>IFERROR(T34/T445, "NA")</f>
        <v>NA</v>
      </c>
      <c r="V34" s="9"/>
      <c r="W34" s="10">
        <f t="shared" si="10"/>
        <v>0</v>
      </c>
      <c r="X34" s="8" t="str">
        <f>IFERROR(W34/W445, "NA")</f>
        <v>NA</v>
      </c>
      <c r="Y34" s="9"/>
      <c r="Z34" s="7">
        <v>0</v>
      </c>
      <c r="AA34" s="8" t="str">
        <f>IFERROR(Z34/Z445, "NA")</f>
        <v>NA</v>
      </c>
      <c r="AB34" s="9"/>
      <c r="AC34" s="10">
        <f t="shared" si="11"/>
        <v>0</v>
      </c>
      <c r="AD34" s="8" t="str">
        <f>IFERROR(AC34/AC445,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IFERROR(B35/B445, "NA")</f>
        <v>NA</v>
      </c>
      <c r="D35" s="9"/>
      <c r="E35" s="7">
        <v>0</v>
      </c>
      <c r="F35" s="8" t="str">
        <f>IFERROR(E35/E445, "NA")</f>
        <v>NA</v>
      </c>
      <c r="G35" s="9"/>
      <c r="H35" s="10">
        <f t="shared" si="8"/>
        <v>0</v>
      </c>
      <c r="I35" s="8" t="str">
        <f>IFERROR(H35/H445, "NA")</f>
        <v>NA</v>
      </c>
      <c r="J35" s="9"/>
      <c r="K35" s="7">
        <v>0</v>
      </c>
      <c r="L35" s="8" t="str">
        <f>IFERROR(K35/K445, "NA")</f>
        <v>NA</v>
      </c>
      <c r="M35" s="9"/>
      <c r="N35" s="10">
        <f t="shared" si="9"/>
        <v>0</v>
      </c>
      <c r="O35" s="8" t="str">
        <f>IFERROR(N35/N445, "NA")</f>
        <v>NA</v>
      </c>
      <c r="P35" s="9"/>
      <c r="Q35" s="7">
        <v>0</v>
      </c>
      <c r="R35" s="8" t="str">
        <f>IFERROR(Q35/Q445, "NA")</f>
        <v>NA</v>
      </c>
      <c r="S35" s="9"/>
      <c r="T35" s="7">
        <v>0</v>
      </c>
      <c r="U35" s="8" t="str">
        <f>IFERROR(T35/T445, "NA")</f>
        <v>NA</v>
      </c>
      <c r="V35" s="9"/>
      <c r="W35" s="10">
        <f t="shared" si="10"/>
        <v>0</v>
      </c>
      <c r="X35" s="8" t="str">
        <f>IFERROR(W35/W445, "NA")</f>
        <v>NA</v>
      </c>
      <c r="Y35" s="9"/>
      <c r="Z35" s="7">
        <v>0</v>
      </c>
      <c r="AA35" s="8" t="str">
        <f>IFERROR(Z35/Z445, "NA")</f>
        <v>NA</v>
      </c>
      <c r="AB35" s="9"/>
      <c r="AC35" s="10">
        <f t="shared" si="11"/>
        <v>0</v>
      </c>
      <c r="AD35" s="8" t="str">
        <f>IFERROR(AC35/AC445,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IFERROR(B36/B445, "NA")</f>
        <v>NA</v>
      </c>
      <c r="D36" s="9"/>
      <c r="E36" s="7">
        <v>0</v>
      </c>
      <c r="F36" s="8" t="str">
        <f>IFERROR(E36/E445, "NA")</f>
        <v>NA</v>
      </c>
      <c r="G36" s="9"/>
      <c r="H36" s="10">
        <f t="shared" si="8"/>
        <v>0</v>
      </c>
      <c r="I36" s="8" t="str">
        <f>IFERROR(H36/H445, "NA")</f>
        <v>NA</v>
      </c>
      <c r="J36" s="9"/>
      <c r="K36" s="7">
        <v>0</v>
      </c>
      <c r="L36" s="8" t="str">
        <f>IFERROR(K36/K445, "NA")</f>
        <v>NA</v>
      </c>
      <c r="M36" s="9"/>
      <c r="N36" s="10">
        <f t="shared" si="9"/>
        <v>0</v>
      </c>
      <c r="O36" s="8" t="str">
        <f>IFERROR(N36/N445, "NA")</f>
        <v>NA</v>
      </c>
      <c r="P36" s="9"/>
      <c r="Q36" s="7">
        <v>0</v>
      </c>
      <c r="R36" s="8" t="str">
        <f>IFERROR(Q36/Q445, "NA")</f>
        <v>NA</v>
      </c>
      <c r="S36" s="9"/>
      <c r="T36" s="7">
        <v>0</v>
      </c>
      <c r="U36" s="8" t="str">
        <f>IFERROR(T36/T445, "NA")</f>
        <v>NA</v>
      </c>
      <c r="V36" s="9"/>
      <c r="W36" s="10">
        <f t="shared" si="10"/>
        <v>0</v>
      </c>
      <c r="X36" s="8" t="str">
        <f>IFERROR(W36/W445, "NA")</f>
        <v>NA</v>
      </c>
      <c r="Y36" s="9"/>
      <c r="Z36" s="7">
        <v>0</v>
      </c>
      <c r="AA36" s="8" t="str">
        <f>IFERROR(Z36/Z445, "NA")</f>
        <v>NA</v>
      </c>
      <c r="AB36" s="9"/>
      <c r="AC36" s="10">
        <f t="shared" si="11"/>
        <v>0</v>
      </c>
      <c r="AD36" s="8" t="str">
        <f>IFERROR(AC36/AC445,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IFERROR(B37/B445, "NA")</f>
        <v>NA</v>
      </c>
      <c r="D37" s="9"/>
      <c r="E37" s="7">
        <v>0</v>
      </c>
      <c r="F37" s="8" t="str">
        <f>IFERROR(E37/E445, "NA")</f>
        <v>NA</v>
      </c>
      <c r="G37" s="9"/>
      <c r="H37" s="10">
        <f t="shared" si="8"/>
        <v>0</v>
      </c>
      <c r="I37" s="8" t="str">
        <f>IFERROR(H37/H445, "NA")</f>
        <v>NA</v>
      </c>
      <c r="J37" s="9"/>
      <c r="K37" s="7">
        <v>0</v>
      </c>
      <c r="L37" s="8" t="str">
        <f>IFERROR(K37/K445, "NA")</f>
        <v>NA</v>
      </c>
      <c r="M37" s="9"/>
      <c r="N37" s="10">
        <f t="shared" si="9"/>
        <v>0</v>
      </c>
      <c r="O37" s="8" t="str">
        <f>IFERROR(N37/N445, "NA")</f>
        <v>NA</v>
      </c>
      <c r="P37" s="9"/>
      <c r="Q37" s="7">
        <v>0</v>
      </c>
      <c r="R37" s="8" t="str">
        <f>IFERROR(Q37/Q445, "NA")</f>
        <v>NA</v>
      </c>
      <c r="S37" s="9"/>
      <c r="T37" s="7">
        <v>0</v>
      </c>
      <c r="U37" s="8" t="str">
        <f>IFERROR(T37/T445, "NA")</f>
        <v>NA</v>
      </c>
      <c r="V37" s="9"/>
      <c r="W37" s="10">
        <f t="shared" si="10"/>
        <v>0</v>
      </c>
      <c r="X37" s="8" t="str">
        <f>IFERROR(W37/W445, "NA")</f>
        <v>NA</v>
      </c>
      <c r="Y37" s="9"/>
      <c r="Z37" s="7">
        <v>0</v>
      </c>
      <c r="AA37" s="8" t="str">
        <f>IFERROR(Z37/Z445, "NA")</f>
        <v>NA</v>
      </c>
      <c r="AB37" s="9"/>
      <c r="AC37" s="10">
        <f t="shared" si="11"/>
        <v>0</v>
      </c>
      <c r="AD37" s="8" t="str">
        <f>IFERROR(AC37/AC445,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IFERROR(B38/B445, "NA")</f>
        <v>NA</v>
      </c>
      <c r="D38" s="9"/>
      <c r="E38" s="7">
        <v>0</v>
      </c>
      <c r="F38" s="8" t="str">
        <f>IFERROR(E38/E445, "NA")</f>
        <v>NA</v>
      </c>
      <c r="G38" s="9"/>
      <c r="H38" s="10">
        <f t="shared" si="8"/>
        <v>0</v>
      </c>
      <c r="I38" s="8" t="str">
        <f>IFERROR(H38/H445, "NA")</f>
        <v>NA</v>
      </c>
      <c r="J38" s="9"/>
      <c r="K38" s="7">
        <v>0</v>
      </c>
      <c r="L38" s="8" t="str">
        <f>IFERROR(K38/K445, "NA")</f>
        <v>NA</v>
      </c>
      <c r="M38" s="9"/>
      <c r="N38" s="10">
        <f t="shared" si="9"/>
        <v>0</v>
      </c>
      <c r="O38" s="8" t="str">
        <f>IFERROR(N38/N445, "NA")</f>
        <v>NA</v>
      </c>
      <c r="P38" s="9"/>
      <c r="Q38" s="7">
        <v>0</v>
      </c>
      <c r="R38" s="8" t="str">
        <f>IFERROR(Q38/Q445, "NA")</f>
        <v>NA</v>
      </c>
      <c r="S38" s="9"/>
      <c r="T38" s="7">
        <v>0</v>
      </c>
      <c r="U38" s="8" t="str">
        <f>IFERROR(T38/T445, "NA")</f>
        <v>NA</v>
      </c>
      <c r="V38" s="9"/>
      <c r="W38" s="10">
        <f t="shared" si="10"/>
        <v>0</v>
      </c>
      <c r="X38" s="8" t="str">
        <f>IFERROR(W38/W445, "NA")</f>
        <v>NA</v>
      </c>
      <c r="Y38" s="9"/>
      <c r="Z38" s="7">
        <v>0</v>
      </c>
      <c r="AA38" s="8" t="str">
        <f>IFERROR(Z38/Z445, "NA")</f>
        <v>NA</v>
      </c>
      <c r="AB38" s="9"/>
      <c r="AC38" s="10">
        <f t="shared" si="11"/>
        <v>0</v>
      </c>
      <c r="AD38" s="8" t="str">
        <f>IFERROR(AC38/AC445,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IFERROR(B39/B445, "NA")</f>
        <v>NA</v>
      </c>
      <c r="D39" s="9"/>
      <c r="E39" s="7">
        <v>0</v>
      </c>
      <c r="F39" s="8" t="str">
        <f>IFERROR(E39/E445, "NA")</f>
        <v>NA</v>
      </c>
      <c r="G39" s="9"/>
      <c r="H39" s="10">
        <f t="shared" si="8"/>
        <v>0</v>
      </c>
      <c r="I39" s="8" t="str">
        <f>IFERROR(H39/H445, "NA")</f>
        <v>NA</v>
      </c>
      <c r="J39" s="9"/>
      <c r="K39" s="7">
        <v>0</v>
      </c>
      <c r="L39" s="8" t="str">
        <f>IFERROR(K39/K445, "NA")</f>
        <v>NA</v>
      </c>
      <c r="M39" s="9"/>
      <c r="N39" s="10">
        <f t="shared" si="9"/>
        <v>0</v>
      </c>
      <c r="O39" s="8" t="str">
        <f>IFERROR(N39/N445, "NA")</f>
        <v>NA</v>
      </c>
      <c r="P39" s="9"/>
      <c r="Q39" s="7">
        <v>0</v>
      </c>
      <c r="R39" s="8" t="str">
        <f>IFERROR(Q39/Q445, "NA")</f>
        <v>NA</v>
      </c>
      <c r="S39" s="9"/>
      <c r="T39" s="7">
        <v>0</v>
      </c>
      <c r="U39" s="8" t="str">
        <f>IFERROR(T39/T445, "NA")</f>
        <v>NA</v>
      </c>
      <c r="V39" s="9"/>
      <c r="W39" s="10">
        <f t="shared" si="10"/>
        <v>0</v>
      </c>
      <c r="X39" s="8" t="str">
        <f>IFERROR(W39/W445, "NA")</f>
        <v>NA</v>
      </c>
      <c r="Y39" s="9"/>
      <c r="Z39" s="7">
        <v>0</v>
      </c>
      <c r="AA39" s="8" t="str">
        <f>IFERROR(Z39/Z445, "NA")</f>
        <v>NA</v>
      </c>
      <c r="AB39" s="9"/>
      <c r="AC39" s="10">
        <f t="shared" si="11"/>
        <v>0</v>
      </c>
      <c r="AD39" s="8" t="str">
        <f>IFERROR(AC39/AC445,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IFERROR(B40/B445, "NA")</f>
        <v>NA</v>
      </c>
      <c r="D40" s="2"/>
      <c r="E40" s="14">
        <f>IFERROR(E31+E32+E33+E34+E35+E36+E37+E38+E39, "NA")</f>
        <v>0</v>
      </c>
      <c r="F40" s="15" t="str">
        <f>IFERROR(E40/E445, "NA")</f>
        <v>NA</v>
      </c>
      <c r="G40" s="2"/>
      <c r="H40" s="14">
        <f t="shared" si="8"/>
        <v>0</v>
      </c>
      <c r="I40" s="15" t="str">
        <f>IFERROR(H40/H445, "NA")</f>
        <v>NA</v>
      </c>
      <c r="J40" s="2"/>
      <c r="K40" s="14">
        <f>IFERROR(K31+K32+K33+K34+K35+K36+K37+K38+K39, "NA")</f>
        <v>0</v>
      </c>
      <c r="L40" s="15" t="str">
        <f>IFERROR(K40/K445, "NA")</f>
        <v>NA</v>
      </c>
      <c r="M40" s="2"/>
      <c r="N40" s="14">
        <f t="shared" si="9"/>
        <v>0</v>
      </c>
      <c r="O40" s="15" t="str">
        <f>IFERROR(N40/N445, "NA")</f>
        <v>NA</v>
      </c>
      <c r="P40" s="2"/>
      <c r="Q40" s="14">
        <f>IFERROR(Q31+Q32+Q33+Q34+Q35+Q36+Q37+Q38+Q39, "NA")</f>
        <v>0</v>
      </c>
      <c r="R40" s="15" t="str">
        <f>IFERROR(Q40/Q445, "NA")</f>
        <v>NA</v>
      </c>
      <c r="S40" s="2"/>
      <c r="T40" s="14">
        <f>IFERROR(T31+T32+T33+T34+T35+T36+T37+T38+T39, "NA")</f>
        <v>0</v>
      </c>
      <c r="U40" s="15" t="str">
        <f>IFERROR(T40/T445, "NA")</f>
        <v>NA</v>
      </c>
      <c r="V40" s="2"/>
      <c r="W40" s="14">
        <f t="shared" si="10"/>
        <v>0</v>
      </c>
      <c r="X40" s="15" t="str">
        <f>IFERROR(W40/W445, "NA")</f>
        <v>NA</v>
      </c>
      <c r="Y40" s="2"/>
      <c r="Z40" s="14">
        <f>IFERROR(Z31+Z32+Z33+Z34+Z35+Z36+Z37+Z38+Z39, "NA")</f>
        <v>0</v>
      </c>
      <c r="AA40" s="15" t="str">
        <f>IFERROR(Z40/Z445, "NA")</f>
        <v>NA</v>
      </c>
      <c r="AB40" s="2"/>
      <c r="AC40" s="14">
        <f t="shared" si="11"/>
        <v>0</v>
      </c>
      <c r="AD40" s="15" t="str">
        <f>IFERROR(AC40/AC445,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IFERROR(B42/B445, "NA")</f>
        <v>NA</v>
      </c>
      <c r="D42" s="9"/>
      <c r="E42" s="7">
        <v>0</v>
      </c>
      <c r="F42" s="8" t="str">
        <f>IFERROR(E42/E445, "NA")</f>
        <v>NA</v>
      </c>
      <c r="G42" s="9"/>
      <c r="H42" s="10">
        <f>IFERROR(B42-E42, "NA")</f>
        <v>0</v>
      </c>
      <c r="I42" s="8" t="str">
        <f>IFERROR(H42/H445, "NA")</f>
        <v>NA</v>
      </c>
      <c r="J42" s="9"/>
      <c r="K42" s="7">
        <v>0</v>
      </c>
      <c r="L42" s="8" t="str">
        <f>IFERROR(K42/K445, "NA")</f>
        <v>NA</v>
      </c>
      <c r="M42" s="9"/>
      <c r="N42" s="10">
        <f>IFERROR(B42-K42, "NA")</f>
        <v>0</v>
      </c>
      <c r="O42" s="8" t="str">
        <f>IFERROR(N42/N445, "NA")</f>
        <v>NA</v>
      </c>
      <c r="P42" s="9"/>
      <c r="Q42" s="7">
        <v>0</v>
      </c>
      <c r="R42" s="8" t="str">
        <f>IFERROR(Q42/Q445, "NA")</f>
        <v>NA</v>
      </c>
      <c r="S42" s="9"/>
      <c r="T42" s="7">
        <v>0</v>
      </c>
      <c r="U42" s="8" t="str">
        <f>IFERROR(T42/T445, "NA")</f>
        <v>NA</v>
      </c>
      <c r="V42" s="9"/>
      <c r="W42" s="10">
        <f>IFERROR(Q42-T42, "NA")</f>
        <v>0</v>
      </c>
      <c r="X42" s="8" t="str">
        <f>IFERROR(W42/W445, "NA")</f>
        <v>NA</v>
      </c>
      <c r="Y42" s="9"/>
      <c r="Z42" s="7">
        <v>0</v>
      </c>
      <c r="AA42" s="8" t="str">
        <f>IFERROR(Z42/Z445, "NA")</f>
        <v>NA</v>
      </c>
      <c r="AB42" s="9"/>
      <c r="AC42" s="10">
        <f>IFERROR(Q42-Z42, "NA")</f>
        <v>0</v>
      </c>
      <c r="AD42" s="8" t="str">
        <f>IFERROR(AC42/AC445,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IFERROR(B43/B445, "NA")</f>
        <v>NA</v>
      </c>
      <c r="D43" s="9"/>
      <c r="E43" s="7">
        <v>0</v>
      </c>
      <c r="F43" s="8" t="str">
        <f>IFERROR(E43/E445, "NA")</f>
        <v>NA</v>
      </c>
      <c r="G43" s="9"/>
      <c r="H43" s="10">
        <f>IFERROR(B43-E43, "NA")</f>
        <v>0</v>
      </c>
      <c r="I43" s="8" t="str">
        <f>IFERROR(H43/H445, "NA")</f>
        <v>NA</v>
      </c>
      <c r="J43" s="9"/>
      <c r="K43" s="7">
        <v>0</v>
      </c>
      <c r="L43" s="8" t="str">
        <f>IFERROR(K43/K445, "NA")</f>
        <v>NA</v>
      </c>
      <c r="M43" s="9"/>
      <c r="N43" s="10">
        <f>IFERROR(B43-K43, "NA")</f>
        <v>0</v>
      </c>
      <c r="O43" s="8" t="str">
        <f>IFERROR(N43/N445, "NA")</f>
        <v>NA</v>
      </c>
      <c r="P43" s="9"/>
      <c r="Q43" s="7">
        <v>0</v>
      </c>
      <c r="R43" s="8" t="str">
        <f>IFERROR(Q43/Q445, "NA")</f>
        <v>NA</v>
      </c>
      <c r="S43" s="9"/>
      <c r="T43" s="7">
        <v>0</v>
      </c>
      <c r="U43" s="8" t="str">
        <f>IFERROR(T43/T445, "NA")</f>
        <v>NA</v>
      </c>
      <c r="V43" s="9"/>
      <c r="W43" s="10">
        <f>IFERROR(Q43-T43, "NA")</f>
        <v>0</v>
      </c>
      <c r="X43" s="8" t="str">
        <f>IFERROR(W43/W445, "NA")</f>
        <v>NA</v>
      </c>
      <c r="Y43" s="9"/>
      <c r="Z43" s="7">
        <v>0</v>
      </c>
      <c r="AA43" s="8" t="str">
        <f>IFERROR(Z43/Z445, "NA")</f>
        <v>NA</v>
      </c>
      <c r="AB43" s="9"/>
      <c r="AC43" s="10">
        <f>IFERROR(Q43-Z43, "NA")</f>
        <v>0</v>
      </c>
      <c r="AD43" s="8" t="str">
        <f>IFERROR(AC43/AC445,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IFERROR(B44/B445, "NA")</f>
        <v>NA</v>
      </c>
      <c r="D44" s="9"/>
      <c r="E44" s="7">
        <v>0</v>
      </c>
      <c r="F44" s="8" t="str">
        <f>IFERROR(E44/E445, "NA")</f>
        <v>NA</v>
      </c>
      <c r="G44" s="9"/>
      <c r="H44" s="10">
        <f>IFERROR(B44-E44, "NA")</f>
        <v>0</v>
      </c>
      <c r="I44" s="8" t="str">
        <f>IFERROR(H44/H445, "NA")</f>
        <v>NA</v>
      </c>
      <c r="J44" s="9"/>
      <c r="K44" s="7">
        <v>0</v>
      </c>
      <c r="L44" s="8" t="str">
        <f>IFERROR(K44/K445, "NA")</f>
        <v>NA</v>
      </c>
      <c r="M44" s="9"/>
      <c r="N44" s="10">
        <f>IFERROR(B44-K44, "NA")</f>
        <v>0</v>
      </c>
      <c r="O44" s="8" t="str">
        <f>IFERROR(N44/N445, "NA")</f>
        <v>NA</v>
      </c>
      <c r="P44" s="9"/>
      <c r="Q44" s="7">
        <v>0</v>
      </c>
      <c r="R44" s="8" t="str">
        <f>IFERROR(Q44/Q445, "NA")</f>
        <v>NA</v>
      </c>
      <c r="S44" s="9"/>
      <c r="T44" s="7">
        <v>0</v>
      </c>
      <c r="U44" s="8" t="str">
        <f>IFERROR(T44/T445, "NA")</f>
        <v>NA</v>
      </c>
      <c r="V44" s="9"/>
      <c r="W44" s="10">
        <f>IFERROR(Q44-T44, "NA")</f>
        <v>0</v>
      </c>
      <c r="X44" s="8" t="str">
        <f>IFERROR(W44/W445, "NA")</f>
        <v>NA</v>
      </c>
      <c r="Y44" s="9"/>
      <c r="Z44" s="7">
        <v>0</v>
      </c>
      <c r="AA44" s="8" t="str">
        <f>IFERROR(Z44/Z445, "NA")</f>
        <v>NA</v>
      </c>
      <c r="AB44" s="9"/>
      <c r="AC44" s="10">
        <f>IFERROR(Q44-Z44, "NA")</f>
        <v>0</v>
      </c>
      <c r="AD44" s="8" t="str">
        <f>IFERROR(AC44/AC445,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IFERROR(B46/B445, "NA")</f>
        <v>NA</v>
      </c>
      <c r="D46" s="9"/>
      <c r="E46" s="7">
        <v>0</v>
      </c>
      <c r="F46" s="8" t="str">
        <f>IFERROR(E46/E445, "NA")</f>
        <v>NA</v>
      </c>
      <c r="G46" s="9"/>
      <c r="H46" s="10">
        <f t="shared" ref="H46:H62" si="12">IFERROR(B46-E46, "NA")</f>
        <v>0</v>
      </c>
      <c r="I46" s="8" t="str">
        <f>IFERROR(H46/H445, "NA")</f>
        <v>NA</v>
      </c>
      <c r="J46" s="9"/>
      <c r="K46" s="7">
        <v>0</v>
      </c>
      <c r="L46" s="8" t="str">
        <f>IFERROR(K46/K445, "NA")</f>
        <v>NA</v>
      </c>
      <c r="M46" s="9"/>
      <c r="N46" s="10">
        <f t="shared" ref="N46:N62" si="13">IFERROR(B46-K46, "NA")</f>
        <v>0</v>
      </c>
      <c r="O46" s="8" t="str">
        <f>IFERROR(N46/N445, "NA")</f>
        <v>NA</v>
      </c>
      <c r="P46" s="9"/>
      <c r="Q46" s="7">
        <v>0</v>
      </c>
      <c r="R46" s="8" t="str">
        <f>IFERROR(Q46/Q445, "NA")</f>
        <v>NA</v>
      </c>
      <c r="S46" s="9"/>
      <c r="T46" s="7">
        <v>0</v>
      </c>
      <c r="U46" s="8" t="str">
        <f>IFERROR(T46/T445, "NA")</f>
        <v>NA</v>
      </c>
      <c r="V46" s="9"/>
      <c r="W46" s="10">
        <f t="shared" ref="W46:W62" si="14">IFERROR(Q46-T46, "NA")</f>
        <v>0</v>
      </c>
      <c r="X46" s="8" t="str">
        <f>IFERROR(W46/W445, "NA")</f>
        <v>NA</v>
      </c>
      <c r="Y46" s="9"/>
      <c r="Z46" s="7">
        <v>0</v>
      </c>
      <c r="AA46" s="8" t="str">
        <f>IFERROR(Z46/Z445, "NA")</f>
        <v>NA</v>
      </c>
      <c r="AB46" s="9"/>
      <c r="AC46" s="10">
        <f t="shared" ref="AC46:AC62" si="15">IFERROR(Q46-Z46, "NA")</f>
        <v>0</v>
      </c>
      <c r="AD46" s="8" t="str">
        <f>IFERROR(AC46/AC445,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IFERROR(B47/B445, "NA")</f>
        <v>NA</v>
      </c>
      <c r="D47" s="9"/>
      <c r="E47" s="7">
        <v>0</v>
      </c>
      <c r="F47" s="8" t="str">
        <f>IFERROR(E47/E445, "NA")</f>
        <v>NA</v>
      </c>
      <c r="G47" s="9"/>
      <c r="H47" s="10">
        <f t="shared" si="12"/>
        <v>0</v>
      </c>
      <c r="I47" s="8" t="str">
        <f>IFERROR(H47/H445, "NA")</f>
        <v>NA</v>
      </c>
      <c r="J47" s="9"/>
      <c r="K47" s="7">
        <v>0</v>
      </c>
      <c r="L47" s="8" t="str">
        <f>IFERROR(K47/K445, "NA")</f>
        <v>NA</v>
      </c>
      <c r="M47" s="9"/>
      <c r="N47" s="10">
        <f t="shared" si="13"/>
        <v>0</v>
      </c>
      <c r="O47" s="8" t="str">
        <f>IFERROR(N47/N445, "NA")</f>
        <v>NA</v>
      </c>
      <c r="P47" s="9"/>
      <c r="Q47" s="7">
        <v>0</v>
      </c>
      <c r="R47" s="8" t="str">
        <f>IFERROR(Q47/Q445, "NA")</f>
        <v>NA</v>
      </c>
      <c r="S47" s="9"/>
      <c r="T47" s="7">
        <v>0</v>
      </c>
      <c r="U47" s="8" t="str">
        <f>IFERROR(T47/T445, "NA")</f>
        <v>NA</v>
      </c>
      <c r="V47" s="9"/>
      <c r="W47" s="10">
        <f t="shared" si="14"/>
        <v>0</v>
      </c>
      <c r="X47" s="8" t="str">
        <f>IFERROR(W47/W445, "NA")</f>
        <v>NA</v>
      </c>
      <c r="Y47" s="9"/>
      <c r="Z47" s="7">
        <v>0</v>
      </c>
      <c r="AA47" s="8" t="str">
        <f>IFERROR(Z47/Z445, "NA")</f>
        <v>NA</v>
      </c>
      <c r="AB47" s="9"/>
      <c r="AC47" s="10">
        <f t="shared" si="15"/>
        <v>0</v>
      </c>
      <c r="AD47" s="8" t="str">
        <f>IFERROR(AC47/AC445,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IFERROR(B48/B445, "NA")</f>
        <v>NA</v>
      </c>
      <c r="D48" s="9"/>
      <c r="E48" s="7">
        <v>0</v>
      </c>
      <c r="F48" s="8" t="str">
        <f>IFERROR(E48/E445, "NA")</f>
        <v>NA</v>
      </c>
      <c r="G48" s="9"/>
      <c r="H48" s="10">
        <f t="shared" si="12"/>
        <v>0</v>
      </c>
      <c r="I48" s="8" t="str">
        <f>IFERROR(H48/H445, "NA")</f>
        <v>NA</v>
      </c>
      <c r="J48" s="9"/>
      <c r="K48" s="7">
        <v>0</v>
      </c>
      <c r="L48" s="8" t="str">
        <f>IFERROR(K48/K445, "NA")</f>
        <v>NA</v>
      </c>
      <c r="M48" s="9"/>
      <c r="N48" s="10">
        <f t="shared" si="13"/>
        <v>0</v>
      </c>
      <c r="O48" s="8" t="str">
        <f>IFERROR(N48/N445, "NA")</f>
        <v>NA</v>
      </c>
      <c r="P48" s="9"/>
      <c r="Q48" s="7">
        <v>0</v>
      </c>
      <c r="R48" s="8" t="str">
        <f>IFERROR(Q48/Q445, "NA")</f>
        <v>NA</v>
      </c>
      <c r="S48" s="9"/>
      <c r="T48" s="7">
        <v>0</v>
      </c>
      <c r="U48" s="8" t="str">
        <f>IFERROR(T48/T445, "NA")</f>
        <v>NA</v>
      </c>
      <c r="V48" s="9"/>
      <c r="W48" s="10">
        <f t="shared" si="14"/>
        <v>0</v>
      </c>
      <c r="X48" s="8" t="str">
        <f>IFERROR(W48/W445, "NA")</f>
        <v>NA</v>
      </c>
      <c r="Y48" s="9"/>
      <c r="Z48" s="7">
        <v>0</v>
      </c>
      <c r="AA48" s="8" t="str">
        <f>IFERROR(Z48/Z445, "NA")</f>
        <v>NA</v>
      </c>
      <c r="AB48" s="9"/>
      <c r="AC48" s="10">
        <f t="shared" si="15"/>
        <v>0</v>
      </c>
      <c r="AD48" s="8" t="str">
        <f>IFERROR(AC48/AC445,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IFERROR(B49/B445, "NA")</f>
        <v>NA</v>
      </c>
      <c r="D49" s="9"/>
      <c r="E49" s="7">
        <v>0</v>
      </c>
      <c r="F49" s="8" t="str">
        <f>IFERROR(E49/E445, "NA")</f>
        <v>NA</v>
      </c>
      <c r="G49" s="9"/>
      <c r="H49" s="10">
        <f t="shared" si="12"/>
        <v>0</v>
      </c>
      <c r="I49" s="8" t="str">
        <f>IFERROR(H49/H445, "NA")</f>
        <v>NA</v>
      </c>
      <c r="J49" s="9"/>
      <c r="K49" s="7">
        <v>0</v>
      </c>
      <c r="L49" s="8" t="str">
        <f>IFERROR(K49/K445, "NA")</f>
        <v>NA</v>
      </c>
      <c r="M49" s="9"/>
      <c r="N49" s="10">
        <f t="shared" si="13"/>
        <v>0</v>
      </c>
      <c r="O49" s="8" t="str">
        <f>IFERROR(N49/N445, "NA")</f>
        <v>NA</v>
      </c>
      <c r="P49" s="9"/>
      <c r="Q49" s="7">
        <v>0</v>
      </c>
      <c r="R49" s="8" t="str">
        <f>IFERROR(Q49/Q445, "NA")</f>
        <v>NA</v>
      </c>
      <c r="S49" s="9"/>
      <c r="T49" s="7">
        <v>0</v>
      </c>
      <c r="U49" s="8" t="str">
        <f>IFERROR(T49/T445, "NA")</f>
        <v>NA</v>
      </c>
      <c r="V49" s="9"/>
      <c r="W49" s="10">
        <f t="shared" si="14"/>
        <v>0</v>
      </c>
      <c r="X49" s="8" t="str">
        <f>IFERROR(W49/W445, "NA")</f>
        <v>NA</v>
      </c>
      <c r="Y49" s="9"/>
      <c r="Z49" s="7">
        <v>0</v>
      </c>
      <c r="AA49" s="8" t="str">
        <f>IFERROR(Z49/Z445, "NA")</f>
        <v>NA</v>
      </c>
      <c r="AB49" s="9"/>
      <c r="AC49" s="10">
        <f t="shared" si="15"/>
        <v>0</v>
      </c>
      <c r="AD49" s="8" t="str">
        <f>IFERROR(AC49/AC445,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IFERROR(B50/B445, "NA")</f>
        <v>NA</v>
      </c>
      <c r="D50" s="9"/>
      <c r="E50" s="7">
        <v>0</v>
      </c>
      <c r="F50" s="8" t="str">
        <f>IFERROR(E50/E445, "NA")</f>
        <v>NA</v>
      </c>
      <c r="G50" s="9"/>
      <c r="H50" s="10">
        <f t="shared" si="12"/>
        <v>0</v>
      </c>
      <c r="I50" s="8" t="str">
        <f>IFERROR(H50/H445, "NA")</f>
        <v>NA</v>
      </c>
      <c r="J50" s="9"/>
      <c r="K50" s="7">
        <v>0</v>
      </c>
      <c r="L50" s="8" t="str">
        <f>IFERROR(K50/K445, "NA")</f>
        <v>NA</v>
      </c>
      <c r="M50" s="9"/>
      <c r="N50" s="10">
        <f t="shared" si="13"/>
        <v>0</v>
      </c>
      <c r="O50" s="8" t="str">
        <f>IFERROR(N50/N445, "NA")</f>
        <v>NA</v>
      </c>
      <c r="P50" s="9"/>
      <c r="Q50" s="7">
        <v>0</v>
      </c>
      <c r="R50" s="8" t="str">
        <f>IFERROR(Q50/Q445, "NA")</f>
        <v>NA</v>
      </c>
      <c r="S50" s="9"/>
      <c r="T50" s="7">
        <v>0</v>
      </c>
      <c r="U50" s="8" t="str">
        <f>IFERROR(T50/T445, "NA")</f>
        <v>NA</v>
      </c>
      <c r="V50" s="9"/>
      <c r="W50" s="10">
        <f t="shared" si="14"/>
        <v>0</v>
      </c>
      <c r="X50" s="8" t="str">
        <f>IFERROR(W50/W445, "NA")</f>
        <v>NA</v>
      </c>
      <c r="Y50" s="9"/>
      <c r="Z50" s="7">
        <v>0</v>
      </c>
      <c r="AA50" s="8" t="str">
        <f>IFERROR(Z50/Z445, "NA")</f>
        <v>NA</v>
      </c>
      <c r="AB50" s="9"/>
      <c r="AC50" s="10">
        <f t="shared" si="15"/>
        <v>0</v>
      </c>
      <c r="AD50" s="8" t="str">
        <f>IFERROR(AC50/AC445,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IFERROR(B51/B445, "NA")</f>
        <v>NA</v>
      </c>
      <c r="D51" s="9"/>
      <c r="E51" s="7">
        <v>0</v>
      </c>
      <c r="F51" s="8" t="str">
        <f>IFERROR(E51/E445, "NA")</f>
        <v>NA</v>
      </c>
      <c r="G51" s="9"/>
      <c r="H51" s="10">
        <f t="shared" si="12"/>
        <v>0</v>
      </c>
      <c r="I51" s="8" t="str">
        <f>IFERROR(H51/H445, "NA")</f>
        <v>NA</v>
      </c>
      <c r="J51" s="9"/>
      <c r="K51" s="7">
        <v>0</v>
      </c>
      <c r="L51" s="8" t="str">
        <f>IFERROR(K51/K445, "NA")</f>
        <v>NA</v>
      </c>
      <c r="M51" s="9"/>
      <c r="N51" s="10">
        <f t="shared" si="13"/>
        <v>0</v>
      </c>
      <c r="O51" s="8" t="str">
        <f>IFERROR(N51/N445, "NA")</f>
        <v>NA</v>
      </c>
      <c r="P51" s="9"/>
      <c r="Q51" s="7">
        <v>0</v>
      </c>
      <c r="R51" s="8" t="str">
        <f>IFERROR(Q51/Q445, "NA")</f>
        <v>NA</v>
      </c>
      <c r="S51" s="9"/>
      <c r="T51" s="7">
        <v>0</v>
      </c>
      <c r="U51" s="8" t="str">
        <f>IFERROR(T51/T445, "NA")</f>
        <v>NA</v>
      </c>
      <c r="V51" s="9"/>
      <c r="W51" s="10">
        <f t="shared" si="14"/>
        <v>0</v>
      </c>
      <c r="X51" s="8" t="str">
        <f>IFERROR(W51/W445, "NA")</f>
        <v>NA</v>
      </c>
      <c r="Y51" s="9"/>
      <c r="Z51" s="7">
        <v>0</v>
      </c>
      <c r="AA51" s="8" t="str">
        <f>IFERROR(Z51/Z445, "NA")</f>
        <v>NA</v>
      </c>
      <c r="AB51" s="9"/>
      <c r="AC51" s="10">
        <f t="shared" si="15"/>
        <v>0</v>
      </c>
      <c r="AD51" s="8" t="str">
        <f>IFERROR(AC51/AC445,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IFERROR(B52/B445, "NA")</f>
        <v>NA</v>
      </c>
      <c r="D52" s="9"/>
      <c r="E52" s="7">
        <v>0</v>
      </c>
      <c r="F52" s="8" t="str">
        <f>IFERROR(E52/E445, "NA")</f>
        <v>NA</v>
      </c>
      <c r="G52" s="9"/>
      <c r="H52" s="10">
        <f t="shared" si="12"/>
        <v>0</v>
      </c>
      <c r="I52" s="8" t="str">
        <f>IFERROR(H52/H445, "NA")</f>
        <v>NA</v>
      </c>
      <c r="J52" s="9"/>
      <c r="K52" s="7">
        <v>0</v>
      </c>
      <c r="L52" s="8" t="str">
        <f>IFERROR(K52/K445, "NA")</f>
        <v>NA</v>
      </c>
      <c r="M52" s="9"/>
      <c r="N52" s="10">
        <f t="shared" si="13"/>
        <v>0</v>
      </c>
      <c r="O52" s="8" t="str">
        <f>IFERROR(N52/N445, "NA")</f>
        <v>NA</v>
      </c>
      <c r="P52" s="9"/>
      <c r="Q52" s="7">
        <v>0</v>
      </c>
      <c r="R52" s="8" t="str">
        <f>IFERROR(Q52/Q445, "NA")</f>
        <v>NA</v>
      </c>
      <c r="S52" s="9"/>
      <c r="T52" s="7">
        <v>0</v>
      </c>
      <c r="U52" s="8" t="str">
        <f>IFERROR(T52/T445, "NA")</f>
        <v>NA</v>
      </c>
      <c r="V52" s="9"/>
      <c r="W52" s="10">
        <f t="shared" si="14"/>
        <v>0</v>
      </c>
      <c r="X52" s="8" t="str">
        <f>IFERROR(W52/W445, "NA")</f>
        <v>NA</v>
      </c>
      <c r="Y52" s="9"/>
      <c r="Z52" s="7">
        <v>0</v>
      </c>
      <c r="AA52" s="8" t="str">
        <f>IFERROR(Z52/Z445, "NA")</f>
        <v>NA</v>
      </c>
      <c r="AB52" s="9"/>
      <c r="AC52" s="10">
        <f t="shared" si="15"/>
        <v>0</v>
      </c>
      <c r="AD52" s="8" t="str">
        <f>IFERROR(AC52/AC445,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IFERROR(B53/B445, "NA")</f>
        <v>NA</v>
      </c>
      <c r="D53" s="9"/>
      <c r="E53" s="7">
        <v>0</v>
      </c>
      <c r="F53" s="8" t="str">
        <f>IFERROR(E53/E445, "NA")</f>
        <v>NA</v>
      </c>
      <c r="G53" s="9"/>
      <c r="H53" s="10">
        <f t="shared" si="12"/>
        <v>0</v>
      </c>
      <c r="I53" s="8" t="str">
        <f>IFERROR(H53/H445, "NA")</f>
        <v>NA</v>
      </c>
      <c r="J53" s="9"/>
      <c r="K53" s="7">
        <v>0</v>
      </c>
      <c r="L53" s="8" t="str">
        <f>IFERROR(K53/K445, "NA")</f>
        <v>NA</v>
      </c>
      <c r="M53" s="9"/>
      <c r="N53" s="10">
        <f t="shared" si="13"/>
        <v>0</v>
      </c>
      <c r="O53" s="8" t="str">
        <f>IFERROR(N53/N445, "NA")</f>
        <v>NA</v>
      </c>
      <c r="P53" s="9"/>
      <c r="Q53" s="7">
        <v>0</v>
      </c>
      <c r="R53" s="8" t="str">
        <f>IFERROR(Q53/Q445, "NA")</f>
        <v>NA</v>
      </c>
      <c r="S53" s="9"/>
      <c r="T53" s="7">
        <v>0</v>
      </c>
      <c r="U53" s="8" t="str">
        <f>IFERROR(T53/T445, "NA")</f>
        <v>NA</v>
      </c>
      <c r="V53" s="9"/>
      <c r="W53" s="10">
        <f t="shared" si="14"/>
        <v>0</v>
      </c>
      <c r="X53" s="8" t="str">
        <f>IFERROR(W53/W445, "NA")</f>
        <v>NA</v>
      </c>
      <c r="Y53" s="9"/>
      <c r="Z53" s="7">
        <v>0</v>
      </c>
      <c r="AA53" s="8" t="str">
        <f>IFERROR(Z53/Z445, "NA")</f>
        <v>NA</v>
      </c>
      <c r="AB53" s="9"/>
      <c r="AC53" s="10">
        <f t="shared" si="15"/>
        <v>0</v>
      </c>
      <c r="AD53" s="8" t="str">
        <f>IFERROR(AC53/AC445,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IFERROR(B54/B445, "NA")</f>
        <v>NA</v>
      </c>
      <c r="D54" s="9"/>
      <c r="E54" s="7">
        <v>0</v>
      </c>
      <c r="F54" s="8" t="str">
        <f>IFERROR(E54/E445, "NA")</f>
        <v>NA</v>
      </c>
      <c r="G54" s="9"/>
      <c r="H54" s="10">
        <f t="shared" si="12"/>
        <v>0</v>
      </c>
      <c r="I54" s="8" t="str">
        <f>IFERROR(H54/H445, "NA")</f>
        <v>NA</v>
      </c>
      <c r="J54" s="9"/>
      <c r="K54" s="7">
        <v>0</v>
      </c>
      <c r="L54" s="8" t="str">
        <f>IFERROR(K54/K445, "NA")</f>
        <v>NA</v>
      </c>
      <c r="M54" s="9"/>
      <c r="N54" s="10">
        <f t="shared" si="13"/>
        <v>0</v>
      </c>
      <c r="O54" s="8" t="str">
        <f>IFERROR(N54/N445, "NA")</f>
        <v>NA</v>
      </c>
      <c r="P54" s="9"/>
      <c r="Q54" s="7">
        <v>0</v>
      </c>
      <c r="R54" s="8" t="str">
        <f>IFERROR(Q54/Q445, "NA")</f>
        <v>NA</v>
      </c>
      <c r="S54" s="9"/>
      <c r="T54" s="7">
        <v>0</v>
      </c>
      <c r="U54" s="8" t="str">
        <f>IFERROR(T54/T445, "NA")</f>
        <v>NA</v>
      </c>
      <c r="V54" s="9"/>
      <c r="W54" s="10">
        <f t="shared" si="14"/>
        <v>0</v>
      </c>
      <c r="X54" s="8" t="str">
        <f>IFERROR(W54/W445, "NA")</f>
        <v>NA</v>
      </c>
      <c r="Y54" s="9"/>
      <c r="Z54" s="7">
        <v>0</v>
      </c>
      <c r="AA54" s="8" t="str">
        <f>IFERROR(Z54/Z445, "NA")</f>
        <v>NA</v>
      </c>
      <c r="AB54" s="9"/>
      <c r="AC54" s="10">
        <f t="shared" si="15"/>
        <v>0</v>
      </c>
      <c r="AD54" s="8" t="str">
        <f>IFERROR(AC54/AC445,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IFERROR(B55/B445, "NA")</f>
        <v>NA</v>
      </c>
      <c r="D55" s="9"/>
      <c r="E55" s="7">
        <v>0</v>
      </c>
      <c r="F55" s="8" t="str">
        <f>IFERROR(E55/E445, "NA")</f>
        <v>NA</v>
      </c>
      <c r="G55" s="9"/>
      <c r="H55" s="10">
        <f t="shared" si="12"/>
        <v>0</v>
      </c>
      <c r="I55" s="8" t="str">
        <f>IFERROR(H55/H445, "NA")</f>
        <v>NA</v>
      </c>
      <c r="J55" s="9"/>
      <c r="K55" s="7">
        <v>0</v>
      </c>
      <c r="L55" s="8" t="str">
        <f>IFERROR(K55/K445, "NA")</f>
        <v>NA</v>
      </c>
      <c r="M55" s="9"/>
      <c r="N55" s="10">
        <f t="shared" si="13"/>
        <v>0</v>
      </c>
      <c r="O55" s="8" t="str">
        <f>IFERROR(N55/N445, "NA")</f>
        <v>NA</v>
      </c>
      <c r="P55" s="9"/>
      <c r="Q55" s="7">
        <v>0</v>
      </c>
      <c r="R55" s="8" t="str">
        <f>IFERROR(Q55/Q445, "NA")</f>
        <v>NA</v>
      </c>
      <c r="S55" s="9"/>
      <c r="T55" s="7">
        <v>0</v>
      </c>
      <c r="U55" s="8" t="str">
        <f>IFERROR(T55/T445, "NA")</f>
        <v>NA</v>
      </c>
      <c r="V55" s="9"/>
      <c r="W55" s="10">
        <f t="shared" si="14"/>
        <v>0</v>
      </c>
      <c r="X55" s="8" t="str">
        <f>IFERROR(W55/W445, "NA")</f>
        <v>NA</v>
      </c>
      <c r="Y55" s="9"/>
      <c r="Z55" s="7">
        <v>0</v>
      </c>
      <c r="AA55" s="8" t="str">
        <f>IFERROR(Z55/Z445, "NA")</f>
        <v>NA</v>
      </c>
      <c r="AB55" s="9"/>
      <c r="AC55" s="10">
        <f t="shared" si="15"/>
        <v>0</v>
      </c>
      <c r="AD55" s="8" t="str">
        <f>IFERROR(AC55/AC445,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IFERROR(B56/B445, "NA")</f>
        <v>NA</v>
      </c>
      <c r="D56" s="9"/>
      <c r="E56" s="7">
        <v>0</v>
      </c>
      <c r="F56" s="8" t="str">
        <f>IFERROR(E56/E445, "NA")</f>
        <v>NA</v>
      </c>
      <c r="G56" s="9"/>
      <c r="H56" s="10">
        <f t="shared" si="12"/>
        <v>0</v>
      </c>
      <c r="I56" s="8" t="str">
        <f>IFERROR(H56/H445, "NA")</f>
        <v>NA</v>
      </c>
      <c r="J56" s="9"/>
      <c r="K56" s="7">
        <v>0</v>
      </c>
      <c r="L56" s="8" t="str">
        <f>IFERROR(K56/K445, "NA")</f>
        <v>NA</v>
      </c>
      <c r="M56" s="9"/>
      <c r="N56" s="10">
        <f t="shared" si="13"/>
        <v>0</v>
      </c>
      <c r="O56" s="8" t="str">
        <f>IFERROR(N56/N445, "NA")</f>
        <v>NA</v>
      </c>
      <c r="P56" s="9"/>
      <c r="Q56" s="7">
        <v>0</v>
      </c>
      <c r="R56" s="8" t="str">
        <f>IFERROR(Q56/Q445, "NA")</f>
        <v>NA</v>
      </c>
      <c r="S56" s="9"/>
      <c r="T56" s="7">
        <v>0</v>
      </c>
      <c r="U56" s="8" t="str">
        <f>IFERROR(T56/T445, "NA")</f>
        <v>NA</v>
      </c>
      <c r="V56" s="9"/>
      <c r="W56" s="10">
        <f t="shared" si="14"/>
        <v>0</v>
      </c>
      <c r="X56" s="8" t="str">
        <f>IFERROR(W56/W445, "NA")</f>
        <v>NA</v>
      </c>
      <c r="Y56" s="9"/>
      <c r="Z56" s="7">
        <v>0</v>
      </c>
      <c r="AA56" s="8" t="str">
        <f>IFERROR(Z56/Z445, "NA")</f>
        <v>NA</v>
      </c>
      <c r="AB56" s="9"/>
      <c r="AC56" s="10">
        <f t="shared" si="15"/>
        <v>0</v>
      </c>
      <c r="AD56" s="8" t="str">
        <f>IFERROR(AC56/AC445,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IFERROR(B57/B445, "NA")</f>
        <v>NA</v>
      </c>
      <c r="D57" s="9"/>
      <c r="E57" s="7">
        <v>0</v>
      </c>
      <c r="F57" s="8" t="str">
        <f>IFERROR(E57/E445, "NA")</f>
        <v>NA</v>
      </c>
      <c r="G57" s="9"/>
      <c r="H57" s="10">
        <f t="shared" si="12"/>
        <v>0</v>
      </c>
      <c r="I57" s="8" t="str">
        <f>IFERROR(H57/H445, "NA")</f>
        <v>NA</v>
      </c>
      <c r="J57" s="9"/>
      <c r="K57" s="7">
        <v>0</v>
      </c>
      <c r="L57" s="8" t="str">
        <f>IFERROR(K57/K445, "NA")</f>
        <v>NA</v>
      </c>
      <c r="M57" s="9"/>
      <c r="N57" s="10">
        <f t="shared" si="13"/>
        <v>0</v>
      </c>
      <c r="O57" s="8" t="str">
        <f>IFERROR(N57/N445, "NA")</f>
        <v>NA</v>
      </c>
      <c r="P57" s="9"/>
      <c r="Q57" s="7">
        <v>0</v>
      </c>
      <c r="R57" s="8" t="str">
        <f>IFERROR(Q57/Q445, "NA")</f>
        <v>NA</v>
      </c>
      <c r="S57" s="9"/>
      <c r="T57" s="7">
        <v>0</v>
      </c>
      <c r="U57" s="8" t="str">
        <f>IFERROR(T57/T445, "NA")</f>
        <v>NA</v>
      </c>
      <c r="V57" s="9"/>
      <c r="W57" s="10">
        <f t="shared" si="14"/>
        <v>0</v>
      </c>
      <c r="X57" s="8" t="str">
        <f>IFERROR(W57/W445, "NA")</f>
        <v>NA</v>
      </c>
      <c r="Y57" s="9"/>
      <c r="Z57" s="7">
        <v>0</v>
      </c>
      <c r="AA57" s="8" t="str">
        <f>IFERROR(Z57/Z445, "NA")</f>
        <v>NA</v>
      </c>
      <c r="AB57" s="9"/>
      <c r="AC57" s="10">
        <f t="shared" si="15"/>
        <v>0</v>
      </c>
      <c r="AD57" s="8" t="str">
        <f>IFERROR(AC57/AC445,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IFERROR(B58/B445, "NA")</f>
        <v>NA</v>
      </c>
      <c r="D58" s="9"/>
      <c r="E58" s="7">
        <v>0</v>
      </c>
      <c r="F58" s="8" t="str">
        <f>IFERROR(E58/E445, "NA")</f>
        <v>NA</v>
      </c>
      <c r="G58" s="9"/>
      <c r="H58" s="10">
        <f t="shared" si="12"/>
        <v>0</v>
      </c>
      <c r="I58" s="8" t="str">
        <f>IFERROR(H58/H445, "NA")</f>
        <v>NA</v>
      </c>
      <c r="J58" s="9"/>
      <c r="K58" s="7">
        <v>0</v>
      </c>
      <c r="L58" s="8" t="str">
        <f>IFERROR(K58/K445, "NA")</f>
        <v>NA</v>
      </c>
      <c r="M58" s="9"/>
      <c r="N58" s="10">
        <f t="shared" si="13"/>
        <v>0</v>
      </c>
      <c r="O58" s="8" t="str">
        <f>IFERROR(N58/N445, "NA")</f>
        <v>NA</v>
      </c>
      <c r="P58" s="9"/>
      <c r="Q58" s="7">
        <v>0</v>
      </c>
      <c r="R58" s="8" t="str">
        <f>IFERROR(Q58/Q445, "NA")</f>
        <v>NA</v>
      </c>
      <c r="S58" s="9"/>
      <c r="T58" s="7">
        <v>0</v>
      </c>
      <c r="U58" s="8" t="str">
        <f>IFERROR(T58/T445, "NA")</f>
        <v>NA</v>
      </c>
      <c r="V58" s="9"/>
      <c r="W58" s="10">
        <f t="shared" si="14"/>
        <v>0</v>
      </c>
      <c r="X58" s="8" t="str">
        <f>IFERROR(W58/W445, "NA")</f>
        <v>NA</v>
      </c>
      <c r="Y58" s="9"/>
      <c r="Z58" s="7">
        <v>0</v>
      </c>
      <c r="AA58" s="8" t="str">
        <f>IFERROR(Z58/Z445, "NA")</f>
        <v>NA</v>
      </c>
      <c r="AB58" s="9"/>
      <c r="AC58" s="10">
        <f t="shared" si="15"/>
        <v>0</v>
      </c>
      <c r="AD58" s="8" t="str">
        <f>IFERROR(AC58/AC445,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IFERROR(B59/B445, "NA")</f>
        <v>NA</v>
      </c>
      <c r="D59" s="9"/>
      <c r="E59" s="7">
        <v>0</v>
      </c>
      <c r="F59" s="8" t="str">
        <f>IFERROR(E59/E445, "NA")</f>
        <v>NA</v>
      </c>
      <c r="G59" s="9"/>
      <c r="H59" s="10">
        <f t="shared" si="12"/>
        <v>0</v>
      </c>
      <c r="I59" s="8" t="str">
        <f>IFERROR(H59/H445, "NA")</f>
        <v>NA</v>
      </c>
      <c r="J59" s="9"/>
      <c r="K59" s="7">
        <v>0</v>
      </c>
      <c r="L59" s="8" t="str">
        <f>IFERROR(K59/K445, "NA")</f>
        <v>NA</v>
      </c>
      <c r="M59" s="9"/>
      <c r="N59" s="10">
        <f t="shared" si="13"/>
        <v>0</v>
      </c>
      <c r="O59" s="8" t="str">
        <f>IFERROR(N59/N445, "NA")</f>
        <v>NA</v>
      </c>
      <c r="P59" s="9"/>
      <c r="Q59" s="7">
        <v>0</v>
      </c>
      <c r="R59" s="8" t="str">
        <f>IFERROR(Q59/Q445, "NA")</f>
        <v>NA</v>
      </c>
      <c r="S59" s="9"/>
      <c r="T59" s="7">
        <v>0</v>
      </c>
      <c r="U59" s="8" t="str">
        <f>IFERROR(T59/T445, "NA")</f>
        <v>NA</v>
      </c>
      <c r="V59" s="9"/>
      <c r="W59" s="10">
        <f t="shared" si="14"/>
        <v>0</v>
      </c>
      <c r="X59" s="8" t="str">
        <f>IFERROR(W59/W445, "NA")</f>
        <v>NA</v>
      </c>
      <c r="Y59" s="9"/>
      <c r="Z59" s="7">
        <v>0</v>
      </c>
      <c r="AA59" s="8" t="str">
        <f>IFERROR(Z59/Z445, "NA")</f>
        <v>NA</v>
      </c>
      <c r="AB59" s="9"/>
      <c r="AC59" s="10">
        <f t="shared" si="15"/>
        <v>0</v>
      </c>
      <c r="AD59" s="8" t="str">
        <f>IFERROR(AC59/AC445,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IFERROR(B60/B445, "NA")</f>
        <v>NA</v>
      </c>
      <c r="D60" s="9"/>
      <c r="E60" s="7">
        <v>0</v>
      </c>
      <c r="F60" s="8" t="str">
        <f>IFERROR(E60/E445, "NA")</f>
        <v>NA</v>
      </c>
      <c r="G60" s="9"/>
      <c r="H60" s="10">
        <f t="shared" si="12"/>
        <v>0</v>
      </c>
      <c r="I60" s="8" t="str">
        <f>IFERROR(H60/H445, "NA")</f>
        <v>NA</v>
      </c>
      <c r="J60" s="9"/>
      <c r="K60" s="7">
        <v>0</v>
      </c>
      <c r="L60" s="8" t="str">
        <f>IFERROR(K60/K445, "NA")</f>
        <v>NA</v>
      </c>
      <c r="M60" s="9"/>
      <c r="N60" s="10">
        <f t="shared" si="13"/>
        <v>0</v>
      </c>
      <c r="O60" s="8" t="str">
        <f>IFERROR(N60/N445, "NA")</f>
        <v>NA</v>
      </c>
      <c r="P60" s="9"/>
      <c r="Q60" s="7">
        <v>0</v>
      </c>
      <c r="R60" s="8" t="str">
        <f>IFERROR(Q60/Q445, "NA")</f>
        <v>NA</v>
      </c>
      <c r="S60" s="9"/>
      <c r="T60" s="7">
        <v>0</v>
      </c>
      <c r="U60" s="8" t="str">
        <f>IFERROR(T60/T445, "NA")</f>
        <v>NA</v>
      </c>
      <c r="V60" s="9"/>
      <c r="W60" s="10">
        <f t="shared" si="14"/>
        <v>0</v>
      </c>
      <c r="X60" s="8" t="str">
        <f>IFERROR(W60/W445, "NA")</f>
        <v>NA</v>
      </c>
      <c r="Y60" s="9"/>
      <c r="Z60" s="7">
        <v>0</v>
      </c>
      <c r="AA60" s="8" t="str">
        <f>IFERROR(Z60/Z445, "NA")</f>
        <v>NA</v>
      </c>
      <c r="AB60" s="9"/>
      <c r="AC60" s="10">
        <f t="shared" si="15"/>
        <v>0</v>
      </c>
      <c r="AD60" s="8" t="str">
        <f>IFERROR(AC60/AC445,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IFERROR(B61/B445, "NA")</f>
        <v>NA</v>
      </c>
      <c r="D61" s="2"/>
      <c r="E61" s="14">
        <f>IFERROR(E46+E47+E48+E49+E50+E51+E52+E53+E54+E55+E56+E57+E58+E59+E60, "NA")</f>
        <v>0</v>
      </c>
      <c r="F61" s="15" t="str">
        <f>IFERROR(E61/E445, "NA")</f>
        <v>NA</v>
      </c>
      <c r="G61" s="2"/>
      <c r="H61" s="14">
        <f t="shared" si="12"/>
        <v>0</v>
      </c>
      <c r="I61" s="15" t="str">
        <f>IFERROR(H61/H445, "NA")</f>
        <v>NA</v>
      </c>
      <c r="J61" s="2"/>
      <c r="K61" s="14">
        <f>IFERROR(K46+K47+K48+K49+K50+K51+K52+K53+K54+K55+K56+K57+K58+K59+K60, "NA")</f>
        <v>0</v>
      </c>
      <c r="L61" s="15" t="str">
        <f>IFERROR(K61/K445, "NA")</f>
        <v>NA</v>
      </c>
      <c r="M61" s="2"/>
      <c r="N61" s="14">
        <f t="shared" si="13"/>
        <v>0</v>
      </c>
      <c r="O61" s="15" t="str">
        <f>IFERROR(N61/N445, "NA")</f>
        <v>NA</v>
      </c>
      <c r="P61" s="2"/>
      <c r="Q61" s="14">
        <f>IFERROR(Q46+Q47+Q48+Q49+Q50+Q51+Q52+Q53+Q54+Q55+Q56+Q57+Q58+Q59+Q60, "NA")</f>
        <v>0</v>
      </c>
      <c r="R61" s="15" t="str">
        <f>IFERROR(Q61/Q445, "NA")</f>
        <v>NA</v>
      </c>
      <c r="S61" s="2"/>
      <c r="T61" s="14">
        <f>IFERROR(T46+T47+T48+T49+T50+T51+T52+T53+T54+T55+T56+T57+T58+T59+T60, "NA")</f>
        <v>0</v>
      </c>
      <c r="U61" s="15" t="str">
        <f>IFERROR(T61/T445, "NA")</f>
        <v>NA</v>
      </c>
      <c r="V61" s="2"/>
      <c r="W61" s="14">
        <f t="shared" si="14"/>
        <v>0</v>
      </c>
      <c r="X61" s="15" t="str">
        <f>IFERROR(W61/W445, "NA")</f>
        <v>NA</v>
      </c>
      <c r="Y61" s="2"/>
      <c r="Z61" s="14">
        <f>IFERROR(Z46+Z47+Z48+Z49+Z50+Z51+Z52+Z53+Z54+Z55+Z56+Z57+Z58+Z59+Z60, "NA")</f>
        <v>0</v>
      </c>
      <c r="AA61" s="15" t="str">
        <f>IFERROR(Z61/Z445, "NA")</f>
        <v>NA</v>
      </c>
      <c r="AB61" s="2"/>
      <c r="AC61" s="14">
        <f t="shared" si="15"/>
        <v>0</v>
      </c>
      <c r="AD61" s="15" t="str">
        <f>IFERROR(AC61/AC445,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IFERROR(B62/B445,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IFERROR(E62/E445, "NA")</f>
        <v>NA</v>
      </c>
      <c r="G62" s="2"/>
      <c r="H62" s="14">
        <f t="shared" si="12"/>
        <v>0</v>
      </c>
      <c r="I62" s="15" t="str">
        <f>IFERROR(H62/H445,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IFERROR(K62/K445, "NA")</f>
        <v>NA</v>
      </c>
      <c r="M62" s="2"/>
      <c r="N62" s="14">
        <f t="shared" si="13"/>
        <v>0</v>
      </c>
      <c r="O62" s="15" t="str">
        <f>IFERROR(N62/N445,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IFERROR(Q62/Q445,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IFERROR(T62/T445, "NA")</f>
        <v>NA</v>
      </c>
      <c r="V62" s="2"/>
      <c r="W62" s="14">
        <f t="shared" si="14"/>
        <v>0</v>
      </c>
      <c r="X62" s="15" t="str">
        <f>IFERROR(W62/W445,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IFERROR(Z62/Z445, "NA")</f>
        <v>NA</v>
      </c>
      <c r="AB62" s="2"/>
      <c r="AC62" s="14">
        <f t="shared" si="15"/>
        <v>0</v>
      </c>
      <c r="AD62" s="15" t="str">
        <f>IFERROR(AC62/AC445,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IFERROR(B64/B445, "NA")</f>
        <v>NA</v>
      </c>
      <c r="D64" s="9"/>
      <c r="E64" s="7">
        <v>0</v>
      </c>
      <c r="F64" s="8" t="str">
        <f>IFERROR(E64/E445, "NA")</f>
        <v>NA</v>
      </c>
      <c r="G64" s="9"/>
      <c r="H64" s="10">
        <f t="shared" ref="H64:H73" si="16">IFERROR(B64-E64, "NA")</f>
        <v>0</v>
      </c>
      <c r="I64" s="8" t="str">
        <f>IFERROR(H64/H445, "NA")</f>
        <v>NA</v>
      </c>
      <c r="J64" s="9"/>
      <c r="K64" s="7">
        <v>0</v>
      </c>
      <c r="L64" s="8" t="str">
        <f>IFERROR(K64/K445, "NA")</f>
        <v>NA</v>
      </c>
      <c r="M64" s="9"/>
      <c r="N64" s="10">
        <f t="shared" ref="N64:N73" si="17">IFERROR(B64-K64, "NA")</f>
        <v>0</v>
      </c>
      <c r="O64" s="8" t="str">
        <f>IFERROR(N64/N445, "NA")</f>
        <v>NA</v>
      </c>
      <c r="P64" s="9"/>
      <c r="Q64" s="7">
        <v>0</v>
      </c>
      <c r="R64" s="8" t="str">
        <f>IFERROR(Q64/Q445, "NA")</f>
        <v>NA</v>
      </c>
      <c r="S64" s="9"/>
      <c r="T64" s="7">
        <v>0</v>
      </c>
      <c r="U64" s="8" t="str">
        <f>IFERROR(T64/T445, "NA")</f>
        <v>NA</v>
      </c>
      <c r="V64" s="9"/>
      <c r="W64" s="10">
        <f t="shared" ref="W64:W73" si="18">IFERROR(Q64-T64, "NA")</f>
        <v>0</v>
      </c>
      <c r="X64" s="8" t="str">
        <f>IFERROR(W64/W445, "NA")</f>
        <v>NA</v>
      </c>
      <c r="Y64" s="9"/>
      <c r="Z64" s="7">
        <v>0</v>
      </c>
      <c r="AA64" s="8" t="str">
        <f>IFERROR(Z64/Z445, "NA")</f>
        <v>NA</v>
      </c>
      <c r="AB64" s="9"/>
      <c r="AC64" s="10">
        <f t="shared" ref="AC64:AC73" si="19">IFERROR(Q64-Z64, "NA")</f>
        <v>0</v>
      </c>
      <c r="AD64" s="8" t="str">
        <f>IFERROR(AC64/AC445,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IFERROR(B65/B445, "NA")</f>
        <v>NA</v>
      </c>
      <c r="D65" s="9"/>
      <c r="E65" s="7">
        <v>0</v>
      </c>
      <c r="F65" s="8" t="str">
        <f>IFERROR(E65/E445, "NA")</f>
        <v>NA</v>
      </c>
      <c r="G65" s="9"/>
      <c r="H65" s="10">
        <f t="shared" si="16"/>
        <v>0</v>
      </c>
      <c r="I65" s="8" t="str">
        <f>IFERROR(H65/H445, "NA")</f>
        <v>NA</v>
      </c>
      <c r="J65" s="9"/>
      <c r="K65" s="7">
        <v>0</v>
      </c>
      <c r="L65" s="8" t="str">
        <f>IFERROR(K65/K445, "NA")</f>
        <v>NA</v>
      </c>
      <c r="M65" s="9"/>
      <c r="N65" s="10">
        <f t="shared" si="17"/>
        <v>0</v>
      </c>
      <c r="O65" s="8" t="str">
        <f>IFERROR(N65/N445, "NA")</f>
        <v>NA</v>
      </c>
      <c r="P65" s="9"/>
      <c r="Q65" s="7">
        <v>0</v>
      </c>
      <c r="R65" s="8" t="str">
        <f>IFERROR(Q65/Q445, "NA")</f>
        <v>NA</v>
      </c>
      <c r="S65" s="9"/>
      <c r="T65" s="7">
        <v>0</v>
      </c>
      <c r="U65" s="8" t="str">
        <f>IFERROR(T65/T445, "NA")</f>
        <v>NA</v>
      </c>
      <c r="V65" s="9"/>
      <c r="W65" s="10">
        <f t="shared" si="18"/>
        <v>0</v>
      </c>
      <c r="X65" s="8" t="str">
        <f>IFERROR(W65/W445, "NA")</f>
        <v>NA</v>
      </c>
      <c r="Y65" s="9"/>
      <c r="Z65" s="7">
        <v>0</v>
      </c>
      <c r="AA65" s="8" t="str">
        <f>IFERROR(Z65/Z445, "NA")</f>
        <v>NA</v>
      </c>
      <c r="AB65" s="9"/>
      <c r="AC65" s="10">
        <f t="shared" si="19"/>
        <v>0</v>
      </c>
      <c r="AD65" s="8" t="str">
        <f>IFERROR(AC65/AC445,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IFERROR(B66/B445, "NA")</f>
        <v>NA</v>
      </c>
      <c r="D66" s="9"/>
      <c r="E66" s="7">
        <v>0</v>
      </c>
      <c r="F66" s="8" t="str">
        <f>IFERROR(E66/E445, "NA")</f>
        <v>NA</v>
      </c>
      <c r="G66" s="9"/>
      <c r="H66" s="10">
        <f t="shared" si="16"/>
        <v>0</v>
      </c>
      <c r="I66" s="8" t="str">
        <f>IFERROR(H66/H445, "NA")</f>
        <v>NA</v>
      </c>
      <c r="J66" s="9"/>
      <c r="K66" s="7">
        <v>0</v>
      </c>
      <c r="L66" s="8" t="str">
        <f>IFERROR(K66/K445, "NA")</f>
        <v>NA</v>
      </c>
      <c r="M66" s="9"/>
      <c r="N66" s="10">
        <f t="shared" si="17"/>
        <v>0</v>
      </c>
      <c r="O66" s="8" t="str">
        <f>IFERROR(N66/N445, "NA")</f>
        <v>NA</v>
      </c>
      <c r="P66" s="9"/>
      <c r="Q66" s="7">
        <v>0</v>
      </c>
      <c r="R66" s="8" t="str">
        <f>IFERROR(Q66/Q445, "NA")</f>
        <v>NA</v>
      </c>
      <c r="S66" s="9"/>
      <c r="T66" s="7">
        <v>0</v>
      </c>
      <c r="U66" s="8" t="str">
        <f>IFERROR(T66/T445, "NA")</f>
        <v>NA</v>
      </c>
      <c r="V66" s="9"/>
      <c r="W66" s="10">
        <f t="shared" si="18"/>
        <v>0</v>
      </c>
      <c r="X66" s="8" t="str">
        <f>IFERROR(W66/W445, "NA")</f>
        <v>NA</v>
      </c>
      <c r="Y66" s="9"/>
      <c r="Z66" s="7">
        <v>0</v>
      </c>
      <c r="AA66" s="8" t="str">
        <f>IFERROR(Z66/Z445, "NA")</f>
        <v>NA</v>
      </c>
      <c r="AB66" s="9"/>
      <c r="AC66" s="10">
        <f t="shared" si="19"/>
        <v>0</v>
      </c>
      <c r="AD66" s="8" t="str">
        <f>IFERROR(AC66/AC445,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IFERROR(B67/B445, "NA")</f>
        <v>NA</v>
      </c>
      <c r="D67" s="9"/>
      <c r="E67" s="7">
        <v>0</v>
      </c>
      <c r="F67" s="8" t="str">
        <f>IFERROR(E67/E445, "NA")</f>
        <v>NA</v>
      </c>
      <c r="G67" s="9"/>
      <c r="H67" s="10">
        <f t="shared" si="16"/>
        <v>0</v>
      </c>
      <c r="I67" s="8" t="str">
        <f>IFERROR(H67/H445, "NA")</f>
        <v>NA</v>
      </c>
      <c r="J67" s="9"/>
      <c r="K67" s="7">
        <v>0</v>
      </c>
      <c r="L67" s="8" t="str">
        <f>IFERROR(K67/K445, "NA")</f>
        <v>NA</v>
      </c>
      <c r="M67" s="9"/>
      <c r="N67" s="10">
        <f t="shared" si="17"/>
        <v>0</v>
      </c>
      <c r="O67" s="8" t="str">
        <f>IFERROR(N67/N445, "NA")</f>
        <v>NA</v>
      </c>
      <c r="P67" s="9"/>
      <c r="Q67" s="7">
        <v>0</v>
      </c>
      <c r="R67" s="8" t="str">
        <f>IFERROR(Q67/Q445, "NA")</f>
        <v>NA</v>
      </c>
      <c r="S67" s="9"/>
      <c r="T67" s="7">
        <v>0</v>
      </c>
      <c r="U67" s="8" t="str">
        <f>IFERROR(T67/T445, "NA")</f>
        <v>NA</v>
      </c>
      <c r="V67" s="9"/>
      <c r="W67" s="10">
        <f t="shared" si="18"/>
        <v>0</v>
      </c>
      <c r="X67" s="8" t="str">
        <f>IFERROR(W67/W445, "NA")</f>
        <v>NA</v>
      </c>
      <c r="Y67" s="9"/>
      <c r="Z67" s="7">
        <v>0</v>
      </c>
      <c r="AA67" s="8" t="str">
        <f>IFERROR(Z67/Z445, "NA")</f>
        <v>NA</v>
      </c>
      <c r="AB67" s="9"/>
      <c r="AC67" s="10">
        <f t="shared" si="19"/>
        <v>0</v>
      </c>
      <c r="AD67" s="8" t="str">
        <f>IFERROR(AC67/AC445,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IFERROR(B68/B445, "NA")</f>
        <v>NA</v>
      </c>
      <c r="D68" s="9"/>
      <c r="E68" s="7">
        <v>0</v>
      </c>
      <c r="F68" s="8" t="str">
        <f>IFERROR(E68/E445, "NA")</f>
        <v>NA</v>
      </c>
      <c r="G68" s="9"/>
      <c r="H68" s="10">
        <f t="shared" si="16"/>
        <v>0</v>
      </c>
      <c r="I68" s="8" t="str">
        <f>IFERROR(H68/H445, "NA")</f>
        <v>NA</v>
      </c>
      <c r="J68" s="9"/>
      <c r="K68" s="7">
        <v>0</v>
      </c>
      <c r="L68" s="8" t="str">
        <f>IFERROR(K68/K445, "NA")</f>
        <v>NA</v>
      </c>
      <c r="M68" s="9"/>
      <c r="N68" s="10">
        <f t="shared" si="17"/>
        <v>0</v>
      </c>
      <c r="O68" s="8" t="str">
        <f>IFERROR(N68/N445, "NA")</f>
        <v>NA</v>
      </c>
      <c r="P68" s="9"/>
      <c r="Q68" s="7">
        <v>0</v>
      </c>
      <c r="R68" s="8" t="str">
        <f>IFERROR(Q68/Q445, "NA")</f>
        <v>NA</v>
      </c>
      <c r="S68" s="9"/>
      <c r="T68" s="7">
        <v>0</v>
      </c>
      <c r="U68" s="8" t="str">
        <f>IFERROR(T68/T445, "NA")</f>
        <v>NA</v>
      </c>
      <c r="V68" s="9"/>
      <c r="W68" s="10">
        <f t="shared" si="18"/>
        <v>0</v>
      </c>
      <c r="X68" s="8" t="str">
        <f>IFERROR(W68/W445, "NA")</f>
        <v>NA</v>
      </c>
      <c r="Y68" s="9"/>
      <c r="Z68" s="7">
        <v>0</v>
      </c>
      <c r="AA68" s="8" t="str">
        <f>IFERROR(Z68/Z445, "NA")</f>
        <v>NA</v>
      </c>
      <c r="AB68" s="9"/>
      <c r="AC68" s="10">
        <f t="shared" si="19"/>
        <v>0</v>
      </c>
      <c r="AD68" s="8" t="str">
        <f>IFERROR(AC68/AC445,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IFERROR(B69/B445, "NA")</f>
        <v>NA</v>
      </c>
      <c r="D69" s="9"/>
      <c r="E69" s="7">
        <v>0</v>
      </c>
      <c r="F69" s="8" t="str">
        <f>IFERROR(E69/E445, "NA")</f>
        <v>NA</v>
      </c>
      <c r="G69" s="9"/>
      <c r="H69" s="10">
        <f t="shared" si="16"/>
        <v>0</v>
      </c>
      <c r="I69" s="8" t="str">
        <f>IFERROR(H69/H445, "NA")</f>
        <v>NA</v>
      </c>
      <c r="J69" s="9"/>
      <c r="K69" s="7">
        <v>0</v>
      </c>
      <c r="L69" s="8" t="str">
        <f>IFERROR(K69/K445, "NA")</f>
        <v>NA</v>
      </c>
      <c r="M69" s="9"/>
      <c r="N69" s="10">
        <f t="shared" si="17"/>
        <v>0</v>
      </c>
      <c r="O69" s="8" t="str">
        <f>IFERROR(N69/N445, "NA")</f>
        <v>NA</v>
      </c>
      <c r="P69" s="9"/>
      <c r="Q69" s="7">
        <v>0</v>
      </c>
      <c r="R69" s="8" t="str">
        <f>IFERROR(Q69/Q445, "NA")</f>
        <v>NA</v>
      </c>
      <c r="S69" s="9"/>
      <c r="T69" s="7">
        <v>0</v>
      </c>
      <c r="U69" s="8" t="str">
        <f>IFERROR(T69/T445, "NA")</f>
        <v>NA</v>
      </c>
      <c r="V69" s="9"/>
      <c r="W69" s="10">
        <f t="shared" si="18"/>
        <v>0</v>
      </c>
      <c r="X69" s="8" t="str">
        <f>IFERROR(W69/W445, "NA")</f>
        <v>NA</v>
      </c>
      <c r="Y69" s="9"/>
      <c r="Z69" s="7">
        <v>0</v>
      </c>
      <c r="AA69" s="8" t="str">
        <f>IFERROR(Z69/Z445, "NA")</f>
        <v>NA</v>
      </c>
      <c r="AB69" s="9"/>
      <c r="AC69" s="10">
        <f t="shared" si="19"/>
        <v>0</v>
      </c>
      <c r="AD69" s="8" t="str">
        <f>IFERROR(AC69/AC445,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IFERROR(B70/B445, "NA")</f>
        <v>NA</v>
      </c>
      <c r="D70" s="9"/>
      <c r="E70" s="7">
        <v>0</v>
      </c>
      <c r="F70" s="8" t="str">
        <f>IFERROR(E70/E445, "NA")</f>
        <v>NA</v>
      </c>
      <c r="G70" s="9"/>
      <c r="H70" s="10">
        <f t="shared" si="16"/>
        <v>0</v>
      </c>
      <c r="I70" s="8" t="str">
        <f>IFERROR(H70/H445, "NA")</f>
        <v>NA</v>
      </c>
      <c r="J70" s="9"/>
      <c r="K70" s="7">
        <v>0</v>
      </c>
      <c r="L70" s="8" t="str">
        <f>IFERROR(K70/K445, "NA")</f>
        <v>NA</v>
      </c>
      <c r="M70" s="9"/>
      <c r="N70" s="10">
        <f t="shared" si="17"/>
        <v>0</v>
      </c>
      <c r="O70" s="8" t="str">
        <f>IFERROR(N70/N445, "NA")</f>
        <v>NA</v>
      </c>
      <c r="P70" s="9"/>
      <c r="Q70" s="7">
        <v>0</v>
      </c>
      <c r="R70" s="8" t="str">
        <f>IFERROR(Q70/Q445, "NA")</f>
        <v>NA</v>
      </c>
      <c r="S70" s="9"/>
      <c r="T70" s="7">
        <v>0</v>
      </c>
      <c r="U70" s="8" t="str">
        <f>IFERROR(T70/T445, "NA")</f>
        <v>NA</v>
      </c>
      <c r="V70" s="9"/>
      <c r="W70" s="10">
        <f t="shared" si="18"/>
        <v>0</v>
      </c>
      <c r="X70" s="8" t="str">
        <f>IFERROR(W70/W445, "NA")</f>
        <v>NA</v>
      </c>
      <c r="Y70" s="9"/>
      <c r="Z70" s="7">
        <v>0</v>
      </c>
      <c r="AA70" s="8" t="str">
        <f>IFERROR(Z70/Z445, "NA")</f>
        <v>NA</v>
      </c>
      <c r="AB70" s="9"/>
      <c r="AC70" s="10">
        <f t="shared" si="19"/>
        <v>0</v>
      </c>
      <c r="AD70" s="8" t="str">
        <f>IFERROR(AC70/AC445,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IFERROR(B71/B445, "NA")</f>
        <v>NA</v>
      </c>
      <c r="D71" s="9"/>
      <c r="E71" s="7">
        <v>0</v>
      </c>
      <c r="F71" s="8" t="str">
        <f>IFERROR(E71/E445, "NA")</f>
        <v>NA</v>
      </c>
      <c r="G71" s="9"/>
      <c r="H71" s="10">
        <f t="shared" si="16"/>
        <v>0</v>
      </c>
      <c r="I71" s="8" t="str">
        <f>IFERROR(H71/H445, "NA")</f>
        <v>NA</v>
      </c>
      <c r="J71" s="9"/>
      <c r="K71" s="7">
        <v>0</v>
      </c>
      <c r="L71" s="8" t="str">
        <f>IFERROR(K71/K445, "NA")</f>
        <v>NA</v>
      </c>
      <c r="M71" s="9"/>
      <c r="N71" s="10">
        <f t="shared" si="17"/>
        <v>0</v>
      </c>
      <c r="O71" s="8" t="str">
        <f>IFERROR(N71/N445, "NA")</f>
        <v>NA</v>
      </c>
      <c r="P71" s="9"/>
      <c r="Q71" s="7">
        <v>0</v>
      </c>
      <c r="R71" s="8" t="str">
        <f>IFERROR(Q71/Q445, "NA")</f>
        <v>NA</v>
      </c>
      <c r="S71" s="9"/>
      <c r="T71" s="7">
        <v>0</v>
      </c>
      <c r="U71" s="8" t="str">
        <f>IFERROR(T71/T445, "NA")</f>
        <v>NA</v>
      </c>
      <c r="V71" s="9"/>
      <c r="W71" s="10">
        <f t="shared" si="18"/>
        <v>0</v>
      </c>
      <c r="X71" s="8" t="str">
        <f>IFERROR(W71/W445, "NA")</f>
        <v>NA</v>
      </c>
      <c r="Y71" s="9"/>
      <c r="Z71" s="7">
        <v>0</v>
      </c>
      <c r="AA71" s="8" t="str">
        <f>IFERROR(Z71/Z445, "NA")</f>
        <v>NA</v>
      </c>
      <c r="AB71" s="9"/>
      <c r="AC71" s="10">
        <f t="shared" si="19"/>
        <v>0</v>
      </c>
      <c r="AD71" s="8" t="str">
        <f>IFERROR(AC71/AC445,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IFERROR(B72/B445, "NA")</f>
        <v>NA</v>
      </c>
      <c r="D72" s="9"/>
      <c r="E72" s="7">
        <v>0</v>
      </c>
      <c r="F72" s="8" t="str">
        <f>IFERROR(E72/E445, "NA")</f>
        <v>NA</v>
      </c>
      <c r="G72" s="9"/>
      <c r="H72" s="10">
        <f t="shared" si="16"/>
        <v>0</v>
      </c>
      <c r="I72" s="8" t="str">
        <f>IFERROR(H72/H445, "NA")</f>
        <v>NA</v>
      </c>
      <c r="J72" s="9"/>
      <c r="K72" s="7">
        <v>0</v>
      </c>
      <c r="L72" s="8" t="str">
        <f>IFERROR(K72/K445, "NA")</f>
        <v>NA</v>
      </c>
      <c r="M72" s="9"/>
      <c r="N72" s="10">
        <f t="shared" si="17"/>
        <v>0</v>
      </c>
      <c r="O72" s="8" t="str">
        <f>IFERROR(N72/N445, "NA")</f>
        <v>NA</v>
      </c>
      <c r="P72" s="9"/>
      <c r="Q72" s="7">
        <v>0</v>
      </c>
      <c r="R72" s="8" t="str">
        <f>IFERROR(Q72/Q445, "NA")</f>
        <v>NA</v>
      </c>
      <c r="S72" s="9"/>
      <c r="T72" s="7">
        <v>0</v>
      </c>
      <c r="U72" s="8" t="str">
        <f>IFERROR(T72/T445, "NA")</f>
        <v>NA</v>
      </c>
      <c r="V72" s="9"/>
      <c r="W72" s="10">
        <f t="shared" si="18"/>
        <v>0</v>
      </c>
      <c r="X72" s="8" t="str">
        <f>IFERROR(W72/W445, "NA")</f>
        <v>NA</v>
      </c>
      <c r="Y72" s="9"/>
      <c r="Z72" s="7">
        <v>0</v>
      </c>
      <c r="AA72" s="8" t="str">
        <f>IFERROR(Z72/Z445, "NA")</f>
        <v>NA</v>
      </c>
      <c r="AB72" s="9"/>
      <c r="AC72" s="10">
        <f t="shared" si="19"/>
        <v>0</v>
      </c>
      <c r="AD72" s="8" t="str">
        <f>IFERROR(AC72/AC445,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IFERROR(B73/B445, "NA")</f>
        <v>NA</v>
      </c>
      <c r="D73" s="2"/>
      <c r="E73" s="14">
        <f>IFERROR(E64+E65+E66+E67+E68+E69+E70+E71+E72, "NA")</f>
        <v>0</v>
      </c>
      <c r="F73" s="15" t="str">
        <f>IFERROR(E73/E445, "NA")</f>
        <v>NA</v>
      </c>
      <c r="G73" s="2"/>
      <c r="H73" s="14">
        <f t="shared" si="16"/>
        <v>0</v>
      </c>
      <c r="I73" s="15" t="str">
        <f>IFERROR(H73/H445, "NA")</f>
        <v>NA</v>
      </c>
      <c r="J73" s="2"/>
      <c r="K73" s="14">
        <f>IFERROR(K64+K65+K66+K67+K68+K69+K70+K71+K72, "NA")</f>
        <v>0</v>
      </c>
      <c r="L73" s="15" t="str">
        <f>IFERROR(K73/K445, "NA")</f>
        <v>NA</v>
      </c>
      <c r="M73" s="2"/>
      <c r="N73" s="14">
        <f t="shared" si="17"/>
        <v>0</v>
      </c>
      <c r="O73" s="15" t="str">
        <f>IFERROR(N73/N445, "NA")</f>
        <v>NA</v>
      </c>
      <c r="P73" s="2"/>
      <c r="Q73" s="14">
        <f>IFERROR(Q64+Q65+Q66+Q67+Q68+Q69+Q70+Q71+Q72, "NA")</f>
        <v>0</v>
      </c>
      <c r="R73" s="15" t="str">
        <f>IFERROR(Q73/Q445, "NA")</f>
        <v>NA</v>
      </c>
      <c r="S73" s="2"/>
      <c r="T73" s="14">
        <f>IFERROR(T64+T65+T66+T67+T68+T69+T70+T71+T72, "NA")</f>
        <v>0</v>
      </c>
      <c r="U73" s="15" t="str">
        <f>IFERROR(T73/T445, "NA")</f>
        <v>NA</v>
      </c>
      <c r="V73" s="2"/>
      <c r="W73" s="14">
        <f t="shared" si="18"/>
        <v>0</v>
      </c>
      <c r="X73" s="15" t="str">
        <f>IFERROR(W73/W445, "NA")</f>
        <v>NA</v>
      </c>
      <c r="Y73" s="2"/>
      <c r="Z73" s="14">
        <f>IFERROR(Z64+Z65+Z66+Z67+Z68+Z69+Z70+Z71+Z72, "NA")</f>
        <v>0</v>
      </c>
      <c r="AA73" s="15" t="str">
        <f>IFERROR(Z73/Z445, "NA")</f>
        <v>NA</v>
      </c>
      <c r="AB73" s="2"/>
      <c r="AC73" s="14">
        <f t="shared" si="19"/>
        <v>0</v>
      </c>
      <c r="AD73" s="15" t="str">
        <f>IFERROR(AC73/AC445,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IFERROR(B75/B445, "NA")</f>
        <v>NA</v>
      </c>
      <c r="D75" s="9"/>
      <c r="E75" s="7">
        <v>0</v>
      </c>
      <c r="F75" s="8" t="str">
        <f>IFERROR(E75/E445, "NA")</f>
        <v>NA</v>
      </c>
      <c r="G75" s="9"/>
      <c r="H75" s="10">
        <f t="shared" ref="H75:H92" si="20">IFERROR(B75-E75, "NA")</f>
        <v>0</v>
      </c>
      <c r="I75" s="8" t="str">
        <f>IFERROR(H75/H445, "NA")</f>
        <v>NA</v>
      </c>
      <c r="J75" s="9"/>
      <c r="K75" s="7">
        <v>0</v>
      </c>
      <c r="L75" s="8" t="str">
        <f>IFERROR(K75/K445, "NA")</f>
        <v>NA</v>
      </c>
      <c r="M75" s="9"/>
      <c r="N75" s="10">
        <f t="shared" ref="N75:N92" si="21">IFERROR(B75-K75, "NA")</f>
        <v>0</v>
      </c>
      <c r="O75" s="8" t="str">
        <f>IFERROR(N75/N445, "NA")</f>
        <v>NA</v>
      </c>
      <c r="P75" s="9"/>
      <c r="Q75" s="7">
        <v>0</v>
      </c>
      <c r="R75" s="8" t="str">
        <f>IFERROR(Q75/Q445, "NA")</f>
        <v>NA</v>
      </c>
      <c r="S75" s="9"/>
      <c r="T75" s="7">
        <v>0</v>
      </c>
      <c r="U75" s="8" t="str">
        <f>IFERROR(T75/T445, "NA")</f>
        <v>NA</v>
      </c>
      <c r="V75" s="9"/>
      <c r="W75" s="10">
        <f t="shared" ref="W75:W92" si="22">IFERROR(Q75-T75, "NA")</f>
        <v>0</v>
      </c>
      <c r="X75" s="8" t="str">
        <f>IFERROR(W75/W445, "NA")</f>
        <v>NA</v>
      </c>
      <c r="Y75" s="9"/>
      <c r="Z75" s="7">
        <v>0</v>
      </c>
      <c r="AA75" s="8" t="str">
        <f>IFERROR(Z75/Z445, "NA")</f>
        <v>NA</v>
      </c>
      <c r="AB75" s="9"/>
      <c r="AC75" s="10">
        <f t="shared" ref="AC75:AC92" si="23">IFERROR(Q75-Z75, "NA")</f>
        <v>0</v>
      </c>
      <c r="AD75" s="8" t="str">
        <f>IFERROR(AC75/AC445,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IFERROR(B76/B445, "NA")</f>
        <v>NA</v>
      </c>
      <c r="D76" s="9"/>
      <c r="E76" s="7">
        <v>0</v>
      </c>
      <c r="F76" s="8" t="str">
        <f>IFERROR(E76/E445, "NA")</f>
        <v>NA</v>
      </c>
      <c r="G76" s="9"/>
      <c r="H76" s="10">
        <f t="shared" si="20"/>
        <v>0</v>
      </c>
      <c r="I76" s="8" t="str">
        <f>IFERROR(H76/H445, "NA")</f>
        <v>NA</v>
      </c>
      <c r="J76" s="9"/>
      <c r="K76" s="7">
        <v>0</v>
      </c>
      <c r="L76" s="8" t="str">
        <f>IFERROR(K76/K445, "NA")</f>
        <v>NA</v>
      </c>
      <c r="M76" s="9"/>
      <c r="N76" s="10">
        <f t="shared" si="21"/>
        <v>0</v>
      </c>
      <c r="O76" s="8" t="str">
        <f>IFERROR(N76/N445, "NA")</f>
        <v>NA</v>
      </c>
      <c r="P76" s="9"/>
      <c r="Q76" s="7">
        <v>0</v>
      </c>
      <c r="R76" s="8" t="str">
        <f>IFERROR(Q76/Q445, "NA")</f>
        <v>NA</v>
      </c>
      <c r="S76" s="9"/>
      <c r="T76" s="7">
        <v>0</v>
      </c>
      <c r="U76" s="8" t="str">
        <f>IFERROR(T76/T445, "NA")</f>
        <v>NA</v>
      </c>
      <c r="V76" s="9"/>
      <c r="W76" s="10">
        <f t="shared" si="22"/>
        <v>0</v>
      </c>
      <c r="X76" s="8" t="str">
        <f>IFERROR(W76/W445, "NA")</f>
        <v>NA</v>
      </c>
      <c r="Y76" s="9"/>
      <c r="Z76" s="7">
        <v>0</v>
      </c>
      <c r="AA76" s="8" t="str">
        <f>IFERROR(Z76/Z445, "NA")</f>
        <v>NA</v>
      </c>
      <c r="AB76" s="9"/>
      <c r="AC76" s="10">
        <f t="shared" si="23"/>
        <v>0</v>
      </c>
      <c r="AD76" s="8" t="str">
        <f>IFERROR(AC76/AC445,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IFERROR(B77/B445, "NA")</f>
        <v>NA</v>
      </c>
      <c r="D77" s="9"/>
      <c r="E77" s="7">
        <v>0</v>
      </c>
      <c r="F77" s="8" t="str">
        <f>IFERROR(E77/E445, "NA")</f>
        <v>NA</v>
      </c>
      <c r="G77" s="9"/>
      <c r="H77" s="10">
        <f t="shared" si="20"/>
        <v>0</v>
      </c>
      <c r="I77" s="8" t="str">
        <f>IFERROR(H77/H445, "NA")</f>
        <v>NA</v>
      </c>
      <c r="J77" s="9"/>
      <c r="K77" s="7">
        <v>0</v>
      </c>
      <c r="L77" s="8" t="str">
        <f>IFERROR(K77/K445, "NA")</f>
        <v>NA</v>
      </c>
      <c r="M77" s="9"/>
      <c r="N77" s="10">
        <f t="shared" si="21"/>
        <v>0</v>
      </c>
      <c r="O77" s="8" t="str">
        <f>IFERROR(N77/N445, "NA")</f>
        <v>NA</v>
      </c>
      <c r="P77" s="9"/>
      <c r="Q77" s="7">
        <v>0</v>
      </c>
      <c r="R77" s="8" t="str">
        <f>IFERROR(Q77/Q445, "NA")</f>
        <v>NA</v>
      </c>
      <c r="S77" s="9"/>
      <c r="T77" s="7">
        <v>0</v>
      </c>
      <c r="U77" s="8" t="str">
        <f>IFERROR(T77/T445, "NA")</f>
        <v>NA</v>
      </c>
      <c r="V77" s="9"/>
      <c r="W77" s="10">
        <f t="shared" si="22"/>
        <v>0</v>
      </c>
      <c r="X77" s="8" t="str">
        <f>IFERROR(W77/W445, "NA")</f>
        <v>NA</v>
      </c>
      <c r="Y77" s="9"/>
      <c r="Z77" s="7">
        <v>0</v>
      </c>
      <c r="AA77" s="8" t="str">
        <f>IFERROR(Z77/Z445, "NA")</f>
        <v>NA</v>
      </c>
      <c r="AB77" s="9"/>
      <c r="AC77" s="10">
        <f t="shared" si="23"/>
        <v>0</v>
      </c>
      <c r="AD77" s="8" t="str">
        <f>IFERROR(AC77/AC445,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IFERROR(B78/B445, "NA")</f>
        <v>NA</v>
      </c>
      <c r="D78" s="9"/>
      <c r="E78" s="7">
        <v>0</v>
      </c>
      <c r="F78" s="8" t="str">
        <f>IFERROR(E78/E445, "NA")</f>
        <v>NA</v>
      </c>
      <c r="G78" s="9"/>
      <c r="H78" s="10">
        <f t="shared" si="20"/>
        <v>0</v>
      </c>
      <c r="I78" s="8" t="str">
        <f>IFERROR(H78/H445, "NA")</f>
        <v>NA</v>
      </c>
      <c r="J78" s="9"/>
      <c r="K78" s="7">
        <v>0</v>
      </c>
      <c r="L78" s="8" t="str">
        <f>IFERROR(K78/K445, "NA")</f>
        <v>NA</v>
      </c>
      <c r="M78" s="9"/>
      <c r="N78" s="10">
        <f t="shared" si="21"/>
        <v>0</v>
      </c>
      <c r="O78" s="8" t="str">
        <f>IFERROR(N78/N445, "NA")</f>
        <v>NA</v>
      </c>
      <c r="P78" s="9"/>
      <c r="Q78" s="7">
        <v>0</v>
      </c>
      <c r="R78" s="8" t="str">
        <f>IFERROR(Q78/Q445, "NA")</f>
        <v>NA</v>
      </c>
      <c r="S78" s="9"/>
      <c r="T78" s="7">
        <v>0</v>
      </c>
      <c r="U78" s="8" t="str">
        <f>IFERROR(T78/T445, "NA")</f>
        <v>NA</v>
      </c>
      <c r="V78" s="9"/>
      <c r="W78" s="10">
        <f t="shared" si="22"/>
        <v>0</v>
      </c>
      <c r="X78" s="8" t="str">
        <f>IFERROR(W78/W445, "NA")</f>
        <v>NA</v>
      </c>
      <c r="Y78" s="9"/>
      <c r="Z78" s="7">
        <v>0</v>
      </c>
      <c r="AA78" s="8" t="str">
        <f>IFERROR(Z78/Z445, "NA")</f>
        <v>NA</v>
      </c>
      <c r="AB78" s="9"/>
      <c r="AC78" s="10">
        <f t="shared" si="23"/>
        <v>0</v>
      </c>
      <c r="AD78" s="8" t="str">
        <f>IFERROR(AC78/AC445,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IFERROR(B79/B445, "NA")</f>
        <v>NA</v>
      </c>
      <c r="D79" s="9"/>
      <c r="E79" s="7">
        <v>0</v>
      </c>
      <c r="F79" s="8" t="str">
        <f>IFERROR(E79/E445, "NA")</f>
        <v>NA</v>
      </c>
      <c r="G79" s="9"/>
      <c r="H79" s="10">
        <f t="shared" si="20"/>
        <v>0</v>
      </c>
      <c r="I79" s="8" t="str">
        <f>IFERROR(H79/H445, "NA")</f>
        <v>NA</v>
      </c>
      <c r="J79" s="9"/>
      <c r="K79" s="7">
        <v>0</v>
      </c>
      <c r="L79" s="8" t="str">
        <f>IFERROR(K79/K445, "NA")</f>
        <v>NA</v>
      </c>
      <c r="M79" s="9"/>
      <c r="N79" s="10">
        <f t="shared" si="21"/>
        <v>0</v>
      </c>
      <c r="O79" s="8" t="str">
        <f>IFERROR(N79/N445, "NA")</f>
        <v>NA</v>
      </c>
      <c r="P79" s="9"/>
      <c r="Q79" s="7">
        <v>0</v>
      </c>
      <c r="R79" s="8" t="str">
        <f>IFERROR(Q79/Q445, "NA")</f>
        <v>NA</v>
      </c>
      <c r="S79" s="9"/>
      <c r="T79" s="7">
        <v>0</v>
      </c>
      <c r="U79" s="8" t="str">
        <f>IFERROR(T79/T445, "NA")</f>
        <v>NA</v>
      </c>
      <c r="V79" s="9"/>
      <c r="W79" s="10">
        <f t="shared" si="22"/>
        <v>0</v>
      </c>
      <c r="X79" s="8" t="str">
        <f>IFERROR(W79/W445, "NA")</f>
        <v>NA</v>
      </c>
      <c r="Y79" s="9"/>
      <c r="Z79" s="7">
        <v>0</v>
      </c>
      <c r="AA79" s="8" t="str">
        <f>IFERROR(Z79/Z445, "NA")</f>
        <v>NA</v>
      </c>
      <c r="AB79" s="9"/>
      <c r="AC79" s="10">
        <f t="shared" si="23"/>
        <v>0</v>
      </c>
      <c r="AD79" s="8" t="str">
        <f>IFERROR(AC79/AC445,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IFERROR(B80/B445, "NA")</f>
        <v>NA</v>
      </c>
      <c r="D80" s="9"/>
      <c r="E80" s="7">
        <v>0</v>
      </c>
      <c r="F80" s="8" t="str">
        <f>IFERROR(E80/E445, "NA")</f>
        <v>NA</v>
      </c>
      <c r="G80" s="9"/>
      <c r="H80" s="10">
        <f t="shared" si="20"/>
        <v>0</v>
      </c>
      <c r="I80" s="8" t="str">
        <f>IFERROR(H80/H445, "NA")</f>
        <v>NA</v>
      </c>
      <c r="J80" s="9"/>
      <c r="K80" s="7">
        <v>0</v>
      </c>
      <c r="L80" s="8" t="str">
        <f>IFERROR(K80/K445, "NA")</f>
        <v>NA</v>
      </c>
      <c r="M80" s="9"/>
      <c r="N80" s="10">
        <f t="shared" si="21"/>
        <v>0</v>
      </c>
      <c r="O80" s="8" t="str">
        <f>IFERROR(N80/N445, "NA")</f>
        <v>NA</v>
      </c>
      <c r="P80" s="9"/>
      <c r="Q80" s="7">
        <v>0</v>
      </c>
      <c r="R80" s="8" t="str">
        <f>IFERROR(Q80/Q445, "NA")</f>
        <v>NA</v>
      </c>
      <c r="S80" s="9"/>
      <c r="T80" s="7">
        <v>0</v>
      </c>
      <c r="U80" s="8" t="str">
        <f>IFERROR(T80/T445, "NA")</f>
        <v>NA</v>
      </c>
      <c r="V80" s="9"/>
      <c r="W80" s="10">
        <f t="shared" si="22"/>
        <v>0</v>
      </c>
      <c r="X80" s="8" t="str">
        <f>IFERROR(W80/W445, "NA")</f>
        <v>NA</v>
      </c>
      <c r="Y80" s="9"/>
      <c r="Z80" s="7">
        <v>0</v>
      </c>
      <c r="AA80" s="8" t="str">
        <f>IFERROR(Z80/Z445, "NA")</f>
        <v>NA</v>
      </c>
      <c r="AB80" s="9"/>
      <c r="AC80" s="10">
        <f t="shared" si="23"/>
        <v>0</v>
      </c>
      <c r="AD80" s="8" t="str">
        <f>IFERROR(AC80/AC445,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IFERROR(B81/B445, "NA")</f>
        <v>NA</v>
      </c>
      <c r="D81" s="9"/>
      <c r="E81" s="7">
        <v>0</v>
      </c>
      <c r="F81" s="8" t="str">
        <f>IFERROR(E81/E445, "NA")</f>
        <v>NA</v>
      </c>
      <c r="G81" s="9"/>
      <c r="H81" s="10">
        <f t="shared" si="20"/>
        <v>0</v>
      </c>
      <c r="I81" s="8" t="str">
        <f>IFERROR(H81/H445, "NA")</f>
        <v>NA</v>
      </c>
      <c r="J81" s="9"/>
      <c r="K81" s="7">
        <v>0</v>
      </c>
      <c r="L81" s="8" t="str">
        <f>IFERROR(K81/K445, "NA")</f>
        <v>NA</v>
      </c>
      <c r="M81" s="9"/>
      <c r="N81" s="10">
        <f t="shared" si="21"/>
        <v>0</v>
      </c>
      <c r="O81" s="8" t="str">
        <f>IFERROR(N81/N445, "NA")</f>
        <v>NA</v>
      </c>
      <c r="P81" s="9"/>
      <c r="Q81" s="7">
        <v>0</v>
      </c>
      <c r="R81" s="8" t="str">
        <f>IFERROR(Q81/Q445, "NA")</f>
        <v>NA</v>
      </c>
      <c r="S81" s="9"/>
      <c r="T81" s="7">
        <v>0</v>
      </c>
      <c r="U81" s="8" t="str">
        <f>IFERROR(T81/T445, "NA")</f>
        <v>NA</v>
      </c>
      <c r="V81" s="9"/>
      <c r="W81" s="10">
        <f t="shared" si="22"/>
        <v>0</v>
      </c>
      <c r="X81" s="8" t="str">
        <f>IFERROR(W81/W445, "NA")</f>
        <v>NA</v>
      </c>
      <c r="Y81" s="9"/>
      <c r="Z81" s="7">
        <v>0</v>
      </c>
      <c r="AA81" s="8" t="str">
        <f>IFERROR(Z81/Z445, "NA")</f>
        <v>NA</v>
      </c>
      <c r="AB81" s="9"/>
      <c r="AC81" s="10">
        <f t="shared" si="23"/>
        <v>0</v>
      </c>
      <c r="AD81" s="8" t="str">
        <f>IFERROR(AC81/AC445,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IFERROR(B82/B445, "NA")</f>
        <v>NA</v>
      </c>
      <c r="D82" s="9"/>
      <c r="E82" s="7">
        <v>0</v>
      </c>
      <c r="F82" s="8" t="str">
        <f>IFERROR(E82/E445, "NA")</f>
        <v>NA</v>
      </c>
      <c r="G82" s="9"/>
      <c r="H82" s="10">
        <f t="shared" si="20"/>
        <v>0</v>
      </c>
      <c r="I82" s="8" t="str">
        <f>IFERROR(H82/H445, "NA")</f>
        <v>NA</v>
      </c>
      <c r="J82" s="9"/>
      <c r="K82" s="7">
        <v>0</v>
      </c>
      <c r="L82" s="8" t="str">
        <f>IFERROR(K82/K445, "NA")</f>
        <v>NA</v>
      </c>
      <c r="M82" s="9"/>
      <c r="N82" s="10">
        <f t="shared" si="21"/>
        <v>0</v>
      </c>
      <c r="O82" s="8" t="str">
        <f>IFERROR(N82/N445, "NA")</f>
        <v>NA</v>
      </c>
      <c r="P82" s="9"/>
      <c r="Q82" s="7">
        <v>0</v>
      </c>
      <c r="R82" s="8" t="str">
        <f>IFERROR(Q82/Q445, "NA")</f>
        <v>NA</v>
      </c>
      <c r="S82" s="9"/>
      <c r="T82" s="7">
        <v>0</v>
      </c>
      <c r="U82" s="8" t="str">
        <f>IFERROR(T82/T445, "NA")</f>
        <v>NA</v>
      </c>
      <c r="V82" s="9"/>
      <c r="W82" s="10">
        <f t="shared" si="22"/>
        <v>0</v>
      </c>
      <c r="X82" s="8" t="str">
        <f>IFERROR(W82/W445, "NA")</f>
        <v>NA</v>
      </c>
      <c r="Y82" s="9"/>
      <c r="Z82" s="7">
        <v>0</v>
      </c>
      <c r="AA82" s="8" t="str">
        <f>IFERROR(Z82/Z445, "NA")</f>
        <v>NA</v>
      </c>
      <c r="AB82" s="9"/>
      <c r="AC82" s="10">
        <f t="shared" si="23"/>
        <v>0</v>
      </c>
      <c r="AD82" s="8" t="str">
        <f>IFERROR(AC82/AC445,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IFERROR(B83/B445, "NA")</f>
        <v>NA</v>
      </c>
      <c r="D83" s="9"/>
      <c r="E83" s="7">
        <v>0</v>
      </c>
      <c r="F83" s="8" t="str">
        <f>IFERROR(E83/E445, "NA")</f>
        <v>NA</v>
      </c>
      <c r="G83" s="9"/>
      <c r="H83" s="10">
        <f t="shared" si="20"/>
        <v>0</v>
      </c>
      <c r="I83" s="8" t="str">
        <f>IFERROR(H83/H445, "NA")</f>
        <v>NA</v>
      </c>
      <c r="J83" s="9"/>
      <c r="K83" s="7">
        <v>0</v>
      </c>
      <c r="L83" s="8" t="str">
        <f>IFERROR(K83/K445, "NA")</f>
        <v>NA</v>
      </c>
      <c r="M83" s="9"/>
      <c r="N83" s="10">
        <f t="shared" si="21"/>
        <v>0</v>
      </c>
      <c r="O83" s="8" t="str">
        <f>IFERROR(N83/N445, "NA")</f>
        <v>NA</v>
      </c>
      <c r="P83" s="9"/>
      <c r="Q83" s="7">
        <v>0</v>
      </c>
      <c r="R83" s="8" t="str">
        <f>IFERROR(Q83/Q445, "NA")</f>
        <v>NA</v>
      </c>
      <c r="S83" s="9"/>
      <c r="T83" s="7">
        <v>0</v>
      </c>
      <c r="U83" s="8" t="str">
        <f>IFERROR(T83/T445, "NA")</f>
        <v>NA</v>
      </c>
      <c r="V83" s="9"/>
      <c r="W83" s="10">
        <f t="shared" si="22"/>
        <v>0</v>
      </c>
      <c r="X83" s="8" t="str">
        <f>IFERROR(W83/W445, "NA")</f>
        <v>NA</v>
      </c>
      <c r="Y83" s="9"/>
      <c r="Z83" s="7">
        <v>0</v>
      </c>
      <c r="AA83" s="8" t="str">
        <f>IFERROR(Z83/Z445, "NA")</f>
        <v>NA</v>
      </c>
      <c r="AB83" s="9"/>
      <c r="AC83" s="10">
        <f t="shared" si="23"/>
        <v>0</v>
      </c>
      <c r="AD83" s="8" t="str">
        <f>IFERROR(AC83/AC445,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IFERROR(B84/B445, "NA")</f>
        <v>NA</v>
      </c>
      <c r="D84" s="9"/>
      <c r="E84" s="7">
        <v>0</v>
      </c>
      <c r="F84" s="8" t="str">
        <f>IFERROR(E84/E445, "NA")</f>
        <v>NA</v>
      </c>
      <c r="G84" s="9"/>
      <c r="H84" s="10">
        <f t="shared" si="20"/>
        <v>0</v>
      </c>
      <c r="I84" s="8" t="str">
        <f>IFERROR(H84/H445, "NA")</f>
        <v>NA</v>
      </c>
      <c r="J84" s="9"/>
      <c r="K84" s="7">
        <v>0</v>
      </c>
      <c r="L84" s="8" t="str">
        <f>IFERROR(K84/K445, "NA")</f>
        <v>NA</v>
      </c>
      <c r="M84" s="9"/>
      <c r="N84" s="10">
        <f t="shared" si="21"/>
        <v>0</v>
      </c>
      <c r="O84" s="8" t="str">
        <f>IFERROR(N84/N445, "NA")</f>
        <v>NA</v>
      </c>
      <c r="P84" s="9"/>
      <c r="Q84" s="7">
        <v>0</v>
      </c>
      <c r="R84" s="8" t="str">
        <f>IFERROR(Q84/Q445, "NA")</f>
        <v>NA</v>
      </c>
      <c r="S84" s="9"/>
      <c r="T84" s="7">
        <v>0</v>
      </c>
      <c r="U84" s="8" t="str">
        <f>IFERROR(T84/T445, "NA")</f>
        <v>NA</v>
      </c>
      <c r="V84" s="9"/>
      <c r="W84" s="10">
        <f t="shared" si="22"/>
        <v>0</v>
      </c>
      <c r="X84" s="8" t="str">
        <f>IFERROR(W84/W445, "NA")</f>
        <v>NA</v>
      </c>
      <c r="Y84" s="9"/>
      <c r="Z84" s="7">
        <v>0</v>
      </c>
      <c r="AA84" s="8" t="str">
        <f>IFERROR(Z84/Z445, "NA")</f>
        <v>NA</v>
      </c>
      <c r="AB84" s="9"/>
      <c r="AC84" s="10">
        <f t="shared" si="23"/>
        <v>0</v>
      </c>
      <c r="AD84" s="8" t="str">
        <f>IFERROR(AC84/AC445,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IFERROR(B85/B445, "NA")</f>
        <v>NA</v>
      </c>
      <c r="D85" s="9"/>
      <c r="E85" s="7">
        <v>0</v>
      </c>
      <c r="F85" s="8" t="str">
        <f>IFERROR(E85/E445, "NA")</f>
        <v>NA</v>
      </c>
      <c r="G85" s="9"/>
      <c r="H85" s="10">
        <f t="shared" si="20"/>
        <v>0</v>
      </c>
      <c r="I85" s="8" t="str">
        <f>IFERROR(H85/H445, "NA")</f>
        <v>NA</v>
      </c>
      <c r="J85" s="9"/>
      <c r="K85" s="7">
        <v>0</v>
      </c>
      <c r="L85" s="8" t="str">
        <f>IFERROR(K85/K445, "NA")</f>
        <v>NA</v>
      </c>
      <c r="M85" s="9"/>
      <c r="N85" s="10">
        <f t="shared" si="21"/>
        <v>0</v>
      </c>
      <c r="O85" s="8" t="str">
        <f>IFERROR(N85/N445, "NA")</f>
        <v>NA</v>
      </c>
      <c r="P85" s="9"/>
      <c r="Q85" s="7">
        <v>0</v>
      </c>
      <c r="R85" s="8" t="str">
        <f>IFERROR(Q85/Q445, "NA")</f>
        <v>NA</v>
      </c>
      <c r="S85" s="9"/>
      <c r="T85" s="7">
        <v>0</v>
      </c>
      <c r="U85" s="8" t="str">
        <f>IFERROR(T85/T445, "NA")</f>
        <v>NA</v>
      </c>
      <c r="V85" s="9"/>
      <c r="W85" s="10">
        <f t="shared" si="22"/>
        <v>0</v>
      </c>
      <c r="X85" s="8" t="str">
        <f>IFERROR(W85/W445, "NA")</f>
        <v>NA</v>
      </c>
      <c r="Y85" s="9"/>
      <c r="Z85" s="7">
        <v>0</v>
      </c>
      <c r="AA85" s="8" t="str">
        <f>IFERROR(Z85/Z445, "NA")</f>
        <v>NA</v>
      </c>
      <c r="AB85" s="9"/>
      <c r="AC85" s="10">
        <f t="shared" si="23"/>
        <v>0</v>
      </c>
      <c r="AD85" s="8" t="str">
        <f>IFERROR(AC85/AC445,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IFERROR(B86/B445, "NA")</f>
        <v>NA</v>
      </c>
      <c r="D86" s="9"/>
      <c r="E86" s="7">
        <v>0</v>
      </c>
      <c r="F86" s="8" t="str">
        <f>IFERROR(E86/E445, "NA")</f>
        <v>NA</v>
      </c>
      <c r="G86" s="9"/>
      <c r="H86" s="10">
        <f t="shared" si="20"/>
        <v>0</v>
      </c>
      <c r="I86" s="8" t="str">
        <f>IFERROR(H86/H445, "NA")</f>
        <v>NA</v>
      </c>
      <c r="J86" s="9"/>
      <c r="K86" s="7">
        <v>0</v>
      </c>
      <c r="L86" s="8" t="str">
        <f>IFERROR(K86/K445, "NA")</f>
        <v>NA</v>
      </c>
      <c r="M86" s="9"/>
      <c r="N86" s="10">
        <f t="shared" si="21"/>
        <v>0</v>
      </c>
      <c r="O86" s="8" t="str">
        <f>IFERROR(N86/N445, "NA")</f>
        <v>NA</v>
      </c>
      <c r="P86" s="9"/>
      <c r="Q86" s="7">
        <v>0</v>
      </c>
      <c r="R86" s="8" t="str">
        <f>IFERROR(Q86/Q445, "NA")</f>
        <v>NA</v>
      </c>
      <c r="S86" s="9"/>
      <c r="T86" s="7">
        <v>0</v>
      </c>
      <c r="U86" s="8" t="str">
        <f>IFERROR(T86/T445, "NA")</f>
        <v>NA</v>
      </c>
      <c r="V86" s="9"/>
      <c r="W86" s="10">
        <f t="shared" si="22"/>
        <v>0</v>
      </c>
      <c r="X86" s="8" t="str">
        <f>IFERROR(W86/W445, "NA")</f>
        <v>NA</v>
      </c>
      <c r="Y86" s="9"/>
      <c r="Z86" s="7">
        <v>0</v>
      </c>
      <c r="AA86" s="8" t="str">
        <f>IFERROR(Z86/Z445, "NA")</f>
        <v>NA</v>
      </c>
      <c r="AB86" s="9"/>
      <c r="AC86" s="10">
        <f t="shared" si="23"/>
        <v>0</v>
      </c>
      <c r="AD86" s="8" t="str">
        <f>IFERROR(AC86/AC445,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IFERROR(B87/B445, "NA")</f>
        <v>NA</v>
      </c>
      <c r="D87" s="9"/>
      <c r="E87" s="7">
        <v>0</v>
      </c>
      <c r="F87" s="8" t="str">
        <f>IFERROR(E87/E445, "NA")</f>
        <v>NA</v>
      </c>
      <c r="G87" s="9"/>
      <c r="H87" s="10">
        <f t="shared" si="20"/>
        <v>0</v>
      </c>
      <c r="I87" s="8" t="str">
        <f>IFERROR(H87/H445, "NA")</f>
        <v>NA</v>
      </c>
      <c r="J87" s="9"/>
      <c r="K87" s="7">
        <v>0</v>
      </c>
      <c r="L87" s="8" t="str">
        <f>IFERROR(K87/K445, "NA")</f>
        <v>NA</v>
      </c>
      <c r="M87" s="9"/>
      <c r="N87" s="10">
        <f t="shared" si="21"/>
        <v>0</v>
      </c>
      <c r="O87" s="8" t="str">
        <f>IFERROR(N87/N445, "NA")</f>
        <v>NA</v>
      </c>
      <c r="P87" s="9"/>
      <c r="Q87" s="7">
        <v>0</v>
      </c>
      <c r="R87" s="8" t="str">
        <f>IFERROR(Q87/Q445, "NA")</f>
        <v>NA</v>
      </c>
      <c r="S87" s="9"/>
      <c r="T87" s="7">
        <v>0</v>
      </c>
      <c r="U87" s="8" t="str">
        <f>IFERROR(T87/T445, "NA")</f>
        <v>NA</v>
      </c>
      <c r="V87" s="9"/>
      <c r="W87" s="10">
        <f t="shared" si="22"/>
        <v>0</v>
      </c>
      <c r="X87" s="8" t="str">
        <f>IFERROR(W87/W445, "NA")</f>
        <v>NA</v>
      </c>
      <c r="Y87" s="9"/>
      <c r="Z87" s="7">
        <v>0</v>
      </c>
      <c r="AA87" s="8" t="str">
        <f>IFERROR(Z87/Z445, "NA")</f>
        <v>NA</v>
      </c>
      <c r="AB87" s="9"/>
      <c r="AC87" s="10">
        <f t="shared" si="23"/>
        <v>0</v>
      </c>
      <c r="AD87" s="8" t="str">
        <f>IFERROR(AC87/AC445,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IFERROR(B88/B445, "NA")</f>
        <v>NA</v>
      </c>
      <c r="D88" s="2"/>
      <c r="E88" s="14">
        <f>IFERROR(E75+E76+E77+E78+E79+E80+E81+E82+E83+E84+E85+E86+E87, "NA")</f>
        <v>0</v>
      </c>
      <c r="F88" s="15" t="str">
        <f>IFERROR(E88/E445, "NA")</f>
        <v>NA</v>
      </c>
      <c r="G88" s="2"/>
      <c r="H88" s="14">
        <f t="shared" si="20"/>
        <v>0</v>
      </c>
      <c r="I88" s="15" t="str">
        <f>IFERROR(H88/H445, "NA")</f>
        <v>NA</v>
      </c>
      <c r="J88" s="2"/>
      <c r="K88" s="14">
        <f>IFERROR(K75+K76+K77+K78+K79+K80+K81+K82+K83+K84+K85+K86+K87, "NA")</f>
        <v>0</v>
      </c>
      <c r="L88" s="15" t="str">
        <f>IFERROR(K88/K445, "NA")</f>
        <v>NA</v>
      </c>
      <c r="M88" s="2"/>
      <c r="N88" s="14">
        <f t="shared" si="21"/>
        <v>0</v>
      </c>
      <c r="O88" s="15" t="str">
        <f>IFERROR(N88/N445, "NA")</f>
        <v>NA</v>
      </c>
      <c r="P88" s="2"/>
      <c r="Q88" s="14">
        <f>IFERROR(Q75+Q76+Q77+Q78+Q79+Q80+Q81+Q82+Q83+Q84+Q85+Q86+Q87, "NA")</f>
        <v>0</v>
      </c>
      <c r="R88" s="15" t="str">
        <f>IFERROR(Q88/Q445, "NA")</f>
        <v>NA</v>
      </c>
      <c r="S88" s="2"/>
      <c r="T88" s="14">
        <f>IFERROR(T75+T76+T77+T78+T79+T80+T81+T82+T83+T84+T85+T86+T87, "NA")</f>
        <v>0</v>
      </c>
      <c r="U88" s="15" t="str">
        <f>IFERROR(T88/T445, "NA")</f>
        <v>NA</v>
      </c>
      <c r="V88" s="2"/>
      <c r="W88" s="14">
        <f t="shared" si="22"/>
        <v>0</v>
      </c>
      <c r="X88" s="15" t="str">
        <f>IFERROR(W88/W445, "NA")</f>
        <v>NA</v>
      </c>
      <c r="Y88" s="2"/>
      <c r="Z88" s="14">
        <f>IFERROR(Z75+Z76+Z77+Z78+Z79+Z80+Z81+Z82+Z83+Z84+Z85+Z86+Z87, "NA")</f>
        <v>0</v>
      </c>
      <c r="AA88" s="15" t="str">
        <f>IFERROR(Z88/Z445, "NA")</f>
        <v>NA</v>
      </c>
      <c r="AB88" s="2"/>
      <c r="AC88" s="14">
        <f t="shared" si="23"/>
        <v>0</v>
      </c>
      <c r="AD88" s="15" t="str">
        <f>IFERROR(AC88/AC445,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IFERROR(B89/B445, "NA")</f>
        <v>NA</v>
      </c>
      <c r="D89" s="9"/>
      <c r="E89" s="7">
        <v>0</v>
      </c>
      <c r="F89" s="8" t="str">
        <f>IFERROR(E89/E445, "NA")</f>
        <v>NA</v>
      </c>
      <c r="G89" s="9"/>
      <c r="H89" s="10">
        <f t="shared" si="20"/>
        <v>0</v>
      </c>
      <c r="I89" s="8" t="str">
        <f>IFERROR(H89/H445, "NA")</f>
        <v>NA</v>
      </c>
      <c r="J89" s="9"/>
      <c r="K89" s="7">
        <v>0</v>
      </c>
      <c r="L89" s="8" t="str">
        <f>IFERROR(K89/K445, "NA")</f>
        <v>NA</v>
      </c>
      <c r="M89" s="9"/>
      <c r="N89" s="10">
        <f t="shared" si="21"/>
        <v>0</v>
      </c>
      <c r="O89" s="8" t="str">
        <f>IFERROR(N89/N445, "NA")</f>
        <v>NA</v>
      </c>
      <c r="P89" s="9"/>
      <c r="Q89" s="7">
        <v>0</v>
      </c>
      <c r="R89" s="8" t="str">
        <f>IFERROR(Q89/Q445, "NA")</f>
        <v>NA</v>
      </c>
      <c r="S89" s="9"/>
      <c r="T89" s="7">
        <v>0</v>
      </c>
      <c r="U89" s="8" t="str">
        <f>IFERROR(T89/T445, "NA")</f>
        <v>NA</v>
      </c>
      <c r="V89" s="9"/>
      <c r="W89" s="10">
        <f t="shared" si="22"/>
        <v>0</v>
      </c>
      <c r="X89" s="8" t="str">
        <f>IFERROR(W89/W445, "NA")</f>
        <v>NA</v>
      </c>
      <c r="Y89" s="9"/>
      <c r="Z89" s="7">
        <v>0</v>
      </c>
      <c r="AA89" s="8" t="str">
        <f>IFERROR(Z89/Z445, "NA")</f>
        <v>NA</v>
      </c>
      <c r="AB89" s="9"/>
      <c r="AC89" s="10">
        <f t="shared" si="23"/>
        <v>0</v>
      </c>
      <c r="AD89" s="8" t="str">
        <f>IFERROR(AC89/AC445,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IFERROR(B90/B445, "NA")</f>
        <v>NA</v>
      </c>
      <c r="D90" s="9"/>
      <c r="E90" s="7">
        <v>0</v>
      </c>
      <c r="F90" s="8" t="str">
        <f>IFERROR(E90/E445, "NA")</f>
        <v>NA</v>
      </c>
      <c r="G90" s="9"/>
      <c r="H90" s="10">
        <f t="shared" si="20"/>
        <v>0</v>
      </c>
      <c r="I90" s="8" t="str">
        <f>IFERROR(H90/H445, "NA")</f>
        <v>NA</v>
      </c>
      <c r="J90" s="9"/>
      <c r="K90" s="7">
        <v>0</v>
      </c>
      <c r="L90" s="8" t="str">
        <f>IFERROR(K90/K445, "NA")</f>
        <v>NA</v>
      </c>
      <c r="M90" s="9"/>
      <c r="N90" s="10">
        <f t="shared" si="21"/>
        <v>0</v>
      </c>
      <c r="O90" s="8" t="str">
        <f>IFERROR(N90/N445, "NA")</f>
        <v>NA</v>
      </c>
      <c r="P90" s="9"/>
      <c r="Q90" s="7">
        <v>0</v>
      </c>
      <c r="R90" s="8" t="str">
        <f>IFERROR(Q90/Q445, "NA")</f>
        <v>NA</v>
      </c>
      <c r="S90" s="9"/>
      <c r="T90" s="7">
        <v>0</v>
      </c>
      <c r="U90" s="8" t="str">
        <f>IFERROR(T90/T445, "NA")</f>
        <v>NA</v>
      </c>
      <c r="V90" s="9"/>
      <c r="W90" s="10">
        <f t="shared" si="22"/>
        <v>0</v>
      </c>
      <c r="X90" s="8" t="str">
        <f>IFERROR(W90/W445, "NA")</f>
        <v>NA</v>
      </c>
      <c r="Y90" s="9"/>
      <c r="Z90" s="7">
        <v>0</v>
      </c>
      <c r="AA90" s="8" t="str">
        <f>IFERROR(Z90/Z445, "NA")</f>
        <v>NA</v>
      </c>
      <c r="AB90" s="9"/>
      <c r="AC90" s="10">
        <f t="shared" si="23"/>
        <v>0</v>
      </c>
      <c r="AD90" s="8" t="str">
        <f>IFERROR(AC90/AC445,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IFERROR(B91/B445, "NA")</f>
        <v>NA</v>
      </c>
      <c r="D91" s="9"/>
      <c r="E91" s="7">
        <v>0</v>
      </c>
      <c r="F91" s="8" t="str">
        <f>IFERROR(E91/E445, "NA")</f>
        <v>NA</v>
      </c>
      <c r="G91" s="9"/>
      <c r="H91" s="10">
        <f t="shared" si="20"/>
        <v>0</v>
      </c>
      <c r="I91" s="8" t="str">
        <f>IFERROR(H91/H445, "NA")</f>
        <v>NA</v>
      </c>
      <c r="J91" s="9"/>
      <c r="K91" s="7">
        <v>0</v>
      </c>
      <c r="L91" s="8" t="str">
        <f>IFERROR(K91/K445, "NA")</f>
        <v>NA</v>
      </c>
      <c r="M91" s="9"/>
      <c r="N91" s="10">
        <f t="shared" si="21"/>
        <v>0</v>
      </c>
      <c r="O91" s="8" t="str">
        <f>IFERROR(N91/N445, "NA")</f>
        <v>NA</v>
      </c>
      <c r="P91" s="9"/>
      <c r="Q91" s="7">
        <v>0</v>
      </c>
      <c r="R91" s="8" t="str">
        <f>IFERROR(Q91/Q445, "NA")</f>
        <v>NA</v>
      </c>
      <c r="S91" s="9"/>
      <c r="T91" s="7">
        <v>0</v>
      </c>
      <c r="U91" s="8" t="str">
        <f>IFERROR(T91/T445, "NA")</f>
        <v>NA</v>
      </c>
      <c r="V91" s="9"/>
      <c r="W91" s="10">
        <f t="shared" si="22"/>
        <v>0</v>
      </c>
      <c r="X91" s="8" t="str">
        <f>IFERROR(W91/W445, "NA")</f>
        <v>NA</v>
      </c>
      <c r="Y91" s="9"/>
      <c r="Z91" s="7">
        <v>0</v>
      </c>
      <c r="AA91" s="8" t="str">
        <f>IFERROR(Z91/Z445, "NA")</f>
        <v>NA</v>
      </c>
      <c r="AB91" s="9"/>
      <c r="AC91" s="10">
        <f t="shared" si="23"/>
        <v>0</v>
      </c>
      <c r="AD91" s="8" t="str">
        <f>IFERROR(AC91/AC445,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IFERROR(B92/B445, "NA")</f>
        <v>NA</v>
      </c>
      <c r="D92" s="9"/>
      <c r="E92" s="7">
        <v>0</v>
      </c>
      <c r="F92" s="8" t="str">
        <f>IFERROR(E92/E445, "NA")</f>
        <v>NA</v>
      </c>
      <c r="G92" s="9"/>
      <c r="H92" s="10">
        <f t="shared" si="20"/>
        <v>0</v>
      </c>
      <c r="I92" s="8" t="str">
        <f>IFERROR(H92/H445, "NA")</f>
        <v>NA</v>
      </c>
      <c r="J92" s="9"/>
      <c r="K92" s="7">
        <v>0</v>
      </c>
      <c r="L92" s="8" t="str">
        <f>IFERROR(K92/K445, "NA")</f>
        <v>NA</v>
      </c>
      <c r="M92" s="9"/>
      <c r="N92" s="10">
        <f t="shared" si="21"/>
        <v>0</v>
      </c>
      <c r="O92" s="8" t="str">
        <f>IFERROR(N92/N445, "NA")</f>
        <v>NA</v>
      </c>
      <c r="P92" s="9"/>
      <c r="Q92" s="7">
        <v>0</v>
      </c>
      <c r="R92" s="8" t="str">
        <f>IFERROR(Q92/Q445, "NA")</f>
        <v>NA</v>
      </c>
      <c r="S92" s="9"/>
      <c r="T92" s="7">
        <v>0</v>
      </c>
      <c r="U92" s="8" t="str">
        <f>IFERROR(T92/T445, "NA")</f>
        <v>NA</v>
      </c>
      <c r="V92" s="9"/>
      <c r="W92" s="10">
        <f t="shared" si="22"/>
        <v>0</v>
      </c>
      <c r="X92" s="8" t="str">
        <f>IFERROR(W92/W445, "NA")</f>
        <v>NA</v>
      </c>
      <c r="Y92" s="9"/>
      <c r="Z92" s="7">
        <v>0</v>
      </c>
      <c r="AA92" s="8" t="str">
        <f>IFERROR(Z92/Z445, "NA")</f>
        <v>NA</v>
      </c>
      <c r="AB92" s="9"/>
      <c r="AC92" s="10">
        <f t="shared" si="23"/>
        <v>0</v>
      </c>
      <c r="AD92" s="8" t="str">
        <f>IFERROR(AC92/AC445,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IFERROR(B94/B445, "NA")</f>
        <v>NA</v>
      </c>
      <c r="D94" s="9"/>
      <c r="E94" s="7">
        <v>0</v>
      </c>
      <c r="F94" s="8" t="str">
        <f>IFERROR(E94/E445, "NA")</f>
        <v>NA</v>
      </c>
      <c r="G94" s="9"/>
      <c r="H94" s="10">
        <f t="shared" ref="H94:H124" si="24">IFERROR(B94-E94, "NA")</f>
        <v>0</v>
      </c>
      <c r="I94" s="8" t="str">
        <f>IFERROR(H94/H445, "NA")</f>
        <v>NA</v>
      </c>
      <c r="J94" s="9"/>
      <c r="K94" s="7">
        <v>0</v>
      </c>
      <c r="L94" s="8" t="str">
        <f>IFERROR(K94/K445, "NA")</f>
        <v>NA</v>
      </c>
      <c r="M94" s="9"/>
      <c r="N94" s="10">
        <f t="shared" ref="N94:N124" si="25">IFERROR(B94-K94, "NA")</f>
        <v>0</v>
      </c>
      <c r="O94" s="8" t="str">
        <f>IFERROR(N94/N445, "NA")</f>
        <v>NA</v>
      </c>
      <c r="P94" s="9"/>
      <c r="Q94" s="7">
        <v>0</v>
      </c>
      <c r="R94" s="8" t="str">
        <f>IFERROR(Q94/Q445, "NA")</f>
        <v>NA</v>
      </c>
      <c r="S94" s="9"/>
      <c r="T94" s="7">
        <v>0</v>
      </c>
      <c r="U94" s="8" t="str">
        <f>IFERROR(T94/T445, "NA")</f>
        <v>NA</v>
      </c>
      <c r="V94" s="9"/>
      <c r="W94" s="10">
        <f t="shared" ref="W94:W124" si="26">IFERROR(Q94-T94, "NA")</f>
        <v>0</v>
      </c>
      <c r="X94" s="8" t="str">
        <f>IFERROR(W94/W445, "NA")</f>
        <v>NA</v>
      </c>
      <c r="Y94" s="9"/>
      <c r="Z94" s="7">
        <v>0</v>
      </c>
      <c r="AA94" s="8" t="str">
        <f>IFERROR(Z94/Z445, "NA")</f>
        <v>NA</v>
      </c>
      <c r="AB94" s="9"/>
      <c r="AC94" s="10">
        <f t="shared" ref="AC94:AC124" si="27">IFERROR(Q94-Z94, "NA")</f>
        <v>0</v>
      </c>
      <c r="AD94" s="8" t="str">
        <f>IFERROR(AC94/AC445,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IFERROR(B95/B445, "NA")</f>
        <v>NA</v>
      </c>
      <c r="D95" s="9"/>
      <c r="E95" s="7">
        <v>0</v>
      </c>
      <c r="F95" s="8" t="str">
        <f>IFERROR(E95/E445, "NA")</f>
        <v>NA</v>
      </c>
      <c r="G95" s="9"/>
      <c r="H95" s="10">
        <f t="shared" si="24"/>
        <v>0</v>
      </c>
      <c r="I95" s="8" t="str">
        <f>IFERROR(H95/H445, "NA")</f>
        <v>NA</v>
      </c>
      <c r="J95" s="9"/>
      <c r="K95" s="7">
        <v>0</v>
      </c>
      <c r="L95" s="8" t="str">
        <f>IFERROR(K95/K445, "NA")</f>
        <v>NA</v>
      </c>
      <c r="M95" s="9"/>
      <c r="N95" s="10">
        <f t="shared" si="25"/>
        <v>0</v>
      </c>
      <c r="O95" s="8" t="str">
        <f>IFERROR(N95/N445, "NA")</f>
        <v>NA</v>
      </c>
      <c r="P95" s="9"/>
      <c r="Q95" s="7">
        <v>0</v>
      </c>
      <c r="R95" s="8" t="str">
        <f>IFERROR(Q95/Q445, "NA")</f>
        <v>NA</v>
      </c>
      <c r="S95" s="9"/>
      <c r="T95" s="7">
        <v>0</v>
      </c>
      <c r="U95" s="8" t="str">
        <f>IFERROR(T95/T445, "NA")</f>
        <v>NA</v>
      </c>
      <c r="V95" s="9"/>
      <c r="W95" s="10">
        <f t="shared" si="26"/>
        <v>0</v>
      </c>
      <c r="X95" s="8" t="str">
        <f>IFERROR(W95/W445, "NA")</f>
        <v>NA</v>
      </c>
      <c r="Y95" s="9"/>
      <c r="Z95" s="7">
        <v>0</v>
      </c>
      <c r="AA95" s="8" t="str">
        <f>IFERROR(Z95/Z445, "NA")</f>
        <v>NA</v>
      </c>
      <c r="AB95" s="9"/>
      <c r="AC95" s="10">
        <f t="shared" si="27"/>
        <v>0</v>
      </c>
      <c r="AD95" s="8" t="str">
        <f>IFERROR(AC95/AC445,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IFERROR(B96/B445, "NA")</f>
        <v>NA</v>
      </c>
      <c r="D96" s="9"/>
      <c r="E96" s="7">
        <v>0</v>
      </c>
      <c r="F96" s="8" t="str">
        <f>IFERROR(E96/E445, "NA")</f>
        <v>NA</v>
      </c>
      <c r="G96" s="9"/>
      <c r="H96" s="10">
        <f t="shared" si="24"/>
        <v>0</v>
      </c>
      <c r="I96" s="8" t="str">
        <f>IFERROR(H96/H445, "NA")</f>
        <v>NA</v>
      </c>
      <c r="J96" s="9"/>
      <c r="K96" s="7">
        <v>0</v>
      </c>
      <c r="L96" s="8" t="str">
        <f>IFERROR(K96/K445, "NA")</f>
        <v>NA</v>
      </c>
      <c r="M96" s="9"/>
      <c r="N96" s="10">
        <f t="shared" si="25"/>
        <v>0</v>
      </c>
      <c r="O96" s="8" t="str">
        <f>IFERROR(N96/N445, "NA")</f>
        <v>NA</v>
      </c>
      <c r="P96" s="9"/>
      <c r="Q96" s="7">
        <v>0</v>
      </c>
      <c r="R96" s="8" t="str">
        <f>IFERROR(Q96/Q445, "NA")</f>
        <v>NA</v>
      </c>
      <c r="S96" s="9"/>
      <c r="T96" s="7">
        <v>0</v>
      </c>
      <c r="U96" s="8" t="str">
        <f>IFERROR(T96/T445, "NA")</f>
        <v>NA</v>
      </c>
      <c r="V96" s="9"/>
      <c r="W96" s="10">
        <f t="shared" si="26"/>
        <v>0</v>
      </c>
      <c r="X96" s="8" t="str">
        <f>IFERROR(W96/W445, "NA")</f>
        <v>NA</v>
      </c>
      <c r="Y96" s="9"/>
      <c r="Z96" s="7">
        <v>0</v>
      </c>
      <c r="AA96" s="8" t="str">
        <f>IFERROR(Z96/Z445, "NA")</f>
        <v>NA</v>
      </c>
      <c r="AB96" s="9"/>
      <c r="AC96" s="10">
        <f t="shared" si="27"/>
        <v>0</v>
      </c>
      <c r="AD96" s="8" t="str">
        <f>IFERROR(AC96/AC445,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IFERROR(B97/B445, "NA")</f>
        <v>NA</v>
      </c>
      <c r="D97" s="9"/>
      <c r="E97" s="7">
        <v>0</v>
      </c>
      <c r="F97" s="8" t="str">
        <f>IFERROR(E97/E445, "NA")</f>
        <v>NA</v>
      </c>
      <c r="G97" s="9"/>
      <c r="H97" s="10">
        <f t="shared" si="24"/>
        <v>0</v>
      </c>
      <c r="I97" s="8" t="str">
        <f>IFERROR(H97/H445, "NA")</f>
        <v>NA</v>
      </c>
      <c r="J97" s="9"/>
      <c r="K97" s="7">
        <v>0</v>
      </c>
      <c r="L97" s="8" t="str">
        <f>IFERROR(K97/K445, "NA")</f>
        <v>NA</v>
      </c>
      <c r="M97" s="9"/>
      <c r="N97" s="10">
        <f t="shared" si="25"/>
        <v>0</v>
      </c>
      <c r="O97" s="8" t="str">
        <f>IFERROR(N97/N445, "NA")</f>
        <v>NA</v>
      </c>
      <c r="P97" s="9"/>
      <c r="Q97" s="7">
        <v>0</v>
      </c>
      <c r="R97" s="8" t="str">
        <f>IFERROR(Q97/Q445, "NA")</f>
        <v>NA</v>
      </c>
      <c r="S97" s="9"/>
      <c r="T97" s="7">
        <v>0</v>
      </c>
      <c r="U97" s="8" t="str">
        <f>IFERROR(T97/T445, "NA")</f>
        <v>NA</v>
      </c>
      <c r="V97" s="9"/>
      <c r="W97" s="10">
        <f t="shared" si="26"/>
        <v>0</v>
      </c>
      <c r="X97" s="8" t="str">
        <f>IFERROR(W97/W445, "NA")</f>
        <v>NA</v>
      </c>
      <c r="Y97" s="9"/>
      <c r="Z97" s="7">
        <v>0</v>
      </c>
      <c r="AA97" s="8" t="str">
        <f>IFERROR(Z97/Z445, "NA")</f>
        <v>NA</v>
      </c>
      <c r="AB97" s="9"/>
      <c r="AC97" s="10">
        <f t="shared" si="27"/>
        <v>0</v>
      </c>
      <c r="AD97" s="8" t="str">
        <f>IFERROR(AC97/AC445,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IFERROR(B98/B445, "NA")</f>
        <v>NA</v>
      </c>
      <c r="D98" s="9"/>
      <c r="E98" s="7">
        <v>0</v>
      </c>
      <c r="F98" s="8" t="str">
        <f>IFERROR(E98/E445, "NA")</f>
        <v>NA</v>
      </c>
      <c r="G98" s="9"/>
      <c r="H98" s="10">
        <f t="shared" si="24"/>
        <v>0</v>
      </c>
      <c r="I98" s="8" t="str">
        <f>IFERROR(H98/H445, "NA")</f>
        <v>NA</v>
      </c>
      <c r="J98" s="9"/>
      <c r="K98" s="7">
        <v>0</v>
      </c>
      <c r="L98" s="8" t="str">
        <f>IFERROR(K98/K445, "NA")</f>
        <v>NA</v>
      </c>
      <c r="M98" s="9"/>
      <c r="N98" s="10">
        <f t="shared" si="25"/>
        <v>0</v>
      </c>
      <c r="O98" s="8" t="str">
        <f>IFERROR(N98/N445, "NA")</f>
        <v>NA</v>
      </c>
      <c r="P98" s="9"/>
      <c r="Q98" s="7">
        <v>0</v>
      </c>
      <c r="R98" s="8" t="str">
        <f>IFERROR(Q98/Q445, "NA")</f>
        <v>NA</v>
      </c>
      <c r="S98" s="9"/>
      <c r="T98" s="7">
        <v>0</v>
      </c>
      <c r="U98" s="8" t="str">
        <f>IFERROR(T98/T445, "NA")</f>
        <v>NA</v>
      </c>
      <c r="V98" s="9"/>
      <c r="W98" s="10">
        <f t="shared" si="26"/>
        <v>0</v>
      </c>
      <c r="X98" s="8" t="str">
        <f>IFERROR(W98/W445, "NA")</f>
        <v>NA</v>
      </c>
      <c r="Y98" s="9"/>
      <c r="Z98" s="7">
        <v>0</v>
      </c>
      <c r="AA98" s="8" t="str">
        <f>IFERROR(Z98/Z445, "NA")</f>
        <v>NA</v>
      </c>
      <c r="AB98" s="9"/>
      <c r="AC98" s="10">
        <f t="shared" si="27"/>
        <v>0</v>
      </c>
      <c r="AD98" s="8" t="str">
        <f>IFERROR(AC98/AC445,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IFERROR(B99/B445, "NA")</f>
        <v>NA</v>
      </c>
      <c r="D99" s="9"/>
      <c r="E99" s="7">
        <v>0</v>
      </c>
      <c r="F99" s="8" t="str">
        <f>IFERROR(E99/E445, "NA")</f>
        <v>NA</v>
      </c>
      <c r="G99" s="9"/>
      <c r="H99" s="10">
        <f t="shared" si="24"/>
        <v>0</v>
      </c>
      <c r="I99" s="8" t="str">
        <f>IFERROR(H99/H445, "NA")</f>
        <v>NA</v>
      </c>
      <c r="J99" s="9"/>
      <c r="K99" s="7">
        <v>0</v>
      </c>
      <c r="L99" s="8" t="str">
        <f>IFERROR(K99/K445, "NA")</f>
        <v>NA</v>
      </c>
      <c r="M99" s="9"/>
      <c r="N99" s="10">
        <f t="shared" si="25"/>
        <v>0</v>
      </c>
      <c r="O99" s="8" t="str">
        <f>IFERROR(N99/N445, "NA")</f>
        <v>NA</v>
      </c>
      <c r="P99" s="9"/>
      <c r="Q99" s="7">
        <v>0</v>
      </c>
      <c r="R99" s="8" t="str">
        <f>IFERROR(Q99/Q445, "NA")</f>
        <v>NA</v>
      </c>
      <c r="S99" s="9"/>
      <c r="T99" s="7">
        <v>0</v>
      </c>
      <c r="U99" s="8" t="str">
        <f>IFERROR(T99/T445, "NA")</f>
        <v>NA</v>
      </c>
      <c r="V99" s="9"/>
      <c r="W99" s="10">
        <f t="shared" si="26"/>
        <v>0</v>
      </c>
      <c r="X99" s="8" t="str">
        <f>IFERROR(W99/W445, "NA")</f>
        <v>NA</v>
      </c>
      <c r="Y99" s="9"/>
      <c r="Z99" s="7">
        <v>0</v>
      </c>
      <c r="AA99" s="8" t="str">
        <f>IFERROR(Z99/Z445, "NA")</f>
        <v>NA</v>
      </c>
      <c r="AB99" s="9"/>
      <c r="AC99" s="10">
        <f t="shared" si="27"/>
        <v>0</v>
      </c>
      <c r="AD99" s="8" t="str">
        <f>IFERROR(AC99/AC445,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IFERROR(B100/B445, "NA")</f>
        <v>NA</v>
      </c>
      <c r="D100" s="9"/>
      <c r="E100" s="7">
        <v>0</v>
      </c>
      <c r="F100" s="8" t="str">
        <f>IFERROR(E100/E445, "NA")</f>
        <v>NA</v>
      </c>
      <c r="G100" s="9"/>
      <c r="H100" s="10">
        <f t="shared" si="24"/>
        <v>0</v>
      </c>
      <c r="I100" s="8" t="str">
        <f>IFERROR(H100/H445, "NA")</f>
        <v>NA</v>
      </c>
      <c r="J100" s="9"/>
      <c r="K100" s="7">
        <v>0</v>
      </c>
      <c r="L100" s="8" t="str">
        <f>IFERROR(K100/K445, "NA")</f>
        <v>NA</v>
      </c>
      <c r="M100" s="9"/>
      <c r="N100" s="10">
        <f t="shared" si="25"/>
        <v>0</v>
      </c>
      <c r="O100" s="8" t="str">
        <f>IFERROR(N100/N445, "NA")</f>
        <v>NA</v>
      </c>
      <c r="P100" s="9"/>
      <c r="Q100" s="7">
        <v>0</v>
      </c>
      <c r="R100" s="8" t="str">
        <f>IFERROR(Q100/Q445, "NA")</f>
        <v>NA</v>
      </c>
      <c r="S100" s="9"/>
      <c r="T100" s="7">
        <v>0</v>
      </c>
      <c r="U100" s="8" t="str">
        <f>IFERROR(T100/T445, "NA")</f>
        <v>NA</v>
      </c>
      <c r="V100" s="9"/>
      <c r="W100" s="10">
        <f t="shared" si="26"/>
        <v>0</v>
      </c>
      <c r="X100" s="8" t="str">
        <f>IFERROR(W100/W445, "NA")</f>
        <v>NA</v>
      </c>
      <c r="Y100" s="9"/>
      <c r="Z100" s="7">
        <v>0</v>
      </c>
      <c r="AA100" s="8" t="str">
        <f>IFERROR(Z100/Z445, "NA")</f>
        <v>NA</v>
      </c>
      <c r="AB100" s="9"/>
      <c r="AC100" s="10">
        <f t="shared" si="27"/>
        <v>0</v>
      </c>
      <c r="AD100" s="8" t="str">
        <f>IFERROR(AC100/AC445,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IFERROR(B101/B445, "NA")</f>
        <v>NA</v>
      </c>
      <c r="D101" s="9"/>
      <c r="E101" s="7">
        <v>0</v>
      </c>
      <c r="F101" s="8" t="str">
        <f>IFERROR(E101/E445, "NA")</f>
        <v>NA</v>
      </c>
      <c r="G101" s="9"/>
      <c r="H101" s="10">
        <f t="shared" si="24"/>
        <v>0</v>
      </c>
      <c r="I101" s="8" t="str">
        <f>IFERROR(H101/H445, "NA")</f>
        <v>NA</v>
      </c>
      <c r="J101" s="9"/>
      <c r="K101" s="7">
        <v>0</v>
      </c>
      <c r="L101" s="8" t="str">
        <f>IFERROR(K101/K445, "NA")</f>
        <v>NA</v>
      </c>
      <c r="M101" s="9"/>
      <c r="N101" s="10">
        <f t="shared" si="25"/>
        <v>0</v>
      </c>
      <c r="O101" s="8" t="str">
        <f>IFERROR(N101/N445, "NA")</f>
        <v>NA</v>
      </c>
      <c r="P101" s="9"/>
      <c r="Q101" s="7">
        <v>0</v>
      </c>
      <c r="R101" s="8" t="str">
        <f>IFERROR(Q101/Q445, "NA")</f>
        <v>NA</v>
      </c>
      <c r="S101" s="9"/>
      <c r="T101" s="7">
        <v>0</v>
      </c>
      <c r="U101" s="8" t="str">
        <f>IFERROR(T101/T445, "NA")</f>
        <v>NA</v>
      </c>
      <c r="V101" s="9"/>
      <c r="W101" s="10">
        <f t="shared" si="26"/>
        <v>0</v>
      </c>
      <c r="X101" s="8" t="str">
        <f>IFERROR(W101/W445, "NA")</f>
        <v>NA</v>
      </c>
      <c r="Y101" s="9"/>
      <c r="Z101" s="7">
        <v>0</v>
      </c>
      <c r="AA101" s="8" t="str">
        <f>IFERROR(Z101/Z445, "NA")</f>
        <v>NA</v>
      </c>
      <c r="AB101" s="9"/>
      <c r="AC101" s="10">
        <f t="shared" si="27"/>
        <v>0</v>
      </c>
      <c r="AD101" s="8" t="str">
        <f>IFERROR(AC101/AC445,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IFERROR(B102/B445, "NA")</f>
        <v>NA</v>
      </c>
      <c r="D102" s="9"/>
      <c r="E102" s="7">
        <v>0</v>
      </c>
      <c r="F102" s="8" t="str">
        <f>IFERROR(E102/E445, "NA")</f>
        <v>NA</v>
      </c>
      <c r="G102" s="9"/>
      <c r="H102" s="10">
        <f t="shared" si="24"/>
        <v>0</v>
      </c>
      <c r="I102" s="8" t="str">
        <f>IFERROR(H102/H445, "NA")</f>
        <v>NA</v>
      </c>
      <c r="J102" s="9"/>
      <c r="K102" s="7">
        <v>0</v>
      </c>
      <c r="L102" s="8" t="str">
        <f>IFERROR(K102/K445, "NA")</f>
        <v>NA</v>
      </c>
      <c r="M102" s="9"/>
      <c r="N102" s="10">
        <f t="shared" si="25"/>
        <v>0</v>
      </c>
      <c r="O102" s="8" t="str">
        <f>IFERROR(N102/N445, "NA")</f>
        <v>NA</v>
      </c>
      <c r="P102" s="9"/>
      <c r="Q102" s="7">
        <v>0</v>
      </c>
      <c r="R102" s="8" t="str">
        <f>IFERROR(Q102/Q445, "NA")</f>
        <v>NA</v>
      </c>
      <c r="S102" s="9"/>
      <c r="T102" s="7">
        <v>0</v>
      </c>
      <c r="U102" s="8" t="str">
        <f>IFERROR(T102/T445, "NA")</f>
        <v>NA</v>
      </c>
      <c r="V102" s="9"/>
      <c r="W102" s="10">
        <f t="shared" si="26"/>
        <v>0</v>
      </c>
      <c r="X102" s="8" t="str">
        <f>IFERROR(W102/W445, "NA")</f>
        <v>NA</v>
      </c>
      <c r="Y102" s="9"/>
      <c r="Z102" s="7">
        <v>0</v>
      </c>
      <c r="AA102" s="8" t="str">
        <f>IFERROR(Z102/Z445, "NA")</f>
        <v>NA</v>
      </c>
      <c r="AB102" s="9"/>
      <c r="AC102" s="10">
        <f t="shared" si="27"/>
        <v>0</v>
      </c>
      <c r="AD102" s="8" t="str">
        <f>IFERROR(AC102/AC445,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IFERROR(B103/B445, "NA")</f>
        <v>NA</v>
      </c>
      <c r="D103" s="9"/>
      <c r="E103" s="7">
        <v>0</v>
      </c>
      <c r="F103" s="8" t="str">
        <f>IFERROR(E103/E445, "NA")</f>
        <v>NA</v>
      </c>
      <c r="G103" s="9"/>
      <c r="H103" s="10">
        <f t="shared" si="24"/>
        <v>0</v>
      </c>
      <c r="I103" s="8" t="str">
        <f>IFERROR(H103/H445, "NA")</f>
        <v>NA</v>
      </c>
      <c r="J103" s="9"/>
      <c r="K103" s="7">
        <v>0</v>
      </c>
      <c r="L103" s="8" t="str">
        <f>IFERROR(K103/K445, "NA")</f>
        <v>NA</v>
      </c>
      <c r="M103" s="9"/>
      <c r="N103" s="10">
        <f t="shared" si="25"/>
        <v>0</v>
      </c>
      <c r="O103" s="8" t="str">
        <f>IFERROR(N103/N445, "NA")</f>
        <v>NA</v>
      </c>
      <c r="P103" s="9"/>
      <c r="Q103" s="7">
        <v>0</v>
      </c>
      <c r="R103" s="8" t="str">
        <f>IFERROR(Q103/Q445, "NA")</f>
        <v>NA</v>
      </c>
      <c r="S103" s="9"/>
      <c r="T103" s="7">
        <v>0</v>
      </c>
      <c r="U103" s="8" t="str">
        <f>IFERROR(T103/T445, "NA")</f>
        <v>NA</v>
      </c>
      <c r="V103" s="9"/>
      <c r="W103" s="10">
        <f t="shared" si="26"/>
        <v>0</v>
      </c>
      <c r="X103" s="8" t="str">
        <f>IFERROR(W103/W445, "NA")</f>
        <v>NA</v>
      </c>
      <c r="Y103" s="9"/>
      <c r="Z103" s="7">
        <v>0</v>
      </c>
      <c r="AA103" s="8" t="str">
        <f>IFERROR(Z103/Z445, "NA")</f>
        <v>NA</v>
      </c>
      <c r="AB103" s="9"/>
      <c r="AC103" s="10">
        <f t="shared" si="27"/>
        <v>0</v>
      </c>
      <c r="AD103" s="8" t="str">
        <f>IFERROR(AC103/AC445,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IFERROR(B104/B445, "NA")</f>
        <v>NA</v>
      </c>
      <c r="D104" s="9"/>
      <c r="E104" s="7">
        <v>0</v>
      </c>
      <c r="F104" s="8" t="str">
        <f>IFERROR(E104/E445, "NA")</f>
        <v>NA</v>
      </c>
      <c r="G104" s="9"/>
      <c r="H104" s="10">
        <f t="shared" si="24"/>
        <v>0</v>
      </c>
      <c r="I104" s="8" t="str">
        <f>IFERROR(H104/H445, "NA")</f>
        <v>NA</v>
      </c>
      <c r="J104" s="9"/>
      <c r="K104" s="7">
        <v>0</v>
      </c>
      <c r="L104" s="8" t="str">
        <f>IFERROR(K104/K445, "NA")</f>
        <v>NA</v>
      </c>
      <c r="M104" s="9"/>
      <c r="N104" s="10">
        <f t="shared" si="25"/>
        <v>0</v>
      </c>
      <c r="O104" s="8" t="str">
        <f>IFERROR(N104/N445, "NA")</f>
        <v>NA</v>
      </c>
      <c r="P104" s="9"/>
      <c r="Q104" s="7">
        <v>0</v>
      </c>
      <c r="R104" s="8" t="str">
        <f>IFERROR(Q104/Q445, "NA")</f>
        <v>NA</v>
      </c>
      <c r="S104" s="9"/>
      <c r="T104" s="7">
        <v>0</v>
      </c>
      <c r="U104" s="8" t="str">
        <f>IFERROR(T104/T445, "NA")</f>
        <v>NA</v>
      </c>
      <c r="V104" s="9"/>
      <c r="W104" s="10">
        <f t="shared" si="26"/>
        <v>0</v>
      </c>
      <c r="X104" s="8" t="str">
        <f>IFERROR(W104/W445, "NA")</f>
        <v>NA</v>
      </c>
      <c r="Y104" s="9"/>
      <c r="Z104" s="7">
        <v>0</v>
      </c>
      <c r="AA104" s="8" t="str">
        <f>IFERROR(Z104/Z445, "NA")</f>
        <v>NA</v>
      </c>
      <c r="AB104" s="9"/>
      <c r="AC104" s="10">
        <f t="shared" si="27"/>
        <v>0</v>
      </c>
      <c r="AD104" s="8" t="str">
        <f>IFERROR(AC104/AC445,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IFERROR(B105/B445, "NA")</f>
        <v>NA</v>
      </c>
      <c r="D105" s="9"/>
      <c r="E105" s="7">
        <v>0</v>
      </c>
      <c r="F105" s="8" t="str">
        <f>IFERROR(E105/E445, "NA")</f>
        <v>NA</v>
      </c>
      <c r="G105" s="9"/>
      <c r="H105" s="10">
        <f t="shared" si="24"/>
        <v>0</v>
      </c>
      <c r="I105" s="8" t="str">
        <f>IFERROR(H105/H445, "NA")</f>
        <v>NA</v>
      </c>
      <c r="J105" s="9"/>
      <c r="K105" s="7">
        <v>0</v>
      </c>
      <c r="L105" s="8" t="str">
        <f>IFERROR(K105/K445, "NA")</f>
        <v>NA</v>
      </c>
      <c r="M105" s="9"/>
      <c r="N105" s="10">
        <f t="shared" si="25"/>
        <v>0</v>
      </c>
      <c r="O105" s="8" t="str">
        <f>IFERROR(N105/N445, "NA")</f>
        <v>NA</v>
      </c>
      <c r="P105" s="9"/>
      <c r="Q105" s="7">
        <v>0</v>
      </c>
      <c r="R105" s="8" t="str">
        <f>IFERROR(Q105/Q445, "NA")</f>
        <v>NA</v>
      </c>
      <c r="S105" s="9"/>
      <c r="T105" s="7">
        <v>0</v>
      </c>
      <c r="U105" s="8" t="str">
        <f>IFERROR(T105/T445, "NA")</f>
        <v>NA</v>
      </c>
      <c r="V105" s="9"/>
      <c r="W105" s="10">
        <f t="shared" si="26"/>
        <v>0</v>
      </c>
      <c r="X105" s="8" t="str">
        <f>IFERROR(W105/W445, "NA")</f>
        <v>NA</v>
      </c>
      <c r="Y105" s="9"/>
      <c r="Z105" s="7">
        <v>0</v>
      </c>
      <c r="AA105" s="8" t="str">
        <f>IFERROR(Z105/Z445, "NA")</f>
        <v>NA</v>
      </c>
      <c r="AB105" s="9"/>
      <c r="AC105" s="10">
        <f t="shared" si="27"/>
        <v>0</v>
      </c>
      <c r="AD105" s="8" t="str">
        <f>IFERROR(AC105/AC445,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IFERROR(B106/B445, "NA")</f>
        <v>NA</v>
      </c>
      <c r="D106" s="9"/>
      <c r="E106" s="7">
        <v>0</v>
      </c>
      <c r="F106" s="8" t="str">
        <f>IFERROR(E106/E445, "NA")</f>
        <v>NA</v>
      </c>
      <c r="G106" s="9"/>
      <c r="H106" s="10">
        <f t="shared" si="24"/>
        <v>0</v>
      </c>
      <c r="I106" s="8" t="str">
        <f>IFERROR(H106/H445, "NA")</f>
        <v>NA</v>
      </c>
      <c r="J106" s="9"/>
      <c r="K106" s="7">
        <v>0</v>
      </c>
      <c r="L106" s="8" t="str">
        <f>IFERROR(K106/K445, "NA")</f>
        <v>NA</v>
      </c>
      <c r="M106" s="9"/>
      <c r="N106" s="10">
        <f t="shared" si="25"/>
        <v>0</v>
      </c>
      <c r="O106" s="8" t="str">
        <f>IFERROR(N106/N445, "NA")</f>
        <v>NA</v>
      </c>
      <c r="P106" s="9"/>
      <c r="Q106" s="7">
        <v>0</v>
      </c>
      <c r="R106" s="8" t="str">
        <f>IFERROR(Q106/Q445, "NA")</f>
        <v>NA</v>
      </c>
      <c r="S106" s="9"/>
      <c r="T106" s="7">
        <v>0</v>
      </c>
      <c r="U106" s="8" t="str">
        <f>IFERROR(T106/T445, "NA")</f>
        <v>NA</v>
      </c>
      <c r="V106" s="9"/>
      <c r="W106" s="10">
        <f t="shared" si="26"/>
        <v>0</v>
      </c>
      <c r="X106" s="8" t="str">
        <f>IFERROR(W106/W445, "NA")</f>
        <v>NA</v>
      </c>
      <c r="Y106" s="9"/>
      <c r="Z106" s="7">
        <v>0</v>
      </c>
      <c r="AA106" s="8" t="str">
        <f>IFERROR(Z106/Z445, "NA")</f>
        <v>NA</v>
      </c>
      <c r="AB106" s="9"/>
      <c r="AC106" s="10">
        <f t="shared" si="27"/>
        <v>0</v>
      </c>
      <c r="AD106" s="8" t="str">
        <f>IFERROR(AC106/AC445,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IFERROR(B107/B445, "NA")</f>
        <v>NA</v>
      </c>
      <c r="D107" s="9"/>
      <c r="E107" s="7">
        <v>0</v>
      </c>
      <c r="F107" s="8" t="str">
        <f>IFERROR(E107/E445, "NA")</f>
        <v>NA</v>
      </c>
      <c r="G107" s="9"/>
      <c r="H107" s="10">
        <f t="shared" si="24"/>
        <v>0</v>
      </c>
      <c r="I107" s="8" t="str">
        <f>IFERROR(H107/H445, "NA")</f>
        <v>NA</v>
      </c>
      <c r="J107" s="9"/>
      <c r="K107" s="7">
        <v>0</v>
      </c>
      <c r="L107" s="8" t="str">
        <f>IFERROR(K107/K445, "NA")</f>
        <v>NA</v>
      </c>
      <c r="M107" s="9"/>
      <c r="N107" s="10">
        <f t="shared" si="25"/>
        <v>0</v>
      </c>
      <c r="O107" s="8" t="str">
        <f>IFERROR(N107/N445, "NA")</f>
        <v>NA</v>
      </c>
      <c r="P107" s="9"/>
      <c r="Q107" s="7">
        <v>0</v>
      </c>
      <c r="R107" s="8" t="str">
        <f>IFERROR(Q107/Q445, "NA")</f>
        <v>NA</v>
      </c>
      <c r="S107" s="9"/>
      <c r="T107" s="7">
        <v>0</v>
      </c>
      <c r="U107" s="8" t="str">
        <f>IFERROR(T107/T445, "NA")</f>
        <v>NA</v>
      </c>
      <c r="V107" s="9"/>
      <c r="W107" s="10">
        <f t="shared" si="26"/>
        <v>0</v>
      </c>
      <c r="X107" s="8" t="str">
        <f>IFERROR(W107/W445, "NA")</f>
        <v>NA</v>
      </c>
      <c r="Y107" s="9"/>
      <c r="Z107" s="7">
        <v>0</v>
      </c>
      <c r="AA107" s="8" t="str">
        <f>IFERROR(Z107/Z445, "NA")</f>
        <v>NA</v>
      </c>
      <c r="AB107" s="9"/>
      <c r="AC107" s="10">
        <f t="shared" si="27"/>
        <v>0</v>
      </c>
      <c r="AD107" s="8" t="str">
        <f>IFERROR(AC107/AC445,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IFERROR(B108/B445, "NA")</f>
        <v>NA</v>
      </c>
      <c r="D108" s="9"/>
      <c r="E108" s="7">
        <v>0</v>
      </c>
      <c r="F108" s="8" t="str">
        <f>IFERROR(E108/E445, "NA")</f>
        <v>NA</v>
      </c>
      <c r="G108" s="9"/>
      <c r="H108" s="10">
        <f t="shared" si="24"/>
        <v>0</v>
      </c>
      <c r="I108" s="8" t="str">
        <f>IFERROR(H108/H445, "NA")</f>
        <v>NA</v>
      </c>
      <c r="J108" s="9"/>
      <c r="K108" s="7">
        <v>0</v>
      </c>
      <c r="L108" s="8" t="str">
        <f>IFERROR(K108/K445, "NA")</f>
        <v>NA</v>
      </c>
      <c r="M108" s="9"/>
      <c r="N108" s="10">
        <f t="shared" si="25"/>
        <v>0</v>
      </c>
      <c r="O108" s="8" t="str">
        <f>IFERROR(N108/N445, "NA")</f>
        <v>NA</v>
      </c>
      <c r="P108" s="9"/>
      <c r="Q108" s="7">
        <v>0</v>
      </c>
      <c r="R108" s="8" t="str">
        <f>IFERROR(Q108/Q445, "NA")</f>
        <v>NA</v>
      </c>
      <c r="S108" s="9"/>
      <c r="T108" s="7">
        <v>0</v>
      </c>
      <c r="U108" s="8" t="str">
        <f>IFERROR(T108/T445, "NA")</f>
        <v>NA</v>
      </c>
      <c r="V108" s="9"/>
      <c r="W108" s="10">
        <f t="shared" si="26"/>
        <v>0</v>
      </c>
      <c r="X108" s="8" t="str">
        <f>IFERROR(W108/W445, "NA")</f>
        <v>NA</v>
      </c>
      <c r="Y108" s="9"/>
      <c r="Z108" s="7">
        <v>0</v>
      </c>
      <c r="AA108" s="8" t="str">
        <f>IFERROR(Z108/Z445, "NA")</f>
        <v>NA</v>
      </c>
      <c r="AB108" s="9"/>
      <c r="AC108" s="10">
        <f t="shared" si="27"/>
        <v>0</v>
      </c>
      <c r="AD108" s="8" t="str">
        <f>IFERROR(AC108/AC445,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IFERROR(B109/B445, "NA")</f>
        <v>NA</v>
      </c>
      <c r="D109" s="9"/>
      <c r="E109" s="7">
        <v>0</v>
      </c>
      <c r="F109" s="8" t="str">
        <f>IFERROR(E109/E445, "NA")</f>
        <v>NA</v>
      </c>
      <c r="G109" s="9"/>
      <c r="H109" s="10">
        <f t="shared" si="24"/>
        <v>0</v>
      </c>
      <c r="I109" s="8" t="str">
        <f>IFERROR(H109/H445, "NA")</f>
        <v>NA</v>
      </c>
      <c r="J109" s="9"/>
      <c r="K109" s="7">
        <v>0</v>
      </c>
      <c r="L109" s="8" t="str">
        <f>IFERROR(K109/K445, "NA")</f>
        <v>NA</v>
      </c>
      <c r="M109" s="9"/>
      <c r="N109" s="10">
        <f t="shared" si="25"/>
        <v>0</v>
      </c>
      <c r="O109" s="8" t="str">
        <f>IFERROR(N109/N445, "NA")</f>
        <v>NA</v>
      </c>
      <c r="P109" s="9"/>
      <c r="Q109" s="7">
        <v>0</v>
      </c>
      <c r="R109" s="8" t="str">
        <f>IFERROR(Q109/Q445, "NA")</f>
        <v>NA</v>
      </c>
      <c r="S109" s="9"/>
      <c r="T109" s="7">
        <v>0</v>
      </c>
      <c r="U109" s="8" t="str">
        <f>IFERROR(T109/T445, "NA")</f>
        <v>NA</v>
      </c>
      <c r="V109" s="9"/>
      <c r="W109" s="10">
        <f t="shared" si="26"/>
        <v>0</v>
      </c>
      <c r="X109" s="8" t="str">
        <f>IFERROR(W109/W445, "NA")</f>
        <v>NA</v>
      </c>
      <c r="Y109" s="9"/>
      <c r="Z109" s="7">
        <v>0</v>
      </c>
      <c r="AA109" s="8" t="str">
        <f>IFERROR(Z109/Z445, "NA")</f>
        <v>NA</v>
      </c>
      <c r="AB109" s="9"/>
      <c r="AC109" s="10">
        <f t="shared" si="27"/>
        <v>0</v>
      </c>
      <c r="AD109" s="8" t="str">
        <f>IFERROR(AC109/AC445,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IFERROR(B110/B445, "NA")</f>
        <v>NA</v>
      </c>
      <c r="D110" s="9"/>
      <c r="E110" s="7">
        <v>0</v>
      </c>
      <c r="F110" s="8" t="str">
        <f>IFERROR(E110/E445, "NA")</f>
        <v>NA</v>
      </c>
      <c r="G110" s="9"/>
      <c r="H110" s="10">
        <f t="shared" si="24"/>
        <v>0</v>
      </c>
      <c r="I110" s="8" t="str">
        <f>IFERROR(H110/H445, "NA")</f>
        <v>NA</v>
      </c>
      <c r="J110" s="9"/>
      <c r="K110" s="7">
        <v>0</v>
      </c>
      <c r="L110" s="8" t="str">
        <f>IFERROR(K110/K445, "NA")</f>
        <v>NA</v>
      </c>
      <c r="M110" s="9"/>
      <c r="N110" s="10">
        <f t="shared" si="25"/>
        <v>0</v>
      </c>
      <c r="O110" s="8" t="str">
        <f>IFERROR(N110/N445, "NA")</f>
        <v>NA</v>
      </c>
      <c r="P110" s="9"/>
      <c r="Q110" s="7">
        <v>0</v>
      </c>
      <c r="R110" s="8" t="str">
        <f>IFERROR(Q110/Q445, "NA")</f>
        <v>NA</v>
      </c>
      <c r="S110" s="9"/>
      <c r="T110" s="7">
        <v>0</v>
      </c>
      <c r="U110" s="8" t="str">
        <f>IFERROR(T110/T445, "NA")</f>
        <v>NA</v>
      </c>
      <c r="V110" s="9"/>
      <c r="W110" s="10">
        <f t="shared" si="26"/>
        <v>0</v>
      </c>
      <c r="X110" s="8" t="str">
        <f>IFERROR(W110/W445, "NA")</f>
        <v>NA</v>
      </c>
      <c r="Y110" s="9"/>
      <c r="Z110" s="7">
        <v>0</v>
      </c>
      <c r="AA110" s="8" t="str">
        <f>IFERROR(Z110/Z445, "NA")</f>
        <v>NA</v>
      </c>
      <c r="AB110" s="9"/>
      <c r="AC110" s="10">
        <f t="shared" si="27"/>
        <v>0</v>
      </c>
      <c r="AD110" s="8" t="str">
        <f>IFERROR(AC110/AC445,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IFERROR(B111/B445, "NA")</f>
        <v>NA</v>
      </c>
      <c r="D111" s="9"/>
      <c r="E111" s="7">
        <v>0</v>
      </c>
      <c r="F111" s="8" t="str">
        <f>IFERROR(E111/E445, "NA")</f>
        <v>NA</v>
      </c>
      <c r="G111" s="9"/>
      <c r="H111" s="10">
        <f t="shared" si="24"/>
        <v>0</v>
      </c>
      <c r="I111" s="8" t="str">
        <f>IFERROR(H111/H445, "NA")</f>
        <v>NA</v>
      </c>
      <c r="J111" s="9"/>
      <c r="K111" s="7">
        <v>0</v>
      </c>
      <c r="L111" s="8" t="str">
        <f>IFERROR(K111/K445, "NA")</f>
        <v>NA</v>
      </c>
      <c r="M111" s="9"/>
      <c r="N111" s="10">
        <f t="shared" si="25"/>
        <v>0</v>
      </c>
      <c r="O111" s="8" t="str">
        <f>IFERROR(N111/N445, "NA")</f>
        <v>NA</v>
      </c>
      <c r="P111" s="9"/>
      <c r="Q111" s="7">
        <v>0</v>
      </c>
      <c r="R111" s="8" t="str">
        <f>IFERROR(Q111/Q445, "NA")</f>
        <v>NA</v>
      </c>
      <c r="S111" s="9"/>
      <c r="T111" s="7">
        <v>0</v>
      </c>
      <c r="U111" s="8" t="str">
        <f>IFERROR(T111/T445, "NA")</f>
        <v>NA</v>
      </c>
      <c r="V111" s="9"/>
      <c r="W111" s="10">
        <f t="shared" si="26"/>
        <v>0</v>
      </c>
      <c r="X111" s="8" t="str">
        <f>IFERROR(W111/W445, "NA")</f>
        <v>NA</v>
      </c>
      <c r="Y111" s="9"/>
      <c r="Z111" s="7">
        <v>0</v>
      </c>
      <c r="AA111" s="8" t="str">
        <f>IFERROR(Z111/Z445, "NA")</f>
        <v>NA</v>
      </c>
      <c r="AB111" s="9"/>
      <c r="AC111" s="10">
        <f t="shared" si="27"/>
        <v>0</v>
      </c>
      <c r="AD111" s="8" t="str">
        <f>IFERROR(AC111/AC445,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IFERROR(B112/B445, "NA")</f>
        <v>NA</v>
      </c>
      <c r="D112" s="9"/>
      <c r="E112" s="7">
        <v>0</v>
      </c>
      <c r="F112" s="8" t="str">
        <f>IFERROR(E112/E445, "NA")</f>
        <v>NA</v>
      </c>
      <c r="G112" s="9"/>
      <c r="H112" s="10">
        <f t="shared" si="24"/>
        <v>0</v>
      </c>
      <c r="I112" s="8" t="str">
        <f>IFERROR(H112/H445, "NA")</f>
        <v>NA</v>
      </c>
      <c r="J112" s="9"/>
      <c r="K112" s="7">
        <v>0</v>
      </c>
      <c r="L112" s="8" t="str">
        <f>IFERROR(K112/K445, "NA")</f>
        <v>NA</v>
      </c>
      <c r="M112" s="9"/>
      <c r="N112" s="10">
        <f t="shared" si="25"/>
        <v>0</v>
      </c>
      <c r="O112" s="8" t="str">
        <f>IFERROR(N112/N445, "NA")</f>
        <v>NA</v>
      </c>
      <c r="P112" s="9"/>
      <c r="Q112" s="7">
        <v>0</v>
      </c>
      <c r="R112" s="8" t="str">
        <f>IFERROR(Q112/Q445, "NA")</f>
        <v>NA</v>
      </c>
      <c r="S112" s="9"/>
      <c r="T112" s="7">
        <v>0</v>
      </c>
      <c r="U112" s="8" t="str">
        <f>IFERROR(T112/T445, "NA")</f>
        <v>NA</v>
      </c>
      <c r="V112" s="9"/>
      <c r="W112" s="10">
        <f t="shared" si="26"/>
        <v>0</v>
      </c>
      <c r="X112" s="8" t="str">
        <f>IFERROR(W112/W445, "NA")</f>
        <v>NA</v>
      </c>
      <c r="Y112" s="9"/>
      <c r="Z112" s="7">
        <v>0</v>
      </c>
      <c r="AA112" s="8" t="str">
        <f>IFERROR(Z112/Z445, "NA")</f>
        <v>NA</v>
      </c>
      <c r="AB112" s="9"/>
      <c r="AC112" s="10">
        <f t="shared" si="27"/>
        <v>0</v>
      </c>
      <c r="AD112" s="8" t="str">
        <f>IFERROR(AC112/AC445,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IFERROR(B113/B445, "NA")</f>
        <v>NA</v>
      </c>
      <c r="D113" s="9"/>
      <c r="E113" s="7">
        <v>0</v>
      </c>
      <c r="F113" s="8" t="str">
        <f>IFERROR(E113/E445, "NA")</f>
        <v>NA</v>
      </c>
      <c r="G113" s="9"/>
      <c r="H113" s="10">
        <f t="shared" si="24"/>
        <v>0</v>
      </c>
      <c r="I113" s="8" t="str">
        <f>IFERROR(H113/H445, "NA")</f>
        <v>NA</v>
      </c>
      <c r="J113" s="9"/>
      <c r="K113" s="7">
        <v>0</v>
      </c>
      <c r="L113" s="8" t="str">
        <f>IFERROR(K113/K445, "NA")</f>
        <v>NA</v>
      </c>
      <c r="M113" s="9"/>
      <c r="N113" s="10">
        <f t="shared" si="25"/>
        <v>0</v>
      </c>
      <c r="O113" s="8" t="str">
        <f>IFERROR(N113/N445, "NA")</f>
        <v>NA</v>
      </c>
      <c r="P113" s="9"/>
      <c r="Q113" s="7">
        <v>0</v>
      </c>
      <c r="R113" s="8" t="str">
        <f>IFERROR(Q113/Q445, "NA")</f>
        <v>NA</v>
      </c>
      <c r="S113" s="9"/>
      <c r="T113" s="7">
        <v>0</v>
      </c>
      <c r="U113" s="8" t="str">
        <f>IFERROR(T113/T445, "NA")</f>
        <v>NA</v>
      </c>
      <c r="V113" s="9"/>
      <c r="W113" s="10">
        <f t="shared" si="26"/>
        <v>0</v>
      </c>
      <c r="X113" s="8" t="str">
        <f>IFERROR(W113/W445, "NA")</f>
        <v>NA</v>
      </c>
      <c r="Y113" s="9"/>
      <c r="Z113" s="7">
        <v>0</v>
      </c>
      <c r="AA113" s="8" t="str">
        <f>IFERROR(Z113/Z445, "NA")</f>
        <v>NA</v>
      </c>
      <c r="AB113" s="9"/>
      <c r="AC113" s="10">
        <f t="shared" si="27"/>
        <v>0</v>
      </c>
      <c r="AD113" s="8" t="str">
        <f>IFERROR(AC113/AC445,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IFERROR(B114/B445, "NA")</f>
        <v>NA</v>
      </c>
      <c r="D114" s="9"/>
      <c r="E114" s="7">
        <v>0</v>
      </c>
      <c r="F114" s="8" t="str">
        <f>IFERROR(E114/E445, "NA")</f>
        <v>NA</v>
      </c>
      <c r="G114" s="9"/>
      <c r="H114" s="10">
        <f t="shared" si="24"/>
        <v>0</v>
      </c>
      <c r="I114" s="8" t="str">
        <f>IFERROR(H114/H445, "NA")</f>
        <v>NA</v>
      </c>
      <c r="J114" s="9"/>
      <c r="K114" s="7">
        <v>0</v>
      </c>
      <c r="L114" s="8" t="str">
        <f>IFERROR(K114/K445, "NA")</f>
        <v>NA</v>
      </c>
      <c r="M114" s="9"/>
      <c r="N114" s="10">
        <f t="shared" si="25"/>
        <v>0</v>
      </c>
      <c r="O114" s="8" t="str">
        <f>IFERROR(N114/N445, "NA")</f>
        <v>NA</v>
      </c>
      <c r="P114" s="9"/>
      <c r="Q114" s="7">
        <v>0</v>
      </c>
      <c r="R114" s="8" t="str">
        <f>IFERROR(Q114/Q445, "NA")</f>
        <v>NA</v>
      </c>
      <c r="S114" s="9"/>
      <c r="T114" s="7">
        <v>0</v>
      </c>
      <c r="U114" s="8" t="str">
        <f>IFERROR(T114/T445, "NA")</f>
        <v>NA</v>
      </c>
      <c r="V114" s="9"/>
      <c r="W114" s="10">
        <f t="shared" si="26"/>
        <v>0</v>
      </c>
      <c r="X114" s="8" t="str">
        <f>IFERROR(W114/W445, "NA")</f>
        <v>NA</v>
      </c>
      <c r="Y114" s="9"/>
      <c r="Z114" s="7">
        <v>0</v>
      </c>
      <c r="AA114" s="8" t="str">
        <f>IFERROR(Z114/Z445, "NA")</f>
        <v>NA</v>
      </c>
      <c r="AB114" s="9"/>
      <c r="AC114" s="10">
        <f t="shared" si="27"/>
        <v>0</v>
      </c>
      <c r="AD114" s="8" t="str">
        <f>IFERROR(AC114/AC445,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IFERROR(B115/B445, "NA")</f>
        <v>NA</v>
      </c>
      <c r="D115" s="9"/>
      <c r="E115" s="7">
        <v>0</v>
      </c>
      <c r="F115" s="8" t="str">
        <f>IFERROR(E115/E445, "NA")</f>
        <v>NA</v>
      </c>
      <c r="G115" s="9"/>
      <c r="H115" s="10">
        <f t="shared" si="24"/>
        <v>0</v>
      </c>
      <c r="I115" s="8" t="str">
        <f>IFERROR(H115/H445, "NA")</f>
        <v>NA</v>
      </c>
      <c r="J115" s="9"/>
      <c r="K115" s="7">
        <v>0</v>
      </c>
      <c r="L115" s="8" t="str">
        <f>IFERROR(K115/K445, "NA")</f>
        <v>NA</v>
      </c>
      <c r="M115" s="9"/>
      <c r="N115" s="10">
        <f t="shared" si="25"/>
        <v>0</v>
      </c>
      <c r="O115" s="8" t="str">
        <f>IFERROR(N115/N445, "NA")</f>
        <v>NA</v>
      </c>
      <c r="P115" s="9"/>
      <c r="Q115" s="7">
        <v>0</v>
      </c>
      <c r="R115" s="8" t="str">
        <f>IFERROR(Q115/Q445, "NA")</f>
        <v>NA</v>
      </c>
      <c r="S115" s="9"/>
      <c r="T115" s="7">
        <v>0</v>
      </c>
      <c r="U115" s="8" t="str">
        <f>IFERROR(T115/T445, "NA")</f>
        <v>NA</v>
      </c>
      <c r="V115" s="9"/>
      <c r="W115" s="10">
        <f t="shared" si="26"/>
        <v>0</v>
      </c>
      <c r="X115" s="8" t="str">
        <f>IFERROR(W115/W445, "NA")</f>
        <v>NA</v>
      </c>
      <c r="Y115" s="9"/>
      <c r="Z115" s="7">
        <v>0</v>
      </c>
      <c r="AA115" s="8" t="str">
        <f>IFERROR(Z115/Z445, "NA")</f>
        <v>NA</v>
      </c>
      <c r="AB115" s="9"/>
      <c r="AC115" s="10">
        <f t="shared" si="27"/>
        <v>0</v>
      </c>
      <c r="AD115" s="8" t="str">
        <f>IFERROR(AC115/AC445,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IFERROR(B116/B445, "NA")</f>
        <v>NA</v>
      </c>
      <c r="D116" s="9"/>
      <c r="E116" s="7">
        <v>0</v>
      </c>
      <c r="F116" s="8" t="str">
        <f>IFERROR(E116/E445, "NA")</f>
        <v>NA</v>
      </c>
      <c r="G116" s="9"/>
      <c r="H116" s="10">
        <f t="shared" si="24"/>
        <v>0</v>
      </c>
      <c r="I116" s="8" t="str">
        <f>IFERROR(H116/H445, "NA")</f>
        <v>NA</v>
      </c>
      <c r="J116" s="9"/>
      <c r="K116" s="7">
        <v>0</v>
      </c>
      <c r="L116" s="8" t="str">
        <f>IFERROR(K116/K445, "NA")</f>
        <v>NA</v>
      </c>
      <c r="M116" s="9"/>
      <c r="N116" s="10">
        <f t="shared" si="25"/>
        <v>0</v>
      </c>
      <c r="O116" s="8" t="str">
        <f>IFERROR(N116/N445, "NA")</f>
        <v>NA</v>
      </c>
      <c r="P116" s="9"/>
      <c r="Q116" s="7">
        <v>0</v>
      </c>
      <c r="R116" s="8" t="str">
        <f>IFERROR(Q116/Q445, "NA")</f>
        <v>NA</v>
      </c>
      <c r="S116" s="9"/>
      <c r="T116" s="7">
        <v>0</v>
      </c>
      <c r="U116" s="8" t="str">
        <f>IFERROR(T116/T445, "NA")</f>
        <v>NA</v>
      </c>
      <c r="V116" s="9"/>
      <c r="W116" s="10">
        <f t="shared" si="26"/>
        <v>0</v>
      </c>
      <c r="X116" s="8" t="str">
        <f>IFERROR(W116/W445, "NA")</f>
        <v>NA</v>
      </c>
      <c r="Y116" s="9"/>
      <c r="Z116" s="7">
        <v>0</v>
      </c>
      <c r="AA116" s="8" t="str">
        <f>IFERROR(Z116/Z445, "NA")</f>
        <v>NA</v>
      </c>
      <c r="AB116" s="9"/>
      <c r="AC116" s="10">
        <f t="shared" si="27"/>
        <v>0</v>
      </c>
      <c r="AD116" s="8" t="str">
        <f>IFERROR(AC116/AC445,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IFERROR(B117/B445, "NA")</f>
        <v>NA</v>
      </c>
      <c r="D117" s="9"/>
      <c r="E117" s="7">
        <v>0</v>
      </c>
      <c r="F117" s="8" t="str">
        <f>IFERROR(E117/E445, "NA")</f>
        <v>NA</v>
      </c>
      <c r="G117" s="9"/>
      <c r="H117" s="10">
        <f t="shared" si="24"/>
        <v>0</v>
      </c>
      <c r="I117" s="8" t="str">
        <f>IFERROR(H117/H445, "NA")</f>
        <v>NA</v>
      </c>
      <c r="J117" s="9"/>
      <c r="K117" s="7">
        <v>0</v>
      </c>
      <c r="L117" s="8" t="str">
        <f>IFERROR(K117/K445, "NA")</f>
        <v>NA</v>
      </c>
      <c r="M117" s="9"/>
      <c r="N117" s="10">
        <f t="shared" si="25"/>
        <v>0</v>
      </c>
      <c r="O117" s="8" t="str">
        <f>IFERROR(N117/N445, "NA")</f>
        <v>NA</v>
      </c>
      <c r="P117" s="9"/>
      <c r="Q117" s="7">
        <v>0</v>
      </c>
      <c r="R117" s="8" t="str">
        <f>IFERROR(Q117/Q445, "NA")</f>
        <v>NA</v>
      </c>
      <c r="S117" s="9"/>
      <c r="T117" s="7">
        <v>0</v>
      </c>
      <c r="U117" s="8" t="str">
        <f>IFERROR(T117/T445, "NA")</f>
        <v>NA</v>
      </c>
      <c r="V117" s="9"/>
      <c r="W117" s="10">
        <f t="shared" si="26"/>
        <v>0</v>
      </c>
      <c r="X117" s="8" t="str">
        <f>IFERROR(W117/W445, "NA")</f>
        <v>NA</v>
      </c>
      <c r="Y117" s="9"/>
      <c r="Z117" s="7">
        <v>0</v>
      </c>
      <c r="AA117" s="8" t="str">
        <f>IFERROR(Z117/Z445, "NA")</f>
        <v>NA</v>
      </c>
      <c r="AB117" s="9"/>
      <c r="AC117" s="10">
        <f t="shared" si="27"/>
        <v>0</v>
      </c>
      <c r="AD117" s="8" t="str">
        <f>IFERROR(AC117/AC445,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IFERROR(B118/B445,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IFERROR(E118/E445, "NA")</f>
        <v>NA</v>
      </c>
      <c r="G118" s="2"/>
      <c r="H118" s="14">
        <f t="shared" si="24"/>
        <v>0</v>
      </c>
      <c r="I118" s="15" t="str">
        <f>IFERROR(H118/H445,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IFERROR(K118/K445, "NA")</f>
        <v>NA</v>
      </c>
      <c r="M118" s="2"/>
      <c r="N118" s="14">
        <f t="shared" si="25"/>
        <v>0</v>
      </c>
      <c r="O118" s="15" t="str">
        <f>IFERROR(N118/N445,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IFERROR(Q118/Q445,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IFERROR(T118/T445, "NA")</f>
        <v>NA</v>
      </c>
      <c r="V118" s="2"/>
      <c r="W118" s="14">
        <f t="shared" si="26"/>
        <v>0</v>
      </c>
      <c r="X118" s="15" t="str">
        <f>IFERROR(W118/W445,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IFERROR(Z118/Z445, "NA")</f>
        <v>NA</v>
      </c>
      <c r="AB118" s="2"/>
      <c r="AC118" s="14">
        <f t="shared" si="27"/>
        <v>0</v>
      </c>
      <c r="AD118" s="15" t="str">
        <f>IFERROR(AC118/AC445,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IFERROR(B119/B445, "NA")</f>
        <v>NA</v>
      </c>
      <c r="D119" s="9"/>
      <c r="E119" s="7">
        <v>0</v>
      </c>
      <c r="F119" s="8" t="str">
        <f>IFERROR(E119/E445, "NA")</f>
        <v>NA</v>
      </c>
      <c r="G119" s="9"/>
      <c r="H119" s="10">
        <f t="shared" si="24"/>
        <v>0</v>
      </c>
      <c r="I119" s="8" t="str">
        <f>IFERROR(H119/H445, "NA")</f>
        <v>NA</v>
      </c>
      <c r="J119" s="9"/>
      <c r="K119" s="7">
        <v>0</v>
      </c>
      <c r="L119" s="8" t="str">
        <f>IFERROR(K119/K445, "NA")</f>
        <v>NA</v>
      </c>
      <c r="M119" s="9"/>
      <c r="N119" s="10">
        <f t="shared" si="25"/>
        <v>0</v>
      </c>
      <c r="O119" s="8" t="str">
        <f>IFERROR(N119/N445, "NA")</f>
        <v>NA</v>
      </c>
      <c r="P119" s="9"/>
      <c r="Q119" s="7">
        <v>0</v>
      </c>
      <c r="R119" s="8" t="str">
        <f>IFERROR(Q119/Q445, "NA")</f>
        <v>NA</v>
      </c>
      <c r="S119" s="9"/>
      <c r="T119" s="7">
        <v>0</v>
      </c>
      <c r="U119" s="8" t="str">
        <f>IFERROR(T119/T445, "NA")</f>
        <v>NA</v>
      </c>
      <c r="V119" s="9"/>
      <c r="W119" s="10">
        <f t="shared" si="26"/>
        <v>0</v>
      </c>
      <c r="X119" s="8" t="str">
        <f>IFERROR(W119/W445, "NA")</f>
        <v>NA</v>
      </c>
      <c r="Y119" s="9"/>
      <c r="Z119" s="7">
        <v>0</v>
      </c>
      <c r="AA119" s="8" t="str">
        <f>IFERROR(Z119/Z445, "NA")</f>
        <v>NA</v>
      </c>
      <c r="AB119" s="9"/>
      <c r="AC119" s="10">
        <f t="shared" si="27"/>
        <v>0</v>
      </c>
      <c r="AD119" s="8" t="str">
        <f>IFERROR(AC119/AC445,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IFERROR(B120/B445, "NA")</f>
        <v>NA</v>
      </c>
      <c r="D120" s="9"/>
      <c r="E120" s="7">
        <v>0</v>
      </c>
      <c r="F120" s="8" t="str">
        <f>IFERROR(E120/E445, "NA")</f>
        <v>NA</v>
      </c>
      <c r="G120" s="9"/>
      <c r="H120" s="10">
        <f t="shared" si="24"/>
        <v>0</v>
      </c>
      <c r="I120" s="8" t="str">
        <f>IFERROR(H120/H445, "NA")</f>
        <v>NA</v>
      </c>
      <c r="J120" s="9"/>
      <c r="K120" s="7">
        <v>0</v>
      </c>
      <c r="L120" s="8" t="str">
        <f>IFERROR(K120/K445, "NA")</f>
        <v>NA</v>
      </c>
      <c r="M120" s="9"/>
      <c r="N120" s="10">
        <f t="shared" si="25"/>
        <v>0</v>
      </c>
      <c r="O120" s="8" t="str">
        <f>IFERROR(N120/N445, "NA")</f>
        <v>NA</v>
      </c>
      <c r="P120" s="9"/>
      <c r="Q120" s="7">
        <v>0</v>
      </c>
      <c r="R120" s="8" t="str">
        <f>IFERROR(Q120/Q445, "NA")</f>
        <v>NA</v>
      </c>
      <c r="S120" s="9"/>
      <c r="T120" s="7">
        <v>0</v>
      </c>
      <c r="U120" s="8" t="str">
        <f>IFERROR(T120/T445, "NA")</f>
        <v>NA</v>
      </c>
      <c r="V120" s="9"/>
      <c r="W120" s="10">
        <f t="shared" si="26"/>
        <v>0</v>
      </c>
      <c r="X120" s="8" t="str">
        <f>IFERROR(W120/W445, "NA")</f>
        <v>NA</v>
      </c>
      <c r="Y120" s="9"/>
      <c r="Z120" s="7">
        <v>0</v>
      </c>
      <c r="AA120" s="8" t="str">
        <f>IFERROR(Z120/Z445, "NA")</f>
        <v>NA</v>
      </c>
      <c r="AB120" s="9"/>
      <c r="AC120" s="10">
        <f t="shared" si="27"/>
        <v>0</v>
      </c>
      <c r="AD120" s="8" t="str">
        <f>IFERROR(AC120/AC445,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IFERROR(B121/B445, "NA")</f>
        <v>NA</v>
      </c>
      <c r="D121" s="9"/>
      <c r="E121" s="7">
        <v>0</v>
      </c>
      <c r="F121" s="8" t="str">
        <f>IFERROR(E121/E445, "NA")</f>
        <v>NA</v>
      </c>
      <c r="G121" s="9"/>
      <c r="H121" s="10">
        <f t="shared" si="24"/>
        <v>0</v>
      </c>
      <c r="I121" s="8" t="str">
        <f>IFERROR(H121/H445, "NA")</f>
        <v>NA</v>
      </c>
      <c r="J121" s="9"/>
      <c r="K121" s="7">
        <v>0</v>
      </c>
      <c r="L121" s="8" t="str">
        <f>IFERROR(K121/K445, "NA")</f>
        <v>NA</v>
      </c>
      <c r="M121" s="9"/>
      <c r="N121" s="10">
        <f t="shared" si="25"/>
        <v>0</v>
      </c>
      <c r="O121" s="8" t="str">
        <f>IFERROR(N121/N445, "NA")</f>
        <v>NA</v>
      </c>
      <c r="P121" s="9"/>
      <c r="Q121" s="7">
        <v>0</v>
      </c>
      <c r="R121" s="8" t="str">
        <f>IFERROR(Q121/Q445, "NA")</f>
        <v>NA</v>
      </c>
      <c r="S121" s="9"/>
      <c r="T121" s="7">
        <v>0</v>
      </c>
      <c r="U121" s="8" t="str">
        <f>IFERROR(T121/T445, "NA")</f>
        <v>NA</v>
      </c>
      <c r="V121" s="9"/>
      <c r="W121" s="10">
        <f t="shared" si="26"/>
        <v>0</v>
      </c>
      <c r="X121" s="8" t="str">
        <f>IFERROR(W121/W445, "NA")</f>
        <v>NA</v>
      </c>
      <c r="Y121" s="9"/>
      <c r="Z121" s="7">
        <v>0</v>
      </c>
      <c r="AA121" s="8" t="str">
        <f>IFERROR(Z121/Z445, "NA")</f>
        <v>NA</v>
      </c>
      <c r="AB121" s="9"/>
      <c r="AC121" s="10">
        <f t="shared" si="27"/>
        <v>0</v>
      </c>
      <c r="AD121" s="8" t="str">
        <f>IFERROR(AC121/AC445,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IFERROR(B122/B445,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IFERROR(E122/E445, "NA")</f>
        <v>NA</v>
      </c>
      <c r="G122" s="2"/>
      <c r="H122" s="14">
        <f t="shared" si="24"/>
        <v>0</v>
      </c>
      <c r="I122" s="15" t="str">
        <f>IFERROR(H122/H445,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IFERROR(K122/K445, "NA")</f>
        <v>NA</v>
      </c>
      <c r="M122" s="2"/>
      <c r="N122" s="14">
        <f t="shared" si="25"/>
        <v>0</v>
      </c>
      <c r="O122" s="15" t="str">
        <f>IFERROR(N122/N445,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IFERROR(Q122/Q445,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IFERROR(T122/T445, "NA")</f>
        <v>NA</v>
      </c>
      <c r="V122" s="2"/>
      <c r="W122" s="14">
        <f t="shared" si="26"/>
        <v>0</v>
      </c>
      <c r="X122" s="15" t="str">
        <f>IFERROR(W122/W445,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IFERROR(Z122/Z445, "NA")</f>
        <v>NA</v>
      </c>
      <c r="AB122" s="2"/>
      <c r="AC122" s="14">
        <f t="shared" si="27"/>
        <v>0</v>
      </c>
      <c r="AD122" s="15" t="str">
        <f>IFERROR(AC122/AC445,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IFERROR(B123/B445, "NA")</f>
        <v>NA</v>
      </c>
      <c r="D123" s="9"/>
      <c r="E123" s="7">
        <v>0</v>
      </c>
      <c r="F123" s="8" t="str">
        <f>IFERROR(E123/E445, "NA")</f>
        <v>NA</v>
      </c>
      <c r="G123" s="9"/>
      <c r="H123" s="10">
        <f t="shared" si="24"/>
        <v>0</v>
      </c>
      <c r="I123" s="8" t="str">
        <f>IFERROR(H123/H445, "NA")</f>
        <v>NA</v>
      </c>
      <c r="J123" s="9"/>
      <c r="K123" s="7">
        <v>0</v>
      </c>
      <c r="L123" s="8" t="str">
        <f>IFERROR(K123/K445, "NA")</f>
        <v>NA</v>
      </c>
      <c r="M123" s="9"/>
      <c r="N123" s="10">
        <f t="shared" si="25"/>
        <v>0</v>
      </c>
      <c r="O123" s="8" t="str">
        <f>IFERROR(N123/N445, "NA")</f>
        <v>NA</v>
      </c>
      <c r="P123" s="9"/>
      <c r="Q123" s="7">
        <v>0</v>
      </c>
      <c r="R123" s="8" t="str">
        <f>IFERROR(Q123/Q445, "NA")</f>
        <v>NA</v>
      </c>
      <c r="S123" s="9"/>
      <c r="T123" s="7">
        <v>0</v>
      </c>
      <c r="U123" s="8" t="str">
        <f>IFERROR(T123/T445, "NA")</f>
        <v>NA</v>
      </c>
      <c r="V123" s="9"/>
      <c r="W123" s="10">
        <f t="shared" si="26"/>
        <v>0</v>
      </c>
      <c r="X123" s="8" t="str">
        <f>IFERROR(W123/W445, "NA")</f>
        <v>NA</v>
      </c>
      <c r="Y123" s="9"/>
      <c r="Z123" s="7">
        <v>0</v>
      </c>
      <c r="AA123" s="8" t="str">
        <f>IFERROR(Z123/Z445, "NA")</f>
        <v>NA</v>
      </c>
      <c r="AB123" s="9"/>
      <c r="AC123" s="10">
        <f t="shared" si="27"/>
        <v>0</v>
      </c>
      <c r="AD123" s="8" t="str">
        <f>IFERROR(AC123/AC445,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IFERROR(B124/B445,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IFERROR(E124/E445, "NA")</f>
        <v>NA</v>
      </c>
      <c r="G124" s="2"/>
      <c r="H124" s="14">
        <f t="shared" si="24"/>
        <v>0</v>
      </c>
      <c r="I124" s="15" t="str">
        <f>IFERROR(H124/H445,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IFERROR(K124/K445, "NA")</f>
        <v>NA</v>
      </c>
      <c r="M124" s="2"/>
      <c r="N124" s="14">
        <f t="shared" si="25"/>
        <v>0</v>
      </c>
      <c r="O124" s="15" t="str">
        <f>IFERROR(N124/N445,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IFERROR(Q124/Q445,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IFERROR(T124/T445, "NA")</f>
        <v>NA</v>
      </c>
      <c r="V124" s="2"/>
      <c r="W124" s="14">
        <f t="shared" si="26"/>
        <v>0</v>
      </c>
      <c r="X124" s="15" t="str">
        <f>IFERROR(W124/W445,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IFERROR(Z124/Z445, "NA")</f>
        <v>NA</v>
      </c>
      <c r="AB124" s="2"/>
      <c r="AC124" s="14">
        <f t="shared" si="27"/>
        <v>0</v>
      </c>
      <c r="AD124" s="15" t="str">
        <f>IFERROR(AC124/AC445,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IFERROR(B127/B445, "NA")</f>
        <v>NA</v>
      </c>
      <c r="D127" s="9"/>
      <c r="E127" s="7">
        <v>0</v>
      </c>
      <c r="F127" s="8" t="str">
        <f>IFERROR(E127/E445, "NA")</f>
        <v>NA</v>
      </c>
      <c r="G127" s="9"/>
      <c r="H127" s="10">
        <f>IFERROR(-(B127-E127), "NA")</f>
        <v>0</v>
      </c>
      <c r="I127" s="8" t="str">
        <f>IFERROR(H127/H445, "NA")</f>
        <v>NA</v>
      </c>
      <c r="J127" s="9"/>
      <c r="K127" s="7">
        <v>0</v>
      </c>
      <c r="L127" s="8" t="str">
        <f>IFERROR(K127/K445, "NA")</f>
        <v>NA</v>
      </c>
      <c r="M127" s="9"/>
      <c r="N127" s="10">
        <f>IFERROR(-(B127-K127), "NA")</f>
        <v>0</v>
      </c>
      <c r="O127" s="8" t="str">
        <f>IFERROR(N127/N445, "NA")</f>
        <v>NA</v>
      </c>
      <c r="P127" s="9"/>
      <c r="Q127" s="7">
        <v>0</v>
      </c>
      <c r="R127" s="8" t="str">
        <f>IFERROR(Q127/Q445, "NA")</f>
        <v>NA</v>
      </c>
      <c r="S127" s="9"/>
      <c r="T127" s="7">
        <v>0</v>
      </c>
      <c r="U127" s="8" t="str">
        <f>IFERROR(T127/T445, "NA")</f>
        <v>NA</v>
      </c>
      <c r="V127" s="9"/>
      <c r="W127" s="10">
        <f>IFERROR(-(Q127-T127), "NA")</f>
        <v>0</v>
      </c>
      <c r="X127" s="8" t="str">
        <f>IFERROR(W127/W445, "NA")</f>
        <v>NA</v>
      </c>
      <c r="Y127" s="9"/>
      <c r="Z127" s="7">
        <v>0</v>
      </c>
      <c r="AA127" s="8" t="str">
        <f>IFERROR(Z127/Z445, "NA")</f>
        <v>NA</v>
      </c>
      <c r="AB127" s="9"/>
      <c r="AC127" s="10">
        <f>IFERROR(-(Q127-Z127), "NA")</f>
        <v>0</v>
      </c>
      <c r="AD127" s="8" t="str">
        <f>IFERROR(AC127/AC445,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IFERROR(B129/B445, "NA")</f>
        <v>NA</v>
      </c>
      <c r="D129" s="9"/>
      <c r="E129" s="7">
        <v>0</v>
      </c>
      <c r="F129" s="8" t="str">
        <f>IFERROR(E129/E445, "NA")</f>
        <v>NA</v>
      </c>
      <c r="G129" s="9"/>
      <c r="H129" s="10">
        <f t="shared" ref="H129:H141" si="28">IFERROR(-(B129-E129), "NA")</f>
        <v>0</v>
      </c>
      <c r="I129" s="8" t="str">
        <f>IFERROR(H129/H445, "NA")</f>
        <v>NA</v>
      </c>
      <c r="J129" s="9"/>
      <c r="K129" s="7">
        <v>0</v>
      </c>
      <c r="L129" s="8" t="str">
        <f>IFERROR(K129/K445, "NA")</f>
        <v>NA</v>
      </c>
      <c r="M129" s="9"/>
      <c r="N129" s="10">
        <f t="shared" ref="N129:N141" si="29">IFERROR(-(B129-K129), "NA")</f>
        <v>0</v>
      </c>
      <c r="O129" s="8" t="str">
        <f>IFERROR(N129/N445, "NA")</f>
        <v>NA</v>
      </c>
      <c r="P129" s="9"/>
      <c r="Q129" s="7">
        <v>0</v>
      </c>
      <c r="R129" s="8" t="str">
        <f>IFERROR(Q129/Q445, "NA")</f>
        <v>NA</v>
      </c>
      <c r="S129" s="9"/>
      <c r="T129" s="7">
        <v>0</v>
      </c>
      <c r="U129" s="8" t="str">
        <f>IFERROR(T129/T445, "NA")</f>
        <v>NA</v>
      </c>
      <c r="V129" s="9"/>
      <c r="W129" s="10">
        <f t="shared" ref="W129:W141" si="30">IFERROR(-(Q129-T129), "NA")</f>
        <v>0</v>
      </c>
      <c r="X129" s="8" t="str">
        <f>IFERROR(W129/W445, "NA")</f>
        <v>NA</v>
      </c>
      <c r="Y129" s="9"/>
      <c r="Z129" s="7">
        <v>0</v>
      </c>
      <c r="AA129" s="8" t="str">
        <f>IFERROR(Z129/Z445, "NA")</f>
        <v>NA</v>
      </c>
      <c r="AB129" s="9"/>
      <c r="AC129" s="10">
        <f t="shared" ref="AC129:AC141" si="31">IFERROR(-(Q129-Z129), "NA")</f>
        <v>0</v>
      </c>
      <c r="AD129" s="8" t="str">
        <f>IFERROR(AC129/AC445,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IFERROR(B130/B445, "NA")</f>
        <v>NA</v>
      </c>
      <c r="D130" s="9"/>
      <c r="E130" s="7">
        <v>0</v>
      </c>
      <c r="F130" s="8" t="str">
        <f>IFERROR(E130/E445, "NA")</f>
        <v>NA</v>
      </c>
      <c r="G130" s="9"/>
      <c r="H130" s="10">
        <f t="shared" si="28"/>
        <v>0</v>
      </c>
      <c r="I130" s="8" t="str">
        <f>IFERROR(H130/H445, "NA")</f>
        <v>NA</v>
      </c>
      <c r="J130" s="9"/>
      <c r="K130" s="7">
        <v>0</v>
      </c>
      <c r="L130" s="8" t="str">
        <f>IFERROR(K130/K445, "NA")</f>
        <v>NA</v>
      </c>
      <c r="M130" s="9"/>
      <c r="N130" s="10">
        <f t="shared" si="29"/>
        <v>0</v>
      </c>
      <c r="O130" s="8" t="str">
        <f>IFERROR(N130/N445, "NA")</f>
        <v>NA</v>
      </c>
      <c r="P130" s="9"/>
      <c r="Q130" s="7">
        <v>0</v>
      </c>
      <c r="R130" s="8" t="str">
        <f>IFERROR(Q130/Q445, "NA")</f>
        <v>NA</v>
      </c>
      <c r="S130" s="9"/>
      <c r="T130" s="7">
        <v>0</v>
      </c>
      <c r="U130" s="8" t="str">
        <f>IFERROR(T130/T445, "NA")</f>
        <v>NA</v>
      </c>
      <c r="V130" s="9"/>
      <c r="W130" s="10">
        <f t="shared" si="30"/>
        <v>0</v>
      </c>
      <c r="X130" s="8" t="str">
        <f>IFERROR(W130/W445, "NA")</f>
        <v>NA</v>
      </c>
      <c r="Y130" s="9"/>
      <c r="Z130" s="7">
        <v>0</v>
      </c>
      <c r="AA130" s="8" t="str">
        <f>IFERROR(Z130/Z445, "NA")</f>
        <v>NA</v>
      </c>
      <c r="AB130" s="9"/>
      <c r="AC130" s="10">
        <f t="shared" si="31"/>
        <v>0</v>
      </c>
      <c r="AD130" s="8" t="str">
        <f>IFERROR(AC130/AC445,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IFERROR(B131/B445, "NA")</f>
        <v>NA</v>
      </c>
      <c r="D131" s="9"/>
      <c r="E131" s="7">
        <v>0</v>
      </c>
      <c r="F131" s="8" t="str">
        <f>IFERROR(E131/E445, "NA")</f>
        <v>NA</v>
      </c>
      <c r="G131" s="9"/>
      <c r="H131" s="10">
        <f t="shared" si="28"/>
        <v>0</v>
      </c>
      <c r="I131" s="8" t="str">
        <f>IFERROR(H131/H445, "NA")</f>
        <v>NA</v>
      </c>
      <c r="J131" s="9"/>
      <c r="K131" s="7">
        <v>0</v>
      </c>
      <c r="L131" s="8" t="str">
        <f>IFERROR(K131/K445, "NA")</f>
        <v>NA</v>
      </c>
      <c r="M131" s="9"/>
      <c r="N131" s="10">
        <f t="shared" si="29"/>
        <v>0</v>
      </c>
      <c r="O131" s="8" t="str">
        <f>IFERROR(N131/N445, "NA")</f>
        <v>NA</v>
      </c>
      <c r="P131" s="9"/>
      <c r="Q131" s="7">
        <v>0</v>
      </c>
      <c r="R131" s="8" t="str">
        <f>IFERROR(Q131/Q445, "NA")</f>
        <v>NA</v>
      </c>
      <c r="S131" s="9"/>
      <c r="T131" s="7">
        <v>0</v>
      </c>
      <c r="U131" s="8" t="str">
        <f>IFERROR(T131/T445, "NA")</f>
        <v>NA</v>
      </c>
      <c r="V131" s="9"/>
      <c r="W131" s="10">
        <f t="shared" si="30"/>
        <v>0</v>
      </c>
      <c r="X131" s="8" t="str">
        <f>IFERROR(W131/W445, "NA")</f>
        <v>NA</v>
      </c>
      <c r="Y131" s="9"/>
      <c r="Z131" s="7">
        <v>0</v>
      </c>
      <c r="AA131" s="8" t="str">
        <f>IFERROR(Z131/Z445, "NA")</f>
        <v>NA</v>
      </c>
      <c r="AB131" s="9"/>
      <c r="AC131" s="10">
        <f t="shared" si="31"/>
        <v>0</v>
      </c>
      <c r="AD131" s="8" t="str">
        <f>IFERROR(AC131/AC445,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IFERROR(B132/B445, "NA")</f>
        <v>NA</v>
      </c>
      <c r="D132" s="9"/>
      <c r="E132" s="7">
        <v>0</v>
      </c>
      <c r="F132" s="8" t="str">
        <f>IFERROR(E132/E445, "NA")</f>
        <v>NA</v>
      </c>
      <c r="G132" s="9"/>
      <c r="H132" s="10">
        <f t="shared" si="28"/>
        <v>0</v>
      </c>
      <c r="I132" s="8" t="str">
        <f>IFERROR(H132/H445, "NA")</f>
        <v>NA</v>
      </c>
      <c r="J132" s="9"/>
      <c r="K132" s="7">
        <v>0</v>
      </c>
      <c r="L132" s="8" t="str">
        <f>IFERROR(K132/K445, "NA")</f>
        <v>NA</v>
      </c>
      <c r="M132" s="9"/>
      <c r="N132" s="10">
        <f t="shared" si="29"/>
        <v>0</v>
      </c>
      <c r="O132" s="8" t="str">
        <f>IFERROR(N132/N445, "NA")</f>
        <v>NA</v>
      </c>
      <c r="P132" s="9"/>
      <c r="Q132" s="7">
        <v>0</v>
      </c>
      <c r="R132" s="8" t="str">
        <f>IFERROR(Q132/Q445, "NA")</f>
        <v>NA</v>
      </c>
      <c r="S132" s="9"/>
      <c r="T132" s="7">
        <v>0</v>
      </c>
      <c r="U132" s="8" t="str">
        <f>IFERROR(T132/T445, "NA")</f>
        <v>NA</v>
      </c>
      <c r="V132" s="9"/>
      <c r="W132" s="10">
        <f t="shared" si="30"/>
        <v>0</v>
      </c>
      <c r="X132" s="8" t="str">
        <f>IFERROR(W132/W445, "NA")</f>
        <v>NA</v>
      </c>
      <c r="Y132" s="9"/>
      <c r="Z132" s="7">
        <v>0</v>
      </c>
      <c r="AA132" s="8" t="str">
        <f>IFERROR(Z132/Z445, "NA")</f>
        <v>NA</v>
      </c>
      <c r="AB132" s="9"/>
      <c r="AC132" s="10">
        <f t="shared" si="31"/>
        <v>0</v>
      </c>
      <c r="AD132" s="8" t="str">
        <f>IFERROR(AC132/AC445,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IFERROR(B133/B445, "NA")</f>
        <v>NA</v>
      </c>
      <c r="D133" s="9"/>
      <c r="E133" s="7">
        <v>0</v>
      </c>
      <c r="F133" s="8" t="str">
        <f>IFERROR(E133/E445, "NA")</f>
        <v>NA</v>
      </c>
      <c r="G133" s="9"/>
      <c r="H133" s="10">
        <f t="shared" si="28"/>
        <v>0</v>
      </c>
      <c r="I133" s="8" t="str">
        <f>IFERROR(H133/H445, "NA")</f>
        <v>NA</v>
      </c>
      <c r="J133" s="9"/>
      <c r="K133" s="7">
        <v>0</v>
      </c>
      <c r="L133" s="8" t="str">
        <f>IFERROR(K133/K445, "NA")</f>
        <v>NA</v>
      </c>
      <c r="M133" s="9"/>
      <c r="N133" s="10">
        <f t="shared" si="29"/>
        <v>0</v>
      </c>
      <c r="O133" s="8" t="str">
        <f>IFERROR(N133/N445, "NA")</f>
        <v>NA</v>
      </c>
      <c r="P133" s="9"/>
      <c r="Q133" s="7">
        <v>0</v>
      </c>
      <c r="R133" s="8" t="str">
        <f>IFERROR(Q133/Q445, "NA")</f>
        <v>NA</v>
      </c>
      <c r="S133" s="9"/>
      <c r="T133" s="7">
        <v>0</v>
      </c>
      <c r="U133" s="8" t="str">
        <f>IFERROR(T133/T445, "NA")</f>
        <v>NA</v>
      </c>
      <c r="V133" s="9"/>
      <c r="W133" s="10">
        <f t="shared" si="30"/>
        <v>0</v>
      </c>
      <c r="X133" s="8" t="str">
        <f>IFERROR(W133/W445, "NA")</f>
        <v>NA</v>
      </c>
      <c r="Y133" s="9"/>
      <c r="Z133" s="7">
        <v>0</v>
      </c>
      <c r="AA133" s="8" t="str">
        <f>IFERROR(Z133/Z445, "NA")</f>
        <v>NA</v>
      </c>
      <c r="AB133" s="9"/>
      <c r="AC133" s="10">
        <f t="shared" si="31"/>
        <v>0</v>
      </c>
      <c r="AD133" s="8" t="str">
        <f>IFERROR(AC133/AC445,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IFERROR(B134/B445, "NA")</f>
        <v>NA</v>
      </c>
      <c r="D134" s="9"/>
      <c r="E134" s="7">
        <v>0</v>
      </c>
      <c r="F134" s="8" t="str">
        <f>IFERROR(E134/E445, "NA")</f>
        <v>NA</v>
      </c>
      <c r="G134" s="9"/>
      <c r="H134" s="10">
        <f t="shared" si="28"/>
        <v>0</v>
      </c>
      <c r="I134" s="8" t="str">
        <f>IFERROR(H134/H445, "NA")</f>
        <v>NA</v>
      </c>
      <c r="J134" s="9"/>
      <c r="K134" s="7">
        <v>0</v>
      </c>
      <c r="L134" s="8" t="str">
        <f>IFERROR(K134/K445, "NA")</f>
        <v>NA</v>
      </c>
      <c r="M134" s="9"/>
      <c r="N134" s="10">
        <f t="shared" si="29"/>
        <v>0</v>
      </c>
      <c r="O134" s="8" t="str">
        <f>IFERROR(N134/N445, "NA")</f>
        <v>NA</v>
      </c>
      <c r="P134" s="9"/>
      <c r="Q134" s="7">
        <v>0</v>
      </c>
      <c r="R134" s="8" t="str">
        <f>IFERROR(Q134/Q445, "NA")</f>
        <v>NA</v>
      </c>
      <c r="S134" s="9"/>
      <c r="T134" s="7">
        <v>0</v>
      </c>
      <c r="U134" s="8" t="str">
        <f>IFERROR(T134/T445, "NA")</f>
        <v>NA</v>
      </c>
      <c r="V134" s="9"/>
      <c r="W134" s="10">
        <f t="shared" si="30"/>
        <v>0</v>
      </c>
      <c r="X134" s="8" t="str">
        <f>IFERROR(W134/W445, "NA")</f>
        <v>NA</v>
      </c>
      <c r="Y134" s="9"/>
      <c r="Z134" s="7">
        <v>0</v>
      </c>
      <c r="AA134" s="8" t="str">
        <f>IFERROR(Z134/Z445, "NA")</f>
        <v>NA</v>
      </c>
      <c r="AB134" s="9"/>
      <c r="AC134" s="10">
        <f t="shared" si="31"/>
        <v>0</v>
      </c>
      <c r="AD134" s="8" t="str">
        <f>IFERROR(AC134/AC445,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IFERROR(B135/B445, "NA")</f>
        <v>NA</v>
      </c>
      <c r="D135" s="9"/>
      <c r="E135" s="7">
        <v>0</v>
      </c>
      <c r="F135" s="8" t="str">
        <f>IFERROR(E135/E445, "NA")</f>
        <v>NA</v>
      </c>
      <c r="G135" s="9"/>
      <c r="H135" s="10">
        <f t="shared" si="28"/>
        <v>0</v>
      </c>
      <c r="I135" s="8" t="str">
        <f>IFERROR(H135/H445, "NA")</f>
        <v>NA</v>
      </c>
      <c r="J135" s="9"/>
      <c r="K135" s="7">
        <v>0</v>
      </c>
      <c r="L135" s="8" t="str">
        <f>IFERROR(K135/K445, "NA")</f>
        <v>NA</v>
      </c>
      <c r="M135" s="9"/>
      <c r="N135" s="10">
        <f t="shared" si="29"/>
        <v>0</v>
      </c>
      <c r="O135" s="8" t="str">
        <f>IFERROR(N135/N445, "NA")</f>
        <v>NA</v>
      </c>
      <c r="P135" s="9"/>
      <c r="Q135" s="7">
        <v>0</v>
      </c>
      <c r="R135" s="8" t="str">
        <f>IFERROR(Q135/Q445, "NA")</f>
        <v>NA</v>
      </c>
      <c r="S135" s="9"/>
      <c r="T135" s="7">
        <v>0</v>
      </c>
      <c r="U135" s="8" t="str">
        <f>IFERROR(T135/T445, "NA")</f>
        <v>NA</v>
      </c>
      <c r="V135" s="9"/>
      <c r="W135" s="10">
        <f t="shared" si="30"/>
        <v>0</v>
      </c>
      <c r="X135" s="8" t="str">
        <f>IFERROR(W135/W445, "NA")</f>
        <v>NA</v>
      </c>
      <c r="Y135" s="9"/>
      <c r="Z135" s="7">
        <v>0</v>
      </c>
      <c r="AA135" s="8" t="str">
        <f>IFERROR(Z135/Z445, "NA")</f>
        <v>NA</v>
      </c>
      <c r="AB135" s="9"/>
      <c r="AC135" s="10">
        <f t="shared" si="31"/>
        <v>0</v>
      </c>
      <c r="AD135" s="8" t="str">
        <f>IFERROR(AC135/AC445,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IFERROR(B136/B445, "NA")</f>
        <v>NA</v>
      </c>
      <c r="D136" s="9"/>
      <c r="E136" s="7">
        <v>0</v>
      </c>
      <c r="F136" s="8" t="str">
        <f>IFERROR(E136/E445, "NA")</f>
        <v>NA</v>
      </c>
      <c r="G136" s="9"/>
      <c r="H136" s="10">
        <f t="shared" si="28"/>
        <v>0</v>
      </c>
      <c r="I136" s="8" t="str">
        <f>IFERROR(H136/H445, "NA")</f>
        <v>NA</v>
      </c>
      <c r="J136" s="9"/>
      <c r="K136" s="7">
        <v>0</v>
      </c>
      <c r="L136" s="8" t="str">
        <f>IFERROR(K136/K445, "NA")</f>
        <v>NA</v>
      </c>
      <c r="M136" s="9"/>
      <c r="N136" s="10">
        <f t="shared" si="29"/>
        <v>0</v>
      </c>
      <c r="O136" s="8" t="str">
        <f>IFERROR(N136/N445, "NA")</f>
        <v>NA</v>
      </c>
      <c r="P136" s="9"/>
      <c r="Q136" s="7">
        <v>0</v>
      </c>
      <c r="R136" s="8" t="str">
        <f>IFERROR(Q136/Q445, "NA")</f>
        <v>NA</v>
      </c>
      <c r="S136" s="9"/>
      <c r="T136" s="7">
        <v>0</v>
      </c>
      <c r="U136" s="8" t="str">
        <f>IFERROR(T136/T445, "NA")</f>
        <v>NA</v>
      </c>
      <c r="V136" s="9"/>
      <c r="W136" s="10">
        <f t="shared" si="30"/>
        <v>0</v>
      </c>
      <c r="X136" s="8" t="str">
        <f>IFERROR(W136/W445, "NA")</f>
        <v>NA</v>
      </c>
      <c r="Y136" s="9"/>
      <c r="Z136" s="7">
        <v>0</v>
      </c>
      <c r="AA136" s="8" t="str">
        <f>IFERROR(Z136/Z445, "NA")</f>
        <v>NA</v>
      </c>
      <c r="AB136" s="9"/>
      <c r="AC136" s="10">
        <f t="shared" si="31"/>
        <v>0</v>
      </c>
      <c r="AD136" s="8" t="str">
        <f>IFERROR(AC136/AC445,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IFERROR(B137/B445, "NA")</f>
        <v>NA</v>
      </c>
      <c r="D137" s="9"/>
      <c r="E137" s="7">
        <v>0</v>
      </c>
      <c r="F137" s="8" t="str">
        <f>IFERROR(E137/E445, "NA")</f>
        <v>NA</v>
      </c>
      <c r="G137" s="9"/>
      <c r="H137" s="10">
        <f t="shared" si="28"/>
        <v>0</v>
      </c>
      <c r="I137" s="8" t="str">
        <f>IFERROR(H137/H445, "NA")</f>
        <v>NA</v>
      </c>
      <c r="J137" s="9"/>
      <c r="K137" s="7">
        <v>0</v>
      </c>
      <c r="L137" s="8" t="str">
        <f>IFERROR(K137/K445, "NA")</f>
        <v>NA</v>
      </c>
      <c r="M137" s="9"/>
      <c r="N137" s="10">
        <f t="shared" si="29"/>
        <v>0</v>
      </c>
      <c r="O137" s="8" t="str">
        <f>IFERROR(N137/N445, "NA")</f>
        <v>NA</v>
      </c>
      <c r="P137" s="9"/>
      <c r="Q137" s="7">
        <v>0</v>
      </c>
      <c r="R137" s="8" t="str">
        <f>IFERROR(Q137/Q445, "NA")</f>
        <v>NA</v>
      </c>
      <c r="S137" s="9"/>
      <c r="T137" s="7">
        <v>0</v>
      </c>
      <c r="U137" s="8" t="str">
        <f>IFERROR(T137/T445, "NA")</f>
        <v>NA</v>
      </c>
      <c r="V137" s="9"/>
      <c r="W137" s="10">
        <f t="shared" si="30"/>
        <v>0</v>
      </c>
      <c r="X137" s="8" t="str">
        <f>IFERROR(W137/W445, "NA")</f>
        <v>NA</v>
      </c>
      <c r="Y137" s="9"/>
      <c r="Z137" s="7">
        <v>0</v>
      </c>
      <c r="AA137" s="8" t="str">
        <f>IFERROR(Z137/Z445, "NA")</f>
        <v>NA</v>
      </c>
      <c r="AB137" s="9"/>
      <c r="AC137" s="10">
        <f t="shared" si="31"/>
        <v>0</v>
      </c>
      <c r="AD137" s="8" t="str">
        <f>IFERROR(AC137/AC445,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IFERROR(B138/B445, "NA")</f>
        <v>NA</v>
      </c>
      <c r="D138" s="9"/>
      <c r="E138" s="7">
        <v>0</v>
      </c>
      <c r="F138" s="8" t="str">
        <f>IFERROR(E138/E445, "NA")</f>
        <v>NA</v>
      </c>
      <c r="G138" s="9"/>
      <c r="H138" s="10">
        <f t="shared" si="28"/>
        <v>0</v>
      </c>
      <c r="I138" s="8" t="str">
        <f>IFERROR(H138/H445, "NA")</f>
        <v>NA</v>
      </c>
      <c r="J138" s="9"/>
      <c r="K138" s="7">
        <v>0</v>
      </c>
      <c r="L138" s="8" t="str">
        <f>IFERROR(K138/K445, "NA")</f>
        <v>NA</v>
      </c>
      <c r="M138" s="9"/>
      <c r="N138" s="10">
        <f t="shared" si="29"/>
        <v>0</v>
      </c>
      <c r="O138" s="8" t="str">
        <f>IFERROR(N138/N445, "NA")</f>
        <v>NA</v>
      </c>
      <c r="P138" s="9"/>
      <c r="Q138" s="7">
        <v>0</v>
      </c>
      <c r="R138" s="8" t="str">
        <f>IFERROR(Q138/Q445, "NA")</f>
        <v>NA</v>
      </c>
      <c r="S138" s="9"/>
      <c r="T138" s="7">
        <v>0</v>
      </c>
      <c r="U138" s="8" t="str">
        <f>IFERROR(T138/T445, "NA")</f>
        <v>NA</v>
      </c>
      <c r="V138" s="9"/>
      <c r="W138" s="10">
        <f t="shared" si="30"/>
        <v>0</v>
      </c>
      <c r="X138" s="8" t="str">
        <f>IFERROR(W138/W445, "NA")</f>
        <v>NA</v>
      </c>
      <c r="Y138" s="9"/>
      <c r="Z138" s="7">
        <v>0</v>
      </c>
      <c r="AA138" s="8" t="str">
        <f>IFERROR(Z138/Z445, "NA")</f>
        <v>NA</v>
      </c>
      <c r="AB138" s="9"/>
      <c r="AC138" s="10">
        <f t="shared" si="31"/>
        <v>0</v>
      </c>
      <c r="AD138" s="8" t="str">
        <f>IFERROR(AC138/AC445,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IFERROR(B139/B445, "NA")</f>
        <v>NA</v>
      </c>
      <c r="D139" s="9"/>
      <c r="E139" s="7">
        <v>0</v>
      </c>
      <c r="F139" s="8" t="str">
        <f>IFERROR(E139/E445, "NA")</f>
        <v>NA</v>
      </c>
      <c r="G139" s="9"/>
      <c r="H139" s="10">
        <f t="shared" si="28"/>
        <v>0</v>
      </c>
      <c r="I139" s="8" t="str">
        <f>IFERROR(H139/H445, "NA")</f>
        <v>NA</v>
      </c>
      <c r="J139" s="9"/>
      <c r="K139" s="7">
        <v>0</v>
      </c>
      <c r="L139" s="8" t="str">
        <f>IFERROR(K139/K445, "NA")</f>
        <v>NA</v>
      </c>
      <c r="M139" s="9"/>
      <c r="N139" s="10">
        <f t="shared" si="29"/>
        <v>0</v>
      </c>
      <c r="O139" s="8" t="str">
        <f>IFERROR(N139/N445, "NA")</f>
        <v>NA</v>
      </c>
      <c r="P139" s="9"/>
      <c r="Q139" s="7">
        <v>0</v>
      </c>
      <c r="R139" s="8" t="str">
        <f>IFERROR(Q139/Q445, "NA")</f>
        <v>NA</v>
      </c>
      <c r="S139" s="9"/>
      <c r="T139" s="7">
        <v>0</v>
      </c>
      <c r="U139" s="8" t="str">
        <f>IFERROR(T139/T445, "NA")</f>
        <v>NA</v>
      </c>
      <c r="V139" s="9"/>
      <c r="W139" s="10">
        <f t="shared" si="30"/>
        <v>0</v>
      </c>
      <c r="X139" s="8" t="str">
        <f>IFERROR(W139/W445, "NA")</f>
        <v>NA</v>
      </c>
      <c r="Y139" s="9"/>
      <c r="Z139" s="7">
        <v>0</v>
      </c>
      <c r="AA139" s="8" t="str">
        <f>IFERROR(Z139/Z445, "NA")</f>
        <v>NA</v>
      </c>
      <c r="AB139" s="9"/>
      <c r="AC139" s="10">
        <f t="shared" si="31"/>
        <v>0</v>
      </c>
      <c r="AD139" s="8" t="str">
        <f>IFERROR(AC139/AC445,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IFERROR(B140/B445, "NA")</f>
        <v>NA</v>
      </c>
      <c r="D140" s="9"/>
      <c r="E140" s="7">
        <v>0</v>
      </c>
      <c r="F140" s="8" t="str">
        <f>IFERROR(E140/E445, "NA")</f>
        <v>NA</v>
      </c>
      <c r="G140" s="9"/>
      <c r="H140" s="10">
        <f t="shared" si="28"/>
        <v>0</v>
      </c>
      <c r="I140" s="8" t="str">
        <f>IFERROR(H140/H445, "NA")</f>
        <v>NA</v>
      </c>
      <c r="J140" s="9"/>
      <c r="K140" s="7">
        <v>0</v>
      </c>
      <c r="L140" s="8" t="str">
        <f>IFERROR(K140/K445, "NA")</f>
        <v>NA</v>
      </c>
      <c r="M140" s="9"/>
      <c r="N140" s="10">
        <f t="shared" si="29"/>
        <v>0</v>
      </c>
      <c r="O140" s="8" t="str">
        <f>IFERROR(N140/N445, "NA")</f>
        <v>NA</v>
      </c>
      <c r="P140" s="9"/>
      <c r="Q140" s="7">
        <v>0</v>
      </c>
      <c r="R140" s="8" t="str">
        <f>IFERROR(Q140/Q445, "NA")</f>
        <v>NA</v>
      </c>
      <c r="S140" s="9"/>
      <c r="T140" s="7">
        <v>0</v>
      </c>
      <c r="U140" s="8" t="str">
        <f>IFERROR(T140/T445, "NA")</f>
        <v>NA</v>
      </c>
      <c r="V140" s="9"/>
      <c r="W140" s="10">
        <f t="shared" si="30"/>
        <v>0</v>
      </c>
      <c r="X140" s="8" t="str">
        <f>IFERROR(W140/W445, "NA")</f>
        <v>NA</v>
      </c>
      <c r="Y140" s="9"/>
      <c r="Z140" s="7">
        <v>0</v>
      </c>
      <c r="AA140" s="8" t="str">
        <f>IFERROR(Z140/Z445, "NA")</f>
        <v>NA</v>
      </c>
      <c r="AB140" s="9"/>
      <c r="AC140" s="10">
        <f t="shared" si="31"/>
        <v>0</v>
      </c>
      <c r="AD140" s="8" t="str">
        <f>IFERROR(AC140/AC445,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IFERROR(B141/B445, "NA")</f>
        <v>NA</v>
      </c>
      <c r="D141" s="2"/>
      <c r="E141" s="14">
        <f>IFERROR(E129+E130+E131+E132+E133+E134+E135+E136+E137+E138+E139+E140, "NA")</f>
        <v>0</v>
      </c>
      <c r="F141" s="15" t="str">
        <f>IFERROR(E141/E445, "NA")</f>
        <v>NA</v>
      </c>
      <c r="G141" s="2"/>
      <c r="H141" s="14">
        <f t="shared" si="28"/>
        <v>0</v>
      </c>
      <c r="I141" s="15" t="str">
        <f>IFERROR(H141/H445, "NA")</f>
        <v>NA</v>
      </c>
      <c r="J141" s="2"/>
      <c r="K141" s="14">
        <f>IFERROR(K129+K130+K131+K132+K133+K134+K135+K136+K137+K138+K139+K140, "NA")</f>
        <v>0</v>
      </c>
      <c r="L141" s="15" t="str">
        <f>IFERROR(K141/K445, "NA")</f>
        <v>NA</v>
      </c>
      <c r="M141" s="2"/>
      <c r="N141" s="14">
        <f t="shared" si="29"/>
        <v>0</v>
      </c>
      <c r="O141" s="15" t="str">
        <f>IFERROR(N141/N445, "NA")</f>
        <v>NA</v>
      </c>
      <c r="P141" s="2"/>
      <c r="Q141" s="14">
        <f>IFERROR(Q129+Q130+Q131+Q132+Q133+Q134+Q135+Q136+Q137+Q138+Q139+Q140, "NA")</f>
        <v>0</v>
      </c>
      <c r="R141" s="15" t="str">
        <f>IFERROR(Q141/Q445, "NA")</f>
        <v>NA</v>
      </c>
      <c r="S141" s="2"/>
      <c r="T141" s="14">
        <f>IFERROR(T129+T130+T131+T132+T133+T134+T135+T136+T137+T138+T139+T140, "NA")</f>
        <v>0</v>
      </c>
      <c r="U141" s="15" t="str">
        <f>IFERROR(T141/T445, "NA")</f>
        <v>NA</v>
      </c>
      <c r="V141" s="2"/>
      <c r="W141" s="14">
        <f t="shared" si="30"/>
        <v>0</v>
      </c>
      <c r="X141" s="15" t="str">
        <f>IFERROR(W141/W445, "NA")</f>
        <v>NA</v>
      </c>
      <c r="Y141" s="2"/>
      <c r="Z141" s="14">
        <f>IFERROR(Z129+Z130+Z131+Z132+Z133+Z134+Z135+Z136+Z137+Z138+Z139+Z140, "NA")</f>
        <v>0</v>
      </c>
      <c r="AA141" s="15" t="str">
        <f>IFERROR(Z141/Z445, "NA")</f>
        <v>NA</v>
      </c>
      <c r="AB141" s="2"/>
      <c r="AC141" s="14">
        <f t="shared" si="31"/>
        <v>0</v>
      </c>
      <c r="AD141" s="15" t="str">
        <f>IFERROR(AC141/AC445,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IFERROR(B143/B445, "NA")</f>
        <v>NA</v>
      </c>
      <c r="D143" s="9"/>
      <c r="E143" s="7">
        <v>0</v>
      </c>
      <c r="F143" s="8" t="str">
        <f>IFERROR(E143/E445, "NA")</f>
        <v>NA</v>
      </c>
      <c r="G143" s="9"/>
      <c r="H143" s="10">
        <f t="shared" ref="H143:H149" si="32">IFERROR(-(B143-E143), "NA")</f>
        <v>0</v>
      </c>
      <c r="I143" s="8" t="str">
        <f>IFERROR(H143/H445, "NA")</f>
        <v>NA</v>
      </c>
      <c r="J143" s="9"/>
      <c r="K143" s="7">
        <v>0</v>
      </c>
      <c r="L143" s="8" t="str">
        <f>IFERROR(K143/K445, "NA")</f>
        <v>NA</v>
      </c>
      <c r="M143" s="9"/>
      <c r="N143" s="10">
        <f t="shared" ref="N143:N149" si="33">IFERROR(-(B143-K143), "NA")</f>
        <v>0</v>
      </c>
      <c r="O143" s="8" t="str">
        <f>IFERROR(N143/N445, "NA")</f>
        <v>NA</v>
      </c>
      <c r="P143" s="9"/>
      <c r="Q143" s="7">
        <v>0</v>
      </c>
      <c r="R143" s="8" t="str">
        <f>IFERROR(Q143/Q445, "NA")</f>
        <v>NA</v>
      </c>
      <c r="S143" s="9"/>
      <c r="T143" s="7">
        <v>0</v>
      </c>
      <c r="U143" s="8" t="str">
        <f>IFERROR(T143/T445, "NA")</f>
        <v>NA</v>
      </c>
      <c r="V143" s="9"/>
      <c r="W143" s="10">
        <f t="shared" ref="W143:W149" si="34">IFERROR(-(Q143-T143), "NA")</f>
        <v>0</v>
      </c>
      <c r="X143" s="8" t="str">
        <f>IFERROR(W143/W445, "NA")</f>
        <v>NA</v>
      </c>
      <c r="Y143" s="9"/>
      <c r="Z143" s="7">
        <v>0</v>
      </c>
      <c r="AA143" s="8" t="str">
        <f>IFERROR(Z143/Z445, "NA")</f>
        <v>NA</v>
      </c>
      <c r="AB143" s="9"/>
      <c r="AC143" s="10">
        <f t="shared" ref="AC143:AC149" si="35">IFERROR(-(Q143-Z143), "NA")</f>
        <v>0</v>
      </c>
      <c r="AD143" s="8" t="str">
        <f>IFERROR(AC143/AC445,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IFERROR(B144/B445, "NA")</f>
        <v>NA</v>
      </c>
      <c r="D144" s="9"/>
      <c r="E144" s="7">
        <v>0</v>
      </c>
      <c r="F144" s="8" t="str">
        <f>IFERROR(E144/E445, "NA")</f>
        <v>NA</v>
      </c>
      <c r="G144" s="9"/>
      <c r="H144" s="10">
        <f t="shared" si="32"/>
        <v>0</v>
      </c>
      <c r="I144" s="8" t="str">
        <f>IFERROR(H144/H445, "NA")</f>
        <v>NA</v>
      </c>
      <c r="J144" s="9"/>
      <c r="K144" s="7">
        <v>0</v>
      </c>
      <c r="L144" s="8" t="str">
        <f>IFERROR(K144/K445, "NA")</f>
        <v>NA</v>
      </c>
      <c r="M144" s="9"/>
      <c r="N144" s="10">
        <f t="shared" si="33"/>
        <v>0</v>
      </c>
      <c r="O144" s="8" t="str">
        <f>IFERROR(N144/N445, "NA")</f>
        <v>NA</v>
      </c>
      <c r="P144" s="9"/>
      <c r="Q144" s="7">
        <v>0</v>
      </c>
      <c r="R144" s="8" t="str">
        <f>IFERROR(Q144/Q445, "NA")</f>
        <v>NA</v>
      </c>
      <c r="S144" s="9"/>
      <c r="T144" s="7">
        <v>0</v>
      </c>
      <c r="U144" s="8" t="str">
        <f>IFERROR(T144/T445, "NA")</f>
        <v>NA</v>
      </c>
      <c r="V144" s="9"/>
      <c r="W144" s="10">
        <f t="shared" si="34"/>
        <v>0</v>
      </c>
      <c r="X144" s="8" t="str">
        <f>IFERROR(W144/W445, "NA")</f>
        <v>NA</v>
      </c>
      <c r="Y144" s="9"/>
      <c r="Z144" s="7">
        <v>0</v>
      </c>
      <c r="AA144" s="8" t="str">
        <f>IFERROR(Z144/Z445, "NA")</f>
        <v>NA</v>
      </c>
      <c r="AB144" s="9"/>
      <c r="AC144" s="10">
        <f t="shared" si="35"/>
        <v>0</v>
      </c>
      <c r="AD144" s="8" t="str">
        <f>IFERROR(AC144/AC445,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IFERROR(B145/B445, "NA")</f>
        <v>NA</v>
      </c>
      <c r="D145" s="9"/>
      <c r="E145" s="7">
        <v>0</v>
      </c>
      <c r="F145" s="8" t="str">
        <f>IFERROR(E145/E445, "NA")</f>
        <v>NA</v>
      </c>
      <c r="G145" s="9"/>
      <c r="H145" s="10">
        <f t="shared" si="32"/>
        <v>0</v>
      </c>
      <c r="I145" s="8" t="str">
        <f>IFERROR(H145/H445, "NA")</f>
        <v>NA</v>
      </c>
      <c r="J145" s="9"/>
      <c r="K145" s="7">
        <v>0</v>
      </c>
      <c r="L145" s="8" t="str">
        <f>IFERROR(K145/K445, "NA")</f>
        <v>NA</v>
      </c>
      <c r="M145" s="9"/>
      <c r="N145" s="10">
        <f t="shared" si="33"/>
        <v>0</v>
      </c>
      <c r="O145" s="8" t="str">
        <f>IFERROR(N145/N445, "NA")</f>
        <v>NA</v>
      </c>
      <c r="P145" s="9"/>
      <c r="Q145" s="7">
        <v>0</v>
      </c>
      <c r="R145" s="8" t="str">
        <f>IFERROR(Q145/Q445, "NA")</f>
        <v>NA</v>
      </c>
      <c r="S145" s="9"/>
      <c r="T145" s="7">
        <v>0</v>
      </c>
      <c r="U145" s="8" t="str">
        <f>IFERROR(T145/T445, "NA")</f>
        <v>NA</v>
      </c>
      <c r="V145" s="9"/>
      <c r="W145" s="10">
        <f t="shared" si="34"/>
        <v>0</v>
      </c>
      <c r="X145" s="8" t="str">
        <f>IFERROR(W145/W445, "NA")</f>
        <v>NA</v>
      </c>
      <c r="Y145" s="9"/>
      <c r="Z145" s="7">
        <v>0</v>
      </c>
      <c r="AA145" s="8" t="str">
        <f>IFERROR(Z145/Z445, "NA")</f>
        <v>NA</v>
      </c>
      <c r="AB145" s="9"/>
      <c r="AC145" s="10">
        <f t="shared" si="35"/>
        <v>0</v>
      </c>
      <c r="AD145" s="8" t="str">
        <f>IFERROR(AC145/AC445,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IFERROR(B146/B445, "NA")</f>
        <v>NA</v>
      </c>
      <c r="D146" s="9"/>
      <c r="E146" s="7">
        <v>0</v>
      </c>
      <c r="F146" s="8" t="str">
        <f>IFERROR(E146/E445, "NA")</f>
        <v>NA</v>
      </c>
      <c r="G146" s="9"/>
      <c r="H146" s="10">
        <f t="shared" si="32"/>
        <v>0</v>
      </c>
      <c r="I146" s="8" t="str">
        <f>IFERROR(H146/H445, "NA")</f>
        <v>NA</v>
      </c>
      <c r="J146" s="9"/>
      <c r="K146" s="7">
        <v>0</v>
      </c>
      <c r="L146" s="8" t="str">
        <f>IFERROR(K146/K445, "NA")</f>
        <v>NA</v>
      </c>
      <c r="M146" s="9"/>
      <c r="N146" s="10">
        <f t="shared" si="33"/>
        <v>0</v>
      </c>
      <c r="O146" s="8" t="str">
        <f>IFERROR(N146/N445, "NA")</f>
        <v>NA</v>
      </c>
      <c r="P146" s="9"/>
      <c r="Q146" s="7">
        <v>0</v>
      </c>
      <c r="R146" s="8" t="str">
        <f>IFERROR(Q146/Q445, "NA")</f>
        <v>NA</v>
      </c>
      <c r="S146" s="9"/>
      <c r="T146" s="7">
        <v>0</v>
      </c>
      <c r="U146" s="8" t="str">
        <f>IFERROR(T146/T445, "NA")</f>
        <v>NA</v>
      </c>
      <c r="V146" s="9"/>
      <c r="W146" s="10">
        <f t="shared" si="34"/>
        <v>0</v>
      </c>
      <c r="X146" s="8" t="str">
        <f>IFERROR(W146/W445, "NA")</f>
        <v>NA</v>
      </c>
      <c r="Y146" s="9"/>
      <c r="Z146" s="7">
        <v>0</v>
      </c>
      <c r="AA146" s="8" t="str">
        <f>IFERROR(Z146/Z445, "NA")</f>
        <v>NA</v>
      </c>
      <c r="AB146" s="9"/>
      <c r="AC146" s="10">
        <f t="shared" si="35"/>
        <v>0</v>
      </c>
      <c r="AD146" s="8" t="str">
        <f>IFERROR(AC146/AC445,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IFERROR(B147/B445, "NA")</f>
        <v>NA</v>
      </c>
      <c r="D147" s="9"/>
      <c r="E147" s="7">
        <v>0</v>
      </c>
      <c r="F147" s="8" t="str">
        <f>IFERROR(E147/E445, "NA")</f>
        <v>NA</v>
      </c>
      <c r="G147" s="9"/>
      <c r="H147" s="10">
        <f t="shared" si="32"/>
        <v>0</v>
      </c>
      <c r="I147" s="8" t="str">
        <f>IFERROR(H147/H445, "NA")</f>
        <v>NA</v>
      </c>
      <c r="J147" s="9"/>
      <c r="K147" s="7">
        <v>0</v>
      </c>
      <c r="L147" s="8" t="str">
        <f>IFERROR(K147/K445, "NA")</f>
        <v>NA</v>
      </c>
      <c r="M147" s="9"/>
      <c r="N147" s="10">
        <f t="shared" si="33"/>
        <v>0</v>
      </c>
      <c r="O147" s="8" t="str">
        <f>IFERROR(N147/N445, "NA")</f>
        <v>NA</v>
      </c>
      <c r="P147" s="9"/>
      <c r="Q147" s="7">
        <v>0</v>
      </c>
      <c r="R147" s="8" t="str">
        <f>IFERROR(Q147/Q445, "NA")</f>
        <v>NA</v>
      </c>
      <c r="S147" s="9"/>
      <c r="T147" s="7">
        <v>0</v>
      </c>
      <c r="U147" s="8" t="str">
        <f>IFERROR(T147/T445, "NA")</f>
        <v>NA</v>
      </c>
      <c r="V147" s="9"/>
      <c r="W147" s="10">
        <f t="shared" si="34"/>
        <v>0</v>
      </c>
      <c r="X147" s="8" t="str">
        <f>IFERROR(W147/W445, "NA")</f>
        <v>NA</v>
      </c>
      <c r="Y147" s="9"/>
      <c r="Z147" s="7">
        <v>0</v>
      </c>
      <c r="AA147" s="8" t="str">
        <f>IFERROR(Z147/Z445, "NA")</f>
        <v>NA</v>
      </c>
      <c r="AB147" s="9"/>
      <c r="AC147" s="10">
        <f t="shared" si="35"/>
        <v>0</v>
      </c>
      <c r="AD147" s="8" t="str">
        <f>IFERROR(AC147/AC445,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IFERROR(B148/B445, "NA")</f>
        <v>NA</v>
      </c>
      <c r="D148" s="2"/>
      <c r="E148" s="14">
        <f>IFERROR(E143+E144+E145+E146+E147, "NA")</f>
        <v>0</v>
      </c>
      <c r="F148" s="15" t="str">
        <f>IFERROR(E148/E445, "NA")</f>
        <v>NA</v>
      </c>
      <c r="G148" s="2"/>
      <c r="H148" s="14">
        <f t="shared" si="32"/>
        <v>0</v>
      </c>
      <c r="I148" s="15" t="str">
        <f>IFERROR(H148/H445, "NA")</f>
        <v>NA</v>
      </c>
      <c r="J148" s="2"/>
      <c r="K148" s="14">
        <f>IFERROR(K143+K144+K145+K146+K147, "NA")</f>
        <v>0</v>
      </c>
      <c r="L148" s="15" t="str">
        <f>IFERROR(K148/K445, "NA")</f>
        <v>NA</v>
      </c>
      <c r="M148" s="2"/>
      <c r="N148" s="14">
        <f t="shared" si="33"/>
        <v>0</v>
      </c>
      <c r="O148" s="15" t="str">
        <f>IFERROR(N148/N445, "NA")</f>
        <v>NA</v>
      </c>
      <c r="P148" s="2"/>
      <c r="Q148" s="14">
        <f>IFERROR(Q143+Q144+Q145+Q146+Q147, "NA")</f>
        <v>0</v>
      </c>
      <c r="R148" s="15" t="str">
        <f>IFERROR(Q148/Q445, "NA")</f>
        <v>NA</v>
      </c>
      <c r="S148" s="2"/>
      <c r="T148" s="14">
        <f>IFERROR(T143+T144+T145+T146+T147, "NA")</f>
        <v>0</v>
      </c>
      <c r="U148" s="15" t="str">
        <f>IFERROR(T148/T445, "NA")</f>
        <v>NA</v>
      </c>
      <c r="V148" s="2"/>
      <c r="W148" s="14">
        <f t="shared" si="34"/>
        <v>0</v>
      </c>
      <c r="X148" s="15" t="str">
        <f>IFERROR(W148/W445, "NA")</f>
        <v>NA</v>
      </c>
      <c r="Y148" s="2"/>
      <c r="Z148" s="14">
        <f>IFERROR(Z143+Z144+Z145+Z146+Z147, "NA")</f>
        <v>0</v>
      </c>
      <c r="AA148" s="15" t="str">
        <f>IFERROR(Z148/Z445, "NA")</f>
        <v>NA</v>
      </c>
      <c r="AB148" s="2"/>
      <c r="AC148" s="14">
        <f t="shared" si="35"/>
        <v>0</v>
      </c>
      <c r="AD148" s="15" t="str">
        <f>IFERROR(AC148/AC445,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IFERROR(B149/B445,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IFERROR(E149/E445, "NA")</f>
        <v>NA</v>
      </c>
      <c r="G149" s="2"/>
      <c r="H149" s="14">
        <f t="shared" si="32"/>
        <v>0</v>
      </c>
      <c r="I149" s="15" t="str">
        <f>IFERROR(H149/H445,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IFERROR(K149/K445, "NA")</f>
        <v>NA</v>
      </c>
      <c r="M149" s="2"/>
      <c r="N149" s="14">
        <f t="shared" si="33"/>
        <v>0</v>
      </c>
      <c r="O149" s="15" t="str">
        <f>IFERROR(N149/N445,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IFERROR(Q149/Q445,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IFERROR(T149/T445, "NA")</f>
        <v>NA</v>
      </c>
      <c r="V149" s="2"/>
      <c r="W149" s="14">
        <f t="shared" si="34"/>
        <v>0</v>
      </c>
      <c r="X149" s="15" t="str">
        <f>IFERROR(W149/W445,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IFERROR(Z149/Z445, "NA")</f>
        <v>NA</v>
      </c>
      <c r="AB149" s="2"/>
      <c r="AC149" s="14">
        <f t="shared" si="35"/>
        <v>0</v>
      </c>
      <c r="AD149" s="15" t="str">
        <f>IFERROR(AC149/AC445,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IFERROR(B151/B445, "NA")</f>
        <v>NA</v>
      </c>
      <c r="D151" s="9"/>
      <c r="E151" s="7">
        <v>0</v>
      </c>
      <c r="F151" s="8" t="str">
        <f>IFERROR(E151/E445, "NA")</f>
        <v>NA</v>
      </c>
      <c r="G151" s="9"/>
      <c r="H151" s="10">
        <f>IFERROR(-(B151-E151), "NA")</f>
        <v>0</v>
      </c>
      <c r="I151" s="8" t="str">
        <f>IFERROR(H151/H445, "NA")</f>
        <v>NA</v>
      </c>
      <c r="J151" s="9"/>
      <c r="K151" s="7">
        <v>0</v>
      </c>
      <c r="L151" s="8" t="str">
        <f>IFERROR(K151/K445, "NA")</f>
        <v>NA</v>
      </c>
      <c r="M151" s="9"/>
      <c r="N151" s="10">
        <f>IFERROR(-(B151-K151), "NA")</f>
        <v>0</v>
      </c>
      <c r="O151" s="8" t="str">
        <f>IFERROR(N151/N445, "NA")</f>
        <v>NA</v>
      </c>
      <c r="P151" s="9"/>
      <c r="Q151" s="7">
        <v>0</v>
      </c>
      <c r="R151" s="8" t="str">
        <f>IFERROR(Q151/Q445, "NA")</f>
        <v>NA</v>
      </c>
      <c r="S151" s="9"/>
      <c r="T151" s="7">
        <v>0</v>
      </c>
      <c r="U151" s="8" t="str">
        <f>IFERROR(T151/T445, "NA")</f>
        <v>NA</v>
      </c>
      <c r="V151" s="9"/>
      <c r="W151" s="10">
        <f>IFERROR(-(Q151-T151), "NA")</f>
        <v>0</v>
      </c>
      <c r="X151" s="8" t="str">
        <f>IFERROR(W151/W445, "NA")</f>
        <v>NA</v>
      </c>
      <c r="Y151" s="9"/>
      <c r="Z151" s="7">
        <v>0</v>
      </c>
      <c r="AA151" s="8" t="str">
        <f>IFERROR(Z151/Z445, "NA")</f>
        <v>NA</v>
      </c>
      <c r="AB151" s="9"/>
      <c r="AC151" s="10">
        <f>IFERROR(-(Q151-Z151), "NA")</f>
        <v>0</v>
      </c>
      <c r="AD151" s="8" t="str">
        <f>IFERROR(AC151/AC445,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IFERROR(B153/B445, "NA")</f>
        <v>NA</v>
      </c>
      <c r="D153" s="9"/>
      <c r="E153" s="7">
        <v>0</v>
      </c>
      <c r="F153" s="8" t="str">
        <f>IFERROR(E153/E445, "NA")</f>
        <v>NA</v>
      </c>
      <c r="G153" s="9"/>
      <c r="H153" s="10">
        <f t="shared" ref="H153:H158" si="36">IFERROR(-(B153-E153), "NA")</f>
        <v>0</v>
      </c>
      <c r="I153" s="8" t="str">
        <f>IFERROR(H153/H445, "NA")</f>
        <v>NA</v>
      </c>
      <c r="J153" s="9"/>
      <c r="K153" s="7">
        <v>0</v>
      </c>
      <c r="L153" s="8" t="str">
        <f>IFERROR(K153/K445, "NA")</f>
        <v>NA</v>
      </c>
      <c r="M153" s="9"/>
      <c r="N153" s="10">
        <f t="shared" ref="N153:N158" si="37">IFERROR(-(B153-K153), "NA")</f>
        <v>0</v>
      </c>
      <c r="O153" s="8" t="str">
        <f>IFERROR(N153/N445, "NA")</f>
        <v>NA</v>
      </c>
      <c r="P153" s="9"/>
      <c r="Q153" s="7">
        <v>0</v>
      </c>
      <c r="R153" s="8" t="str">
        <f>IFERROR(Q153/Q445, "NA")</f>
        <v>NA</v>
      </c>
      <c r="S153" s="9"/>
      <c r="T153" s="7">
        <v>0</v>
      </c>
      <c r="U153" s="8" t="str">
        <f>IFERROR(T153/T445, "NA")</f>
        <v>NA</v>
      </c>
      <c r="V153" s="9"/>
      <c r="W153" s="10">
        <f t="shared" ref="W153:W158" si="38">IFERROR(-(Q153-T153), "NA")</f>
        <v>0</v>
      </c>
      <c r="X153" s="8" t="str">
        <f>IFERROR(W153/W445, "NA")</f>
        <v>NA</v>
      </c>
      <c r="Y153" s="9"/>
      <c r="Z153" s="7">
        <v>0</v>
      </c>
      <c r="AA153" s="8" t="str">
        <f>IFERROR(Z153/Z445, "NA")</f>
        <v>NA</v>
      </c>
      <c r="AB153" s="9"/>
      <c r="AC153" s="10">
        <f t="shared" ref="AC153:AC158" si="39">IFERROR(-(Q153-Z153), "NA")</f>
        <v>0</v>
      </c>
      <c r="AD153" s="8" t="str">
        <f>IFERROR(AC153/AC445,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IFERROR(B154/B445, "NA")</f>
        <v>NA</v>
      </c>
      <c r="D154" s="9"/>
      <c r="E154" s="7">
        <v>0</v>
      </c>
      <c r="F154" s="8" t="str">
        <f>IFERROR(E154/E445, "NA")</f>
        <v>NA</v>
      </c>
      <c r="G154" s="9"/>
      <c r="H154" s="10">
        <f t="shared" si="36"/>
        <v>0</v>
      </c>
      <c r="I154" s="8" t="str">
        <f>IFERROR(H154/H445, "NA")</f>
        <v>NA</v>
      </c>
      <c r="J154" s="9"/>
      <c r="K154" s="7">
        <v>0</v>
      </c>
      <c r="L154" s="8" t="str">
        <f>IFERROR(K154/K445, "NA")</f>
        <v>NA</v>
      </c>
      <c r="M154" s="9"/>
      <c r="N154" s="10">
        <f t="shared" si="37"/>
        <v>0</v>
      </c>
      <c r="O154" s="8" t="str">
        <f>IFERROR(N154/N445, "NA")</f>
        <v>NA</v>
      </c>
      <c r="P154" s="9"/>
      <c r="Q154" s="7">
        <v>0</v>
      </c>
      <c r="R154" s="8" t="str">
        <f>IFERROR(Q154/Q445, "NA")</f>
        <v>NA</v>
      </c>
      <c r="S154" s="9"/>
      <c r="T154" s="7">
        <v>0</v>
      </c>
      <c r="U154" s="8" t="str">
        <f>IFERROR(T154/T445, "NA")</f>
        <v>NA</v>
      </c>
      <c r="V154" s="9"/>
      <c r="W154" s="10">
        <f t="shared" si="38"/>
        <v>0</v>
      </c>
      <c r="X154" s="8" t="str">
        <f>IFERROR(W154/W445, "NA")</f>
        <v>NA</v>
      </c>
      <c r="Y154" s="9"/>
      <c r="Z154" s="7">
        <v>0</v>
      </c>
      <c r="AA154" s="8" t="str">
        <f>IFERROR(Z154/Z445, "NA")</f>
        <v>NA</v>
      </c>
      <c r="AB154" s="9"/>
      <c r="AC154" s="10">
        <f t="shared" si="39"/>
        <v>0</v>
      </c>
      <c r="AD154" s="8" t="str">
        <f>IFERROR(AC154/AC445,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IFERROR(B155/B445, "NA")</f>
        <v>NA</v>
      </c>
      <c r="D155" s="9"/>
      <c r="E155" s="7">
        <v>0</v>
      </c>
      <c r="F155" s="8" t="str">
        <f>IFERROR(E155/E445, "NA")</f>
        <v>NA</v>
      </c>
      <c r="G155" s="9"/>
      <c r="H155" s="10">
        <f t="shared" si="36"/>
        <v>0</v>
      </c>
      <c r="I155" s="8" t="str">
        <f>IFERROR(H155/H445, "NA")</f>
        <v>NA</v>
      </c>
      <c r="J155" s="9"/>
      <c r="K155" s="7">
        <v>0</v>
      </c>
      <c r="L155" s="8" t="str">
        <f>IFERROR(K155/K445, "NA")</f>
        <v>NA</v>
      </c>
      <c r="M155" s="9"/>
      <c r="N155" s="10">
        <f t="shared" si="37"/>
        <v>0</v>
      </c>
      <c r="O155" s="8" t="str">
        <f>IFERROR(N155/N445, "NA")</f>
        <v>NA</v>
      </c>
      <c r="P155" s="9"/>
      <c r="Q155" s="7">
        <v>0</v>
      </c>
      <c r="R155" s="8" t="str">
        <f>IFERROR(Q155/Q445, "NA")</f>
        <v>NA</v>
      </c>
      <c r="S155" s="9"/>
      <c r="T155" s="7">
        <v>0</v>
      </c>
      <c r="U155" s="8" t="str">
        <f>IFERROR(T155/T445, "NA")</f>
        <v>NA</v>
      </c>
      <c r="V155" s="9"/>
      <c r="W155" s="10">
        <f t="shared" si="38"/>
        <v>0</v>
      </c>
      <c r="X155" s="8" t="str">
        <f>IFERROR(W155/W445, "NA")</f>
        <v>NA</v>
      </c>
      <c r="Y155" s="9"/>
      <c r="Z155" s="7">
        <v>0</v>
      </c>
      <c r="AA155" s="8" t="str">
        <f>IFERROR(Z155/Z445, "NA")</f>
        <v>NA</v>
      </c>
      <c r="AB155" s="9"/>
      <c r="AC155" s="10">
        <f t="shared" si="39"/>
        <v>0</v>
      </c>
      <c r="AD155" s="8" t="str">
        <f>IFERROR(AC155/AC445,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IFERROR(B156/B445, "NA")</f>
        <v>NA</v>
      </c>
      <c r="D156" s="9"/>
      <c r="E156" s="7">
        <v>0</v>
      </c>
      <c r="F156" s="8" t="str">
        <f>IFERROR(E156/E445, "NA")</f>
        <v>NA</v>
      </c>
      <c r="G156" s="9"/>
      <c r="H156" s="10">
        <f t="shared" si="36"/>
        <v>0</v>
      </c>
      <c r="I156" s="8" t="str">
        <f>IFERROR(H156/H445, "NA")</f>
        <v>NA</v>
      </c>
      <c r="J156" s="9"/>
      <c r="K156" s="7">
        <v>0</v>
      </c>
      <c r="L156" s="8" t="str">
        <f>IFERROR(K156/K445, "NA")</f>
        <v>NA</v>
      </c>
      <c r="M156" s="9"/>
      <c r="N156" s="10">
        <f t="shared" si="37"/>
        <v>0</v>
      </c>
      <c r="O156" s="8" t="str">
        <f>IFERROR(N156/N445, "NA")</f>
        <v>NA</v>
      </c>
      <c r="P156" s="9"/>
      <c r="Q156" s="7">
        <v>0</v>
      </c>
      <c r="R156" s="8" t="str">
        <f>IFERROR(Q156/Q445, "NA")</f>
        <v>NA</v>
      </c>
      <c r="S156" s="9"/>
      <c r="T156" s="7">
        <v>0</v>
      </c>
      <c r="U156" s="8" t="str">
        <f>IFERROR(T156/T445, "NA")</f>
        <v>NA</v>
      </c>
      <c r="V156" s="9"/>
      <c r="W156" s="10">
        <f t="shared" si="38"/>
        <v>0</v>
      </c>
      <c r="X156" s="8" t="str">
        <f>IFERROR(W156/W445, "NA")</f>
        <v>NA</v>
      </c>
      <c r="Y156" s="9"/>
      <c r="Z156" s="7">
        <v>0</v>
      </c>
      <c r="AA156" s="8" t="str">
        <f>IFERROR(Z156/Z445, "NA")</f>
        <v>NA</v>
      </c>
      <c r="AB156" s="9"/>
      <c r="AC156" s="10">
        <f t="shared" si="39"/>
        <v>0</v>
      </c>
      <c r="AD156" s="8" t="str">
        <f>IFERROR(AC156/AC445,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IFERROR(B157/B445, "NA")</f>
        <v>NA</v>
      </c>
      <c r="D157" s="9"/>
      <c r="E157" s="7">
        <v>0</v>
      </c>
      <c r="F157" s="8" t="str">
        <f>IFERROR(E157/E445, "NA")</f>
        <v>NA</v>
      </c>
      <c r="G157" s="9"/>
      <c r="H157" s="10">
        <f t="shared" si="36"/>
        <v>0</v>
      </c>
      <c r="I157" s="8" t="str">
        <f>IFERROR(H157/H445, "NA")</f>
        <v>NA</v>
      </c>
      <c r="J157" s="9"/>
      <c r="K157" s="7">
        <v>0</v>
      </c>
      <c r="L157" s="8" t="str">
        <f>IFERROR(K157/K445, "NA")</f>
        <v>NA</v>
      </c>
      <c r="M157" s="9"/>
      <c r="N157" s="10">
        <f t="shared" si="37"/>
        <v>0</v>
      </c>
      <c r="O157" s="8" t="str">
        <f>IFERROR(N157/N445, "NA")</f>
        <v>NA</v>
      </c>
      <c r="P157" s="9"/>
      <c r="Q157" s="7">
        <v>0</v>
      </c>
      <c r="R157" s="8" t="str">
        <f>IFERROR(Q157/Q445, "NA")</f>
        <v>NA</v>
      </c>
      <c r="S157" s="9"/>
      <c r="T157" s="7">
        <v>0</v>
      </c>
      <c r="U157" s="8" t="str">
        <f>IFERROR(T157/T445, "NA")</f>
        <v>NA</v>
      </c>
      <c r="V157" s="9"/>
      <c r="W157" s="10">
        <f t="shared" si="38"/>
        <v>0</v>
      </c>
      <c r="X157" s="8" t="str">
        <f>IFERROR(W157/W445, "NA")</f>
        <v>NA</v>
      </c>
      <c r="Y157" s="9"/>
      <c r="Z157" s="7">
        <v>0</v>
      </c>
      <c r="AA157" s="8" t="str">
        <f>IFERROR(Z157/Z445, "NA")</f>
        <v>NA</v>
      </c>
      <c r="AB157" s="9"/>
      <c r="AC157" s="10">
        <f t="shared" si="39"/>
        <v>0</v>
      </c>
      <c r="AD157" s="8" t="str">
        <f>IFERROR(AC157/AC445,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IFERROR(B158/B445, "NA")</f>
        <v>NA</v>
      </c>
      <c r="D158" s="2"/>
      <c r="E158" s="14">
        <f>IFERROR(E153+E154+E155+E156+E157, "NA")</f>
        <v>0</v>
      </c>
      <c r="F158" s="15" t="str">
        <f>IFERROR(E158/E445, "NA")</f>
        <v>NA</v>
      </c>
      <c r="G158" s="2"/>
      <c r="H158" s="14">
        <f t="shared" si="36"/>
        <v>0</v>
      </c>
      <c r="I158" s="15" t="str">
        <f>IFERROR(H158/H445, "NA")</f>
        <v>NA</v>
      </c>
      <c r="J158" s="2"/>
      <c r="K158" s="14">
        <f>IFERROR(K153+K154+K155+K156+K157, "NA")</f>
        <v>0</v>
      </c>
      <c r="L158" s="15" t="str">
        <f>IFERROR(K158/K445, "NA")</f>
        <v>NA</v>
      </c>
      <c r="M158" s="2"/>
      <c r="N158" s="14">
        <f t="shared" si="37"/>
        <v>0</v>
      </c>
      <c r="O158" s="15" t="str">
        <f>IFERROR(N158/N445, "NA")</f>
        <v>NA</v>
      </c>
      <c r="P158" s="2"/>
      <c r="Q158" s="14">
        <f>IFERROR(Q153+Q154+Q155+Q156+Q157, "NA")</f>
        <v>0</v>
      </c>
      <c r="R158" s="15" t="str">
        <f>IFERROR(Q158/Q445, "NA")</f>
        <v>NA</v>
      </c>
      <c r="S158" s="2"/>
      <c r="T158" s="14">
        <f>IFERROR(T153+T154+T155+T156+T157, "NA")</f>
        <v>0</v>
      </c>
      <c r="U158" s="15" t="str">
        <f>IFERROR(T158/T445, "NA")</f>
        <v>NA</v>
      </c>
      <c r="V158" s="2"/>
      <c r="W158" s="14">
        <f t="shared" si="38"/>
        <v>0</v>
      </c>
      <c r="X158" s="15" t="str">
        <f>IFERROR(W158/W445, "NA")</f>
        <v>NA</v>
      </c>
      <c r="Y158" s="2"/>
      <c r="Z158" s="14">
        <f>IFERROR(Z153+Z154+Z155+Z156+Z157, "NA")</f>
        <v>0</v>
      </c>
      <c r="AA158" s="15" t="str">
        <f>IFERROR(Z158/Z445, "NA")</f>
        <v>NA</v>
      </c>
      <c r="AB158" s="2"/>
      <c r="AC158" s="14">
        <f t="shared" si="39"/>
        <v>0</v>
      </c>
      <c r="AD158" s="15" t="str">
        <f>IFERROR(AC158/AC445,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IFERROR(B160/B445, "NA")</f>
        <v>NA</v>
      </c>
      <c r="D160" s="9"/>
      <c r="E160" s="7">
        <v>0</v>
      </c>
      <c r="F160" s="8" t="str">
        <f>IFERROR(E160/E445, "NA")</f>
        <v>NA</v>
      </c>
      <c r="G160" s="9"/>
      <c r="H160" s="10">
        <f t="shared" ref="H160:H171" si="40">IFERROR(-(B160-E160), "NA")</f>
        <v>0</v>
      </c>
      <c r="I160" s="8" t="str">
        <f>IFERROR(H160/H445, "NA")</f>
        <v>NA</v>
      </c>
      <c r="J160" s="9"/>
      <c r="K160" s="7">
        <v>0</v>
      </c>
      <c r="L160" s="8" t="str">
        <f>IFERROR(K160/K445, "NA")</f>
        <v>NA</v>
      </c>
      <c r="M160" s="9"/>
      <c r="N160" s="10">
        <f t="shared" ref="N160:N171" si="41">IFERROR(-(B160-K160), "NA")</f>
        <v>0</v>
      </c>
      <c r="O160" s="8" t="str">
        <f>IFERROR(N160/N445, "NA")</f>
        <v>NA</v>
      </c>
      <c r="P160" s="9"/>
      <c r="Q160" s="7">
        <v>0</v>
      </c>
      <c r="R160" s="8" t="str">
        <f>IFERROR(Q160/Q445, "NA")</f>
        <v>NA</v>
      </c>
      <c r="S160" s="9"/>
      <c r="T160" s="7">
        <v>0</v>
      </c>
      <c r="U160" s="8" t="str">
        <f>IFERROR(T160/T445, "NA")</f>
        <v>NA</v>
      </c>
      <c r="V160" s="9"/>
      <c r="W160" s="10">
        <f t="shared" ref="W160:W171" si="42">IFERROR(-(Q160-T160), "NA")</f>
        <v>0</v>
      </c>
      <c r="X160" s="8" t="str">
        <f>IFERROR(W160/W445, "NA")</f>
        <v>NA</v>
      </c>
      <c r="Y160" s="9"/>
      <c r="Z160" s="7">
        <v>0</v>
      </c>
      <c r="AA160" s="8" t="str">
        <f>IFERROR(Z160/Z445, "NA")</f>
        <v>NA</v>
      </c>
      <c r="AB160" s="9"/>
      <c r="AC160" s="10">
        <f t="shared" ref="AC160:AC171" si="43">IFERROR(-(Q160-Z160), "NA")</f>
        <v>0</v>
      </c>
      <c r="AD160" s="8" t="str">
        <f>IFERROR(AC160/AC445,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IFERROR(B161/B445, "NA")</f>
        <v>NA</v>
      </c>
      <c r="D161" s="9"/>
      <c r="E161" s="7">
        <v>0</v>
      </c>
      <c r="F161" s="8" t="str">
        <f>IFERROR(E161/E445, "NA")</f>
        <v>NA</v>
      </c>
      <c r="G161" s="9"/>
      <c r="H161" s="10">
        <f t="shared" si="40"/>
        <v>0</v>
      </c>
      <c r="I161" s="8" t="str">
        <f>IFERROR(H161/H445, "NA")</f>
        <v>NA</v>
      </c>
      <c r="J161" s="9"/>
      <c r="K161" s="7">
        <v>0</v>
      </c>
      <c r="L161" s="8" t="str">
        <f>IFERROR(K161/K445, "NA")</f>
        <v>NA</v>
      </c>
      <c r="M161" s="9"/>
      <c r="N161" s="10">
        <f t="shared" si="41"/>
        <v>0</v>
      </c>
      <c r="O161" s="8" t="str">
        <f>IFERROR(N161/N445, "NA")</f>
        <v>NA</v>
      </c>
      <c r="P161" s="9"/>
      <c r="Q161" s="7">
        <v>0</v>
      </c>
      <c r="R161" s="8" t="str">
        <f>IFERROR(Q161/Q445, "NA")</f>
        <v>NA</v>
      </c>
      <c r="S161" s="9"/>
      <c r="T161" s="7">
        <v>0</v>
      </c>
      <c r="U161" s="8" t="str">
        <f>IFERROR(T161/T445, "NA")</f>
        <v>NA</v>
      </c>
      <c r="V161" s="9"/>
      <c r="W161" s="10">
        <f t="shared" si="42"/>
        <v>0</v>
      </c>
      <c r="X161" s="8" t="str">
        <f>IFERROR(W161/W445, "NA")</f>
        <v>NA</v>
      </c>
      <c r="Y161" s="9"/>
      <c r="Z161" s="7">
        <v>0</v>
      </c>
      <c r="AA161" s="8" t="str">
        <f>IFERROR(Z161/Z445, "NA")</f>
        <v>NA</v>
      </c>
      <c r="AB161" s="9"/>
      <c r="AC161" s="10">
        <f t="shared" si="43"/>
        <v>0</v>
      </c>
      <c r="AD161" s="8" t="str">
        <f>IFERROR(AC161/AC445,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IFERROR(B162/B445, "NA")</f>
        <v>NA</v>
      </c>
      <c r="D162" s="9"/>
      <c r="E162" s="7">
        <v>0</v>
      </c>
      <c r="F162" s="8" t="str">
        <f>IFERROR(E162/E445, "NA")</f>
        <v>NA</v>
      </c>
      <c r="G162" s="9"/>
      <c r="H162" s="10">
        <f t="shared" si="40"/>
        <v>0</v>
      </c>
      <c r="I162" s="8" t="str">
        <f>IFERROR(H162/H445, "NA")</f>
        <v>NA</v>
      </c>
      <c r="J162" s="9"/>
      <c r="K162" s="7">
        <v>0</v>
      </c>
      <c r="L162" s="8" t="str">
        <f>IFERROR(K162/K445, "NA")</f>
        <v>NA</v>
      </c>
      <c r="M162" s="9"/>
      <c r="N162" s="10">
        <f t="shared" si="41"/>
        <v>0</v>
      </c>
      <c r="O162" s="8" t="str">
        <f>IFERROR(N162/N445, "NA")</f>
        <v>NA</v>
      </c>
      <c r="P162" s="9"/>
      <c r="Q162" s="7">
        <v>0</v>
      </c>
      <c r="R162" s="8" t="str">
        <f>IFERROR(Q162/Q445, "NA")</f>
        <v>NA</v>
      </c>
      <c r="S162" s="9"/>
      <c r="T162" s="7">
        <v>0</v>
      </c>
      <c r="U162" s="8" t="str">
        <f>IFERROR(T162/T445, "NA")</f>
        <v>NA</v>
      </c>
      <c r="V162" s="9"/>
      <c r="W162" s="10">
        <f t="shared" si="42"/>
        <v>0</v>
      </c>
      <c r="X162" s="8" t="str">
        <f>IFERROR(W162/W445, "NA")</f>
        <v>NA</v>
      </c>
      <c r="Y162" s="9"/>
      <c r="Z162" s="7">
        <v>0</v>
      </c>
      <c r="AA162" s="8" t="str">
        <f>IFERROR(Z162/Z445, "NA")</f>
        <v>NA</v>
      </c>
      <c r="AB162" s="9"/>
      <c r="AC162" s="10">
        <f t="shared" si="43"/>
        <v>0</v>
      </c>
      <c r="AD162" s="8" t="str">
        <f>IFERROR(AC162/AC445,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IFERROR(B163/B445, "NA")</f>
        <v>NA</v>
      </c>
      <c r="D163" s="9"/>
      <c r="E163" s="7">
        <v>0</v>
      </c>
      <c r="F163" s="8" t="str">
        <f>IFERROR(E163/E445, "NA")</f>
        <v>NA</v>
      </c>
      <c r="G163" s="9"/>
      <c r="H163" s="10">
        <f t="shared" si="40"/>
        <v>0</v>
      </c>
      <c r="I163" s="8" t="str">
        <f>IFERROR(H163/H445, "NA")</f>
        <v>NA</v>
      </c>
      <c r="J163" s="9"/>
      <c r="K163" s="7">
        <v>0</v>
      </c>
      <c r="L163" s="8" t="str">
        <f>IFERROR(K163/K445, "NA")</f>
        <v>NA</v>
      </c>
      <c r="M163" s="9"/>
      <c r="N163" s="10">
        <f t="shared" si="41"/>
        <v>0</v>
      </c>
      <c r="O163" s="8" t="str">
        <f>IFERROR(N163/N445, "NA")</f>
        <v>NA</v>
      </c>
      <c r="P163" s="9"/>
      <c r="Q163" s="7">
        <v>0</v>
      </c>
      <c r="R163" s="8" t="str">
        <f>IFERROR(Q163/Q445, "NA")</f>
        <v>NA</v>
      </c>
      <c r="S163" s="9"/>
      <c r="T163" s="7">
        <v>0</v>
      </c>
      <c r="U163" s="8" t="str">
        <f>IFERROR(T163/T445, "NA")</f>
        <v>NA</v>
      </c>
      <c r="V163" s="9"/>
      <c r="W163" s="10">
        <f t="shared" si="42"/>
        <v>0</v>
      </c>
      <c r="X163" s="8" t="str">
        <f>IFERROR(W163/W445, "NA")</f>
        <v>NA</v>
      </c>
      <c r="Y163" s="9"/>
      <c r="Z163" s="7">
        <v>0</v>
      </c>
      <c r="AA163" s="8" t="str">
        <f>IFERROR(Z163/Z445, "NA")</f>
        <v>NA</v>
      </c>
      <c r="AB163" s="9"/>
      <c r="AC163" s="10">
        <f t="shared" si="43"/>
        <v>0</v>
      </c>
      <c r="AD163" s="8" t="str">
        <f>IFERROR(AC163/AC445,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IFERROR(B164/B445, "NA")</f>
        <v>NA</v>
      </c>
      <c r="D164" s="9"/>
      <c r="E164" s="7">
        <v>0</v>
      </c>
      <c r="F164" s="8" t="str">
        <f>IFERROR(E164/E445, "NA")</f>
        <v>NA</v>
      </c>
      <c r="G164" s="9"/>
      <c r="H164" s="10">
        <f t="shared" si="40"/>
        <v>0</v>
      </c>
      <c r="I164" s="8" t="str">
        <f>IFERROR(H164/H445, "NA")</f>
        <v>NA</v>
      </c>
      <c r="J164" s="9"/>
      <c r="K164" s="7">
        <v>0</v>
      </c>
      <c r="L164" s="8" t="str">
        <f>IFERROR(K164/K445, "NA")</f>
        <v>NA</v>
      </c>
      <c r="M164" s="9"/>
      <c r="N164" s="10">
        <f t="shared" si="41"/>
        <v>0</v>
      </c>
      <c r="O164" s="8" t="str">
        <f>IFERROR(N164/N445, "NA")</f>
        <v>NA</v>
      </c>
      <c r="P164" s="9"/>
      <c r="Q164" s="7">
        <v>0</v>
      </c>
      <c r="R164" s="8" t="str">
        <f>IFERROR(Q164/Q445, "NA")</f>
        <v>NA</v>
      </c>
      <c r="S164" s="9"/>
      <c r="T164" s="7">
        <v>0</v>
      </c>
      <c r="U164" s="8" t="str">
        <f>IFERROR(T164/T445, "NA")</f>
        <v>NA</v>
      </c>
      <c r="V164" s="9"/>
      <c r="W164" s="10">
        <f t="shared" si="42"/>
        <v>0</v>
      </c>
      <c r="X164" s="8" t="str">
        <f>IFERROR(W164/W445, "NA")</f>
        <v>NA</v>
      </c>
      <c r="Y164" s="9"/>
      <c r="Z164" s="7">
        <v>0</v>
      </c>
      <c r="AA164" s="8" t="str">
        <f>IFERROR(Z164/Z445, "NA")</f>
        <v>NA</v>
      </c>
      <c r="AB164" s="9"/>
      <c r="AC164" s="10">
        <f t="shared" si="43"/>
        <v>0</v>
      </c>
      <c r="AD164" s="8" t="str">
        <f>IFERROR(AC164/AC445,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IFERROR(B165/B445, "NA")</f>
        <v>NA</v>
      </c>
      <c r="D165" s="9"/>
      <c r="E165" s="7">
        <v>0</v>
      </c>
      <c r="F165" s="8" t="str">
        <f>IFERROR(E165/E445, "NA")</f>
        <v>NA</v>
      </c>
      <c r="G165" s="9"/>
      <c r="H165" s="10">
        <f t="shared" si="40"/>
        <v>0</v>
      </c>
      <c r="I165" s="8" t="str">
        <f>IFERROR(H165/H445, "NA")</f>
        <v>NA</v>
      </c>
      <c r="J165" s="9"/>
      <c r="K165" s="7">
        <v>0</v>
      </c>
      <c r="L165" s="8" t="str">
        <f>IFERROR(K165/K445, "NA")</f>
        <v>NA</v>
      </c>
      <c r="M165" s="9"/>
      <c r="N165" s="10">
        <f t="shared" si="41"/>
        <v>0</v>
      </c>
      <c r="O165" s="8" t="str">
        <f>IFERROR(N165/N445, "NA")</f>
        <v>NA</v>
      </c>
      <c r="P165" s="9"/>
      <c r="Q165" s="7">
        <v>0</v>
      </c>
      <c r="R165" s="8" t="str">
        <f>IFERROR(Q165/Q445, "NA")</f>
        <v>NA</v>
      </c>
      <c r="S165" s="9"/>
      <c r="T165" s="7">
        <v>0</v>
      </c>
      <c r="U165" s="8" t="str">
        <f>IFERROR(T165/T445, "NA")</f>
        <v>NA</v>
      </c>
      <c r="V165" s="9"/>
      <c r="W165" s="10">
        <f t="shared" si="42"/>
        <v>0</v>
      </c>
      <c r="X165" s="8" t="str">
        <f>IFERROR(W165/W445, "NA")</f>
        <v>NA</v>
      </c>
      <c r="Y165" s="9"/>
      <c r="Z165" s="7">
        <v>0</v>
      </c>
      <c r="AA165" s="8" t="str">
        <f>IFERROR(Z165/Z445, "NA")</f>
        <v>NA</v>
      </c>
      <c r="AB165" s="9"/>
      <c r="AC165" s="10">
        <f t="shared" si="43"/>
        <v>0</v>
      </c>
      <c r="AD165" s="8" t="str">
        <f>IFERROR(AC165/AC445,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IFERROR(B166/B445, "NA")</f>
        <v>NA</v>
      </c>
      <c r="D166" s="2"/>
      <c r="E166" s="14">
        <f>IFERROR(E160+E161+E162+E163+E164+E165, "NA")</f>
        <v>0</v>
      </c>
      <c r="F166" s="15" t="str">
        <f>IFERROR(E166/E445, "NA")</f>
        <v>NA</v>
      </c>
      <c r="G166" s="2"/>
      <c r="H166" s="14">
        <f t="shared" si="40"/>
        <v>0</v>
      </c>
      <c r="I166" s="15" t="str">
        <f>IFERROR(H166/H445, "NA")</f>
        <v>NA</v>
      </c>
      <c r="J166" s="2"/>
      <c r="K166" s="14">
        <f>IFERROR(K160+K161+K162+K163+K164+K165, "NA")</f>
        <v>0</v>
      </c>
      <c r="L166" s="15" t="str">
        <f>IFERROR(K166/K445, "NA")</f>
        <v>NA</v>
      </c>
      <c r="M166" s="2"/>
      <c r="N166" s="14">
        <f t="shared" si="41"/>
        <v>0</v>
      </c>
      <c r="O166" s="15" t="str">
        <f>IFERROR(N166/N445, "NA")</f>
        <v>NA</v>
      </c>
      <c r="P166" s="2"/>
      <c r="Q166" s="14">
        <f>IFERROR(Q160+Q161+Q162+Q163+Q164+Q165, "NA")</f>
        <v>0</v>
      </c>
      <c r="R166" s="15" t="str">
        <f>IFERROR(Q166/Q445, "NA")</f>
        <v>NA</v>
      </c>
      <c r="S166" s="2"/>
      <c r="T166" s="14">
        <f>IFERROR(T160+T161+T162+T163+T164+T165, "NA")</f>
        <v>0</v>
      </c>
      <c r="U166" s="15" t="str">
        <f>IFERROR(T166/T445, "NA")</f>
        <v>NA</v>
      </c>
      <c r="V166" s="2"/>
      <c r="W166" s="14">
        <f t="shared" si="42"/>
        <v>0</v>
      </c>
      <c r="X166" s="15" t="str">
        <f>IFERROR(W166/W445, "NA")</f>
        <v>NA</v>
      </c>
      <c r="Y166" s="2"/>
      <c r="Z166" s="14">
        <f>IFERROR(Z160+Z161+Z162+Z163+Z164+Z165, "NA")</f>
        <v>0</v>
      </c>
      <c r="AA166" s="15" t="str">
        <f>IFERROR(Z166/Z445, "NA")</f>
        <v>NA</v>
      </c>
      <c r="AB166" s="2"/>
      <c r="AC166" s="14">
        <f t="shared" si="43"/>
        <v>0</v>
      </c>
      <c r="AD166" s="15" t="str">
        <f>IFERROR(AC166/AC445,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IFERROR(B167/B445, "NA")</f>
        <v>NA</v>
      </c>
      <c r="D167" s="9"/>
      <c r="E167" s="7">
        <v>0</v>
      </c>
      <c r="F167" s="8" t="str">
        <f>IFERROR(E167/E445, "NA")</f>
        <v>NA</v>
      </c>
      <c r="G167" s="9"/>
      <c r="H167" s="10">
        <f t="shared" si="40"/>
        <v>0</v>
      </c>
      <c r="I167" s="8" t="str">
        <f>IFERROR(H167/H445, "NA")</f>
        <v>NA</v>
      </c>
      <c r="J167" s="9"/>
      <c r="K167" s="7">
        <v>0</v>
      </c>
      <c r="L167" s="8" t="str">
        <f>IFERROR(K167/K445, "NA")</f>
        <v>NA</v>
      </c>
      <c r="M167" s="9"/>
      <c r="N167" s="10">
        <f t="shared" si="41"/>
        <v>0</v>
      </c>
      <c r="O167" s="8" t="str">
        <f>IFERROR(N167/N445, "NA")</f>
        <v>NA</v>
      </c>
      <c r="P167" s="9"/>
      <c r="Q167" s="7">
        <v>0</v>
      </c>
      <c r="R167" s="8" t="str">
        <f>IFERROR(Q167/Q445, "NA")</f>
        <v>NA</v>
      </c>
      <c r="S167" s="9"/>
      <c r="T167" s="7">
        <v>0</v>
      </c>
      <c r="U167" s="8" t="str">
        <f>IFERROR(T167/T445, "NA")</f>
        <v>NA</v>
      </c>
      <c r="V167" s="9"/>
      <c r="W167" s="10">
        <f t="shared" si="42"/>
        <v>0</v>
      </c>
      <c r="X167" s="8" t="str">
        <f>IFERROR(W167/W445, "NA")</f>
        <v>NA</v>
      </c>
      <c r="Y167" s="9"/>
      <c r="Z167" s="7">
        <v>0</v>
      </c>
      <c r="AA167" s="8" t="str">
        <f>IFERROR(Z167/Z445, "NA")</f>
        <v>NA</v>
      </c>
      <c r="AB167" s="9"/>
      <c r="AC167" s="10">
        <f t="shared" si="43"/>
        <v>0</v>
      </c>
      <c r="AD167" s="8" t="str">
        <f>IFERROR(AC167/AC445,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IFERROR(B168/B445, "NA")</f>
        <v>NA</v>
      </c>
      <c r="D168" s="9"/>
      <c r="E168" s="7">
        <v>0</v>
      </c>
      <c r="F168" s="8" t="str">
        <f>IFERROR(E168/E445, "NA")</f>
        <v>NA</v>
      </c>
      <c r="G168" s="9"/>
      <c r="H168" s="10">
        <f t="shared" si="40"/>
        <v>0</v>
      </c>
      <c r="I168" s="8" t="str">
        <f>IFERROR(H168/H445, "NA")</f>
        <v>NA</v>
      </c>
      <c r="J168" s="9"/>
      <c r="K168" s="7">
        <v>0</v>
      </c>
      <c r="L168" s="8" t="str">
        <f>IFERROR(K168/K445, "NA")</f>
        <v>NA</v>
      </c>
      <c r="M168" s="9"/>
      <c r="N168" s="10">
        <f t="shared" si="41"/>
        <v>0</v>
      </c>
      <c r="O168" s="8" t="str">
        <f>IFERROR(N168/N445, "NA")</f>
        <v>NA</v>
      </c>
      <c r="P168" s="9"/>
      <c r="Q168" s="7">
        <v>0</v>
      </c>
      <c r="R168" s="8" t="str">
        <f>IFERROR(Q168/Q445, "NA")</f>
        <v>NA</v>
      </c>
      <c r="S168" s="9"/>
      <c r="T168" s="7">
        <v>0</v>
      </c>
      <c r="U168" s="8" t="str">
        <f>IFERROR(T168/T445, "NA")</f>
        <v>NA</v>
      </c>
      <c r="V168" s="9"/>
      <c r="W168" s="10">
        <f t="shared" si="42"/>
        <v>0</v>
      </c>
      <c r="X168" s="8" t="str">
        <f>IFERROR(W168/W445, "NA")</f>
        <v>NA</v>
      </c>
      <c r="Y168" s="9"/>
      <c r="Z168" s="7">
        <v>0</v>
      </c>
      <c r="AA168" s="8" t="str">
        <f>IFERROR(Z168/Z445, "NA")</f>
        <v>NA</v>
      </c>
      <c r="AB168" s="9"/>
      <c r="AC168" s="10">
        <f t="shared" si="43"/>
        <v>0</v>
      </c>
      <c r="AD168" s="8" t="str">
        <f>IFERROR(AC168/AC445,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IFERROR(B169/B445, "NA")</f>
        <v>NA</v>
      </c>
      <c r="D169" s="9"/>
      <c r="E169" s="7">
        <v>0</v>
      </c>
      <c r="F169" s="8" t="str">
        <f>IFERROR(E169/E445, "NA")</f>
        <v>NA</v>
      </c>
      <c r="G169" s="9"/>
      <c r="H169" s="10">
        <f t="shared" si="40"/>
        <v>0</v>
      </c>
      <c r="I169" s="8" t="str">
        <f>IFERROR(H169/H445, "NA")</f>
        <v>NA</v>
      </c>
      <c r="J169" s="9"/>
      <c r="K169" s="7">
        <v>0</v>
      </c>
      <c r="L169" s="8" t="str">
        <f>IFERROR(K169/K445, "NA")</f>
        <v>NA</v>
      </c>
      <c r="M169" s="9"/>
      <c r="N169" s="10">
        <f t="shared" si="41"/>
        <v>0</v>
      </c>
      <c r="O169" s="8" t="str">
        <f>IFERROR(N169/N445, "NA")</f>
        <v>NA</v>
      </c>
      <c r="P169" s="9"/>
      <c r="Q169" s="7">
        <v>0</v>
      </c>
      <c r="R169" s="8" t="str">
        <f>IFERROR(Q169/Q445, "NA")</f>
        <v>NA</v>
      </c>
      <c r="S169" s="9"/>
      <c r="T169" s="7">
        <v>0</v>
      </c>
      <c r="U169" s="8" t="str">
        <f>IFERROR(T169/T445, "NA")</f>
        <v>NA</v>
      </c>
      <c r="V169" s="9"/>
      <c r="W169" s="10">
        <f t="shared" si="42"/>
        <v>0</v>
      </c>
      <c r="X169" s="8" t="str">
        <f>IFERROR(W169/W445, "NA")</f>
        <v>NA</v>
      </c>
      <c r="Y169" s="9"/>
      <c r="Z169" s="7">
        <v>0</v>
      </c>
      <c r="AA169" s="8" t="str">
        <f>IFERROR(Z169/Z445, "NA")</f>
        <v>NA</v>
      </c>
      <c r="AB169" s="9"/>
      <c r="AC169" s="10">
        <f t="shared" si="43"/>
        <v>0</v>
      </c>
      <c r="AD169" s="8" t="str">
        <f>IFERROR(AC169/AC445,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IFERROR(B170/B445,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IFERROR(E170/E445, "NA")</f>
        <v>NA</v>
      </c>
      <c r="G170" s="2"/>
      <c r="H170" s="14">
        <f t="shared" si="40"/>
        <v>0</v>
      </c>
      <c r="I170" s="15" t="str">
        <f>IFERROR(H170/H445,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IFERROR(K170/K445, "NA")</f>
        <v>NA</v>
      </c>
      <c r="M170" s="2"/>
      <c r="N170" s="14">
        <f t="shared" si="41"/>
        <v>0</v>
      </c>
      <c r="O170" s="15" t="str">
        <f>IFERROR(N170/N445,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IFERROR(Q170/Q445,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IFERROR(T170/T445, "NA")</f>
        <v>NA</v>
      </c>
      <c r="V170" s="2"/>
      <c r="W170" s="14">
        <f t="shared" si="42"/>
        <v>0</v>
      </c>
      <c r="X170" s="15" t="str">
        <f>IFERROR(W170/W445,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IFERROR(Z170/Z445, "NA")</f>
        <v>NA</v>
      </c>
      <c r="AB170" s="2"/>
      <c r="AC170" s="14">
        <f t="shared" si="43"/>
        <v>0</v>
      </c>
      <c r="AD170" s="15" t="str">
        <f>IFERROR(AC170/AC445,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IFERROR(B171/B445,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IFERROR(E171/E445, "NA")</f>
        <v>NA</v>
      </c>
      <c r="G171" s="2"/>
      <c r="H171" s="14">
        <f t="shared" si="40"/>
        <v>0</v>
      </c>
      <c r="I171" s="15" t="str">
        <f>IFERROR(H171/H445,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IFERROR(K171/K445, "NA")</f>
        <v>NA</v>
      </c>
      <c r="M171" s="2"/>
      <c r="N171" s="14">
        <f t="shared" si="41"/>
        <v>0</v>
      </c>
      <c r="O171" s="15" t="str">
        <f>IFERROR(N171/N445,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IFERROR(Q171/Q445,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IFERROR(T171/T445, "NA")</f>
        <v>NA</v>
      </c>
      <c r="V171" s="2"/>
      <c r="W171" s="14">
        <f t="shared" si="42"/>
        <v>0</v>
      </c>
      <c r="X171" s="15" t="str">
        <f>IFERROR(W171/W445,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IFERROR(Z171/Z445, "NA")</f>
        <v>NA</v>
      </c>
      <c r="AB171" s="2"/>
      <c r="AC171" s="14">
        <f t="shared" si="43"/>
        <v>0</v>
      </c>
      <c r="AD171" s="15" t="str">
        <f>IFERROR(AC171/AC445,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IFERROR(B172/B445, "NA")</f>
        <v>NA</v>
      </c>
      <c r="D172" s="25"/>
      <c r="E172" s="23">
        <f>IFERROR(E124-E171, "NA")</f>
        <v>0</v>
      </c>
      <c r="F172" s="24" t="str">
        <f>IFERROR(E172/E445, "NA")</f>
        <v>NA</v>
      </c>
      <c r="G172" s="25"/>
      <c r="H172" s="23">
        <f>IFERROR(B172-E172, "NA")</f>
        <v>0</v>
      </c>
      <c r="I172" s="24" t="str">
        <f>IFERROR(H172/H445, "NA")</f>
        <v>NA</v>
      </c>
      <c r="J172" s="25"/>
      <c r="K172" s="23">
        <f>IFERROR(K124-K171, "NA")</f>
        <v>0</v>
      </c>
      <c r="L172" s="24" t="str">
        <f>IFERROR(K172/K445, "NA")</f>
        <v>NA</v>
      </c>
      <c r="M172" s="25"/>
      <c r="N172" s="23">
        <f>IFERROR(B172-K172, "NA")</f>
        <v>0</v>
      </c>
      <c r="O172" s="24" t="str">
        <f>IFERROR(N172/N445, "NA")</f>
        <v>NA</v>
      </c>
      <c r="P172" s="25"/>
      <c r="Q172" s="23">
        <f>IFERROR(Q124-Q171, "NA")</f>
        <v>0</v>
      </c>
      <c r="R172" s="24" t="str">
        <f>IFERROR(Q172/Q445, "NA")</f>
        <v>NA</v>
      </c>
      <c r="S172" s="25"/>
      <c r="T172" s="23">
        <f>IFERROR(T124-T171, "NA")</f>
        <v>0</v>
      </c>
      <c r="U172" s="24" t="str">
        <f>IFERROR(T172/T445, "NA")</f>
        <v>NA</v>
      </c>
      <c r="V172" s="25"/>
      <c r="W172" s="23">
        <f>IFERROR(Q172-T172, "NA")</f>
        <v>0</v>
      </c>
      <c r="X172" s="24" t="str">
        <f>IFERROR(W172/W445, "NA")</f>
        <v>NA</v>
      </c>
      <c r="Y172" s="25"/>
      <c r="Z172" s="23">
        <f>IFERROR(Z124-Z171, "NA")</f>
        <v>0</v>
      </c>
      <c r="AA172" s="24" t="str">
        <f>IFERROR(Z172/Z445, "NA")</f>
        <v>NA</v>
      </c>
      <c r="AB172" s="25"/>
      <c r="AC172" s="23">
        <f>IFERROR(Q172-Z172, "NA")</f>
        <v>0</v>
      </c>
      <c r="AD172" s="24" t="str">
        <f>IFERROR(AC172/AC445,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IFERROR(B175/B445, "NA")</f>
        <v>NA</v>
      </c>
      <c r="D175" s="9"/>
      <c r="E175" s="7">
        <v>0</v>
      </c>
      <c r="F175" s="8" t="str">
        <f>IFERROR(E175/E445, "NA")</f>
        <v>NA</v>
      </c>
      <c r="G175" s="9"/>
      <c r="H175" s="10">
        <f>IFERROR(-(B175-E175), "NA")</f>
        <v>0</v>
      </c>
      <c r="I175" s="8" t="str">
        <f>IFERROR(H175/H445, "NA")</f>
        <v>NA</v>
      </c>
      <c r="J175" s="9"/>
      <c r="K175" s="7">
        <v>0</v>
      </c>
      <c r="L175" s="8" t="str">
        <f>IFERROR(K175/K445, "NA")</f>
        <v>NA</v>
      </c>
      <c r="M175" s="9"/>
      <c r="N175" s="10">
        <f>IFERROR(-(B175-K175), "NA")</f>
        <v>0</v>
      </c>
      <c r="O175" s="8" t="str">
        <f>IFERROR(N175/N445, "NA")</f>
        <v>NA</v>
      </c>
      <c r="P175" s="9"/>
      <c r="Q175" s="7">
        <v>0</v>
      </c>
      <c r="R175" s="8" t="str">
        <f>IFERROR(Q175/Q445, "NA")</f>
        <v>NA</v>
      </c>
      <c r="S175" s="9"/>
      <c r="T175" s="7">
        <v>0</v>
      </c>
      <c r="U175" s="8" t="str">
        <f>IFERROR(T175/T445, "NA")</f>
        <v>NA</v>
      </c>
      <c r="V175" s="9"/>
      <c r="W175" s="10">
        <f>IFERROR(-(Q175-T175), "NA")</f>
        <v>0</v>
      </c>
      <c r="X175" s="8" t="str">
        <f>IFERROR(W175/W445, "NA")</f>
        <v>NA</v>
      </c>
      <c r="Y175" s="9"/>
      <c r="Z175" s="7">
        <v>0</v>
      </c>
      <c r="AA175" s="8" t="str">
        <f>IFERROR(Z175/Z445, "NA")</f>
        <v>NA</v>
      </c>
      <c r="AB175" s="9"/>
      <c r="AC175" s="10">
        <f>IFERROR(-(Q175-Z175), "NA")</f>
        <v>0</v>
      </c>
      <c r="AD175" s="8" t="str">
        <f>IFERROR(AC175/AC445,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IFERROR(B177/B445, "NA")</f>
        <v>NA</v>
      </c>
      <c r="D177" s="9"/>
      <c r="E177" s="7">
        <v>0</v>
      </c>
      <c r="F177" s="8" t="str">
        <f>IFERROR(E177/E445, "NA")</f>
        <v>NA</v>
      </c>
      <c r="G177" s="9"/>
      <c r="H177" s="10">
        <f t="shared" ref="H177:H184" si="44">IFERROR(-(B177-E177), "NA")</f>
        <v>0</v>
      </c>
      <c r="I177" s="8" t="str">
        <f>IFERROR(H177/H445, "NA")</f>
        <v>NA</v>
      </c>
      <c r="J177" s="9"/>
      <c r="K177" s="7">
        <v>0</v>
      </c>
      <c r="L177" s="8" t="str">
        <f>IFERROR(K177/K445, "NA")</f>
        <v>NA</v>
      </c>
      <c r="M177" s="9"/>
      <c r="N177" s="10">
        <f t="shared" ref="N177:N184" si="45">IFERROR(-(B177-K177), "NA")</f>
        <v>0</v>
      </c>
      <c r="O177" s="8" t="str">
        <f>IFERROR(N177/N445, "NA")</f>
        <v>NA</v>
      </c>
      <c r="P177" s="9"/>
      <c r="Q177" s="7">
        <v>0</v>
      </c>
      <c r="R177" s="8" t="str">
        <f>IFERROR(Q177/Q445, "NA")</f>
        <v>NA</v>
      </c>
      <c r="S177" s="9"/>
      <c r="T177" s="7">
        <v>0</v>
      </c>
      <c r="U177" s="8" t="str">
        <f>IFERROR(T177/T445, "NA")</f>
        <v>NA</v>
      </c>
      <c r="V177" s="9"/>
      <c r="W177" s="10">
        <f t="shared" ref="W177:W184" si="46">IFERROR(-(Q177-T177), "NA")</f>
        <v>0</v>
      </c>
      <c r="X177" s="8" t="str">
        <f>IFERROR(W177/W445, "NA")</f>
        <v>NA</v>
      </c>
      <c r="Y177" s="9"/>
      <c r="Z177" s="7">
        <v>0</v>
      </c>
      <c r="AA177" s="8" t="str">
        <f>IFERROR(Z177/Z445, "NA")</f>
        <v>NA</v>
      </c>
      <c r="AB177" s="9"/>
      <c r="AC177" s="10">
        <f t="shared" ref="AC177:AC184" si="47">IFERROR(-(Q177-Z177), "NA")</f>
        <v>0</v>
      </c>
      <c r="AD177" s="8" t="str">
        <f>IFERROR(AC177/AC445,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IFERROR(B178/B445, "NA")</f>
        <v>NA</v>
      </c>
      <c r="D178" s="9"/>
      <c r="E178" s="7">
        <v>0</v>
      </c>
      <c r="F178" s="8" t="str">
        <f>IFERROR(E178/E445, "NA")</f>
        <v>NA</v>
      </c>
      <c r="G178" s="9"/>
      <c r="H178" s="10">
        <f t="shared" si="44"/>
        <v>0</v>
      </c>
      <c r="I178" s="8" t="str">
        <f>IFERROR(H178/H445, "NA")</f>
        <v>NA</v>
      </c>
      <c r="J178" s="9"/>
      <c r="K178" s="7">
        <v>0</v>
      </c>
      <c r="L178" s="8" t="str">
        <f>IFERROR(K178/K445, "NA")</f>
        <v>NA</v>
      </c>
      <c r="M178" s="9"/>
      <c r="N178" s="10">
        <f t="shared" si="45"/>
        <v>0</v>
      </c>
      <c r="O178" s="8" t="str">
        <f>IFERROR(N178/N445, "NA")</f>
        <v>NA</v>
      </c>
      <c r="P178" s="9"/>
      <c r="Q178" s="7">
        <v>0</v>
      </c>
      <c r="R178" s="8" t="str">
        <f>IFERROR(Q178/Q445, "NA")</f>
        <v>NA</v>
      </c>
      <c r="S178" s="9"/>
      <c r="T178" s="7">
        <v>0</v>
      </c>
      <c r="U178" s="8" t="str">
        <f>IFERROR(T178/T445, "NA")</f>
        <v>NA</v>
      </c>
      <c r="V178" s="9"/>
      <c r="W178" s="10">
        <f t="shared" si="46"/>
        <v>0</v>
      </c>
      <c r="X178" s="8" t="str">
        <f>IFERROR(W178/W445, "NA")</f>
        <v>NA</v>
      </c>
      <c r="Y178" s="9"/>
      <c r="Z178" s="7">
        <v>0</v>
      </c>
      <c r="AA178" s="8" t="str">
        <f>IFERROR(Z178/Z445, "NA")</f>
        <v>NA</v>
      </c>
      <c r="AB178" s="9"/>
      <c r="AC178" s="10">
        <f t="shared" si="47"/>
        <v>0</v>
      </c>
      <c r="AD178" s="8" t="str">
        <f>IFERROR(AC178/AC445,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IFERROR(B179/B445, "NA")</f>
        <v>NA</v>
      </c>
      <c r="D179" s="9"/>
      <c r="E179" s="7">
        <v>0</v>
      </c>
      <c r="F179" s="8" t="str">
        <f>IFERROR(E179/E445, "NA")</f>
        <v>NA</v>
      </c>
      <c r="G179" s="9"/>
      <c r="H179" s="10">
        <f t="shared" si="44"/>
        <v>0</v>
      </c>
      <c r="I179" s="8" t="str">
        <f>IFERROR(H179/H445, "NA")</f>
        <v>NA</v>
      </c>
      <c r="J179" s="9"/>
      <c r="K179" s="7">
        <v>0</v>
      </c>
      <c r="L179" s="8" t="str">
        <f>IFERROR(K179/K445, "NA")</f>
        <v>NA</v>
      </c>
      <c r="M179" s="9"/>
      <c r="N179" s="10">
        <f t="shared" si="45"/>
        <v>0</v>
      </c>
      <c r="O179" s="8" t="str">
        <f>IFERROR(N179/N445, "NA")</f>
        <v>NA</v>
      </c>
      <c r="P179" s="9"/>
      <c r="Q179" s="7">
        <v>0</v>
      </c>
      <c r="R179" s="8" t="str">
        <f>IFERROR(Q179/Q445, "NA")</f>
        <v>NA</v>
      </c>
      <c r="S179" s="9"/>
      <c r="T179" s="7">
        <v>0</v>
      </c>
      <c r="U179" s="8" t="str">
        <f>IFERROR(T179/T445, "NA")</f>
        <v>NA</v>
      </c>
      <c r="V179" s="9"/>
      <c r="W179" s="10">
        <f t="shared" si="46"/>
        <v>0</v>
      </c>
      <c r="X179" s="8" t="str">
        <f>IFERROR(W179/W445, "NA")</f>
        <v>NA</v>
      </c>
      <c r="Y179" s="9"/>
      <c r="Z179" s="7">
        <v>0</v>
      </c>
      <c r="AA179" s="8" t="str">
        <f>IFERROR(Z179/Z445, "NA")</f>
        <v>NA</v>
      </c>
      <c r="AB179" s="9"/>
      <c r="AC179" s="10">
        <f t="shared" si="47"/>
        <v>0</v>
      </c>
      <c r="AD179" s="8" t="str">
        <f>IFERROR(AC179/AC445,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IFERROR(B180/B445, "NA")</f>
        <v>NA</v>
      </c>
      <c r="D180" s="9"/>
      <c r="E180" s="7">
        <v>0</v>
      </c>
      <c r="F180" s="8" t="str">
        <f>IFERROR(E180/E445, "NA")</f>
        <v>NA</v>
      </c>
      <c r="G180" s="9"/>
      <c r="H180" s="10">
        <f t="shared" si="44"/>
        <v>0</v>
      </c>
      <c r="I180" s="8" t="str">
        <f>IFERROR(H180/H445, "NA")</f>
        <v>NA</v>
      </c>
      <c r="J180" s="9"/>
      <c r="K180" s="7">
        <v>0</v>
      </c>
      <c r="L180" s="8" t="str">
        <f>IFERROR(K180/K445, "NA")</f>
        <v>NA</v>
      </c>
      <c r="M180" s="9"/>
      <c r="N180" s="10">
        <f t="shared" si="45"/>
        <v>0</v>
      </c>
      <c r="O180" s="8" t="str">
        <f>IFERROR(N180/N445, "NA")</f>
        <v>NA</v>
      </c>
      <c r="P180" s="9"/>
      <c r="Q180" s="7">
        <v>0</v>
      </c>
      <c r="R180" s="8" t="str">
        <f>IFERROR(Q180/Q445, "NA")</f>
        <v>NA</v>
      </c>
      <c r="S180" s="9"/>
      <c r="T180" s="7">
        <v>0</v>
      </c>
      <c r="U180" s="8" t="str">
        <f>IFERROR(T180/T445, "NA")</f>
        <v>NA</v>
      </c>
      <c r="V180" s="9"/>
      <c r="W180" s="10">
        <f t="shared" si="46"/>
        <v>0</v>
      </c>
      <c r="X180" s="8" t="str">
        <f>IFERROR(W180/W445, "NA")</f>
        <v>NA</v>
      </c>
      <c r="Y180" s="9"/>
      <c r="Z180" s="7">
        <v>0</v>
      </c>
      <c r="AA180" s="8" t="str">
        <f>IFERROR(Z180/Z445, "NA")</f>
        <v>NA</v>
      </c>
      <c r="AB180" s="9"/>
      <c r="AC180" s="10">
        <f t="shared" si="47"/>
        <v>0</v>
      </c>
      <c r="AD180" s="8" t="str">
        <f>IFERROR(AC180/AC445,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IFERROR(B181/B445, "NA")</f>
        <v>NA</v>
      </c>
      <c r="D181" s="9"/>
      <c r="E181" s="7">
        <v>0</v>
      </c>
      <c r="F181" s="8" t="str">
        <f>IFERROR(E181/E445, "NA")</f>
        <v>NA</v>
      </c>
      <c r="G181" s="9"/>
      <c r="H181" s="10">
        <f t="shared" si="44"/>
        <v>0</v>
      </c>
      <c r="I181" s="8" t="str">
        <f>IFERROR(H181/H445, "NA")</f>
        <v>NA</v>
      </c>
      <c r="J181" s="9"/>
      <c r="K181" s="7">
        <v>0</v>
      </c>
      <c r="L181" s="8" t="str">
        <f>IFERROR(K181/K445, "NA")</f>
        <v>NA</v>
      </c>
      <c r="M181" s="9"/>
      <c r="N181" s="10">
        <f t="shared" si="45"/>
        <v>0</v>
      </c>
      <c r="O181" s="8" t="str">
        <f>IFERROR(N181/N445, "NA")</f>
        <v>NA</v>
      </c>
      <c r="P181" s="9"/>
      <c r="Q181" s="7">
        <v>0</v>
      </c>
      <c r="R181" s="8" t="str">
        <f>IFERROR(Q181/Q445, "NA")</f>
        <v>NA</v>
      </c>
      <c r="S181" s="9"/>
      <c r="T181" s="7">
        <v>0</v>
      </c>
      <c r="U181" s="8" t="str">
        <f>IFERROR(T181/T445, "NA")</f>
        <v>NA</v>
      </c>
      <c r="V181" s="9"/>
      <c r="W181" s="10">
        <f t="shared" si="46"/>
        <v>0</v>
      </c>
      <c r="X181" s="8" t="str">
        <f>IFERROR(W181/W445, "NA")</f>
        <v>NA</v>
      </c>
      <c r="Y181" s="9"/>
      <c r="Z181" s="7">
        <v>0</v>
      </c>
      <c r="AA181" s="8" t="str">
        <f>IFERROR(Z181/Z445, "NA")</f>
        <v>NA</v>
      </c>
      <c r="AB181" s="9"/>
      <c r="AC181" s="10">
        <f t="shared" si="47"/>
        <v>0</v>
      </c>
      <c r="AD181" s="8" t="str">
        <f>IFERROR(AC181/AC445,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IFERROR(B182/B445, "NA")</f>
        <v>NA</v>
      </c>
      <c r="D182" s="2"/>
      <c r="E182" s="14">
        <f>IFERROR(E177+E178+E179+E180+E181, "NA")</f>
        <v>0</v>
      </c>
      <c r="F182" s="15" t="str">
        <f>IFERROR(E182/E445, "NA")</f>
        <v>NA</v>
      </c>
      <c r="G182" s="2"/>
      <c r="H182" s="14">
        <f t="shared" si="44"/>
        <v>0</v>
      </c>
      <c r="I182" s="15" t="str">
        <f>IFERROR(H182/H445, "NA")</f>
        <v>NA</v>
      </c>
      <c r="J182" s="2"/>
      <c r="K182" s="14">
        <f>IFERROR(K177+K178+K179+K180+K181, "NA")</f>
        <v>0</v>
      </c>
      <c r="L182" s="15" t="str">
        <f>IFERROR(K182/K445, "NA")</f>
        <v>NA</v>
      </c>
      <c r="M182" s="2"/>
      <c r="N182" s="14">
        <f t="shared" si="45"/>
        <v>0</v>
      </c>
      <c r="O182" s="15" t="str">
        <f>IFERROR(N182/N445, "NA")</f>
        <v>NA</v>
      </c>
      <c r="P182" s="2"/>
      <c r="Q182" s="14">
        <f>IFERROR(Q177+Q178+Q179+Q180+Q181, "NA")</f>
        <v>0</v>
      </c>
      <c r="R182" s="15" t="str">
        <f>IFERROR(Q182/Q445, "NA")</f>
        <v>NA</v>
      </c>
      <c r="S182" s="2"/>
      <c r="T182" s="14">
        <f>IFERROR(T177+T178+T179+T180+T181, "NA")</f>
        <v>0</v>
      </c>
      <c r="U182" s="15" t="str">
        <f>IFERROR(T182/T445, "NA")</f>
        <v>NA</v>
      </c>
      <c r="V182" s="2"/>
      <c r="W182" s="14">
        <f t="shared" si="46"/>
        <v>0</v>
      </c>
      <c r="X182" s="15" t="str">
        <f>IFERROR(W182/W445, "NA")</f>
        <v>NA</v>
      </c>
      <c r="Y182" s="2"/>
      <c r="Z182" s="14">
        <f>IFERROR(Z177+Z178+Z179+Z180+Z181, "NA")</f>
        <v>0</v>
      </c>
      <c r="AA182" s="15" t="str">
        <f>IFERROR(Z182/Z445, "NA")</f>
        <v>NA</v>
      </c>
      <c r="AB182" s="2"/>
      <c r="AC182" s="14">
        <f t="shared" si="47"/>
        <v>0</v>
      </c>
      <c r="AD182" s="15" t="str">
        <f>IFERROR(AC182/AC445,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IFERROR(B183/B445, "NA")</f>
        <v>NA</v>
      </c>
      <c r="D183" s="9"/>
      <c r="E183" s="7">
        <v>0</v>
      </c>
      <c r="F183" s="8" t="str">
        <f>IFERROR(E183/E445, "NA")</f>
        <v>NA</v>
      </c>
      <c r="G183" s="9"/>
      <c r="H183" s="10">
        <f t="shared" si="44"/>
        <v>0</v>
      </c>
      <c r="I183" s="8" t="str">
        <f>IFERROR(H183/H445, "NA")</f>
        <v>NA</v>
      </c>
      <c r="J183" s="9"/>
      <c r="K183" s="7">
        <v>0</v>
      </c>
      <c r="L183" s="8" t="str">
        <f>IFERROR(K183/K445, "NA")</f>
        <v>NA</v>
      </c>
      <c r="M183" s="9"/>
      <c r="N183" s="10">
        <f t="shared" si="45"/>
        <v>0</v>
      </c>
      <c r="O183" s="8" t="str">
        <f>IFERROR(N183/N445, "NA")</f>
        <v>NA</v>
      </c>
      <c r="P183" s="9"/>
      <c r="Q183" s="7">
        <v>0</v>
      </c>
      <c r="R183" s="8" t="str">
        <f>IFERROR(Q183/Q445, "NA")</f>
        <v>NA</v>
      </c>
      <c r="S183" s="9"/>
      <c r="T183" s="7">
        <v>0</v>
      </c>
      <c r="U183" s="8" t="str">
        <f>IFERROR(T183/T445, "NA")</f>
        <v>NA</v>
      </c>
      <c r="V183" s="9"/>
      <c r="W183" s="10">
        <f t="shared" si="46"/>
        <v>0</v>
      </c>
      <c r="X183" s="8" t="str">
        <f>IFERROR(W183/W445, "NA")</f>
        <v>NA</v>
      </c>
      <c r="Y183" s="9"/>
      <c r="Z183" s="7">
        <v>0</v>
      </c>
      <c r="AA183" s="8" t="str">
        <f>IFERROR(Z183/Z445, "NA")</f>
        <v>NA</v>
      </c>
      <c r="AB183" s="9"/>
      <c r="AC183" s="10">
        <f t="shared" si="47"/>
        <v>0</v>
      </c>
      <c r="AD183" s="8" t="str">
        <f>IFERROR(AC183/AC445,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IFERROR(B184/B445, "NA")</f>
        <v>NA</v>
      </c>
      <c r="D184" s="9"/>
      <c r="E184" s="7">
        <v>0</v>
      </c>
      <c r="F184" s="8" t="str">
        <f>IFERROR(E184/E445, "NA")</f>
        <v>NA</v>
      </c>
      <c r="G184" s="9"/>
      <c r="H184" s="10">
        <f t="shared" si="44"/>
        <v>0</v>
      </c>
      <c r="I184" s="8" t="str">
        <f>IFERROR(H184/H445, "NA")</f>
        <v>NA</v>
      </c>
      <c r="J184" s="9"/>
      <c r="K184" s="7">
        <v>0</v>
      </c>
      <c r="L184" s="8" t="str">
        <f>IFERROR(K184/K445, "NA")</f>
        <v>NA</v>
      </c>
      <c r="M184" s="9"/>
      <c r="N184" s="10">
        <f t="shared" si="45"/>
        <v>0</v>
      </c>
      <c r="O184" s="8" t="str">
        <f>IFERROR(N184/N445, "NA")</f>
        <v>NA</v>
      </c>
      <c r="P184" s="9"/>
      <c r="Q184" s="7">
        <v>0</v>
      </c>
      <c r="R184" s="8" t="str">
        <f>IFERROR(Q184/Q445, "NA")</f>
        <v>NA</v>
      </c>
      <c r="S184" s="9"/>
      <c r="T184" s="7">
        <v>0</v>
      </c>
      <c r="U184" s="8" t="str">
        <f>IFERROR(T184/T445, "NA")</f>
        <v>NA</v>
      </c>
      <c r="V184" s="9"/>
      <c r="W184" s="10">
        <f t="shared" si="46"/>
        <v>0</v>
      </c>
      <c r="X184" s="8" t="str">
        <f>IFERROR(W184/W445, "NA")</f>
        <v>NA</v>
      </c>
      <c r="Y184" s="9"/>
      <c r="Z184" s="7">
        <v>0</v>
      </c>
      <c r="AA184" s="8" t="str">
        <f>IFERROR(Z184/Z445, "NA")</f>
        <v>NA</v>
      </c>
      <c r="AB184" s="9"/>
      <c r="AC184" s="10">
        <f t="shared" si="47"/>
        <v>0</v>
      </c>
      <c r="AD184" s="8" t="str">
        <f>IFERROR(AC184/AC445,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IFERROR(B186/B445, "NA")</f>
        <v>NA</v>
      </c>
      <c r="D186" s="9"/>
      <c r="E186" s="7">
        <v>0</v>
      </c>
      <c r="F186" s="8" t="str">
        <f>IFERROR(E186/E445, "NA")</f>
        <v>NA</v>
      </c>
      <c r="G186" s="9"/>
      <c r="H186" s="10">
        <f t="shared" ref="H186:H197" si="48">IFERROR(-(B186-E186), "NA")</f>
        <v>0</v>
      </c>
      <c r="I186" s="8" t="str">
        <f>IFERROR(H186/H445, "NA")</f>
        <v>NA</v>
      </c>
      <c r="J186" s="9"/>
      <c r="K186" s="7">
        <v>0</v>
      </c>
      <c r="L186" s="8" t="str">
        <f>IFERROR(K186/K445, "NA")</f>
        <v>NA</v>
      </c>
      <c r="M186" s="9"/>
      <c r="N186" s="10">
        <f t="shared" ref="N186:N197" si="49">IFERROR(-(B186-K186), "NA")</f>
        <v>0</v>
      </c>
      <c r="O186" s="8" t="str">
        <f>IFERROR(N186/N445, "NA")</f>
        <v>NA</v>
      </c>
      <c r="P186" s="9"/>
      <c r="Q186" s="7">
        <v>0</v>
      </c>
      <c r="R186" s="8" t="str">
        <f>IFERROR(Q186/Q445, "NA")</f>
        <v>NA</v>
      </c>
      <c r="S186" s="9"/>
      <c r="T186" s="7">
        <v>0</v>
      </c>
      <c r="U186" s="8" t="str">
        <f>IFERROR(T186/T445, "NA")</f>
        <v>NA</v>
      </c>
      <c r="V186" s="9"/>
      <c r="W186" s="10">
        <f t="shared" ref="W186:W197" si="50">IFERROR(-(Q186-T186), "NA")</f>
        <v>0</v>
      </c>
      <c r="X186" s="8" t="str">
        <f>IFERROR(W186/W445, "NA")</f>
        <v>NA</v>
      </c>
      <c r="Y186" s="9"/>
      <c r="Z186" s="7">
        <v>0</v>
      </c>
      <c r="AA186" s="8" t="str">
        <f>IFERROR(Z186/Z445, "NA")</f>
        <v>NA</v>
      </c>
      <c r="AB186" s="9"/>
      <c r="AC186" s="10">
        <f t="shared" ref="AC186:AC197" si="51">IFERROR(-(Q186-Z186), "NA")</f>
        <v>0</v>
      </c>
      <c r="AD186" s="8" t="str">
        <f>IFERROR(AC186/AC445,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IFERROR(B187/B445, "NA")</f>
        <v>NA</v>
      </c>
      <c r="D187" s="9"/>
      <c r="E187" s="7">
        <v>0</v>
      </c>
      <c r="F187" s="8" t="str">
        <f>IFERROR(E187/E445, "NA")</f>
        <v>NA</v>
      </c>
      <c r="G187" s="9"/>
      <c r="H187" s="10">
        <f t="shared" si="48"/>
        <v>0</v>
      </c>
      <c r="I187" s="8" t="str">
        <f>IFERROR(H187/H445, "NA")</f>
        <v>NA</v>
      </c>
      <c r="J187" s="9"/>
      <c r="K187" s="7">
        <v>0</v>
      </c>
      <c r="L187" s="8" t="str">
        <f>IFERROR(K187/K445, "NA")</f>
        <v>NA</v>
      </c>
      <c r="M187" s="9"/>
      <c r="N187" s="10">
        <f t="shared" si="49"/>
        <v>0</v>
      </c>
      <c r="O187" s="8" t="str">
        <f>IFERROR(N187/N445, "NA")</f>
        <v>NA</v>
      </c>
      <c r="P187" s="9"/>
      <c r="Q187" s="7">
        <v>0</v>
      </c>
      <c r="R187" s="8" t="str">
        <f>IFERROR(Q187/Q445, "NA")</f>
        <v>NA</v>
      </c>
      <c r="S187" s="9"/>
      <c r="T187" s="7">
        <v>0</v>
      </c>
      <c r="U187" s="8" t="str">
        <f>IFERROR(T187/T445, "NA")</f>
        <v>NA</v>
      </c>
      <c r="V187" s="9"/>
      <c r="W187" s="10">
        <f t="shared" si="50"/>
        <v>0</v>
      </c>
      <c r="X187" s="8" t="str">
        <f>IFERROR(W187/W445, "NA")</f>
        <v>NA</v>
      </c>
      <c r="Y187" s="9"/>
      <c r="Z187" s="7">
        <v>0</v>
      </c>
      <c r="AA187" s="8" t="str">
        <f>IFERROR(Z187/Z445, "NA")</f>
        <v>NA</v>
      </c>
      <c r="AB187" s="9"/>
      <c r="AC187" s="10">
        <f t="shared" si="51"/>
        <v>0</v>
      </c>
      <c r="AD187" s="8" t="str">
        <f>IFERROR(AC187/AC445,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IFERROR(B188/B445, "NA")</f>
        <v>NA</v>
      </c>
      <c r="D188" s="9"/>
      <c r="E188" s="7">
        <v>0</v>
      </c>
      <c r="F188" s="8" t="str">
        <f>IFERROR(E188/E445, "NA")</f>
        <v>NA</v>
      </c>
      <c r="G188" s="9"/>
      <c r="H188" s="10">
        <f t="shared" si="48"/>
        <v>0</v>
      </c>
      <c r="I188" s="8" t="str">
        <f>IFERROR(H188/H445, "NA")</f>
        <v>NA</v>
      </c>
      <c r="J188" s="9"/>
      <c r="K188" s="7">
        <v>0</v>
      </c>
      <c r="L188" s="8" t="str">
        <f>IFERROR(K188/K445, "NA")</f>
        <v>NA</v>
      </c>
      <c r="M188" s="9"/>
      <c r="N188" s="10">
        <f t="shared" si="49"/>
        <v>0</v>
      </c>
      <c r="O188" s="8" t="str">
        <f>IFERROR(N188/N445, "NA")</f>
        <v>NA</v>
      </c>
      <c r="P188" s="9"/>
      <c r="Q188" s="7">
        <v>0</v>
      </c>
      <c r="R188" s="8" t="str">
        <f>IFERROR(Q188/Q445, "NA")</f>
        <v>NA</v>
      </c>
      <c r="S188" s="9"/>
      <c r="T188" s="7">
        <v>0</v>
      </c>
      <c r="U188" s="8" t="str">
        <f>IFERROR(T188/T445, "NA")</f>
        <v>NA</v>
      </c>
      <c r="V188" s="9"/>
      <c r="W188" s="10">
        <f t="shared" si="50"/>
        <v>0</v>
      </c>
      <c r="X188" s="8" t="str">
        <f>IFERROR(W188/W445, "NA")</f>
        <v>NA</v>
      </c>
      <c r="Y188" s="9"/>
      <c r="Z188" s="7">
        <v>0</v>
      </c>
      <c r="AA188" s="8" t="str">
        <f>IFERROR(Z188/Z445, "NA")</f>
        <v>NA</v>
      </c>
      <c r="AB188" s="9"/>
      <c r="AC188" s="10">
        <f t="shared" si="51"/>
        <v>0</v>
      </c>
      <c r="AD188" s="8" t="str">
        <f>IFERROR(AC188/AC445,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IFERROR(B189/B445, "NA")</f>
        <v>NA</v>
      </c>
      <c r="D189" s="9"/>
      <c r="E189" s="7">
        <v>0</v>
      </c>
      <c r="F189" s="8" t="str">
        <f>IFERROR(E189/E445, "NA")</f>
        <v>NA</v>
      </c>
      <c r="G189" s="9"/>
      <c r="H189" s="10">
        <f t="shared" si="48"/>
        <v>0</v>
      </c>
      <c r="I189" s="8" t="str">
        <f>IFERROR(H189/H445, "NA")</f>
        <v>NA</v>
      </c>
      <c r="J189" s="9"/>
      <c r="K189" s="7">
        <v>0</v>
      </c>
      <c r="L189" s="8" t="str">
        <f>IFERROR(K189/K445, "NA")</f>
        <v>NA</v>
      </c>
      <c r="M189" s="9"/>
      <c r="N189" s="10">
        <f t="shared" si="49"/>
        <v>0</v>
      </c>
      <c r="O189" s="8" t="str">
        <f>IFERROR(N189/N445, "NA")</f>
        <v>NA</v>
      </c>
      <c r="P189" s="9"/>
      <c r="Q189" s="7">
        <v>0</v>
      </c>
      <c r="R189" s="8" t="str">
        <f>IFERROR(Q189/Q445, "NA")</f>
        <v>NA</v>
      </c>
      <c r="S189" s="9"/>
      <c r="T189" s="7">
        <v>0</v>
      </c>
      <c r="U189" s="8" t="str">
        <f>IFERROR(T189/T445, "NA")</f>
        <v>NA</v>
      </c>
      <c r="V189" s="9"/>
      <c r="W189" s="10">
        <f t="shared" si="50"/>
        <v>0</v>
      </c>
      <c r="X189" s="8" t="str">
        <f>IFERROR(W189/W445, "NA")</f>
        <v>NA</v>
      </c>
      <c r="Y189" s="9"/>
      <c r="Z189" s="7">
        <v>0</v>
      </c>
      <c r="AA189" s="8" t="str">
        <f>IFERROR(Z189/Z445, "NA")</f>
        <v>NA</v>
      </c>
      <c r="AB189" s="9"/>
      <c r="AC189" s="10">
        <f t="shared" si="51"/>
        <v>0</v>
      </c>
      <c r="AD189" s="8" t="str">
        <f>IFERROR(AC189/AC445,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IFERROR(B190/B445, "NA")</f>
        <v>NA</v>
      </c>
      <c r="D190" s="9"/>
      <c r="E190" s="7">
        <v>0</v>
      </c>
      <c r="F190" s="8" t="str">
        <f>IFERROR(E190/E445, "NA")</f>
        <v>NA</v>
      </c>
      <c r="G190" s="9"/>
      <c r="H190" s="10">
        <f t="shared" si="48"/>
        <v>0</v>
      </c>
      <c r="I190" s="8" t="str">
        <f>IFERROR(H190/H445, "NA")</f>
        <v>NA</v>
      </c>
      <c r="J190" s="9"/>
      <c r="K190" s="7">
        <v>0</v>
      </c>
      <c r="L190" s="8" t="str">
        <f>IFERROR(K190/K445, "NA")</f>
        <v>NA</v>
      </c>
      <c r="M190" s="9"/>
      <c r="N190" s="10">
        <f t="shared" si="49"/>
        <v>0</v>
      </c>
      <c r="O190" s="8" t="str">
        <f>IFERROR(N190/N445, "NA")</f>
        <v>NA</v>
      </c>
      <c r="P190" s="9"/>
      <c r="Q190" s="7">
        <v>0</v>
      </c>
      <c r="R190" s="8" t="str">
        <f>IFERROR(Q190/Q445, "NA")</f>
        <v>NA</v>
      </c>
      <c r="S190" s="9"/>
      <c r="T190" s="7">
        <v>0</v>
      </c>
      <c r="U190" s="8" t="str">
        <f>IFERROR(T190/T445, "NA")</f>
        <v>NA</v>
      </c>
      <c r="V190" s="9"/>
      <c r="W190" s="10">
        <f t="shared" si="50"/>
        <v>0</v>
      </c>
      <c r="X190" s="8" t="str">
        <f>IFERROR(W190/W445, "NA")</f>
        <v>NA</v>
      </c>
      <c r="Y190" s="9"/>
      <c r="Z190" s="7">
        <v>0</v>
      </c>
      <c r="AA190" s="8" t="str">
        <f>IFERROR(Z190/Z445, "NA")</f>
        <v>NA</v>
      </c>
      <c r="AB190" s="9"/>
      <c r="AC190" s="10">
        <f t="shared" si="51"/>
        <v>0</v>
      </c>
      <c r="AD190" s="8" t="str">
        <f>IFERROR(AC190/AC445,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IFERROR(B191/B445, "NA")</f>
        <v>NA</v>
      </c>
      <c r="D191" s="9"/>
      <c r="E191" s="7">
        <v>0</v>
      </c>
      <c r="F191" s="8" t="str">
        <f>IFERROR(E191/E445, "NA")</f>
        <v>NA</v>
      </c>
      <c r="G191" s="9"/>
      <c r="H191" s="10">
        <f t="shared" si="48"/>
        <v>0</v>
      </c>
      <c r="I191" s="8" t="str">
        <f>IFERROR(H191/H445, "NA")</f>
        <v>NA</v>
      </c>
      <c r="J191" s="9"/>
      <c r="K191" s="7">
        <v>0</v>
      </c>
      <c r="L191" s="8" t="str">
        <f>IFERROR(K191/K445, "NA")</f>
        <v>NA</v>
      </c>
      <c r="M191" s="9"/>
      <c r="N191" s="10">
        <f t="shared" si="49"/>
        <v>0</v>
      </c>
      <c r="O191" s="8" t="str">
        <f>IFERROR(N191/N445, "NA")</f>
        <v>NA</v>
      </c>
      <c r="P191" s="9"/>
      <c r="Q191" s="7">
        <v>0</v>
      </c>
      <c r="R191" s="8" t="str">
        <f>IFERROR(Q191/Q445, "NA")</f>
        <v>NA</v>
      </c>
      <c r="S191" s="9"/>
      <c r="T191" s="7">
        <v>0</v>
      </c>
      <c r="U191" s="8" t="str">
        <f>IFERROR(T191/T445, "NA")</f>
        <v>NA</v>
      </c>
      <c r="V191" s="9"/>
      <c r="W191" s="10">
        <f t="shared" si="50"/>
        <v>0</v>
      </c>
      <c r="X191" s="8" t="str">
        <f>IFERROR(W191/W445, "NA")</f>
        <v>NA</v>
      </c>
      <c r="Y191" s="9"/>
      <c r="Z191" s="7">
        <v>0</v>
      </c>
      <c r="AA191" s="8" t="str">
        <f>IFERROR(Z191/Z445, "NA")</f>
        <v>NA</v>
      </c>
      <c r="AB191" s="9"/>
      <c r="AC191" s="10">
        <f t="shared" si="51"/>
        <v>0</v>
      </c>
      <c r="AD191" s="8" t="str">
        <f>IFERROR(AC191/AC445,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IFERROR(B192/B445, "NA")</f>
        <v>NA</v>
      </c>
      <c r="D192" s="9"/>
      <c r="E192" s="7">
        <v>0</v>
      </c>
      <c r="F192" s="8" t="str">
        <f>IFERROR(E192/E445, "NA")</f>
        <v>NA</v>
      </c>
      <c r="G192" s="9"/>
      <c r="H192" s="10">
        <f t="shared" si="48"/>
        <v>0</v>
      </c>
      <c r="I192" s="8" t="str">
        <f>IFERROR(H192/H445, "NA")</f>
        <v>NA</v>
      </c>
      <c r="J192" s="9"/>
      <c r="K192" s="7">
        <v>0</v>
      </c>
      <c r="L192" s="8" t="str">
        <f>IFERROR(K192/K445, "NA")</f>
        <v>NA</v>
      </c>
      <c r="M192" s="9"/>
      <c r="N192" s="10">
        <f t="shared" si="49"/>
        <v>0</v>
      </c>
      <c r="O192" s="8" t="str">
        <f>IFERROR(N192/N445, "NA")</f>
        <v>NA</v>
      </c>
      <c r="P192" s="9"/>
      <c r="Q192" s="7">
        <v>0</v>
      </c>
      <c r="R192" s="8" t="str">
        <f>IFERROR(Q192/Q445, "NA")</f>
        <v>NA</v>
      </c>
      <c r="S192" s="9"/>
      <c r="T192" s="7">
        <v>0</v>
      </c>
      <c r="U192" s="8" t="str">
        <f>IFERROR(T192/T445, "NA")</f>
        <v>NA</v>
      </c>
      <c r="V192" s="9"/>
      <c r="W192" s="10">
        <f t="shared" si="50"/>
        <v>0</v>
      </c>
      <c r="X192" s="8" t="str">
        <f>IFERROR(W192/W445, "NA")</f>
        <v>NA</v>
      </c>
      <c r="Y192" s="9"/>
      <c r="Z192" s="7">
        <v>0</v>
      </c>
      <c r="AA192" s="8" t="str">
        <f>IFERROR(Z192/Z445, "NA")</f>
        <v>NA</v>
      </c>
      <c r="AB192" s="9"/>
      <c r="AC192" s="10">
        <f t="shared" si="51"/>
        <v>0</v>
      </c>
      <c r="AD192" s="8" t="str">
        <f>IFERROR(AC192/AC445,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IFERROR(B193/B445, "NA")</f>
        <v>NA</v>
      </c>
      <c r="D193" s="2"/>
      <c r="E193" s="14">
        <f>IFERROR(E186+E187+E188+E189+E190+E191+E192, "NA")</f>
        <v>0</v>
      </c>
      <c r="F193" s="15" t="str">
        <f>IFERROR(E193/E445, "NA")</f>
        <v>NA</v>
      </c>
      <c r="G193" s="2"/>
      <c r="H193" s="14">
        <f t="shared" si="48"/>
        <v>0</v>
      </c>
      <c r="I193" s="15" t="str">
        <f>IFERROR(H193/H445, "NA")</f>
        <v>NA</v>
      </c>
      <c r="J193" s="2"/>
      <c r="K193" s="14">
        <f>IFERROR(K186+K187+K188+K189+K190+K191+K192, "NA")</f>
        <v>0</v>
      </c>
      <c r="L193" s="15" t="str">
        <f>IFERROR(K193/K445, "NA")</f>
        <v>NA</v>
      </c>
      <c r="M193" s="2"/>
      <c r="N193" s="14">
        <f t="shared" si="49"/>
        <v>0</v>
      </c>
      <c r="O193" s="15" t="str">
        <f>IFERROR(N193/N445, "NA")</f>
        <v>NA</v>
      </c>
      <c r="P193" s="2"/>
      <c r="Q193" s="14">
        <f>IFERROR(Q186+Q187+Q188+Q189+Q190+Q191+Q192, "NA")</f>
        <v>0</v>
      </c>
      <c r="R193" s="15" t="str">
        <f>IFERROR(Q193/Q445, "NA")</f>
        <v>NA</v>
      </c>
      <c r="S193" s="2"/>
      <c r="T193" s="14">
        <f>IFERROR(T186+T187+T188+T189+T190+T191+T192, "NA")</f>
        <v>0</v>
      </c>
      <c r="U193" s="15" t="str">
        <f>IFERROR(T193/T445, "NA")</f>
        <v>NA</v>
      </c>
      <c r="V193" s="2"/>
      <c r="W193" s="14">
        <f t="shared" si="50"/>
        <v>0</v>
      </c>
      <c r="X193" s="15" t="str">
        <f>IFERROR(W193/W445, "NA")</f>
        <v>NA</v>
      </c>
      <c r="Y193" s="2"/>
      <c r="Z193" s="14">
        <f>IFERROR(Z186+Z187+Z188+Z189+Z190+Z191+Z192, "NA")</f>
        <v>0</v>
      </c>
      <c r="AA193" s="15" t="str">
        <f>IFERROR(Z193/Z445, "NA")</f>
        <v>NA</v>
      </c>
      <c r="AB193" s="2"/>
      <c r="AC193" s="14">
        <f t="shared" si="51"/>
        <v>0</v>
      </c>
      <c r="AD193" s="15" t="str">
        <f>IFERROR(AC193/AC445,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IFERROR(B194/B445, "NA")</f>
        <v>NA</v>
      </c>
      <c r="D194" s="9"/>
      <c r="E194" s="7">
        <v>0</v>
      </c>
      <c r="F194" s="8" t="str">
        <f>IFERROR(E194/E445, "NA")</f>
        <v>NA</v>
      </c>
      <c r="G194" s="9"/>
      <c r="H194" s="10">
        <f t="shared" si="48"/>
        <v>0</v>
      </c>
      <c r="I194" s="8" t="str">
        <f>IFERROR(H194/H445, "NA")</f>
        <v>NA</v>
      </c>
      <c r="J194" s="9"/>
      <c r="K194" s="7">
        <v>0</v>
      </c>
      <c r="L194" s="8" t="str">
        <f>IFERROR(K194/K445, "NA")</f>
        <v>NA</v>
      </c>
      <c r="M194" s="9"/>
      <c r="N194" s="10">
        <f t="shared" si="49"/>
        <v>0</v>
      </c>
      <c r="O194" s="8" t="str">
        <f>IFERROR(N194/N445, "NA")</f>
        <v>NA</v>
      </c>
      <c r="P194" s="9"/>
      <c r="Q194" s="7">
        <v>0</v>
      </c>
      <c r="R194" s="8" t="str">
        <f>IFERROR(Q194/Q445, "NA")</f>
        <v>NA</v>
      </c>
      <c r="S194" s="9"/>
      <c r="T194" s="7">
        <v>0</v>
      </c>
      <c r="U194" s="8" t="str">
        <f>IFERROR(T194/T445, "NA")</f>
        <v>NA</v>
      </c>
      <c r="V194" s="9"/>
      <c r="W194" s="10">
        <f t="shared" si="50"/>
        <v>0</v>
      </c>
      <c r="X194" s="8" t="str">
        <f>IFERROR(W194/W445, "NA")</f>
        <v>NA</v>
      </c>
      <c r="Y194" s="9"/>
      <c r="Z194" s="7">
        <v>0</v>
      </c>
      <c r="AA194" s="8" t="str">
        <f>IFERROR(Z194/Z445, "NA")</f>
        <v>NA</v>
      </c>
      <c r="AB194" s="9"/>
      <c r="AC194" s="10">
        <f t="shared" si="51"/>
        <v>0</v>
      </c>
      <c r="AD194" s="8" t="str">
        <f>IFERROR(AC194/AC445,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IFERROR(B195/B445, "NA")</f>
        <v>NA</v>
      </c>
      <c r="D195" s="9"/>
      <c r="E195" s="7">
        <v>0</v>
      </c>
      <c r="F195" s="8" t="str">
        <f>IFERROR(E195/E445, "NA")</f>
        <v>NA</v>
      </c>
      <c r="G195" s="9"/>
      <c r="H195" s="10">
        <f t="shared" si="48"/>
        <v>0</v>
      </c>
      <c r="I195" s="8" t="str">
        <f>IFERROR(H195/H445, "NA")</f>
        <v>NA</v>
      </c>
      <c r="J195" s="9"/>
      <c r="K195" s="7">
        <v>0</v>
      </c>
      <c r="L195" s="8" t="str">
        <f>IFERROR(K195/K445, "NA")</f>
        <v>NA</v>
      </c>
      <c r="M195" s="9"/>
      <c r="N195" s="10">
        <f t="shared" si="49"/>
        <v>0</v>
      </c>
      <c r="O195" s="8" t="str">
        <f>IFERROR(N195/N445, "NA")</f>
        <v>NA</v>
      </c>
      <c r="P195" s="9"/>
      <c r="Q195" s="7">
        <v>0</v>
      </c>
      <c r="R195" s="8" t="str">
        <f>IFERROR(Q195/Q445, "NA")</f>
        <v>NA</v>
      </c>
      <c r="S195" s="9"/>
      <c r="T195" s="7">
        <v>0</v>
      </c>
      <c r="U195" s="8" t="str">
        <f>IFERROR(T195/T445, "NA")</f>
        <v>NA</v>
      </c>
      <c r="V195" s="9"/>
      <c r="W195" s="10">
        <f t="shared" si="50"/>
        <v>0</v>
      </c>
      <c r="X195" s="8" t="str">
        <f>IFERROR(W195/W445, "NA")</f>
        <v>NA</v>
      </c>
      <c r="Y195" s="9"/>
      <c r="Z195" s="7">
        <v>0</v>
      </c>
      <c r="AA195" s="8" t="str">
        <f>IFERROR(Z195/Z445, "NA")</f>
        <v>NA</v>
      </c>
      <c r="AB195" s="9"/>
      <c r="AC195" s="10">
        <f t="shared" si="51"/>
        <v>0</v>
      </c>
      <c r="AD195" s="8" t="str">
        <f>IFERROR(AC195/AC445,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IFERROR(B196/B445,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IFERROR(E196/E445, "NA")</f>
        <v>NA</v>
      </c>
      <c r="G196" s="2"/>
      <c r="H196" s="14">
        <f t="shared" si="48"/>
        <v>0</v>
      </c>
      <c r="I196" s="15" t="str">
        <f>IFERROR(H196/H445,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IFERROR(K196/K445, "NA")</f>
        <v>NA</v>
      </c>
      <c r="M196" s="2"/>
      <c r="N196" s="14">
        <f t="shared" si="49"/>
        <v>0</v>
      </c>
      <c r="O196" s="15" t="str">
        <f>IFERROR(N196/N445,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IFERROR(Q196/Q445,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IFERROR(T196/T445, "NA")</f>
        <v>NA</v>
      </c>
      <c r="V196" s="2"/>
      <c r="W196" s="14">
        <f t="shared" si="50"/>
        <v>0</v>
      </c>
      <c r="X196" s="15" t="str">
        <f>IFERROR(W196/W445,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IFERROR(Z196/Z445, "NA")</f>
        <v>NA</v>
      </c>
      <c r="AB196" s="2"/>
      <c r="AC196" s="14">
        <f t="shared" si="51"/>
        <v>0</v>
      </c>
      <c r="AD196" s="15" t="str">
        <f>IFERROR(AC196/AC445,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IFERROR(B197/B445,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IFERROR(E197/E445, "NA")</f>
        <v>NA</v>
      </c>
      <c r="G197" s="2"/>
      <c r="H197" s="14">
        <f t="shared" si="48"/>
        <v>0</v>
      </c>
      <c r="I197" s="15" t="str">
        <f>IFERROR(H197/H445,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IFERROR(K197/K445, "NA")</f>
        <v>NA</v>
      </c>
      <c r="M197" s="2"/>
      <c r="N197" s="14">
        <f t="shared" si="49"/>
        <v>0</v>
      </c>
      <c r="O197" s="15" t="str">
        <f>IFERROR(N197/N445,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IFERROR(Q197/Q445,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IFERROR(T197/T445, "NA")</f>
        <v>NA</v>
      </c>
      <c r="V197" s="2"/>
      <c r="W197" s="14">
        <f t="shared" si="50"/>
        <v>0</v>
      </c>
      <c r="X197" s="15" t="str">
        <f>IFERROR(W197/W445,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IFERROR(Z197/Z445, "NA")</f>
        <v>NA</v>
      </c>
      <c r="AB197" s="2"/>
      <c r="AC197" s="14">
        <f t="shared" si="51"/>
        <v>0</v>
      </c>
      <c r="AD197" s="15" t="str">
        <f>IFERROR(AC197/AC445,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IFERROR(B198/B445, "NA")</f>
        <v>NA</v>
      </c>
      <c r="D198" s="25"/>
      <c r="E198" s="23">
        <f>IFERROR(E172-E197, "NA")</f>
        <v>0</v>
      </c>
      <c r="F198" s="24" t="str">
        <f>IFERROR(E198/E445, "NA")</f>
        <v>NA</v>
      </c>
      <c r="G198" s="25"/>
      <c r="H198" s="23">
        <f>IFERROR(B198-E198, "NA")</f>
        <v>0</v>
      </c>
      <c r="I198" s="24" t="str">
        <f>IFERROR(H198/H445, "NA")</f>
        <v>NA</v>
      </c>
      <c r="J198" s="25"/>
      <c r="K198" s="23">
        <f>IFERROR(K172-K197, "NA")</f>
        <v>0</v>
      </c>
      <c r="L198" s="24" t="str">
        <f>IFERROR(K198/K445, "NA")</f>
        <v>NA</v>
      </c>
      <c r="M198" s="25"/>
      <c r="N198" s="23">
        <f>IFERROR(B198-K198, "NA")</f>
        <v>0</v>
      </c>
      <c r="O198" s="24" t="str">
        <f>IFERROR(N198/N445, "NA")</f>
        <v>NA</v>
      </c>
      <c r="P198" s="25"/>
      <c r="Q198" s="23">
        <f>IFERROR(Q172-Q197, "NA")</f>
        <v>0</v>
      </c>
      <c r="R198" s="24" t="str">
        <f>IFERROR(Q198/Q445, "NA")</f>
        <v>NA</v>
      </c>
      <c r="S198" s="25"/>
      <c r="T198" s="23">
        <f>IFERROR(T172-T197, "NA")</f>
        <v>0</v>
      </c>
      <c r="U198" s="24" t="str">
        <f>IFERROR(T198/T445, "NA")</f>
        <v>NA</v>
      </c>
      <c r="V198" s="25"/>
      <c r="W198" s="23">
        <f>IFERROR(Q198-T198, "NA")</f>
        <v>0</v>
      </c>
      <c r="X198" s="24" t="str">
        <f>IFERROR(W198/W445, "NA")</f>
        <v>NA</v>
      </c>
      <c r="Y198" s="25"/>
      <c r="Z198" s="23">
        <f>IFERROR(Z172-Z197, "NA")</f>
        <v>0</v>
      </c>
      <c r="AA198" s="24" t="str">
        <f>IFERROR(Z198/Z445, "NA")</f>
        <v>NA</v>
      </c>
      <c r="AB198" s="25"/>
      <c r="AC198" s="23">
        <f>IFERROR(Q198-Z198, "NA")</f>
        <v>0</v>
      </c>
      <c r="AD198" s="24" t="str">
        <f>IFERROR(AC198/AC445,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IFERROR(B201/B445, "NA")</f>
        <v>NA</v>
      </c>
      <c r="D201" s="9"/>
      <c r="E201" s="7">
        <v>0</v>
      </c>
      <c r="F201" s="8" t="str">
        <f>IFERROR(E201/E445, "NA")</f>
        <v>NA</v>
      </c>
      <c r="G201" s="9"/>
      <c r="H201" s="10">
        <f t="shared" ref="H201:H209" si="52">IFERROR(-(B201-E201), "NA")</f>
        <v>0</v>
      </c>
      <c r="I201" s="8" t="str">
        <f>IFERROR(H201/H445, "NA")</f>
        <v>NA</v>
      </c>
      <c r="J201" s="9"/>
      <c r="K201" s="7">
        <v>0</v>
      </c>
      <c r="L201" s="8" t="str">
        <f>IFERROR(K201/K445, "NA")</f>
        <v>NA</v>
      </c>
      <c r="M201" s="9"/>
      <c r="N201" s="10">
        <f t="shared" ref="N201:N209" si="53">IFERROR(-(B201-K201), "NA")</f>
        <v>0</v>
      </c>
      <c r="O201" s="8" t="str">
        <f>IFERROR(N201/N445, "NA")</f>
        <v>NA</v>
      </c>
      <c r="P201" s="9"/>
      <c r="Q201" s="7">
        <v>0</v>
      </c>
      <c r="R201" s="8" t="str">
        <f>IFERROR(Q201/Q445, "NA")</f>
        <v>NA</v>
      </c>
      <c r="S201" s="9"/>
      <c r="T201" s="7">
        <v>0</v>
      </c>
      <c r="U201" s="8" t="str">
        <f>IFERROR(T201/T445, "NA")</f>
        <v>NA</v>
      </c>
      <c r="V201" s="9"/>
      <c r="W201" s="10">
        <f t="shared" ref="W201:W209" si="54">IFERROR(-(Q201-T201), "NA")</f>
        <v>0</v>
      </c>
      <c r="X201" s="8" t="str">
        <f>IFERROR(W201/W445, "NA")</f>
        <v>NA</v>
      </c>
      <c r="Y201" s="9"/>
      <c r="Z201" s="7">
        <v>0</v>
      </c>
      <c r="AA201" s="8" t="str">
        <f>IFERROR(Z201/Z445, "NA")</f>
        <v>NA</v>
      </c>
      <c r="AB201" s="9"/>
      <c r="AC201" s="10">
        <f t="shared" ref="AC201:AC209" si="55">IFERROR(-(Q201-Z201), "NA")</f>
        <v>0</v>
      </c>
      <c r="AD201" s="8" t="str">
        <f>IFERROR(AC201/AC445,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IFERROR(B202/B445, "NA")</f>
        <v>NA</v>
      </c>
      <c r="D202" s="9"/>
      <c r="E202" s="7">
        <v>0</v>
      </c>
      <c r="F202" s="8" t="str">
        <f>IFERROR(E202/E445, "NA")</f>
        <v>NA</v>
      </c>
      <c r="G202" s="9"/>
      <c r="H202" s="10">
        <f t="shared" si="52"/>
        <v>0</v>
      </c>
      <c r="I202" s="8" t="str">
        <f>IFERROR(H202/H445, "NA")</f>
        <v>NA</v>
      </c>
      <c r="J202" s="9"/>
      <c r="K202" s="7">
        <v>0</v>
      </c>
      <c r="L202" s="8" t="str">
        <f>IFERROR(K202/K445, "NA")</f>
        <v>NA</v>
      </c>
      <c r="M202" s="9"/>
      <c r="N202" s="10">
        <f t="shared" si="53"/>
        <v>0</v>
      </c>
      <c r="O202" s="8" t="str">
        <f>IFERROR(N202/N445, "NA")</f>
        <v>NA</v>
      </c>
      <c r="P202" s="9"/>
      <c r="Q202" s="7">
        <v>0</v>
      </c>
      <c r="R202" s="8" t="str">
        <f>IFERROR(Q202/Q445, "NA")</f>
        <v>NA</v>
      </c>
      <c r="S202" s="9"/>
      <c r="T202" s="7">
        <v>0</v>
      </c>
      <c r="U202" s="8" t="str">
        <f>IFERROR(T202/T445, "NA")</f>
        <v>NA</v>
      </c>
      <c r="V202" s="9"/>
      <c r="W202" s="10">
        <f t="shared" si="54"/>
        <v>0</v>
      </c>
      <c r="X202" s="8" t="str">
        <f>IFERROR(W202/W445, "NA")</f>
        <v>NA</v>
      </c>
      <c r="Y202" s="9"/>
      <c r="Z202" s="7">
        <v>0</v>
      </c>
      <c r="AA202" s="8" t="str">
        <f>IFERROR(Z202/Z445, "NA")</f>
        <v>NA</v>
      </c>
      <c r="AB202" s="9"/>
      <c r="AC202" s="10">
        <f t="shared" si="55"/>
        <v>0</v>
      </c>
      <c r="AD202" s="8" t="str">
        <f>IFERROR(AC202/AC445,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IFERROR(B203/B445, "NA")</f>
        <v>NA</v>
      </c>
      <c r="D203" s="9"/>
      <c r="E203" s="7">
        <v>0</v>
      </c>
      <c r="F203" s="8" t="str">
        <f>IFERROR(E203/E445, "NA")</f>
        <v>NA</v>
      </c>
      <c r="G203" s="9"/>
      <c r="H203" s="10">
        <f t="shared" si="52"/>
        <v>0</v>
      </c>
      <c r="I203" s="8" t="str">
        <f>IFERROR(H203/H445, "NA")</f>
        <v>NA</v>
      </c>
      <c r="J203" s="9"/>
      <c r="K203" s="7">
        <v>0</v>
      </c>
      <c r="L203" s="8" t="str">
        <f>IFERROR(K203/K445, "NA")</f>
        <v>NA</v>
      </c>
      <c r="M203" s="9"/>
      <c r="N203" s="10">
        <f t="shared" si="53"/>
        <v>0</v>
      </c>
      <c r="O203" s="8" t="str">
        <f>IFERROR(N203/N445, "NA")</f>
        <v>NA</v>
      </c>
      <c r="P203" s="9"/>
      <c r="Q203" s="7">
        <v>0</v>
      </c>
      <c r="R203" s="8" t="str">
        <f>IFERROR(Q203/Q445, "NA")</f>
        <v>NA</v>
      </c>
      <c r="S203" s="9"/>
      <c r="T203" s="7">
        <v>0</v>
      </c>
      <c r="U203" s="8" t="str">
        <f>IFERROR(T203/T445, "NA")</f>
        <v>NA</v>
      </c>
      <c r="V203" s="9"/>
      <c r="W203" s="10">
        <f t="shared" si="54"/>
        <v>0</v>
      </c>
      <c r="X203" s="8" t="str">
        <f>IFERROR(W203/W445, "NA")</f>
        <v>NA</v>
      </c>
      <c r="Y203" s="9"/>
      <c r="Z203" s="7">
        <v>0</v>
      </c>
      <c r="AA203" s="8" t="str">
        <f>IFERROR(Z203/Z445, "NA")</f>
        <v>NA</v>
      </c>
      <c r="AB203" s="9"/>
      <c r="AC203" s="10">
        <f t="shared" si="55"/>
        <v>0</v>
      </c>
      <c r="AD203" s="8" t="str">
        <f>IFERROR(AC203/AC445,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IFERROR(B204/B445, "NA")</f>
        <v>NA</v>
      </c>
      <c r="D204" s="9"/>
      <c r="E204" s="7">
        <v>0</v>
      </c>
      <c r="F204" s="8" t="str">
        <f>IFERROR(E204/E445, "NA")</f>
        <v>NA</v>
      </c>
      <c r="G204" s="9"/>
      <c r="H204" s="10">
        <f t="shared" si="52"/>
        <v>0</v>
      </c>
      <c r="I204" s="8" t="str">
        <f>IFERROR(H204/H445, "NA")</f>
        <v>NA</v>
      </c>
      <c r="J204" s="9"/>
      <c r="K204" s="7">
        <v>0</v>
      </c>
      <c r="L204" s="8" t="str">
        <f>IFERROR(K204/K445, "NA")</f>
        <v>NA</v>
      </c>
      <c r="M204" s="9"/>
      <c r="N204" s="10">
        <f t="shared" si="53"/>
        <v>0</v>
      </c>
      <c r="O204" s="8" t="str">
        <f>IFERROR(N204/N445, "NA")</f>
        <v>NA</v>
      </c>
      <c r="P204" s="9"/>
      <c r="Q204" s="7">
        <v>0</v>
      </c>
      <c r="R204" s="8" t="str">
        <f>IFERROR(Q204/Q445, "NA")</f>
        <v>NA</v>
      </c>
      <c r="S204" s="9"/>
      <c r="T204" s="7">
        <v>0</v>
      </c>
      <c r="U204" s="8" t="str">
        <f>IFERROR(T204/T445, "NA")</f>
        <v>NA</v>
      </c>
      <c r="V204" s="9"/>
      <c r="W204" s="10">
        <f t="shared" si="54"/>
        <v>0</v>
      </c>
      <c r="X204" s="8" t="str">
        <f>IFERROR(W204/W445, "NA")</f>
        <v>NA</v>
      </c>
      <c r="Y204" s="9"/>
      <c r="Z204" s="7">
        <v>0</v>
      </c>
      <c r="AA204" s="8" t="str">
        <f>IFERROR(Z204/Z445, "NA")</f>
        <v>NA</v>
      </c>
      <c r="AB204" s="9"/>
      <c r="AC204" s="10">
        <f t="shared" si="55"/>
        <v>0</v>
      </c>
      <c r="AD204" s="8" t="str">
        <f>IFERROR(AC204/AC445,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IFERROR(B205/B445, "NA")</f>
        <v>NA</v>
      </c>
      <c r="D205" s="9"/>
      <c r="E205" s="7">
        <v>0</v>
      </c>
      <c r="F205" s="8" t="str">
        <f>IFERROR(E205/E445, "NA")</f>
        <v>NA</v>
      </c>
      <c r="G205" s="9"/>
      <c r="H205" s="10">
        <f t="shared" si="52"/>
        <v>0</v>
      </c>
      <c r="I205" s="8" t="str">
        <f>IFERROR(H205/H445, "NA")</f>
        <v>NA</v>
      </c>
      <c r="J205" s="9"/>
      <c r="K205" s="7">
        <v>0</v>
      </c>
      <c r="L205" s="8" t="str">
        <f>IFERROR(K205/K445, "NA")</f>
        <v>NA</v>
      </c>
      <c r="M205" s="9"/>
      <c r="N205" s="10">
        <f t="shared" si="53"/>
        <v>0</v>
      </c>
      <c r="O205" s="8" t="str">
        <f>IFERROR(N205/N445, "NA")</f>
        <v>NA</v>
      </c>
      <c r="P205" s="9"/>
      <c r="Q205" s="7">
        <v>0</v>
      </c>
      <c r="R205" s="8" t="str">
        <f>IFERROR(Q205/Q445, "NA")</f>
        <v>NA</v>
      </c>
      <c r="S205" s="9"/>
      <c r="T205" s="7">
        <v>0</v>
      </c>
      <c r="U205" s="8" t="str">
        <f>IFERROR(T205/T445, "NA")</f>
        <v>NA</v>
      </c>
      <c r="V205" s="9"/>
      <c r="W205" s="10">
        <f t="shared" si="54"/>
        <v>0</v>
      </c>
      <c r="X205" s="8" t="str">
        <f>IFERROR(W205/W445, "NA")</f>
        <v>NA</v>
      </c>
      <c r="Y205" s="9"/>
      <c r="Z205" s="7">
        <v>0</v>
      </c>
      <c r="AA205" s="8" t="str">
        <f>IFERROR(Z205/Z445, "NA")</f>
        <v>NA</v>
      </c>
      <c r="AB205" s="9"/>
      <c r="AC205" s="10">
        <f t="shared" si="55"/>
        <v>0</v>
      </c>
      <c r="AD205" s="8" t="str">
        <f>IFERROR(AC205/AC445,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IFERROR(B206/B445, "NA")</f>
        <v>NA</v>
      </c>
      <c r="D206" s="9"/>
      <c r="E206" s="7">
        <v>0</v>
      </c>
      <c r="F206" s="8" t="str">
        <f>IFERROR(E206/E445, "NA")</f>
        <v>NA</v>
      </c>
      <c r="G206" s="9"/>
      <c r="H206" s="10">
        <f t="shared" si="52"/>
        <v>0</v>
      </c>
      <c r="I206" s="8" t="str">
        <f>IFERROR(H206/H445, "NA")</f>
        <v>NA</v>
      </c>
      <c r="J206" s="9"/>
      <c r="K206" s="7">
        <v>0</v>
      </c>
      <c r="L206" s="8" t="str">
        <f>IFERROR(K206/K445, "NA")</f>
        <v>NA</v>
      </c>
      <c r="M206" s="9"/>
      <c r="N206" s="10">
        <f t="shared" si="53"/>
        <v>0</v>
      </c>
      <c r="O206" s="8" t="str">
        <f>IFERROR(N206/N445, "NA")</f>
        <v>NA</v>
      </c>
      <c r="P206" s="9"/>
      <c r="Q206" s="7">
        <v>0</v>
      </c>
      <c r="R206" s="8" t="str">
        <f>IFERROR(Q206/Q445, "NA")</f>
        <v>NA</v>
      </c>
      <c r="S206" s="9"/>
      <c r="T206" s="7">
        <v>0</v>
      </c>
      <c r="U206" s="8" t="str">
        <f>IFERROR(T206/T445, "NA")</f>
        <v>NA</v>
      </c>
      <c r="V206" s="9"/>
      <c r="W206" s="10">
        <f t="shared" si="54"/>
        <v>0</v>
      </c>
      <c r="X206" s="8" t="str">
        <f>IFERROR(W206/W445, "NA")</f>
        <v>NA</v>
      </c>
      <c r="Y206" s="9"/>
      <c r="Z206" s="7">
        <v>0</v>
      </c>
      <c r="AA206" s="8" t="str">
        <f>IFERROR(Z206/Z445, "NA")</f>
        <v>NA</v>
      </c>
      <c r="AB206" s="9"/>
      <c r="AC206" s="10">
        <f t="shared" si="55"/>
        <v>0</v>
      </c>
      <c r="AD206" s="8" t="str">
        <f>IFERROR(AC206/AC445,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IFERROR(B207/B445, "NA")</f>
        <v>NA</v>
      </c>
      <c r="D207" s="9"/>
      <c r="E207" s="7">
        <v>0</v>
      </c>
      <c r="F207" s="8" t="str">
        <f>IFERROR(E207/E445, "NA")</f>
        <v>NA</v>
      </c>
      <c r="G207" s="9"/>
      <c r="H207" s="10">
        <f t="shared" si="52"/>
        <v>0</v>
      </c>
      <c r="I207" s="8" t="str">
        <f>IFERROR(H207/H445, "NA")</f>
        <v>NA</v>
      </c>
      <c r="J207" s="9"/>
      <c r="K207" s="7">
        <v>0</v>
      </c>
      <c r="L207" s="8" t="str">
        <f>IFERROR(K207/K445, "NA")</f>
        <v>NA</v>
      </c>
      <c r="M207" s="9"/>
      <c r="N207" s="10">
        <f t="shared" si="53"/>
        <v>0</v>
      </c>
      <c r="O207" s="8" t="str">
        <f>IFERROR(N207/N445, "NA")</f>
        <v>NA</v>
      </c>
      <c r="P207" s="9"/>
      <c r="Q207" s="7">
        <v>0</v>
      </c>
      <c r="R207" s="8" t="str">
        <f>IFERROR(Q207/Q445, "NA")</f>
        <v>NA</v>
      </c>
      <c r="S207" s="9"/>
      <c r="T207" s="7">
        <v>0</v>
      </c>
      <c r="U207" s="8" t="str">
        <f>IFERROR(T207/T445, "NA")</f>
        <v>NA</v>
      </c>
      <c r="V207" s="9"/>
      <c r="W207" s="10">
        <f t="shared" si="54"/>
        <v>0</v>
      </c>
      <c r="X207" s="8" t="str">
        <f>IFERROR(W207/W445, "NA")</f>
        <v>NA</v>
      </c>
      <c r="Y207" s="9"/>
      <c r="Z207" s="7">
        <v>0</v>
      </c>
      <c r="AA207" s="8" t="str">
        <f>IFERROR(Z207/Z445, "NA")</f>
        <v>NA</v>
      </c>
      <c r="AB207" s="9"/>
      <c r="AC207" s="10">
        <f t="shared" si="55"/>
        <v>0</v>
      </c>
      <c r="AD207" s="8" t="str">
        <f>IFERROR(AC207/AC445,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IFERROR(B208/B445, "NA")</f>
        <v>NA</v>
      </c>
      <c r="D208" s="9"/>
      <c r="E208" s="7">
        <v>0</v>
      </c>
      <c r="F208" s="8" t="str">
        <f>IFERROR(E208/E445, "NA")</f>
        <v>NA</v>
      </c>
      <c r="G208" s="9"/>
      <c r="H208" s="10">
        <f t="shared" si="52"/>
        <v>0</v>
      </c>
      <c r="I208" s="8" t="str">
        <f>IFERROR(H208/H445, "NA")</f>
        <v>NA</v>
      </c>
      <c r="J208" s="9"/>
      <c r="K208" s="7">
        <v>0</v>
      </c>
      <c r="L208" s="8" t="str">
        <f>IFERROR(K208/K445, "NA")</f>
        <v>NA</v>
      </c>
      <c r="M208" s="9"/>
      <c r="N208" s="10">
        <f t="shared" si="53"/>
        <v>0</v>
      </c>
      <c r="O208" s="8" t="str">
        <f>IFERROR(N208/N445, "NA")</f>
        <v>NA</v>
      </c>
      <c r="P208" s="9"/>
      <c r="Q208" s="7">
        <v>0</v>
      </c>
      <c r="R208" s="8" t="str">
        <f>IFERROR(Q208/Q445, "NA")</f>
        <v>NA</v>
      </c>
      <c r="S208" s="9"/>
      <c r="T208" s="7">
        <v>0</v>
      </c>
      <c r="U208" s="8" t="str">
        <f>IFERROR(T208/T445, "NA")</f>
        <v>NA</v>
      </c>
      <c r="V208" s="9"/>
      <c r="W208" s="10">
        <f t="shared" si="54"/>
        <v>0</v>
      </c>
      <c r="X208" s="8" t="str">
        <f>IFERROR(W208/W445, "NA")</f>
        <v>NA</v>
      </c>
      <c r="Y208" s="9"/>
      <c r="Z208" s="7">
        <v>0</v>
      </c>
      <c r="AA208" s="8" t="str">
        <f>IFERROR(Z208/Z445, "NA")</f>
        <v>NA</v>
      </c>
      <c r="AB208" s="9"/>
      <c r="AC208" s="10">
        <f t="shared" si="55"/>
        <v>0</v>
      </c>
      <c r="AD208" s="8" t="str">
        <f>IFERROR(AC208/AC445,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IFERROR(B209/B445, "NA")</f>
        <v>NA</v>
      </c>
      <c r="D209" s="2"/>
      <c r="E209" s="14">
        <f>IFERROR(E201+E202+E203+E204+E205+E206+E207+E208, "NA")</f>
        <v>0</v>
      </c>
      <c r="F209" s="15" t="str">
        <f>IFERROR(E209/E445, "NA")</f>
        <v>NA</v>
      </c>
      <c r="G209" s="2"/>
      <c r="H209" s="14">
        <f t="shared" si="52"/>
        <v>0</v>
      </c>
      <c r="I209" s="15" t="str">
        <f>IFERROR(H209/H445, "NA")</f>
        <v>NA</v>
      </c>
      <c r="J209" s="2"/>
      <c r="K209" s="14">
        <f>IFERROR(K201+K202+K203+K204+K205+K206+K207+K208, "NA")</f>
        <v>0</v>
      </c>
      <c r="L209" s="15" t="str">
        <f>IFERROR(K209/K445, "NA")</f>
        <v>NA</v>
      </c>
      <c r="M209" s="2"/>
      <c r="N209" s="14">
        <f t="shared" si="53"/>
        <v>0</v>
      </c>
      <c r="O209" s="15" t="str">
        <f>IFERROR(N209/N445, "NA")</f>
        <v>NA</v>
      </c>
      <c r="P209" s="2"/>
      <c r="Q209" s="14">
        <f>IFERROR(Q201+Q202+Q203+Q204+Q205+Q206+Q207+Q208, "NA")</f>
        <v>0</v>
      </c>
      <c r="R209" s="15" t="str">
        <f>IFERROR(Q209/Q445, "NA")</f>
        <v>NA</v>
      </c>
      <c r="S209" s="2"/>
      <c r="T209" s="14">
        <f>IFERROR(T201+T202+T203+T204+T205+T206+T207+T208, "NA")</f>
        <v>0</v>
      </c>
      <c r="U209" s="15" t="str">
        <f>IFERROR(T209/T445, "NA")</f>
        <v>NA</v>
      </c>
      <c r="V209" s="2"/>
      <c r="W209" s="14">
        <f t="shared" si="54"/>
        <v>0</v>
      </c>
      <c r="X209" s="15" t="str">
        <f>IFERROR(W209/W445, "NA")</f>
        <v>NA</v>
      </c>
      <c r="Y209" s="2"/>
      <c r="Z209" s="14">
        <f>IFERROR(Z201+Z202+Z203+Z204+Z205+Z206+Z207+Z208, "NA")</f>
        <v>0</v>
      </c>
      <c r="AA209" s="15" t="str">
        <f>IFERROR(Z209/Z445, "NA")</f>
        <v>NA</v>
      </c>
      <c r="AB209" s="2"/>
      <c r="AC209" s="14">
        <f t="shared" si="55"/>
        <v>0</v>
      </c>
      <c r="AD209" s="15" t="str">
        <f>IFERROR(AC209/AC445,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IFERROR(B211/B445, "NA")</f>
        <v>NA</v>
      </c>
      <c r="D211" s="9"/>
      <c r="E211" s="7">
        <v>0</v>
      </c>
      <c r="F211" s="8" t="str">
        <f>IFERROR(E211/E445, "NA")</f>
        <v>NA</v>
      </c>
      <c r="G211" s="9"/>
      <c r="H211" s="10">
        <f>IFERROR(-(B211-E211), "NA")</f>
        <v>0</v>
      </c>
      <c r="I211" s="8" t="str">
        <f>IFERROR(H211/H445, "NA")</f>
        <v>NA</v>
      </c>
      <c r="J211" s="9"/>
      <c r="K211" s="7">
        <v>0</v>
      </c>
      <c r="L211" s="8" t="str">
        <f>IFERROR(K211/K445, "NA")</f>
        <v>NA</v>
      </c>
      <c r="M211" s="9"/>
      <c r="N211" s="10">
        <f>IFERROR(-(B211-K211), "NA")</f>
        <v>0</v>
      </c>
      <c r="O211" s="8" t="str">
        <f>IFERROR(N211/N445, "NA")</f>
        <v>NA</v>
      </c>
      <c r="P211" s="9"/>
      <c r="Q211" s="7">
        <v>0</v>
      </c>
      <c r="R211" s="8" t="str">
        <f>IFERROR(Q211/Q445, "NA")</f>
        <v>NA</v>
      </c>
      <c r="S211" s="9"/>
      <c r="T211" s="7">
        <v>0</v>
      </c>
      <c r="U211" s="8" t="str">
        <f>IFERROR(T211/T445, "NA")</f>
        <v>NA</v>
      </c>
      <c r="V211" s="9"/>
      <c r="W211" s="10">
        <f>IFERROR(-(Q211-T211), "NA")</f>
        <v>0</v>
      </c>
      <c r="X211" s="8" t="str">
        <f>IFERROR(W211/W445, "NA")</f>
        <v>NA</v>
      </c>
      <c r="Y211" s="9"/>
      <c r="Z211" s="7">
        <v>0</v>
      </c>
      <c r="AA211" s="8" t="str">
        <f>IFERROR(Z211/Z445, "NA")</f>
        <v>NA</v>
      </c>
      <c r="AB211" s="9"/>
      <c r="AC211" s="10">
        <f>IFERROR(-(Q211-Z211), "NA")</f>
        <v>0</v>
      </c>
      <c r="AD211" s="8" t="str">
        <f>IFERROR(AC211/AC445,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IFERROR(B213/B445, "NA")</f>
        <v>NA</v>
      </c>
      <c r="D213" s="9"/>
      <c r="E213" s="7">
        <v>0</v>
      </c>
      <c r="F213" s="8" t="str">
        <f>IFERROR(E213/E445, "NA")</f>
        <v>NA</v>
      </c>
      <c r="G213" s="9"/>
      <c r="H213" s="10">
        <f t="shared" ref="H213:H227" si="56">IFERROR(-(B213-E213), "NA")</f>
        <v>0</v>
      </c>
      <c r="I213" s="8" t="str">
        <f>IFERROR(H213/H445, "NA")</f>
        <v>NA</v>
      </c>
      <c r="J213" s="9"/>
      <c r="K213" s="7">
        <v>0</v>
      </c>
      <c r="L213" s="8" t="str">
        <f>IFERROR(K213/K445, "NA")</f>
        <v>NA</v>
      </c>
      <c r="M213" s="9"/>
      <c r="N213" s="10">
        <f t="shared" ref="N213:N227" si="57">IFERROR(-(B213-K213), "NA")</f>
        <v>0</v>
      </c>
      <c r="O213" s="8" t="str">
        <f>IFERROR(N213/N445, "NA")</f>
        <v>NA</v>
      </c>
      <c r="P213" s="9"/>
      <c r="Q213" s="7">
        <v>0</v>
      </c>
      <c r="R213" s="8" t="str">
        <f>IFERROR(Q213/Q445, "NA")</f>
        <v>NA</v>
      </c>
      <c r="S213" s="9"/>
      <c r="T213" s="7">
        <v>0</v>
      </c>
      <c r="U213" s="8" t="str">
        <f>IFERROR(T213/T445, "NA")</f>
        <v>NA</v>
      </c>
      <c r="V213" s="9"/>
      <c r="W213" s="10">
        <f t="shared" ref="W213:W227" si="58">IFERROR(-(Q213-T213), "NA")</f>
        <v>0</v>
      </c>
      <c r="X213" s="8" t="str">
        <f>IFERROR(W213/W445, "NA")</f>
        <v>NA</v>
      </c>
      <c r="Y213" s="9"/>
      <c r="Z213" s="7">
        <v>0</v>
      </c>
      <c r="AA213" s="8" t="str">
        <f>IFERROR(Z213/Z445, "NA")</f>
        <v>NA</v>
      </c>
      <c r="AB213" s="9"/>
      <c r="AC213" s="10">
        <f t="shared" ref="AC213:AC227" si="59">IFERROR(-(Q213-Z213), "NA")</f>
        <v>0</v>
      </c>
      <c r="AD213" s="8" t="str">
        <f>IFERROR(AC213/AC445,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IFERROR(B214/B445, "NA")</f>
        <v>NA</v>
      </c>
      <c r="D214" s="9"/>
      <c r="E214" s="7">
        <v>0</v>
      </c>
      <c r="F214" s="8" t="str">
        <f>IFERROR(E214/E445, "NA")</f>
        <v>NA</v>
      </c>
      <c r="G214" s="9"/>
      <c r="H214" s="10">
        <f t="shared" si="56"/>
        <v>0</v>
      </c>
      <c r="I214" s="8" t="str">
        <f>IFERROR(H214/H445, "NA")</f>
        <v>NA</v>
      </c>
      <c r="J214" s="9"/>
      <c r="K214" s="7">
        <v>0</v>
      </c>
      <c r="L214" s="8" t="str">
        <f>IFERROR(K214/K445, "NA")</f>
        <v>NA</v>
      </c>
      <c r="M214" s="9"/>
      <c r="N214" s="10">
        <f t="shared" si="57"/>
        <v>0</v>
      </c>
      <c r="O214" s="8" t="str">
        <f>IFERROR(N214/N445, "NA")</f>
        <v>NA</v>
      </c>
      <c r="P214" s="9"/>
      <c r="Q214" s="7">
        <v>0</v>
      </c>
      <c r="R214" s="8" t="str">
        <f>IFERROR(Q214/Q445, "NA")</f>
        <v>NA</v>
      </c>
      <c r="S214" s="9"/>
      <c r="T214" s="7">
        <v>0</v>
      </c>
      <c r="U214" s="8" t="str">
        <f>IFERROR(T214/T445, "NA")</f>
        <v>NA</v>
      </c>
      <c r="V214" s="9"/>
      <c r="W214" s="10">
        <f t="shared" si="58"/>
        <v>0</v>
      </c>
      <c r="X214" s="8" t="str">
        <f>IFERROR(W214/W445, "NA")</f>
        <v>NA</v>
      </c>
      <c r="Y214" s="9"/>
      <c r="Z214" s="7">
        <v>0</v>
      </c>
      <c r="AA214" s="8" t="str">
        <f>IFERROR(Z214/Z445, "NA")</f>
        <v>NA</v>
      </c>
      <c r="AB214" s="9"/>
      <c r="AC214" s="10">
        <f t="shared" si="59"/>
        <v>0</v>
      </c>
      <c r="AD214" s="8" t="str">
        <f>IFERROR(AC214/AC445,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IFERROR(B215/B445, "NA")</f>
        <v>NA</v>
      </c>
      <c r="D215" s="9"/>
      <c r="E215" s="7">
        <v>0</v>
      </c>
      <c r="F215" s="8" t="str">
        <f>IFERROR(E215/E445, "NA")</f>
        <v>NA</v>
      </c>
      <c r="G215" s="9"/>
      <c r="H215" s="10">
        <f t="shared" si="56"/>
        <v>0</v>
      </c>
      <c r="I215" s="8" t="str">
        <f>IFERROR(H215/H445, "NA")</f>
        <v>NA</v>
      </c>
      <c r="J215" s="9"/>
      <c r="K215" s="7">
        <v>0</v>
      </c>
      <c r="L215" s="8" t="str">
        <f>IFERROR(K215/K445, "NA")</f>
        <v>NA</v>
      </c>
      <c r="M215" s="9"/>
      <c r="N215" s="10">
        <f t="shared" si="57"/>
        <v>0</v>
      </c>
      <c r="O215" s="8" t="str">
        <f>IFERROR(N215/N445, "NA")</f>
        <v>NA</v>
      </c>
      <c r="P215" s="9"/>
      <c r="Q215" s="7">
        <v>0</v>
      </c>
      <c r="R215" s="8" t="str">
        <f>IFERROR(Q215/Q445, "NA")</f>
        <v>NA</v>
      </c>
      <c r="S215" s="9"/>
      <c r="T215" s="7">
        <v>0</v>
      </c>
      <c r="U215" s="8" t="str">
        <f>IFERROR(T215/T445, "NA")</f>
        <v>NA</v>
      </c>
      <c r="V215" s="9"/>
      <c r="W215" s="10">
        <f t="shared" si="58"/>
        <v>0</v>
      </c>
      <c r="X215" s="8" t="str">
        <f>IFERROR(W215/W445, "NA")</f>
        <v>NA</v>
      </c>
      <c r="Y215" s="9"/>
      <c r="Z215" s="7">
        <v>0</v>
      </c>
      <c r="AA215" s="8" t="str">
        <f>IFERROR(Z215/Z445, "NA")</f>
        <v>NA</v>
      </c>
      <c r="AB215" s="9"/>
      <c r="AC215" s="10">
        <f t="shared" si="59"/>
        <v>0</v>
      </c>
      <c r="AD215" s="8" t="str">
        <f>IFERROR(AC215/AC445,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IFERROR(B216/B445, "NA")</f>
        <v>NA</v>
      </c>
      <c r="D216" s="9"/>
      <c r="E216" s="7">
        <v>0</v>
      </c>
      <c r="F216" s="8" t="str">
        <f>IFERROR(E216/E445, "NA")</f>
        <v>NA</v>
      </c>
      <c r="G216" s="9"/>
      <c r="H216" s="10">
        <f t="shared" si="56"/>
        <v>0</v>
      </c>
      <c r="I216" s="8" t="str">
        <f>IFERROR(H216/H445, "NA")</f>
        <v>NA</v>
      </c>
      <c r="J216" s="9"/>
      <c r="K216" s="7">
        <v>0</v>
      </c>
      <c r="L216" s="8" t="str">
        <f>IFERROR(K216/K445, "NA")</f>
        <v>NA</v>
      </c>
      <c r="M216" s="9"/>
      <c r="N216" s="10">
        <f t="shared" si="57"/>
        <v>0</v>
      </c>
      <c r="O216" s="8" t="str">
        <f>IFERROR(N216/N445, "NA")</f>
        <v>NA</v>
      </c>
      <c r="P216" s="9"/>
      <c r="Q216" s="7">
        <v>0</v>
      </c>
      <c r="R216" s="8" t="str">
        <f>IFERROR(Q216/Q445, "NA")</f>
        <v>NA</v>
      </c>
      <c r="S216" s="9"/>
      <c r="T216" s="7">
        <v>0</v>
      </c>
      <c r="U216" s="8" t="str">
        <f>IFERROR(T216/T445, "NA")</f>
        <v>NA</v>
      </c>
      <c r="V216" s="9"/>
      <c r="W216" s="10">
        <f t="shared" si="58"/>
        <v>0</v>
      </c>
      <c r="X216" s="8" t="str">
        <f>IFERROR(W216/W445, "NA")</f>
        <v>NA</v>
      </c>
      <c r="Y216" s="9"/>
      <c r="Z216" s="7">
        <v>0</v>
      </c>
      <c r="AA216" s="8" t="str">
        <f>IFERROR(Z216/Z445, "NA")</f>
        <v>NA</v>
      </c>
      <c r="AB216" s="9"/>
      <c r="AC216" s="10">
        <f t="shared" si="59"/>
        <v>0</v>
      </c>
      <c r="AD216" s="8" t="str">
        <f>IFERROR(AC216/AC445,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IFERROR(B217/B445, "NA")</f>
        <v>NA</v>
      </c>
      <c r="D217" s="9"/>
      <c r="E217" s="7">
        <v>0</v>
      </c>
      <c r="F217" s="8" t="str">
        <f>IFERROR(E217/E445, "NA")</f>
        <v>NA</v>
      </c>
      <c r="G217" s="9"/>
      <c r="H217" s="10">
        <f t="shared" si="56"/>
        <v>0</v>
      </c>
      <c r="I217" s="8" t="str">
        <f>IFERROR(H217/H445, "NA")</f>
        <v>NA</v>
      </c>
      <c r="J217" s="9"/>
      <c r="K217" s="7">
        <v>0</v>
      </c>
      <c r="L217" s="8" t="str">
        <f>IFERROR(K217/K445, "NA")</f>
        <v>NA</v>
      </c>
      <c r="M217" s="9"/>
      <c r="N217" s="10">
        <f t="shared" si="57"/>
        <v>0</v>
      </c>
      <c r="O217" s="8" t="str">
        <f>IFERROR(N217/N445, "NA")</f>
        <v>NA</v>
      </c>
      <c r="P217" s="9"/>
      <c r="Q217" s="7">
        <v>0</v>
      </c>
      <c r="R217" s="8" t="str">
        <f>IFERROR(Q217/Q445, "NA")</f>
        <v>NA</v>
      </c>
      <c r="S217" s="9"/>
      <c r="T217" s="7">
        <v>0</v>
      </c>
      <c r="U217" s="8" t="str">
        <f>IFERROR(T217/T445, "NA")</f>
        <v>NA</v>
      </c>
      <c r="V217" s="9"/>
      <c r="W217" s="10">
        <f t="shared" si="58"/>
        <v>0</v>
      </c>
      <c r="X217" s="8" t="str">
        <f>IFERROR(W217/W445, "NA")</f>
        <v>NA</v>
      </c>
      <c r="Y217" s="9"/>
      <c r="Z217" s="7">
        <v>0</v>
      </c>
      <c r="AA217" s="8" t="str">
        <f>IFERROR(Z217/Z445, "NA")</f>
        <v>NA</v>
      </c>
      <c r="AB217" s="9"/>
      <c r="AC217" s="10">
        <f t="shared" si="59"/>
        <v>0</v>
      </c>
      <c r="AD217" s="8" t="str">
        <f>IFERROR(AC217/AC445,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IFERROR(B218/B445, "NA")</f>
        <v>NA</v>
      </c>
      <c r="D218" s="2"/>
      <c r="E218" s="14">
        <f>IFERROR(E213+E214+E215+E216+E217, "NA")</f>
        <v>0</v>
      </c>
      <c r="F218" s="15" t="str">
        <f>IFERROR(E218/E445, "NA")</f>
        <v>NA</v>
      </c>
      <c r="G218" s="2"/>
      <c r="H218" s="14">
        <f t="shared" si="56"/>
        <v>0</v>
      </c>
      <c r="I218" s="15" t="str">
        <f>IFERROR(H218/H445, "NA")</f>
        <v>NA</v>
      </c>
      <c r="J218" s="2"/>
      <c r="K218" s="14">
        <f>IFERROR(K213+K214+K215+K216+K217, "NA")</f>
        <v>0</v>
      </c>
      <c r="L218" s="15" t="str">
        <f>IFERROR(K218/K445, "NA")</f>
        <v>NA</v>
      </c>
      <c r="M218" s="2"/>
      <c r="N218" s="14">
        <f t="shared" si="57"/>
        <v>0</v>
      </c>
      <c r="O218" s="15" t="str">
        <f>IFERROR(N218/N445, "NA")</f>
        <v>NA</v>
      </c>
      <c r="P218" s="2"/>
      <c r="Q218" s="14">
        <f>IFERROR(Q213+Q214+Q215+Q216+Q217, "NA")</f>
        <v>0</v>
      </c>
      <c r="R218" s="15" t="str">
        <f>IFERROR(Q218/Q445, "NA")</f>
        <v>NA</v>
      </c>
      <c r="S218" s="2"/>
      <c r="T218" s="14">
        <f>IFERROR(T213+T214+T215+T216+T217, "NA")</f>
        <v>0</v>
      </c>
      <c r="U218" s="15" t="str">
        <f>IFERROR(T218/T445, "NA")</f>
        <v>NA</v>
      </c>
      <c r="V218" s="2"/>
      <c r="W218" s="14">
        <f t="shared" si="58"/>
        <v>0</v>
      </c>
      <c r="X218" s="15" t="str">
        <f>IFERROR(W218/W445, "NA")</f>
        <v>NA</v>
      </c>
      <c r="Y218" s="2"/>
      <c r="Z218" s="14">
        <f>IFERROR(Z213+Z214+Z215+Z216+Z217, "NA")</f>
        <v>0</v>
      </c>
      <c r="AA218" s="15" t="str">
        <f>IFERROR(Z218/Z445, "NA")</f>
        <v>NA</v>
      </c>
      <c r="AB218" s="2"/>
      <c r="AC218" s="14">
        <f t="shared" si="59"/>
        <v>0</v>
      </c>
      <c r="AD218" s="15" t="str">
        <f>IFERROR(AC218/AC445,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IFERROR(B219/B445, "NA")</f>
        <v>NA</v>
      </c>
      <c r="D219" s="9"/>
      <c r="E219" s="7">
        <v>0</v>
      </c>
      <c r="F219" s="8" t="str">
        <f>IFERROR(E219/E445, "NA")</f>
        <v>NA</v>
      </c>
      <c r="G219" s="9"/>
      <c r="H219" s="10">
        <f t="shared" si="56"/>
        <v>0</v>
      </c>
      <c r="I219" s="8" t="str">
        <f>IFERROR(H219/H445, "NA")</f>
        <v>NA</v>
      </c>
      <c r="J219" s="9"/>
      <c r="K219" s="7">
        <v>0</v>
      </c>
      <c r="L219" s="8" t="str">
        <f>IFERROR(K219/K445, "NA")</f>
        <v>NA</v>
      </c>
      <c r="M219" s="9"/>
      <c r="N219" s="10">
        <f t="shared" si="57"/>
        <v>0</v>
      </c>
      <c r="O219" s="8" t="str">
        <f>IFERROR(N219/N445, "NA")</f>
        <v>NA</v>
      </c>
      <c r="P219" s="9"/>
      <c r="Q219" s="7">
        <v>0</v>
      </c>
      <c r="R219" s="8" t="str">
        <f>IFERROR(Q219/Q445, "NA")</f>
        <v>NA</v>
      </c>
      <c r="S219" s="9"/>
      <c r="T219" s="7">
        <v>0</v>
      </c>
      <c r="U219" s="8" t="str">
        <f>IFERROR(T219/T445, "NA")</f>
        <v>NA</v>
      </c>
      <c r="V219" s="9"/>
      <c r="W219" s="10">
        <f t="shared" si="58"/>
        <v>0</v>
      </c>
      <c r="X219" s="8" t="str">
        <f>IFERROR(W219/W445, "NA")</f>
        <v>NA</v>
      </c>
      <c r="Y219" s="9"/>
      <c r="Z219" s="7">
        <v>0</v>
      </c>
      <c r="AA219" s="8" t="str">
        <f>IFERROR(Z219/Z445, "NA")</f>
        <v>NA</v>
      </c>
      <c r="AB219" s="9"/>
      <c r="AC219" s="10">
        <f t="shared" si="59"/>
        <v>0</v>
      </c>
      <c r="AD219" s="8" t="str">
        <f>IFERROR(AC219/AC445,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IFERROR(B220/B445, "NA")</f>
        <v>NA</v>
      </c>
      <c r="D220" s="9"/>
      <c r="E220" s="7">
        <v>0</v>
      </c>
      <c r="F220" s="8" t="str">
        <f>IFERROR(E220/E445, "NA")</f>
        <v>NA</v>
      </c>
      <c r="G220" s="9"/>
      <c r="H220" s="10">
        <f t="shared" si="56"/>
        <v>0</v>
      </c>
      <c r="I220" s="8" t="str">
        <f>IFERROR(H220/H445, "NA")</f>
        <v>NA</v>
      </c>
      <c r="J220" s="9"/>
      <c r="K220" s="7">
        <v>0</v>
      </c>
      <c r="L220" s="8" t="str">
        <f>IFERROR(K220/K445, "NA")</f>
        <v>NA</v>
      </c>
      <c r="M220" s="9"/>
      <c r="N220" s="10">
        <f t="shared" si="57"/>
        <v>0</v>
      </c>
      <c r="O220" s="8" t="str">
        <f>IFERROR(N220/N445, "NA")</f>
        <v>NA</v>
      </c>
      <c r="P220" s="9"/>
      <c r="Q220" s="7">
        <v>0</v>
      </c>
      <c r="R220" s="8" t="str">
        <f>IFERROR(Q220/Q445, "NA")</f>
        <v>NA</v>
      </c>
      <c r="S220" s="9"/>
      <c r="T220" s="7">
        <v>0</v>
      </c>
      <c r="U220" s="8" t="str">
        <f>IFERROR(T220/T445, "NA")</f>
        <v>NA</v>
      </c>
      <c r="V220" s="9"/>
      <c r="W220" s="10">
        <f t="shared" si="58"/>
        <v>0</v>
      </c>
      <c r="X220" s="8" t="str">
        <f>IFERROR(W220/W445, "NA")</f>
        <v>NA</v>
      </c>
      <c r="Y220" s="9"/>
      <c r="Z220" s="7">
        <v>0</v>
      </c>
      <c r="AA220" s="8" t="str">
        <f>IFERROR(Z220/Z445, "NA")</f>
        <v>NA</v>
      </c>
      <c r="AB220" s="9"/>
      <c r="AC220" s="10">
        <f t="shared" si="59"/>
        <v>0</v>
      </c>
      <c r="AD220" s="8" t="str">
        <f>IFERROR(AC220/AC445,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IFERROR(B221/B445, "NA")</f>
        <v>NA</v>
      </c>
      <c r="D221" s="9"/>
      <c r="E221" s="7">
        <v>0</v>
      </c>
      <c r="F221" s="8" t="str">
        <f>IFERROR(E221/E445, "NA")</f>
        <v>NA</v>
      </c>
      <c r="G221" s="9"/>
      <c r="H221" s="10">
        <f t="shared" si="56"/>
        <v>0</v>
      </c>
      <c r="I221" s="8" t="str">
        <f>IFERROR(H221/H445, "NA")</f>
        <v>NA</v>
      </c>
      <c r="J221" s="9"/>
      <c r="K221" s="7">
        <v>0</v>
      </c>
      <c r="L221" s="8" t="str">
        <f>IFERROR(K221/K445, "NA")</f>
        <v>NA</v>
      </c>
      <c r="M221" s="9"/>
      <c r="N221" s="10">
        <f t="shared" si="57"/>
        <v>0</v>
      </c>
      <c r="O221" s="8" t="str">
        <f>IFERROR(N221/N445, "NA")</f>
        <v>NA</v>
      </c>
      <c r="P221" s="9"/>
      <c r="Q221" s="7">
        <v>0</v>
      </c>
      <c r="R221" s="8" t="str">
        <f>IFERROR(Q221/Q445, "NA")</f>
        <v>NA</v>
      </c>
      <c r="S221" s="9"/>
      <c r="T221" s="7">
        <v>0</v>
      </c>
      <c r="U221" s="8" t="str">
        <f>IFERROR(T221/T445, "NA")</f>
        <v>NA</v>
      </c>
      <c r="V221" s="9"/>
      <c r="W221" s="10">
        <f t="shared" si="58"/>
        <v>0</v>
      </c>
      <c r="X221" s="8" t="str">
        <f>IFERROR(W221/W445, "NA")</f>
        <v>NA</v>
      </c>
      <c r="Y221" s="9"/>
      <c r="Z221" s="7">
        <v>0</v>
      </c>
      <c r="AA221" s="8" t="str">
        <f>IFERROR(Z221/Z445, "NA")</f>
        <v>NA</v>
      </c>
      <c r="AB221" s="9"/>
      <c r="AC221" s="10">
        <f t="shared" si="59"/>
        <v>0</v>
      </c>
      <c r="AD221" s="8" t="str">
        <f>IFERROR(AC221/AC445,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IFERROR(B222/B445, "NA")</f>
        <v>NA</v>
      </c>
      <c r="D222" s="9"/>
      <c r="E222" s="7">
        <v>0</v>
      </c>
      <c r="F222" s="8" t="str">
        <f>IFERROR(E222/E445, "NA")</f>
        <v>NA</v>
      </c>
      <c r="G222" s="9"/>
      <c r="H222" s="10">
        <f t="shared" si="56"/>
        <v>0</v>
      </c>
      <c r="I222" s="8" t="str">
        <f>IFERROR(H222/H445, "NA")</f>
        <v>NA</v>
      </c>
      <c r="J222" s="9"/>
      <c r="K222" s="7">
        <v>0</v>
      </c>
      <c r="L222" s="8" t="str">
        <f>IFERROR(K222/K445, "NA")</f>
        <v>NA</v>
      </c>
      <c r="M222" s="9"/>
      <c r="N222" s="10">
        <f t="shared" si="57"/>
        <v>0</v>
      </c>
      <c r="O222" s="8" t="str">
        <f>IFERROR(N222/N445, "NA")</f>
        <v>NA</v>
      </c>
      <c r="P222" s="9"/>
      <c r="Q222" s="7">
        <v>0</v>
      </c>
      <c r="R222" s="8" t="str">
        <f>IFERROR(Q222/Q445, "NA")</f>
        <v>NA</v>
      </c>
      <c r="S222" s="9"/>
      <c r="T222" s="7">
        <v>0</v>
      </c>
      <c r="U222" s="8" t="str">
        <f>IFERROR(T222/T445, "NA")</f>
        <v>NA</v>
      </c>
      <c r="V222" s="9"/>
      <c r="W222" s="10">
        <f t="shared" si="58"/>
        <v>0</v>
      </c>
      <c r="X222" s="8" t="str">
        <f>IFERROR(W222/W445, "NA")</f>
        <v>NA</v>
      </c>
      <c r="Y222" s="9"/>
      <c r="Z222" s="7">
        <v>0</v>
      </c>
      <c r="AA222" s="8" t="str">
        <f>IFERROR(Z222/Z445, "NA")</f>
        <v>NA</v>
      </c>
      <c r="AB222" s="9"/>
      <c r="AC222" s="10">
        <f t="shared" si="59"/>
        <v>0</v>
      </c>
      <c r="AD222" s="8" t="str">
        <f>IFERROR(AC222/AC445,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IFERROR(B223/B445, "NA")</f>
        <v>NA</v>
      </c>
      <c r="D223" s="9"/>
      <c r="E223" s="7">
        <v>0</v>
      </c>
      <c r="F223" s="8" t="str">
        <f>IFERROR(E223/E445, "NA")</f>
        <v>NA</v>
      </c>
      <c r="G223" s="9"/>
      <c r="H223" s="10">
        <f t="shared" si="56"/>
        <v>0</v>
      </c>
      <c r="I223" s="8" t="str">
        <f>IFERROR(H223/H445, "NA")</f>
        <v>NA</v>
      </c>
      <c r="J223" s="9"/>
      <c r="K223" s="7">
        <v>0</v>
      </c>
      <c r="L223" s="8" t="str">
        <f>IFERROR(K223/K445, "NA")</f>
        <v>NA</v>
      </c>
      <c r="M223" s="9"/>
      <c r="N223" s="10">
        <f t="shared" si="57"/>
        <v>0</v>
      </c>
      <c r="O223" s="8" t="str">
        <f>IFERROR(N223/N445, "NA")</f>
        <v>NA</v>
      </c>
      <c r="P223" s="9"/>
      <c r="Q223" s="7">
        <v>0</v>
      </c>
      <c r="R223" s="8" t="str">
        <f>IFERROR(Q223/Q445, "NA")</f>
        <v>NA</v>
      </c>
      <c r="S223" s="9"/>
      <c r="T223" s="7">
        <v>0</v>
      </c>
      <c r="U223" s="8" t="str">
        <f>IFERROR(T223/T445, "NA")</f>
        <v>NA</v>
      </c>
      <c r="V223" s="9"/>
      <c r="W223" s="10">
        <f t="shared" si="58"/>
        <v>0</v>
      </c>
      <c r="X223" s="8" t="str">
        <f>IFERROR(W223/W445, "NA")</f>
        <v>NA</v>
      </c>
      <c r="Y223" s="9"/>
      <c r="Z223" s="7">
        <v>0</v>
      </c>
      <c r="AA223" s="8" t="str">
        <f>IFERROR(Z223/Z445, "NA")</f>
        <v>NA</v>
      </c>
      <c r="AB223" s="9"/>
      <c r="AC223" s="10">
        <f t="shared" si="59"/>
        <v>0</v>
      </c>
      <c r="AD223" s="8" t="str">
        <f>IFERROR(AC223/AC445,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IFERROR(B224/B445, "NA")</f>
        <v>NA</v>
      </c>
      <c r="D224" s="9"/>
      <c r="E224" s="7">
        <v>0</v>
      </c>
      <c r="F224" s="8" t="str">
        <f>IFERROR(E224/E445, "NA")</f>
        <v>NA</v>
      </c>
      <c r="G224" s="9"/>
      <c r="H224" s="10">
        <f t="shared" si="56"/>
        <v>0</v>
      </c>
      <c r="I224" s="8" t="str">
        <f>IFERROR(H224/H445, "NA")</f>
        <v>NA</v>
      </c>
      <c r="J224" s="9"/>
      <c r="K224" s="7">
        <v>0</v>
      </c>
      <c r="L224" s="8" t="str">
        <f>IFERROR(K224/K445, "NA")</f>
        <v>NA</v>
      </c>
      <c r="M224" s="9"/>
      <c r="N224" s="10">
        <f t="shared" si="57"/>
        <v>0</v>
      </c>
      <c r="O224" s="8" t="str">
        <f>IFERROR(N224/N445, "NA")</f>
        <v>NA</v>
      </c>
      <c r="P224" s="9"/>
      <c r="Q224" s="7">
        <v>0</v>
      </c>
      <c r="R224" s="8" t="str">
        <f>IFERROR(Q224/Q445, "NA")</f>
        <v>NA</v>
      </c>
      <c r="S224" s="9"/>
      <c r="T224" s="7">
        <v>0</v>
      </c>
      <c r="U224" s="8" t="str">
        <f>IFERROR(T224/T445, "NA")</f>
        <v>NA</v>
      </c>
      <c r="V224" s="9"/>
      <c r="W224" s="10">
        <f t="shared" si="58"/>
        <v>0</v>
      </c>
      <c r="X224" s="8" t="str">
        <f>IFERROR(W224/W445, "NA")</f>
        <v>NA</v>
      </c>
      <c r="Y224" s="9"/>
      <c r="Z224" s="7">
        <v>0</v>
      </c>
      <c r="AA224" s="8" t="str">
        <f>IFERROR(Z224/Z445, "NA")</f>
        <v>NA</v>
      </c>
      <c r="AB224" s="9"/>
      <c r="AC224" s="10">
        <f t="shared" si="59"/>
        <v>0</v>
      </c>
      <c r="AD224" s="8" t="str">
        <f>IFERROR(AC224/AC445,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IFERROR(B225/B445, "NA")</f>
        <v>NA</v>
      </c>
      <c r="D225" s="9"/>
      <c r="E225" s="7">
        <v>0</v>
      </c>
      <c r="F225" s="8" t="str">
        <f>IFERROR(E225/E445, "NA")</f>
        <v>NA</v>
      </c>
      <c r="G225" s="9"/>
      <c r="H225" s="10">
        <f t="shared" si="56"/>
        <v>0</v>
      </c>
      <c r="I225" s="8" t="str">
        <f>IFERROR(H225/H445, "NA")</f>
        <v>NA</v>
      </c>
      <c r="J225" s="9"/>
      <c r="K225" s="7">
        <v>0</v>
      </c>
      <c r="L225" s="8" t="str">
        <f>IFERROR(K225/K445, "NA")</f>
        <v>NA</v>
      </c>
      <c r="M225" s="9"/>
      <c r="N225" s="10">
        <f t="shared" si="57"/>
        <v>0</v>
      </c>
      <c r="O225" s="8" t="str">
        <f>IFERROR(N225/N445, "NA")</f>
        <v>NA</v>
      </c>
      <c r="P225" s="9"/>
      <c r="Q225" s="7">
        <v>0</v>
      </c>
      <c r="R225" s="8" t="str">
        <f>IFERROR(Q225/Q445, "NA")</f>
        <v>NA</v>
      </c>
      <c r="S225" s="9"/>
      <c r="T225" s="7">
        <v>0</v>
      </c>
      <c r="U225" s="8" t="str">
        <f>IFERROR(T225/T445, "NA")</f>
        <v>NA</v>
      </c>
      <c r="V225" s="9"/>
      <c r="W225" s="10">
        <f t="shared" si="58"/>
        <v>0</v>
      </c>
      <c r="X225" s="8" t="str">
        <f>IFERROR(W225/W445, "NA")</f>
        <v>NA</v>
      </c>
      <c r="Y225" s="9"/>
      <c r="Z225" s="7">
        <v>0</v>
      </c>
      <c r="AA225" s="8" t="str">
        <f>IFERROR(Z225/Z445, "NA")</f>
        <v>NA</v>
      </c>
      <c r="AB225" s="9"/>
      <c r="AC225" s="10">
        <f t="shared" si="59"/>
        <v>0</v>
      </c>
      <c r="AD225" s="8" t="str">
        <f>IFERROR(AC225/AC445,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IFERROR(B226/B445, "NA")</f>
        <v>NA</v>
      </c>
      <c r="D226" s="9"/>
      <c r="E226" s="7">
        <v>0</v>
      </c>
      <c r="F226" s="8" t="str">
        <f>IFERROR(E226/E445, "NA")</f>
        <v>NA</v>
      </c>
      <c r="G226" s="9"/>
      <c r="H226" s="10">
        <f t="shared" si="56"/>
        <v>0</v>
      </c>
      <c r="I226" s="8" t="str">
        <f>IFERROR(H226/H445, "NA")</f>
        <v>NA</v>
      </c>
      <c r="J226" s="9"/>
      <c r="K226" s="7">
        <v>0</v>
      </c>
      <c r="L226" s="8" t="str">
        <f>IFERROR(K226/K445, "NA")</f>
        <v>NA</v>
      </c>
      <c r="M226" s="9"/>
      <c r="N226" s="10">
        <f t="shared" si="57"/>
        <v>0</v>
      </c>
      <c r="O226" s="8" t="str">
        <f>IFERROR(N226/N445, "NA")</f>
        <v>NA</v>
      </c>
      <c r="P226" s="9"/>
      <c r="Q226" s="7">
        <v>0</v>
      </c>
      <c r="R226" s="8" t="str">
        <f>IFERROR(Q226/Q445, "NA")</f>
        <v>NA</v>
      </c>
      <c r="S226" s="9"/>
      <c r="T226" s="7">
        <v>0</v>
      </c>
      <c r="U226" s="8" t="str">
        <f>IFERROR(T226/T445, "NA")</f>
        <v>NA</v>
      </c>
      <c r="V226" s="9"/>
      <c r="W226" s="10">
        <f t="shared" si="58"/>
        <v>0</v>
      </c>
      <c r="X226" s="8" t="str">
        <f>IFERROR(W226/W445, "NA")</f>
        <v>NA</v>
      </c>
      <c r="Y226" s="9"/>
      <c r="Z226" s="7">
        <v>0</v>
      </c>
      <c r="AA226" s="8" t="str">
        <f>IFERROR(Z226/Z445, "NA")</f>
        <v>NA</v>
      </c>
      <c r="AB226" s="9"/>
      <c r="AC226" s="10">
        <f t="shared" si="59"/>
        <v>0</v>
      </c>
      <c r="AD226" s="8" t="str">
        <f>IFERROR(AC226/AC445,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IFERROR(B227/B445,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IFERROR(E227/E445, "NA")</f>
        <v>NA</v>
      </c>
      <c r="G227" s="2"/>
      <c r="H227" s="14">
        <f t="shared" si="56"/>
        <v>0</v>
      </c>
      <c r="I227" s="15" t="str">
        <f>IFERROR(H227/H445,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IFERROR(K227/K445, "NA")</f>
        <v>NA</v>
      </c>
      <c r="M227" s="2"/>
      <c r="N227" s="14">
        <f t="shared" si="57"/>
        <v>0</v>
      </c>
      <c r="O227" s="15" t="str">
        <f>IFERROR(N227/N445,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IFERROR(Q227/Q445,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IFERROR(T227/T445, "NA")</f>
        <v>NA</v>
      </c>
      <c r="V227" s="2"/>
      <c r="W227" s="14">
        <f t="shared" si="58"/>
        <v>0</v>
      </c>
      <c r="X227" s="15" t="str">
        <f>IFERROR(W227/W445,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IFERROR(Z227/Z445, "NA")</f>
        <v>NA</v>
      </c>
      <c r="AB227" s="2"/>
      <c r="AC227" s="14">
        <f t="shared" si="59"/>
        <v>0</v>
      </c>
      <c r="AD227" s="15" t="str">
        <f>IFERROR(AC227/AC445,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IFERROR(B229/B445, "NA")</f>
        <v>NA</v>
      </c>
      <c r="D229" s="9"/>
      <c r="E229" s="7">
        <v>0</v>
      </c>
      <c r="F229" s="8" t="str">
        <f>IFERROR(E229/E445, "NA")</f>
        <v>NA</v>
      </c>
      <c r="G229" s="9"/>
      <c r="H229" s="10">
        <f t="shared" ref="H229:H236" si="60">IFERROR(-(B229-E229), "NA")</f>
        <v>0</v>
      </c>
      <c r="I229" s="8" t="str">
        <f>IFERROR(H229/H445, "NA")</f>
        <v>NA</v>
      </c>
      <c r="J229" s="9"/>
      <c r="K229" s="7">
        <v>0</v>
      </c>
      <c r="L229" s="8" t="str">
        <f>IFERROR(K229/K445, "NA")</f>
        <v>NA</v>
      </c>
      <c r="M229" s="9"/>
      <c r="N229" s="10">
        <f t="shared" ref="N229:N236" si="61">IFERROR(-(B229-K229), "NA")</f>
        <v>0</v>
      </c>
      <c r="O229" s="8" t="str">
        <f>IFERROR(N229/N445, "NA")</f>
        <v>NA</v>
      </c>
      <c r="P229" s="9"/>
      <c r="Q229" s="7">
        <v>0</v>
      </c>
      <c r="R229" s="8" t="str">
        <f>IFERROR(Q229/Q445, "NA")</f>
        <v>NA</v>
      </c>
      <c r="S229" s="9"/>
      <c r="T229" s="7">
        <v>0</v>
      </c>
      <c r="U229" s="8" t="str">
        <f>IFERROR(T229/T445, "NA")</f>
        <v>NA</v>
      </c>
      <c r="V229" s="9"/>
      <c r="W229" s="10">
        <f t="shared" ref="W229:W236" si="62">IFERROR(-(Q229-T229), "NA")</f>
        <v>0</v>
      </c>
      <c r="X229" s="8" t="str">
        <f>IFERROR(W229/W445, "NA")</f>
        <v>NA</v>
      </c>
      <c r="Y229" s="9"/>
      <c r="Z229" s="7">
        <v>0</v>
      </c>
      <c r="AA229" s="8" t="str">
        <f>IFERROR(Z229/Z445, "NA")</f>
        <v>NA</v>
      </c>
      <c r="AB229" s="9"/>
      <c r="AC229" s="10">
        <f t="shared" ref="AC229:AC236" si="63">IFERROR(-(Q229-Z229), "NA")</f>
        <v>0</v>
      </c>
      <c r="AD229" s="8" t="str">
        <f>IFERROR(AC229/AC445,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IFERROR(B230/B445, "NA")</f>
        <v>NA</v>
      </c>
      <c r="D230" s="9"/>
      <c r="E230" s="7">
        <v>0</v>
      </c>
      <c r="F230" s="8" t="str">
        <f>IFERROR(E230/E445, "NA")</f>
        <v>NA</v>
      </c>
      <c r="G230" s="9"/>
      <c r="H230" s="10">
        <f t="shared" si="60"/>
        <v>0</v>
      </c>
      <c r="I230" s="8" t="str">
        <f>IFERROR(H230/H445, "NA")</f>
        <v>NA</v>
      </c>
      <c r="J230" s="9"/>
      <c r="K230" s="7">
        <v>0</v>
      </c>
      <c r="L230" s="8" t="str">
        <f>IFERROR(K230/K445, "NA")</f>
        <v>NA</v>
      </c>
      <c r="M230" s="9"/>
      <c r="N230" s="10">
        <f t="shared" si="61"/>
        <v>0</v>
      </c>
      <c r="O230" s="8" t="str">
        <f>IFERROR(N230/N445, "NA")</f>
        <v>NA</v>
      </c>
      <c r="P230" s="9"/>
      <c r="Q230" s="7">
        <v>0</v>
      </c>
      <c r="R230" s="8" t="str">
        <f>IFERROR(Q230/Q445, "NA")</f>
        <v>NA</v>
      </c>
      <c r="S230" s="9"/>
      <c r="T230" s="7">
        <v>0</v>
      </c>
      <c r="U230" s="8" t="str">
        <f>IFERROR(T230/T445, "NA")</f>
        <v>NA</v>
      </c>
      <c r="V230" s="9"/>
      <c r="W230" s="10">
        <f t="shared" si="62"/>
        <v>0</v>
      </c>
      <c r="X230" s="8" t="str">
        <f>IFERROR(W230/W445, "NA")</f>
        <v>NA</v>
      </c>
      <c r="Y230" s="9"/>
      <c r="Z230" s="7">
        <v>0</v>
      </c>
      <c r="AA230" s="8" t="str">
        <f>IFERROR(Z230/Z445, "NA")</f>
        <v>NA</v>
      </c>
      <c r="AB230" s="9"/>
      <c r="AC230" s="10">
        <f t="shared" si="63"/>
        <v>0</v>
      </c>
      <c r="AD230" s="8" t="str">
        <f>IFERROR(AC230/AC445,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IFERROR(B231/B445, "NA")</f>
        <v>NA</v>
      </c>
      <c r="D231" s="9"/>
      <c r="E231" s="7">
        <v>0</v>
      </c>
      <c r="F231" s="8" t="str">
        <f>IFERROR(E231/E445, "NA")</f>
        <v>NA</v>
      </c>
      <c r="G231" s="9"/>
      <c r="H231" s="10">
        <f t="shared" si="60"/>
        <v>0</v>
      </c>
      <c r="I231" s="8" t="str">
        <f>IFERROR(H231/H445, "NA")</f>
        <v>NA</v>
      </c>
      <c r="J231" s="9"/>
      <c r="K231" s="7">
        <v>0</v>
      </c>
      <c r="L231" s="8" t="str">
        <f>IFERROR(K231/K445, "NA")</f>
        <v>NA</v>
      </c>
      <c r="M231" s="9"/>
      <c r="N231" s="10">
        <f t="shared" si="61"/>
        <v>0</v>
      </c>
      <c r="O231" s="8" t="str">
        <f>IFERROR(N231/N445, "NA")</f>
        <v>NA</v>
      </c>
      <c r="P231" s="9"/>
      <c r="Q231" s="7">
        <v>0</v>
      </c>
      <c r="R231" s="8" t="str">
        <f>IFERROR(Q231/Q445, "NA")</f>
        <v>NA</v>
      </c>
      <c r="S231" s="9"/>
      <c r="T231" s="7">
        <v>0</v>
      </c>
      <c r="U231" s="8" t="str">
        <f>IFERROR(T231/T445, "NA")</f>
        <v>NA</v>
      </c>
      <c r="V231" s="9"/>
      <c r="W231" s="10">
        <f t="shared" si="62"/>
        <v>0</v>
      </c>
      <c r="X231" s="8" t="str">
        <f>IFERROR(W231/W445, "NA")</f>
        <v>NA</v>
      </c>
      <c r="Y231" s="9"/>
      <c r="Z231" s="7">
        <v>0</v>
      </c>
      <c r="AA231" s="8" t="str">
        <f>IFERROR(Z231/Z445, "NA")</f>
        <v>NA</v>
      </c>
      <c r="AB231" s="9"/>
      <c r="AC231" s="10">
        <f t="shared" si="63"/>
        <v>0</v>
      </c>
      <c r="AD231" s="8" t="str">
        <f>IFERROR(AC231/AC445,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IFERROR(B232/B445, "NA")</f>
        <v>NA</v>
      </c>
      <c r="D232" s="9"/>
      <c r="E232" s="7">
        <v>0</v>
      </c>
      <c r="F232" s="8" t="str">
        <f>IFERROR(E232/E445, "NA")</f>
        <v>NA</v>
      </c>
      <c r="G232" s="9"/>
      <c r="H232" s="10">
        <f t="shared" si="60"/>
        <v>0</v>
      </c>
      <c r="I232" s="8" t="str">
        <f>IFERROR(H232/H445, "NA")</f>
        <v>NA</v>
      </c>
      <c r="J232" s="9"/>
      <c r="K232" s="7">
        <v>0</v>
      </c>
      <c r="L232" s="8" t="str">
        <f>IFERROR(K232/K445, "NA")</f>
        <v>NA</v>
      </c>
      <c r="M232" s="9"/>
      <c r="N232" s="10">
        <f t="shared" si="61"/>
        <v>0</v>
      </c>
      <c r="O232" s="8" t="str">
        <f>IFERROR(N232/N445, "NA")</f>
        <v>NA</v>
      </c>
      <c r="P232" s="9"/>
      <c r="Q232" s="7">
        <v>0</v>
      </c>
      <c r="R232" s="8" t="str">
        <f>IFERROR(Q232/Q445, "NA")</f>
        <v>NA</v>
      </c>
      <c r="S232" s="9"/>
      <c r="T232" s="7">
        <v>0</v>
      </c>
      <c r="U232" s="8" t="str">
        <f>IFERROR(T232/T445, "NA")</f>
        <v>NA</v>
      </c>
      <c r="V232" s="9"/>
      <c r="W232" s="10">
        <f t="shared" si="62"/>
        <v>0</v>
      </c>
      <c r="X232" s="8" t="str">
        <f>IFERROR(W232/W445, "NA")</f>
        <v>NA</v>
      </c>
      <c r="Y232" s="9"/>
      <c r="Z232" s="7">
        <v>0</v>
      </c>
      <c r="AA232" s="8" t="str">
        <f>IFERROR(Z232/Z445, "NA")</f>
        <v>NA</v>
      </c>
      <c r="AB232" s="9"/>
      <c r="AC232" s="10">
        <f t="shared" si="63"/>
        <v>0</v>
      </c>
      <c r="AD232" s="8" t="str">
        <f>IFERROR(AC232/AC445,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IFERROR(B233/B445, "NA")</f>
        <v>NA</v>
      </c>
      <c r="D233" s="9"/>
      <c r="E233" s="7">
        <v>0</v>
      </c>
      <c r="F233" s="8" t="str">
        <f>IFERROR(E233/E445, "NA")</f>
        <v>NA</v>
      </c>
      <c r="G233" s="9"/>
      <c r="H233" s="10">
        <f t="shared" si="60"/>
        <v>0</v>
      </c>
      <c r="I233" s="8" t="str">
        <f>IFERROR(H233/H445, "NA")</f>
        <v>NA</v>
      </c>
      <c r="J233" s="9"/>
      <c r="K233" s="7">
        <v>0</v>
      </c>
      <c r="L233" s="8" t="str">
        <f>IFERROR(K233/K445, "NA")</f>
        <v>NA</v>
      </c>
      <c r="M233" s="9"/>
      <c r="N233" s="10">
        <f t="shared" si="61"/>
        <v>0</v>
      </c>
      <c r="O233" s="8" t="str">
        <f>IFERROR(N233/N445, "NA")</f>
        <v>NA</v>
      </c>
      <c r="P233" s="9"/>
      <c r="Q233" s="7">
        <v>0</v>
      </c>
      <c r="R233" s="8" t="str">
        <f>IFERROR(Q233/Q445, "NA")</f>
        <v>NA</v>
      </c>
      <c r="S233" s="9"/>
      <c r="T233" s="7">
        <v>0</v>
      </c>
      <c r="U233" s="8" t="str">
        <f>IFERROR(T233/T445, "NA")</f>
        <v>NA</v>
      </c>
      <c r="V233" s="9"/>
      <c r="W233" s="10">
        <f t="shared" si="62"/>
        <v>0</v>
      </c>
      <c r="X233" s="8" t="str">
        <f>IFERROR(W233/W445, "NA")</f>
        <v>NA</v>
      </c>
      <c r="Y233" s="9"/>
      <c r="Z233" s="7">
        <v>0</v>
      </c>
      <c r="AA233" s="8" t="str">
        <f>IFERROR(Z233/Z445, "NA")</f>
        <v>NA</v>
      </c>
      <c r="AB233" s="9"/>
      <c r="AC233" s="10">
        <f t="shared" si="63"/>
        <v>0</v>
      </c>
      <c r="AD233" s="8" t="str">
        <f>IFERROR(AC233/AC445,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IFERROR(B234/B445, "NA")</f>
        <v>NA</v>
      </c>
      <c r="D234" s="9"/>
      <c r="E234" s="7">
        <v>0</v>
      </c>
      <c r="F234" s="8" t="str">
        <f>IFERROR(E234/E445, "NA")</f>
        <v>NA</v>
      </c>
      <c r="G234" s="9"/>
      <c r="H234" s="10">
        <f t="shared" si="60"/>
        <v>0</v>
      </c>
      <c r="I234" s="8" t="str">
        <f>IFERROR(H234/H445, "NA")</f>
        <v>NA</v>
      </c>
      <c r="J234" s="9"/>
      <c r="K234" s="7">
        <v>0</v>
      </c>
      <c r="L234" s="8" t="str">
        <f>IFERROR(K234/K445, "NA")</f>
        <v>NA</v>
      </c>
      <c r="M234" s="9"/>
      <c r="N234" s="10">
        <f t="shared" si="61"/>
        <v>0</v>
      </c>
      <c r="O234" s="8" t="str">
        <f>IFERROR(N234/N445, "NA")</f>
        <v>NA</v>
      </c>
      <c r="P234" s="9"/>
      <c r="Q234" s="7">
        <v>0</v>
      </c>
      <c r="R234" s="8" t="str">
        <f>IFERROR(Q234/Q445, "NA")</f>
        <v>NA</v>
      </c>
      <c r="S234" s="9"/>
      <c r="T234" s="7">
        <v>0</v>
      </c>
      <c r="U234" s="8" t="str">
        <f>IFERROR(T234/T445, "NA")</f>
        <v>NA</v>
      </c>
      <c r="V234" s="9"/>
      <c r="W234" s="10">
        <f t="shared" si="62"/>
        <v>0</v>
      </c>
      <c r="X234" s="8" t="str">
        <f>IFERROR(W234/W445, "NA")</f>
        <v>NA</v>
      </c>
      <c r="Y234" s="9"/>
      <c r="Z234" s="7">
        <v>0</v>
      </c>
      <c r="AA234" s="8" t="str">
        <f>IFERROR(Z234/Z445, "NA")</f>
        <v>NA</v>
      </c>
      <c r="AB234" s="9"/>
      <c r="AC234" s="10">
        <f t="shared" si="63"/>
        <v>0</v>
      </c>
      <c r="AD234" s="8" t="str">
        <f>IFERROR(AC234/AC445,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IFERROR(B235/B445, "NA")</f>
        <v>NA</v>
      </c>
      <c r="D235" s="9"/>
      <c r="E235" s="7">
        <v>0</v>
      </c>
      <c r="F235" s="8" t="str">
        <f>IFERROR(E235/E445, "NA")</f>
        <v>NA</v>
      </c>
      <c r="G235" s="9"/>
      <c r="H235" s="10">
        <f t="shared" si="60"/>
        <v>0</v>
      </c>
      <c r="I235" s="8" t="str">
        <f>IFERROR(H235/H445, "NA")</f>
        <v>NA</v>
      </c>
      <c r="J235" s="9"/>
      <c r="K235" s="7">
        <v>0</v>
      </c>
      <c r="L235" s="8" t="str">
        <f>IFERROR(K235/K445, "NA")</f>
        <v>NA</v>
      </c>
      <c r="M235" s="9"/>
      <c r="N235" s="10">
        <f t="shared" si="61"/>
        <v>0</v>
      </c>
      <c r="O235" s="8" t="str">
        <f>IFERROR(N235/N445, "NA")</f>
        <v>NA</v>
      </c>
      <c r="P235" s="9"/>
      <c r="Q235" s="7">
        <v>0</v>
      </c>
      <c r="R235" s="8" t="str">
        <f>IFERROR(Q235/Q445, "NA")</f>
        <v>NA</v>
      </c>
      <c r="S235" s="9"/>
      <c r="T235" s="7">
        <v>0</v>
      </c>
      <c r="U235" s="8" t="str">
        <f>IFERROR(T235/T445, "NA")</f>
        <v>NA</v>
      </c>
      <c r="V235" s="9"/>
      <c r="W235" s="10">
        <f t="shared" si="62"/>
        <v>0</v>
      </c>
      <c r="X235" s="8" t="str">
        <f>IFERROR(W235/W445, "NA")</f>
        <v>NA</v>
      </c>
      <c r="Y235" s="9"/>
      <c r="Z235" s="7">
        <v>0</v>
      </c>
      <c r="AA235" s="8" t="str">
        <f>IFERROR(Z235/Z445, "NA")</f>
        <v>NA</v>
      </c>
      <c r="AB235" s="9"/>
      <c r="AC235" s="10">
        <f t="shared" si="63"/>
        <v>0</v>
      </c>
      <c r="AD235" s="8" t="str">
        <f>IFERROR(AC235/AC445,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IFERROR(B236/B445, "NA")</f>
        <v>NA</v>
      </c>
      <c r="D236" s="2"/>
      <c r="E236" s="14">
        <f>IFERROR(E229+E230+E231+E232+E233+E234+E235, "NA")</f>
        <v>0</v>
      </c>
      <c r="F236" s="15" t="str">
        <f>IFERROR(E236/E445, "NA")</f>
        <v>NA</v>
      </c>
      <c r="G236" s="2"/>
      <c r="H236" s="14">
        <f t="shared" si="60"/>
        <v>0</v>
      </c>
      <c r="I236" s="15" t="str">
        <f>IFERROR(H236/H445, "NA")</f>
        <v>NA</v>
      </c>
      <c r="J236" s="2"/>
      <c r="K236" s="14">
        <f>IFERROR(K229+K230+K231+K232+K233+K234+K235, "NA")</f>
        <v>0</v>
      </c>
      <c r="L236" s="15" t="str">
        <f>IFERROR(K236/K445, "NA")</f>
        <v>NA</v>
      </c>
      <c r="M236" s="2"/>
      <c r="N236" s="14">
        <f t="shared" si="61"/>
        <v>0</v>
      </c>
      <c r="O236" s="15" t="str">
        <f>IFERROR(N236/N445, "NA")</f>
        <v>NA</v>
      </c>
      <c r="P236" s="2"/>
      <c r="Q236" s="14">
        <f>IFERROR(Q229+Q230+Q231+Q232+Q233+Q234+Q235, "NA")</f>
        <v>0</v>
      </c>
      <c r="R236" s="15" t="str">
        <f>IFERROR(Q236/Q445, "NA")</f>
        <v>NA</v>
      </c>
      <c r="S236" s="2"/>
      <c r="T236" s="14">
        <f>IFERROR(T229+T230+T231+T232+T233+T234+T235, "NA")</f>
        <v>0</v>
      </c>
      <c r="U236" s="15" t="str">
        <f>IFERROR(T236/T445, "NA")</f>
        <v>NA</v>
      </c>
      <c r="V236" s="2"/>
      <c r="W236" s="14">
        <f t="shared" si="62"/>
        <v>0</v>
      </c>
      <c r="X236" s="15" t="str">
        <f>IFERROR(W236/W445, "NA")</f>
        <v>NA</v>
      </c>
      <c r="Y236" s="2"/>
      <c r="Z236" s="14">
        <f>IFERROR(Z229+Z230+Z231+Z232+Z233+Z234+Z235, "NA")</f>
        <v>0</v>
      </c>
      <c r="AA236" s="15" t="str">
        <f>IFERROR(Z236/Z445, "NA")</f>
        <v>NA</v>
      </c>
      <c r="AB236" s="2"/>
      <c r="AC236" s="14">
        <f t="shared" si="63"/>
        <v>0</v>
      </c>
      <c r="AD236" s="15" t="str">
        <f>IFERROR(AC236/AC445,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IFERROR(B238/B445, "NA")</f>
        <v>NA</v>
      </c>
      <c r="D238" s="9"/>
      <c r="E238" s="7">
        <v>0</v>
      </c>
      <c r="F238" s="8" t="str">
        <f>IFERROR(E238/E445, "NA")</f>
        <v>NA</v>
      </c>
      <c r="G238" s="9"/>
      <c r="H238" s="10">
        <f>IFERROR(-(B238-E238), "NA")</f>
        <v>0</v>
      </c>
      <c r="I238" s="8" t="str">
        <f>IFERROR(H238/H445, "NA")</f>
        <v>NA</v>
      </c>
      <c r="J238" s="9"/>
      <c r="K238" s="7">
        <v>0</v>
      </c>
      <c r="L238" s="8" t="str">
        <f>IFERROR(K238/K445, "NA")</f>
        <v>NA</v>
      </c>
      <c r="M238" s="9"/>
      <c r="N238" s="10">
        <f>IFERROR(-(B238-K238), "NA")</f>
        <v>0</v>
      </c>
      <c r="O238" s="8" t="str">
        <f>IFERROR(N238/N445, "NA")</f>
        <v>NA</v>
      </c>
      <c r="P238" s="9"/>
      <c r="Q238" s="7">
        <v>0</v>
      </c>
      <c r="R238" s="8" t="str">
        <f>IFERROR(Q238/Q445, "NA")</f>
        <v>NA</v>
      </c>
      <c r="S238" s="9"/>
      <c r="T238" s="7">
        <v>0</v>
      </c>
      <c r="U238" s="8" t="str">
        <f>IFERROR(T238/T445, "NA")</f>
        <v>NA</v>
      </c>
      <c r="V238" s="9"/>
      <c r="W238" s="10">
        <f>IFERROR(-(Q238-T238), "NA")</f>
        <v>0</v>
      </c>
      <c r="X238" s="8" t="str">
        <f>IFERROR(W238/W445, "NA")</f>
        <v>NA</v>
      </c>
      <c r="Y238" s="9"/>
      <c r="Z238" s="7">
        <v>0</v>
      </c>
      <c r="AA238" s="8" t="str">
        <f>IFERROR(Z238/Z445, "NA")</f>
        <v>NA</v>
      </c>
      <c r="AB238" s="9"/>
      <c r="AC238" s="10">
        <f>IFERROR(-(Q238-Z238), "NA")</f>
        <v>0</v>
      </c>
      <c r="AD238" s="8" t="str">
        <f>IFERROR(AC238/AC445,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IFERROR(B240/B445, "NA")</f>
        <v>NA</v>
      </c>
      <c r="D240" s="9"/>
      <c r="E240" s="7">
        <v>0</v>
      </c>
      <c r="F240" s="8" t="str">
        <f>IFERROR(E240/E445, "NA")</f>
        <v>NA</v>
      </c>
      <c r="G240" s="9"/>
      <c r="H240" s="10">
        <f t="shared" ref="H240:H264" si="64">IFERROR(-(B240-E240), "NA")</f>
        <v>0</v>
      </c>
      <c r="I240" s="8" t="str">
        <f>IFERROR(H240/H445, "NA")</f>
        <v>NA</v>
      </c>
      <c r="J240" s="9"/>
      <c r="K240" s="7">
        <v>0</v>
      </c>
      <c r="L240" s="8" t="str">
        <f>IFERROR(K240/K445, "NA")</f>
        <v>NA</v>
      </c>
      <c r="M240" s="9"/>
      <c r="N240" s="10">
        <f t="shared" ref="N240:N264" si="65">IFERROR(-(B240-K240), "NA")</f>
        <v>0</v>
      </c>
      <c r="O240" s="8" t="str">
        <f>IFERROR(N240/N445, "NA")</f>
        <v>NA</v>
      </c>
      <c r="P240" s="9"/>
      <c r="Q240" s="7">
        <v>0</v>
      </c>
      <c r="R240" s="8" t="str">
        <f>IFERROR(Q240/Q445, "NA")</f>
        <v>NA</v>
      </c>
      <c r="S240" s="9"/>
      <c r="T240" s="7">
        <v>0</v>
      </c>
      <c r="U240" s="8" t="str">
        <f>IFERROR(T240/T445, "NA")</f>
        <v>NA</v>
      </c>
      <c r="V240" s="9"/>
      <c r="W240" s="10">
        <f t="shared" ref="W240:W264" si="66">IFERROR(-(Q240-T240), "NA")</f>
        <v>0</v>
      </c>
      <c r="X240" s="8" t="str">
        <f>IFERROR(W240/W445, "NA")</f>
        <v>NA</v>
      </c>
      <c r="Y240" s="9"/>
      <c r="Z240" s="7">
        <v>0</v>
      </c>
      <c r="AA240" s="8" t="str">
        <f>IFERROR(Z240/Z445, "NA")</f>
        <v>NA</v>
      </c>
      <c r="AB240" s="9"/>
      <c r="AC240" s="10">
        <f t="shared" ref="AC240:AC264" si="67">IFERROR(-(Q240-Z240), "NA")</f>
        <v>0</v>
      </c>
      <c r="AD240" s="8" t="str">
        <f>IFERROR(AC240/AC445,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IFERROR(B241/B445, "NA")</f>
        <v>NA</v>
      </c>
      <c r="D241" s="9"/>
      <c r="E241" s="7">
        <v>0</v>
      </c>
      <c r="F241" s="8" t="str">
        <f>IFERROR(E241/E445, "NA")</f>
        <v>NA</v>
      </c>
      <c r="G241" s="9"/>
      <c r="H241" s="10">
        <f t="shared" si="64"/>
        <v>0</v>
      </c>
      <c r="I241" s="8" t="str">
        <f>IFERROR(H241/H445, "NA")</f>
        <v>NA</v>
      </c>
      <c r="J241" s="9"/>
      <c r="K241" s="7">
        <v>0</v>
      </c>
      <c r="L241" s="8" t="str">
        <f>IFERROR(K241/K445, "NA")</f>
        <v>NA</v>
      </c>
      <c r="M241" s="9"/>
      <c r="N241" s="10">
        <f t="shared" si="65"/>
        <v>0</v>
      </c>
      <c r="O241" s="8" t="str">
        <f>IFERROR(N241/N445, "NA")</f>
        <v>NA</v>
      </c>
      <c r="P241" s="9"/>
      <c r="Q241" s="7">
        <v>0</v>
      </c>
      <c r="R241" s="8" t="str">
        <f>IFERROR(Q241/Q445, "NA")</f>
        <v>NA</v>
      </c>
      <c r="S241" s="9"/>
      <c r="T241" s="7">
        <v>0</v>
      </c>
      <c r="U241" s="8" t="str">
        <f>IFERROR(T241/T445, "NA")</f>
        <v>NA</v>
      </c>
      <c r="V241" s="9"/>
      <c r="W241" s="10">
        <f t="shared" si="66"/>
        <v>0</v>
      </c>
      <c r="X241" s="8" t="str">
        <f>IFERROR(W241/W445, "NA")</f>
        <v>NA</v>
      </c>
      <c r="Y241" s="9"/>
      <c r="Z241" s="7">
        <v>0</v>
      </c>
      <c r="AA241" s="8" t="str">
        <f>IFERROR(Z241/Z445, "NA")</f>
        <v>NA</v>
      </c>
      <c r="AB241" s="9"/>
      <c r="AC241" s="10">
        <f t="shared" si="67"/>
        <v>0</v>
      </c>
      <c r="AD241" s="8" t="str">
        <f>IFERROR(AC241/AC445,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IFERROR(B242/B445, "NA")</f>
        <v>NA</v>
      </c>
      <c r="D242" s="9"/>
      <c r="E242" s="7">
        <v>0</v>
      </c>
      <c r="F242" s="8" t="str">
        <f>IFERROR(E242/E445, "NA")</f>
        <v>NA</v>
      </c>
      <c r="G242" s="9"/>
      <c r="H242" s="10">
        <f t="shared" si="64"/>
        <v>0</v>
      </c>
      <c r="I242" s="8" t="str">
        <f>IFERROR(H242/H445, "NA")</f>
        <v>NA</v>
      </c>
      <c r="J242" s="9"/>
      <c r="K242" s="7">
        <v>0</v>
      </c>
      <c r="L242" s="8" t="str">
        <f>IFERROR(K242/K445, "NA")</f>
        <v>NA</v>
      </c>
      <c r="M242" s="9"/>
      <c r="N242" s="10">
        <f t="shared" si="65"/>
        <v>0</v>
      </c>
      <c r="O242" s="8" t="str">
        <f>IFERROR(N242/N445, "NA")</f>
        <v>NA</v>
      </c>
      <c r="P242" s="9"/>
      <c r="Q242" s="7">
        <v>0</v>
      </c>
      <c r="R242" s="8" t="str">
        <f>IFERROR(Q242/Q445, "NA")</f>
        <v>NA</v>
      </c>
      <c r="S242" s="9"/>
      <c r="T242" s="7">
        <v>0</v>
      </c>
      <c r="U242" s="8" t="str">
        <f>IFERROR(T242/T445, "NA")</f>
        <v>NA</v>
      </c>
      <c r="V242" s="9"/>
      <c r="W242" s="10">
        <f t="shared" si="66"/>
        <v>0</v>
      </c>
      <c r="X242" s="8" t="str">
        <f>IFERROR(W242/W445, "NA")</f>
        <v>NA</v>
      </c>
      <c r="Y242" s="9"/>
      <c r="Z242" s="7">
        <v>0</v>
      </c>
      <c r="AA242" s="8" t="str">
        <f>IFERROR(Z242/Z445, "NA")</f>
        <v>NA</v>
      </c>
      <c r="AB242" s="9"/>
      <c r="AC242" s="10">
        <f t="shared" si="67"/>
        <v>0</v>
      </c>
      <c r="AD242" s="8" t="str">
        <f>IFERROR(AC242/AC445,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IFERROR(B243/B445, "NA")</f>
        <v>NA</v>
      </c>
      <c r="D243" s="9"/>
      <c r="E243" s="7">
        <v>0</v>
      </c>
      <c r="F243" s="8" t="str">
        <f>IFERROR(E243/E445, "NA")</f>
        <v>NA</v>
      </c>
      <c r="G243" s="9"/>
      <c r="H243" s="10">
        <f t="shared" si="64"/>
        <v>0</v>
      </c>
      <c r="I243" s="8" t="str">
        <f>IFERROR(H243/H445, "NA")</f>
        <v>NA</v>
      </c>
      <c r="J243" s="9"/>
      <c r="K243" s="7">
        <v>0</v>
      </c>
      <c r="L243" s="8" t="str">
        <f>IFERROR(K243/K445, "NA")</f>
        <v>NA</v>
      </c>
      <c r="M243" s="9"/>
      <c r="N243" s="10">
        <f t="shared" si="65"/>
        <v>0</v>
      </c>
      <c r="O243" s="8" t="str">
        <f>IFERROR(N243/N445, "NA")</f>
        <v>NA</v>
      </c>
      <c r="P243" s="9"/>
      <c r="Q243" s="7">
        <v>0</v>
      </c>
      <c r="R243" s="8" t="str">
        <f>IFERROR(Q243/Q445, "NA")</f>
        <v>NA</v>
      </c>
      <c r="S243" s="9"/>
      <c r="T243" s="7">
        <v>0</v>
      </c>
      <c r="U243" s="8" t="str">
        <f>IFERROR(T243/T445, "NA")</f>
        <v>NA</v>
      </c>
      <c r="V243" s="9"/>
      <c r="W243" s="10">
        <f t="shared" si="66"/>
        <v>0</v>
      </c>
      <c r="X243" s="8" t="str">
        <f>IFERROR(W243/W445, "NA")</f>
        <v>NA</v>
      </c>
      <c r="Y243" s="9"/>
      <c r="Z243" s="7">
        <v>0</v>
      </c>
      <c r="AA243" s="8" t="str">
        <f>IFERROR(Z243/Z445, "NA")</f>
        <v>NA</v>
      </c>
      <c r="AB243" s="9"/>
      <c r="AC243" s="10">
        <f t="shared" si="67"/>
        <v>0</v>
      </c>
      <c r="AD243" s="8" t="str">
        <f>IFERROR(AC243/AC445,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IFERROR(B244/B445, "NA")</f>
        <v>NA</v>
      </c>
      <c r="D244" s="9"/>
      <c r="E244" s="7">
        <v>0</v>
      </c>
      <c r="F244" s="8" t="str">
        <f>IFERROR(E244/E445, "NA")</f>
        <v>NA</v>
      </c>
      <c r="G244" s="9"/>
      <c r="H244" s="10">
        <f t="shared" si="64"/>
        <v>0</v>
      </c>
      <c r="I244" s="8" t="str">
        <f>IFERROR(H244/H445, "NA")</f>
        <v>NA</v>
      </c>
      <c r="J244" s="9"/>
      <c r="K244" s="7">
        <v>0</v>
      </c>
      <c r="L244" s="8" t="str">
        <f>IFERROR(K244/K445, "NA")</f>
        <v>NA</v>
      </c>
      <c r="M244" s="9"/>
      <c r="N244" s="10">
        <f t="shared" si="65"/>
        <v>0</v>
      </c>
      <c r="O244" s="8" t="str">
        <f>IFERROR(N244/N445, "NA")</f>
        <v>NA</v>
      </c>
      <c r="P244" s="9"/>
      <c r="Q244" s="7">
        <v>0</v>
      </c>
      <c r="R244" s="8" t="str">
        <f>IFERROR(Q244/Q445, "NA")</f>
        <v>NA</v>
      </c>
      <c r="S244" s="9"/>
      <c r="T244" s="7">
        <v>0</v>
      </c>
      <c r="U244" s="8" t="str">
        <f>IFERROR(T244/T445, "NA")</f>
        <v>NA</v>
      </c>
      <c r="V244" s="9"/>
      <c r="W244" s="10">
        <f t="shared" si="66"/>
        <v>0</v>
      </c>
      <c r="X244" s="8" t="str">
        <f>IFERROR(W244/W445, "NA")</f>
        <v>NA</v>
      </c>
      <c r="Y244" s="9"/>
      <c r="Z244" s="7">
        <v>0</v>
      </c>
      <c r="AA244" s="8" t="str">
        <f>IFERROR(Z244/Z445, "NA")</f>
        <v>NA</v>
      </c>
      <c r="AB244" s="9"/>
      <c r="AC244" s="10">
        <f t="shared" si="67"/>
        <v>0</v>
      </c>
      <c r="AD244" s="8" t="str">
        <f>IFERROR(AC244/AC445,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IFERROR(B245/B445, "NA")</f>
        <v>NA</v>
      </c>
      <c r="D245" s="9"/>
      <c r="E245" s="7">
        <v>0</v>
      </c>
      <c r="F245" s="8" t="str">
        <f>IFERROR(E245/E445, "NA")</f>
        <v>NA</v>
      </c>
      <c r="G245" s="9"/>
      <c r="H245" s="10">
        <f t="shared" si="64"/>
        <v>0</v>
      </c>
      <c r="I245" s="8" t="str">
        <f>IFERROR(H245/H445, "NA")</f>
        <v>NA</v>
      </c>
      <c r="J245" s="9"/>
      <c r="K245" s="7">
        <v>0</v>
      </c>
      <c r="L245" s="8" t="str">
        <f>IFERROR(K245/K445, "NA")</f>
        <v>NA</v>
      </c>
      <c r="M245" s="9"/>
      <c r="N245" s="10">
        <f t="shared" si="65"/>
        <v>0</v>
      </c>
      <c r="O245" s="8" t="str">
        <f>IFERROR(N245/N445, "NA")</f>
        <v>NA</v>
      </c>
      <c r="P245" s="9"/>
      <c r="Q245" s="7">
        <v>0</v>
      </c>
      <c r="R245" s="8" t="str">
        <f>IFERROR(Q245/Q445, "NA")</f>
        <v>NA</v>
      </c>
      <c r="S245" s="9"/>
      <c r="T245" s="7">
        <v>0</v>
      </c>
      <c r="U245" s="8" t="str">
        <f>IFERROR(T245/T445, "NA")</f>
        <v>NA</v>
      </c>
      <c r="V245" s="9"/>
      <c r="W245" s="10">
        <f t="shared" si="66"/>
        <v>0</v>
      </c>
      <c r="X245" s="8" t="str">
        <f>IFERROR(W245/W445, "NA")</f>
        <v>NA</v>
      </c>
      <c r="Y245" s="9"/>
      <c r="Z245" s="7">
        <v>0</v>
      </c>
      <c r="AA245" s="8" t="str">
        <f>IFERROR(Z245/Z445, "NA")</f>
        <v>NA</v>
      </c>
      <c r="AB245" s="9"/>
      <c r="AC245" s="10">
        <f t="shared" si="67"/>
        <v>0</v>
      </c>
      <c r="AD245" s="8" t="str">
        <f>IFERROR(AC245/AC445,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IFERROR(B246/B445, "NA")</f>
        <v>NA</v>
      </c>
      <c r="D246" s="9"/>
      <c r="E246" s="7">
        <v>0</v>
      </c>
      <c r="F246" s="8" t="str">
        <f>IFERROR(E246/E445, "NA")</f>
        <v>NA</v>
      </c>
      <c r="G246" s="9"/>
      <c r="H246" s="10">
        <f t="shared" si="64"/>
        <v>0</v>
      </c>
      <c r="I246" s="8" t="str">
        <f>IFERROR(H246/H445, "NA")</f>
        <v>NA</v>
      </c>
      <c r="J246" s="9"/>
      <c r="K246" s="7">
        <v>0</v>
      </c>
      <c r="L246" s="8" t="str">
        <f>IFERROR(K246/K445, "NA")</f>
        <v>NA</v>
      </c>
      <c r="M246" s="9"/>
      <c r="N246" s="10">
        <f t="shared" si="65"/>
        <v>0</v>
      </c>
      <c r="O246" s="8" t="str">
        <f>IFERROR(N246/N445, "NA")</f>
        <v>NA</v>
      </c>
      <c r="P246" s="9"/>
      <c r="Q246" s="7">
        <v>0</v>
      </c>
      <c r="R246" s="8" t="str">
        <f>IFERROR(Q246/Q445, "NA")</f>
        <v>NA</v>
      </c>
      <c r="S246" s="9"/>
      <c r="T246" s="7">
        <v>0</v>
      </c>
      <c r="U246" s="8" t="str">
        <f>IFERROR(T246/T445, "NA")</f>
        <v>NA</v>
      </c>
      <c r="V246" s="9"/>
      <c r="W246" s="10">
        <f t="shared" si="66"/>
        <v>0</v>
      </c>
      <c r="X246" s="8" t="str">
        <f>IFERROR(W246/W445, "NA")</f>
        <v>NA</v>
      </c>
      <c r="Y246" s="9"/>
      <c r="Z246" s="7">
        <v>0</v>
      </c>
      <c r="AA246" s="8" t="str">
        <f>IFERROR(Z246/Z445, "NA")</f>
        <v>NA</v>
      </c>
      <c r="AB246" s="9"/>
      <c r="AC246" s="10">
        <f t="shared" si="67"/>
        <v>0</v>
      </c>
      <c r="AD246" s="8" t="str">
        <f>IFERROR(AC246/AC445,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IFERROR(B247/B445, "NA")</f>
        <v>NA</v>
      </c>
      <c r="D247" s="9"/>
      <c r="E247" s="7">
        <v>0</v>
      </c>
      <c r="F247" s="8" t="str">
        <f>IFERROR(E247/E445, "NA")</f>
        <v>NA</v>
      </c>
      <c r="G247" s="9"/>
      <c r="H247" s="10">
        <f t="shared" si="64"/>
        <v>0</v>
      </c>
      <c r="I247" s="8" t="str">
        <f>IFERROR(H247/H445, "NA")</f>
        <v>NA</v>
      </c>
      <c r="J247" s="9"/>
      <c r="K247" s="7">
        <v>0</v>
      </c>
      <c r="L247" s="8" t="str">
        <f>IFERROR(K247/K445, "NA")</f>
        <v>NA</v>
      </c>
      <c r="M247" s="9"/>
      <c r="N247" s="10">
        <f t="shared" si="65"/>
        <v>0</v>
      </c>
      <c r="O247" s="8" t="str">
        <f>IFERROR(N247/N445, "NA")</f>
        <v>NA</v>
      </c>
      <c r="P247" s="9"/>
      <c r="Q247" s="7">
        <v>0</v>
      </c>
      <c r="R247" s="8" t="str">
        <f>IFERROR(Q247/Q445, "NA")</f>
        <v>NA</v>
      </c>
      <c r="S247" s="9"/>
      <c r="T247" s="7">
        <v>0</v>
      </c>
      <c r="U247" s="8" t="str">
        <f>IFERROR(T247/T445, "NA")</f>
        <v>NA</v>
      </c>
      <c r="V247" s="9"/>
      <c r="W247" s="10">
        <f t="shared" si="66"/>
        <v>0</v>
      </c>
      <c r="X247" s="8" t="str">
        <f>IFERROR(W247/W445, "NA")</f>
        <v>NA</v>
      </c>
      <c r="Y247" s="9"/>
      <c r="Z247" s="7">
        <v>0</v>
      </c>
      <c r="AA247" s="8" t="str">
        <f>IFERROR(Z247/Z445, "NA")</f>
        <v>NA</v>
      </c>
      <c r="AB247" s="9"/>
      <c r="AC247" s="10">
        <f t="shared" si="67"/>
        <v>0</v>
      </c>
      <c r="AD247" s="8" t="str">
        <f>IFERROR(AC247/AC445,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IFERROR(B248/B445, "NA")</f>
        <v>NA</v>
      </c>
      <c r="D248" s="9"/>
      <c r="E248" s="7">
        <v>0</v>
      </c>
      <c r="F248" s="8" t="str">
        <f>IFERROR(E248/E445, "NA")</f>
        <v>NA</v>
      </c>
      <c r="G248" s="9"/>
      <c r="H248" s="10">
        <f t="shared" si="64"/>
        <v>0</v>
      </c>
      <c r="I248" s="8" t="str">
        <f>IFERROR(H248/H445, "NA")</f>
        <v>NA</v>
      </c>
      <c r="J248" s="9"/>
      <c r="K248" s="7">
        <v>0</v>
      </c>
      <c r="L248" s="8" t="str">
        <f>IFERROR(K248/K445, "NA")</f>
        <v>NA</v>
      </c>
      <c r="M248" s="9"/>
      <c r="N248" s="10">
        <f t="shared" si="65"/>
        <v>0</v>
      </c>
      <c r="O248" s="8" t="str">
        <f>IFERROR(N248/N445, "NA")</f>
        <v>NA</v>
      </c>
      <c r="P248" s="9"/>
      <c r="Q248" s="7">
        <v>0</v>
      </c>
      <c r="R248" s="8" t="str">
        <f>IFERROR(Q248/Q445, "NA")</f>
        <v>NA</v>
      </c>
      <c r="S248" s="9"/>
      <c r="T248" s="7">
        <v>0</v>
      </c>
      <c r="U248" s="8" t="str">
        <f>IFERROR(T248/T445, "NA")</f>
        <v>NA</v>
      </c>
      <c r="V248" s="9"/>
      <c r="W248" s="10">
        <f t="shared" si="66"/>
        <v>0</v>
      </c>
      <c r="X248" s="8" t="str">
        <f>IFERROR(W248/W445, "NA")</f>
        <v>NA</v>
      </c>
      <c r="Y248" s="9"/>
      <c r="Z248" s="7">
        <v>0</v>
      </c>
      <c r="AA248" s="8" t="str">
        <f>IFERROR(Z248/Z445, "NA")</f>
        <v>NA</v>
      </c>
      <c r="AB248" s="9"/>
      <c r="AC248" s="10">
        <f t="shared" si="67"/>
        <v>0</v>
      </c>
      <c r="AD248" s="8" t="str">
        <f>IFERROR(AC248/AC445,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IFERROR(B249/B445, "NA")</f>
        <v>NA</v>
      </c>
      <c r="D249" s="9"/>
      <c r="E249" s="7">
        <v>0</v>
      </c>
      <c r="F249" s="8" t="str">
        <f>IFERROR(E249/E445, "NA")</f>
        <v>NA</v>
      </c>
      <c r="G249" s="9"/>
      <c r="H249" s="10">
        <f t="shared" si="64"/>
        <v>0</v>
      </c>
      <c r="I249" s="8" t="str">
        <f>IFERROR(H249/H445, "NA")</f>
        <v>NA</v>
      </c>
      <c r="J249" s="9"/>
      <c r="K249" s="7">
        <v>0</v>
      </c>
      <c r="L249" s="8" t="str">
        <f>IFERROR(K249/K445, "NA")</f>
        <v>NA</v>
      </c>
      <c r="M249" s="9"/>
      <c r="N249" s="10">
        <f t="shared" si="65"/>
        <v>0</v>
      </c>
      <c r="O249" s="8" t="str">
        <f>IFERROR(N249/N445, "NA")</f>
        <v>NA</v>
      </c>
      <c r="P249" s="9"/>
      <c r="Q249" s="7">
        <v>0</v>
      </c>
      <c r="R249" s="8" t="str">
        <f>IFERROR(Q249/Q445, "NA")</f>
        <v>NA</v>
      </c>
      <c r="S249" s="9"/>
      <c r="T249" s="7">
        <v>0</v>
      </c>
      <c r="U249" s="8" t="str">
        <f>IFERROR(T249/T445, "NA")</f>
        <v>NA</v>
      </c>
      <c r="V249" s="9"/>
      <c r="W249" s="10">
        <f t="shared" si="66"/>
        <v>0</v>
      </c>
      <c r="X249" s="8" t="str">
        <f>IFERROR(W249/W445, "NA")</f>
        <v>NA</v>
      </c>
      <c r="Y249" s="9"/>
      <c r="Z249" s="7">
        <v>0</v>
      </c>
      <c r="AA249" s="8" t="str">
        <f>IFERROR(Z249/Z445, "NA")</f>
        <v>NA</v>
      </c>
      <c r="AB249" s="9"/>
      <c r="AC249" s="10">
        <f t="shared" si="67"/>
        <v>0</v>
      </c>
      <c r="AD249" s="8" t="str">
        <f>IFERROR(AC249/AC445,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IFERROR(B250/B445, "NA")</f>
        <v>NA</v>
      </c>
      <c r="D250" s="9"/>
      <c r="E250" s="7">
        <v>0</v>
      </c>
      <c r="F250" s="8" t="str">
        <f>IFERROR(E250/E445, "NA")</f>
        <v>NA</v>
      </c>
      <c r="G250" s="9"/>
      <c r="H250" s="10">
        <f t="shared" si="64"/>
        <v>0</v>
      </c>
      <c r="I250" s="8" t="str">
        <f>IFERROR(H250/H445, "NA")</f>
        <v>NA</v>
      </c>
      <c r="J250" s="9"/>
      <c r="K250" s="7">
        <v>0</v>
      </c>
      <c r="L250" s="8" t="str">
        <f>IFERROR(K250/K445, "NA")</f>
        <v>NA</v>
      </c>
      <c r="M250" s="9"/>
      <c r="N250" s="10">
        <f t="shared" si="65"/>
        <v>0</v>
      </c>
      <c r="O250" s="8" t="str">
        <f>IFERROR(N250/N445, "NA")</f>
        <v>NA</v>
      </c>
      <c r="P250" s="9"/>
      <c r="Q250" s="7">
        <v>0</v>
      </c>
      <c r="R250" s="8" t="str">
        <f>IFERROR(Q250/Q445, "NA")</f>
        <v>NA</v>
      </c>
      <c r="S250" s="9"/>
      <c r="T250" s="7">
        <v>0</v>
      </c>
      <c r="U250" s="8" t="str">
        <f>IFERROR(T250/T445, "NA")</f>
        <v>NA</v>
      </c>
      <c r="V250" s="9"/>
      <c r="W250" s="10">
        <f t="shared" si="66"/>
        <v>0</v>
      </c>
      <c r="X250" s="8" t="str">
        <f>IFERROR(W250/W445, "NA")</f>
        <v>NA</v>
      </c>
      <c r="Y250" s="9"/>
      <c r="Z250" s="7">
        <v>0</v>
      </c>
      <c r="AA250" s="8" t="str">
        <f>IFERROR(Z250/Z445, "NA")</f>
        <v>NA</v>
      </c>
      <c r="AB250" s="9"/>
      <c r="AC250" s="10">
        <f t="shared" si="67"/>
        <v>0</v>
      </c>
      <c r="AD250" s="8" t="str">
        <f>IFERROR(AC250/AC445,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IFERROR(B251/B445, "NA")</f>
        <v>NA</v>
      </c>
      <c r="D251" s="9"/>
      <c r="E251" s="7">
        <v>0</v>
      </c>
      <c r="F251" s="8" t="str">
        <f>IFERROR(E251/E445, "NA")</f>
        <v>NA</v>
      </c>
      <c r="G251" s="9"/>
      <c r="H251" s="10">
        <f t="shared" si="64"/>
        <v>0</v>
      </c>
      <c r="I251" s="8" t="str">
        <f>IFERROR(H251/H445, "NA")</f>
        <v>NA</v>
      </c>
      <c r="J251" s="9"/>
      <c r="K251" s="7">
        <v>0</v>
      </c>
      <c r="L251" s="8" t="str">
        <f>IFERROR(K251/K445, "NA")</f>
        <v>NA</v>
      </c>
      <c r="M251" s="9"/>
      <c r="N251" s="10">
        <f t="shared" si="65"/>
        <v>0</v>
      </c>
      <c r="O251" s="8" t="str">
        <f>IFERROR(N251/N445, "NA")</f>
        <v>NA</v>
      </c>
      <c r="P251" s="9"/>
      <c r="Q251" s="7">
        <v>0</v>
      </c>
      <c r="R251" s="8" t="str">
        <f>IFERROR(Q251/Q445, "NA")</f>
        <v>NA</v>
      </c>
      <c r="S251" s="9"/>
      <c r="T251" s="7">
        <v>0</v>
      </c>
      <c r="U251" s="8" t="str">
        <f>IFERROR(T251/T445, "NA")</f>
        <v>NA</v>
      </c>
      <c r="V251" s="9"/>
      <c r="W251" s="10">
        <f t="shared" si="66"/>
        <v>0</v>
      </c>
      <c r="X251" s="8" t="str">
        <f>IFERROR(W251/W445, "NA")</f>
        <v>NA</v>
      </c>
      <c r="Y251" s="9"/>
      <c r="Z251" s="7">
        <v>0</v>
      </c>
      <c r="AA251" s="8" t="str">
        <f>IFERROR(Z251/Z445, "NA")</f>
        <v>NA</v>
      </c>
      <c r="AB251" s="9"/>
      <c r="AC251" s="10">
        <f t="shared" si="67"/>
        <v>0</v>
      </c>
      <c r="AD251" s="8" t="str">
        <f>IFERROR(AC251/AC445,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IFERROR(B252/B445, "NA")</f>
        <v>NA</v>
      </c>
      <c r="D252" s="9"/>
      <c r="E252" s="7">
        <v>0</v>
      </c>
      <c r="F252" s="8" t="str">
        <f>IFERROR(E252/E445, "NA")</f>
        <v>NA</v>
      </c>
      <c r="G252" s="9"/>
      <c r="H252" s="10">
        <f t="shared" si="64"/>
        <v>0</v>
      </c>
      <c r="I252" s="8" t="str">
        <f>IFERROR(H252/H445, "NA")</f>
        <v>NA</v>
      </c>
      <c r="J252" s="9"/>
      <c r="K252" s="7">
        <v>0</v>
      </c>
      <c r="L252" s="8" t="str">
        <f>IFERROR(K252/K445, "NA")</f>
        <v>NA</v>
      </c>
      <c r="M252" s="9"/>
      <c r="N252" s="10">
        <f t="shared" si="65"/>
        <v>0</v>
      </c>
      <c r="O252" s="8" t="str">
        <f>IFERROR(N252/N445, "NA")</f>
        <v>NA</v>
      </c>
      <c r="P252" s="9"/>
      <c r="Q252" s="7">
        <v>0</v>
      </c>
      <c r="R252" s="8" t="str">
        <f>IFERROR(Q252/Q445, "NA")</f>
        <v>NA</v>
      </c>
      <c r="S252" s="9"/>
      <c r="T252" s="7">
        <v>0</v>
      </c>
      <c r="U252" s="8" t="str">
        <f>IFERROR(T252/T445, "NA")</f>
        <v>NA</v>
      </c>
      <c r="V252" s="9"/>
      <c r="W252" s="10">
        <f t="shared" si="66"/>
        <v>0</v>
      </c>
      <c r="X252" s="8" t="str">
        <f>IFERROR(W252/W445, "NA")</f>
        <v>NA</v>
      </c>
      <c r="Y252" s="9"/>
      <c r="Z252" s="7">
        <v>0</v>
      </c>
      <c r="AA252" s="8" t="str">
        <f>IFERROR(Z252/Z445, "NA")</f>
        <v>NA</v>
      </c>
      <c r="AB252" s="9"/>
      <c r="AC252" s="10">
        <f t="shared" si="67"/>
        <v>0</v>
      </c>
      <c r="AD252" s="8" t="str">
        <f>IFERROR(AC252/AC445,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IFERROR(B253/B445, "NA")</f>
        <v>NA</v>
      </c>
      <c r="D253" s="9"/>
      <c r="E253" s="7">
        <v>0</v>
      </c>
      <c r="F253" s="8" t="str">
        <f>IFERROR(E253/E445, "NA")</f>
        <v>NA</v>
      </c>
      <c r="G253" s="9"/>
      <c r="H253" s="10">
        <f t="shared" si="64"/>
        <v>0</v>
      </c>
      <c r="I253" s="8" t="str">
        <f>IFERROR(H253/H445, "NA")</f>
        <v>NA</v>
      </c>
      <c r="J253" s="9"/>
      <c r="K253" s="7">
        <v>0</v>
      </c>
      <c r="L253" s="8" t="str">
        <f>IFERROR(K253/K445, "NA")</f>
        <v>NA</v>
      </c>
      <c r="M253" s="9"/>
      <c r="N253" s="10">
        <f t="shared" si="65"/>
        <v>0</v>
      </c>
      <c r="O253" s="8" t="str">
        <f>IFERROR(N253/N445, "NA")</f>
        <v>NA</v>
      </c>
      <c r="P253" s="9"/>
      <c r="Q253" s="7">
        <v>0</v>
      </c>
      <c r="R253" s="8" t="str">
        <f>IFERROR(Q253/Q445, "NA")</f>
        <v>NA</v>
      </c>
      <c r="S253" s="9"/>
      <c r="T253" s="7">
        <v>0</v>
      </c>
      <c r="U253" s="8" t="str">
        <f>IFERROR(T253/T445, "NA")</f>
        <v>NA</v>
      </c>
      <c r="V253" s="9"/>
      <c r="W253" s="10">
        <f t="shared" si="66"/>
        <v>0</v>
      </c>
      <c r="X253" s="8" t="str">
        <f>IFERROR(W253/W445, "NA")</f>
        <v>NA</v>
      </c>
      <c r="Y253" s="9"/>
      <c r="Z253" s="7">
        <v>0</v>
      </c>
      <c r="AA253" s="8" t="str">
        <f>IFERROR(Z253/Z445, "NA")</f>
        <v>NA</v>
      </c>
      <c r="AB253" s="9"/>
      <c r="AC253" s="10">
        <f t="shared" si="67"/>
        <v>0</v>
      </c>
      <c r="AD253" s="8" t="str">
        <f>IFERROR(AC253/AC445,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IFERROR(B254/B445, "NA")</f>
        <v>NA</v>
      </c>
      <c r="D254" s="9"/>
      <c r="E254" s="7">
        <v>0</v>
      </c>
      <c r="F254" s="8" t="str">
        <f>IFERROR(E254/E445, "NA")</f>
        <v>NA</v>
      </c>
      <c r="G254" s="9"/>
      <c r="H254" s="10">
        <f t="shared" si="64"/>
        <v>0</v>
      </c>
      <c r="I254" s="8" t="str">
        <f>IFERROR(H254/H445, "NA")</f>
        <v>NA</v>
      </c>
      <c r="J254" s="9"/>
      <c r="K254" s="7">
        <v>0</v>
      </c>
      <c r="L254" s="8" t="str">
        <f>IFERROR(K254/K445, "NA")</f>
        <v>NA</v>
      </c>
      <c r="M254" s="9"/>
      <c r="N254" s="10">
        <f t="shared" si="65"/>
        <v>0</v>
      </c>
      <c r="O254" s="8" t="str">
        <f>IFERROR(N254/N445, "NA")</f>
        <v>NA</v>
      </c>
      <c r="P254" s="9"/>
      <c r="Q254" s="7">
        <v>0</v>
      </c>
      <c r="R254" s="8" t="str">
        <f>IFERROR(Q254/Q445, "NA")</f>
        <v>NA</v>
      </c>
      <c r="S254" s="9"/>
      <c r="T254" s="7">
        <v>0</v>
      </c>
      <c r="U254" s="8" t="str">
        <f>IFERROR(T254/T445, "NA")</f>
        <v>NA</v>
      </c>
      <c r="V254" s="9"/>
      <c r="W254" s="10">
        <f t="shared" si="66"/>
        <v>0</v>
      </c>
      <c r="X254" s="8" t="str">
        <f>IFERROR(W254/W445, "NA")</f>
        <v>NA</v>
      </c>
      <c r="Y254" s="9"/>
      <c r="Z254" s="7">
        <v>0</v>
      </c>
      <c r="AA254" s="8" t="str">
        <f>IFERROR(Z254/Z445, "NA")</f>
        <v>NA</v>
      </c>
      <c r="AB254" s="9"/>
      <c r="AC254" s="10">
        <f t="shared" si="67"/>
        <v>0</v>
      </c>
      <c r="AD254" s="8" t="str">
        <f>IFERROR(AC254/AC445,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IFERROR(B255/B445, "NA")</f>
        <v>NA</v>
      </c>
      <c r="D255" s="9"/>
      <c r="E255" s="7">
        <v>0</v>
      </c>
      <c r="F255" s="8" t="str">
        <f>IFERROR(E255/E445, "NA")</f>
        <v>NA</v>
      </c>
      <c r="G255" s="9"/>
      <c r="H255" s="10">
        <f t="shared" si="64"/>
        <v>0</v>
      </c>
      <c r="I255" s="8" t="str">
        <f>IFERROR(H255/H445, "NA")</f>
        <v>NA</v>
      </c>
      <c r="J255" s="9"/>
      <c r="K255" s="7">
        <v>0</v>
      </c>
      <c r="L255" s="8" t="str">
        <f>IFERROR(K255/K445, "NA")</f>
        <v>NA</v>
      </c>
      <c r="M255" s="9"/>
      <c r="N255" s="10">
        <f t="shared" si="65"/>
        <v>0</v>
      </c>
      <c r="O255" s="8" t="str">
        <f>IFERROR(N255/N445, "NA")</f>
        <v>NA</v>
      </c>
      <c r="P255" s="9"/>
      <c r="Q255" s="7">
        <v>0</v>
      </c>
      <c r="R255" s="8" t="str">
        <f>IFERROR(Q255/Q445, "NA")</f>
        <v>NA</v>
      </c>
      <c r="S255" s="9"/>
      <c r="T255" s="7">
        <v>0</v>
      </c>
      <c r="U255" s="8" t="str">
        <f>IFERROR(T255/T445, "NA")</f>
        <v>NA</v>
      </c>
      <c r="V255" s="9"/>
      <c r="W255" s="10">
        <f t="shared" si="66"/>
        <v>0</v>
      </c>
      <c r="X255" s="8" t="str">
        <f>IFERROR(W255/W445, "NA")</f>
        <v>NA</v>
      </c>
      <c r="Y255" s="9"/>
      <c r="Z255" s="7">
        <v>0</v>
      </c>
      <c r="AA255" s="8" t="str">
        <f>IFERROR(Z255/Z445, "NA")</f>
        <v>NA</v>
      </c>
      <c r="AB255" s="9"/>
      <c r="AC255" s="10">
        <f t="shared" si="67"/>
        <v>0</v>
      </c>
      <c r="AD255" s="8" t="str">
        <f>IFERROR(AC255/AC445,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IFERROR(B256/B445, "NA")</f>
        <v>NA</v>
      </c>
      <c r="D256" s="9"/>
      <c r="E256" s="7">
        <v>0</v>
      </c>
      <c r="F256" s="8" t="str">
        <f>IFERROR(E256/E445, "NA")</f>
        <v>NA</v>
      </c>
      <c r="G256" s="9"/>
      <c r="H256" s="10">
        <f t="shared" si="64"/>
        <v>0</v>
      </c>
      <c r="I256" s="8" t="str">
        <f>IFERROR(H256/H445, "NA")</f>
        <v>NA</v>
      </c>
      <c r="J256" s="9"/>
      <c r="K256" s="7">
        <v>0</v>
      </c>
      <c r="L256" s="8" t="str">
        <f>IFERROR(K256/K445, "NA")</f>
        <v>NA</v>
      </c>
      <c r="M256" s="9"/>
      <c r="N256" s="10">
        <f t="shared" si="65"/>
        <v>0</v>
      </c>
      <c r="O256" s="8" t="str">
        <f>IFERROR(N256/N445, "NA")</f>
        <v>NA</v>
      </c>
      <c r="P256" s="9"/>
      <c r="Q256" s="7">
        <v>0</v>
      </c>
      <c r="R256" s="8" t="str">
        <f>IFERROR(Q256/Q445, "NA")</f>
        <v>NA</v>
      </c>
      <c r="S256" s="9"/>
      <c r="T256" s="7">
        <v>0</v>
      </c>
      <c r="U256" s="8" t="str">
        <f>IFERROR(T256/T445, "NA")</f>
        <v>NA</v>
      </c>
      <c r="V256" s="9"/>
      <c r="W256" s="10">
        <f t="shared" si="66"/>
        <v>0</v>
      </c>
      <c r="X256" s="8" t="str">
        <f>IFERROR(W256/W445, "NA")</f>
        <v>NA</v>
      </c>
      <c r="Y256" s="9"/>
      <c r="Z256" s="7">
        <v>0</v>
      </c>
      <c r="AA256" s="8" t="str">
        <f>IFERROR(Z256/Z445, "NA")</f>
        <v>NA</v>
      </c>
      <c r="AB256" s="9"/>
      <c r="AC256" s="10">
        <f t="shared" si="67"/>
        <v>0</v>
      </c>
      <c r="AD256" s="8" t="str">
        <f>IFERROR(AC256/AC445,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IFERROR(B257/B445, "NA")</f>
        <v>NA</v>
      </c>
      <c r="D257" s="9"/>
      <c r="E257" s="7">
        <v>0</v>
      </c>
      <c r="F257" s="8" t="str">
        <f>IFERROR(E257/E445, "NA")</f>
        <v>NA</v>
      </c>
      <c r="G257" s="9"/>
      <c r="H257" s="10">
        <f t="shared" si="64"/>
        <v>0</v>
      </c>
      <c r="I257" s="8" t="str">
        <f>IFERROR(H257/H445, "NA")</f>
        <v>NA</v>
      </c>
      <c r="J257" s="9"/>
      <c r="K257" s="7">
        <v>0</v>
      </c>
      <c r="L257" s="8" t="str">
        <f>IFERROR(K257/K445, "NA")</f>
        <v>NA</v>
      </c>
      <c r="M257" s="9"/>
      <c r="N257" s="10">
        <f t="shared" si="65"/>
        <v>0</v>
      </c>
      <c r="O257" s="8" t="str">
        <f>IFERROR(N257/N445, "NA")</f>
        <v>NA</v>
      </c>
      <c r="P257" s="9"/>
      <c r="Q257" s="7">
        <v>0</v>
      </c>
      <c r="R257" s="8" t="str">
        <f>IFERROR(Q257/Q445, "NA")</f>
        <v>NA</v>
      </c>
      <c r="S257" s="9"/>
      <c r="T257" s="7">
        <v>0</v>
      </c>
      <c r="U257" s="8" t="str">
        <f>IFERROR(T257/T445, "NA")</f>
        <v>NA</v>
      </c>
      <c r="V257" s="9"/>
      <c r="W257" s="10">
        <f t="shared" si="66"/>
        <v>0</v>
      </c>
      <c r="X257" s="8" t="str">
        <f>IFERROR(W257/W445, "NA")</f>
        <v>NA</v>
      </c>
      <c r="Y257" s="9"/>
      <c r="Z257" s="7">
        <v>0</v>
      </c>
      <c r="AA257" s="8" t="str">
        <f>IFERROR(Z257/Z445, "NA")</f>
        <v>NA</v>
      </c>
      <c r="AB257" s="9"/>
      <c r="AC257" s="10">
        <f t="shared" si="67"/>
        <v>0</v>
      </c>
      <c r="AD257" s="8" t="str">
        <f>IFERROR(AC257/AC445,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IFERROR(B258/B445, "NA")</f>
        <v>NA</v>
      </c>
      <c r="D258" s="9"/>
      <c r="E258" s="7">
        <v>0</v>
      </c>
      <c r="F258" s="8" t="str">
        <f>IFERROR(E258/E445, "NA")</f>
        <v>NA</v>
      </c>
      <c r="G258" s="9"/>
      <c r="H258" s="10">
        <f t="shared" si="64"/>
        <v>0</v>
      </c>
      <c r="I258" s="8" t="str">
        <f>IFERROR(H258/H445, "NA")</f>
        <v>NA</v>
      </c>
      <c r="J258" s="9"/>
      <c r="K258" s="7">
        <v>0</v>
      </c>
      <c r="L258" s="8" t="str">
        <f>IFERROR(K258/K445, "NA")</f>
        <v>NA</v>
      </c>
      <c r="M258" s="9"/>
      <c r="N258" s="10">
        <f t="shared" si="65"/>
        <v>0</v>
      </c>
      <c r="O258" s="8" t="str">
        <f>IFERROR(N258/N445, "NA")</f>
        <v>NA</v>
      </c>
      <c r="P258" s="9"/>
      <c r="Q258" s="7">
        <v>0</v>
      </c>
      <c r="R258" s="8" t="str">
        <f>IFERROR(Q258/Q445, "NA")</f>
        <v>NA</v>
      </c>
      <c r="S258" s="9"/>
      <c r="T258" s="7">
        <v>0</v>
      </c>
      <c r="U258" s="8" t="str">
        <f>IFERROR(T258/T445, "NA")</f>
        <v>NA</v>
      </c>
      <c r="V258" s="9"/>
      <c r="W258" s="10">
        <f t="shared" si="66"/>
        <v>0</v>
      </c>
      <c r="X258" s="8" t="str">
        <f>IFERROR(W258/W445, "NA")</f>
        <v>NA</v>
      </c>
      <c r="Y258" s="9"/>
      <c r="Z258" s="7">
        <v>0</v>
      </c>
      <c r="AA258" s="8" t="str">
        <f>IFERROR(Z258/Z445, "NA")</f>
        <v>NA</v>
      </c>
      <c r="AB258" s="9"/>
      <c r="AC258" s="10">
        <f t="shared" si="67"/>
        <v>0</v>
      </c>
      <c r="AD258" s="8" t="str">
        <f>IFERROR(AC258/AC445,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IFERROR(B259/B445, "NA")</f>
        <v>NA</v>
      </c>
      <c r="D259" s="9"/>
      <c r="E259" s="7">
        <v>0</v>
      </c>
      <c r="F259" s="8" t="str">
        <f>IFERROR(E259/E445, "NA")</f>
        <v>NA</v>
      </c>
      <c r="G259" s="9"/>
      <c r="H259" s="10">
        <f t="shared" si="64"/>
        <v>0</v>
      </c>
      <c r="I259" s="8" t="str">
        <f>IFERROR(H259/H445, "NA")</f>
        <v>NA</v>
      </c>
      <c r="J259" s="9"/>
      <c r="K259" s="7">
        <v>0</v>
      </c>
      <c r="L259" s="8" t="str">
        <f>IFERROR(K259/K445, "NA")</f>
        <v>NA</v>
      </c>
      <c r="M259" s="9"/>
      <c r="N259" s="10">
        <f t="shared" si="65"/>
        <v>0</v>
      </c>
      <c r="O259" s="8" t="str">
        <f>IFERROR(N259/N445, "NA")</f>
        <v>NA</v>
      </c>
      <c r="P259" s="9"/>
      <c r="Q259" s="7">
        <v>0</v>
      </c>
      <c r="R259" s="8" t="str">
        <f>IFERROR(Q259/Q445, "NA")</f>
        <v>NA</v>
      </c>
      <c r="S259" s="9"/>
      <c r="T259" s="7">
        <v>0</v>
      </c>
      <c r="U259" s="8" t="str">
        <f>IFERROR(T259/T445, "NA")</f>
        <v>NA</v>
      </c>
      <c r="V259" s="9"/>
      <c r="W259" s="10">
        <f t="shared" si="66"/>
        <v>0</v>
      </c>
      <c r="X259" s="8" t="str">
        <f>IFERROR(W259/W445, "NA")</f>
        <v>NA</v>
      </c>
      <c r="Y259" s="9"/>
      <c r="Z259" s="7">
        <v>0</v>
      </c>
      <c r="AA259" s="8" t="str">
        <f>IFERROR(Z259/Z445, "NA")</f>
        <v>NA</v>
      </c>
      <c r="AB259" s="9"/>
      <c r="AC259" s="10">
        <f t="shared" si="67"/>
        <v>0</v>
      </c>
      <c r="AD259" s="8" t="str">
        <f>IFERROR(AC259/AC445,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IFERROR(B260/B445, "NA")</f>
        <v>NA</v>
      </c>
      <c r="D260" s="9"/>
      <c r="E260" s="7">
        <v>0</v>
      </c>
      <c r="F260" s="8" t="str">
        <f>IFERROR(E260/E445, "NA")</f>
        <v>NA</v>
      </c>
      <c r="G260" s="9"/>
      <c r="H260" s="10">
        <f t="shared" si="64"/>
        <v>0</v>
      </c>
      <c r="I260" s="8" t="str">
        <f>IFERROR(H260/H445, "NA")</f>
        <v>NA</v>
      </c>
      <c r="J260" s="9"/>
      <c r="K260" s="7">
        <v>0</v>
      </c>
      <c r="L260" s="8" t="str">
        <f>IFERROR(K260/K445, "NA")</f>
        <v>NA</v>
      </c>
      <c r="M260" s="9"/>
      <c r="N260" s="10">
        <f t="shared" si="65"/>
        <v>0</v>
      </c>
      <c r="O260" s="8" t="str">
        <f>IFERROR(N260/N445, "NA")</f>
        <v>NA</v>
      </c>
      <c r="P260" s="9"/>
      <c r="Q260" s="7">
        <v>0</v>
      </c>
      <c r="R260" s="8" t="str">
        <f>IFERROR(Q260/Q445, "NA")</f>
        <v>NA</v>
      </c>
      <c r="S260" s="9"/>
      <c r="T260" s="7">
        <v>0</v>
      </c>
      <c r="U260" s="8" t="str">
        <f>IFERROR(T260/T445, "NA")</f>
        <v>NA</v>
      </c>
      <c r="V260" s="9"/>
      <c r="W260" s="10">
        <f t="shared" si="66"/>
        <v>0</v>
      </c>
      <c r="X260" s="8" t="str">
        <f>IFERROR(W260/W445, "NA")</f>
        <v>NA</v>
      </c>
      <c r="Y260" s="9"/>
      <c r="Z260" s="7">
        <v>0</v>
      </c>
      <c r="AA260" s="8" t="str">
        <f>IFERROR(Z260/Z445, "NA")</f>
        <v>NA</v>
      </c>
      <c r="AB260" s="9"/>
      <c r="AC260" s="10">
        <f t="shared" si="67"/>
        <v>0</v>
      </c>
      <c r="AD260" s="8" t="str">
        <f>IFERROR(AC260/AC445,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IFERROR(B261/B445, "NA")</f>
        <v>NA</v>
      </c>
      <c r="D261" s="9"/>
      <c r="E261" s="7">
        <v>0</v>
      </c>
      <c r="F261" s="8" t="str">
        <f>IFERROR(E261/E445, "NA")</f>
        <v>NA</v>
      </c>
      <c r="G261" s="9"/>
      <c r="H261" s="10">
        <f t="shared" si="64"/>
        <v>0</v>
      </c>
      <c r="I261" s="8" t="str">
        <f>IFERROR(H261/H445, "NA")</f>
        <v>NA</v>
      </c>
      <c r="J261" s="9"/>
      <c r="K261" s="7">
        <v>0</v>
      </c>
      <c r="L261" s="8" t="str">
        <f>IFERROR(K261/K445, "NA")</f>
        <v>NA</v>
      </c>
      <c r="M261" s="9"/>
      <c r="N261" s="10">
        <f t="shared" si="65"/>
        <v>0</v>
      </c>
      <c r="O261" s="8" t="str">
        <f>IFERROR(N261/N445, "NA")</f>
        <v>NA</v>
      </c>
      <c r="P261" s="9"/>
      <c r="Q261" s="7">
        <v>0</v>
      </c>
      <c r="R261" s="8" t="str">
        <f>IFERROR(Q261/Q445, "NA")</f>
        <v>NA</v>
      </c>
      <c r="S261" s="9"/>
      <c r="T261" s="7">
        <v>0</v>
      </c>
      <c r="U261" s="8" t="str">
        <f>IFERROR(T261/T445, "NA")</f>
        <v>NA</v>
      </c>
      <c r="V261" s="9"/>
      <c r="W261" s="10">
        <f t="shared" si="66"/>
        <v>0</v>
      </c>
      <c r="X261" s="8" t="str">
        <f>IFERROR(W261/W445, "NA")</f>
        <v>NA</v>
      </c>
      <c r="Y261" s="9"/>
      <c r="Z261" s="7">
        <v>0</v>
      </c>
      <c r="AA261" s="8" t="str">
        <f>IFERROR(Z261/Z445, "NA")</f>
        <v>NA</v>
      </c>
      <c r="AB261" s="9"/>
      <c r="AC261" s="10">
        <f t="shared" si="67"/>
        <v>0</v>
      </c>
      <c r="AD261" s="8" t="str">
        <f>IFERROR(AC261/AC445, "NA")</f>
        <v>NA</v>
      </c>
    </row>
    <row r="262" spans="1:30" ht="16.5" hidden="1" customHeight="1" x14ac:dyDescent="0.45">
      <c r="A262" s="12" t="s">
        <v>239</v>
      </c>
      <c r="B262" s="7">
        <v>0</v>
      </c>
      <c r="C262" s="8" t="str">
        <f>IFERROR(B262/B445, "NA")</f>
        <v>NA</v>
      </c>
      <c r="D262" s="9"/>
      <c r="E262" s="7">
        <v>0</v>
      </c>
      <c r="F262" s="8" t="str">
        <f>IFERROR(E262/E445, "NA")</f>
        <v>NA</v>
      </c>
      <c r="G262" s="9"/>
      <c r="H262" s="10">
        <f t="shared" si="64"/>
        <v>0</v>
      </c>
      <c r="I262" s="8" t="str">
        <f>IFERROR(H262/H445, "NA")</f>
        <v>NA</v>
      </c>
      <c r="J262" s="9"/>
      <c r="K262" s="7">
        <v>0</v>
      </c>
      <c r="L262" s="8" t="str">
        <f>IFERROR(K262/K445, "NA")</f>
        <v>NA</v>
      </c>
      <c r="M262" s="9"/>
      <c r="N262" s="10">
        <f t="shared" si="65"/>
        <v>0</v>
      </c>
      <c r="O262" s="8" t="str">
        <f>IFERROR(N262/N445, "NA")</f>
        <v>NA</v>
      </c>
      <c r="P262" s="9"/>
      <c r="Q262" s="7">
        <v>0</v>
      </c>
      <c r="R262" s="8" t="str">
        <f>IFERROR(Q262/Q445, "NA")</f>
        <v>NA</v>
      </c>
      <c r="S262" s="9"/>
      <c r="T262" s="7">
        <v>0</v>
      </c>
      <c r="U262" s="8" t="str">
        <f>IFERROR(T262/T445, "NA")</f>
        <v>NA</v>
      </c>
      <c r="V262" s="9"/>
      <c r="W262" s="10">
        <f t="shared" si="66"/>
        <v>0</v>
      </c>
      <c r="X262" s="8" t="str">
        <f>IFERROR(W262/W445, "NA")</f>
        <v>NA</v>
      </c>
      <c r="Y262" s="9"/>
      <c r="Z262" s="7">
        <v>0</v>
      </c>
      <c r="AA262" s="8" t="str">
        <f>IFERROR(Z262/Z445, "NA")</f>
        <v>NA</v>
      </c>
      <c r="AB262" s="9"/>
      <c r="AC262" s="10">
        <f t="shared" si="67"/>
        <v>0</v>
      </c>
      <c r="AD262" s="8" t="str">
        <f>IFERROR(AC262/AC445, "NA")</f>
        <v>NA</v>
      </c>
    </row>
    <row r="263" spans="1:30" ht="16.5" customHeight="1" x14ac:dyDescent="0.45">
      <c r="A263" s="13" t="s">
        <v>240</v>
      </c>
      <c r="B263" s="14">
        <f>IFERROR(B240+B241+B242+B243+B244+B245+B246+B247+B248+B249+B250+B251+B252+B253+B254+B255+B256+B257+B258+B259+B260+B261+B262, "NA")</f>
        <v>0</v>
      </c>
      <c r="C263" s="15" t="str">
        <f>IFERROR(B263/B445, "NA")</f>
        <v>NA</v>
      </c>
      <c r="D263" s="2"/>
      <c r="E263" s="14">
        <f>IFERROR(E240+E241+E242+E243+E244+E245+E246+E247+E248+E249+E250+E251+E252+E253+E254+E255+E256+E257+E258+E259+E260+E261+E262, "NA")</f>
        <v>0</v>
      </c>
      <c r="F263" s="15" t="str">
        <f>IFERROR(E263/E445, "NA")</f>
        <v>NA</v>
      </c>
      <c r="G263" s="2"/>
      <c r="H263" s="14">
        <f t="shared" si="64"/>
        <v>0</v>
      </c>
      <c r="I263" s="15" t="str">
        <f>IFERROR(H263/H445, "NA")</f>
        <v>NA</v>
      </c>
      <c r="J263" s="2"/>
      <c r="K263" s="14">
        <f>IFERROR(K240+K241+K242+K243+K244+K245+K246+K247+K248+K249+K250+K251+K252+K253+K254+K255+K256+K257+K258+K259+K260+K261+K262, "NA")</f>
        <v>0</v>
      </c>
      <c r="L263" s="15" t="str">
        <f>IFERROR(K263/K445, "NA")</f>
        <v>NA</v>
      </c>
      <c r="M263" s="2"/>
      <c r="N263" s="14">
        <f t="shared" si="65"/>
        <v>0</v>
      </c>
      <c r="O263" s="15" t="str">
        <f>IFERROR(N263/N445, "NA")</f>
        <v>NA</v>
      </c>
      <c r="P263" s="2"/>
      <c r="Q263" s="14">
        <f>IFERROR(Q240+Q241+Q242+Q243+Q244+Q245+Q246+Q247+Q248+Q249+Q250+Q251+Q252+Q253+Q254+Q255+Q256+Q257+Q258+Q259+Q260+Q261+Q262, "NA")</f>
        <v>0</v>
      </c>
      <c r="R263" s="15" t="str">
        <f>IFERROR(Q263/Q445, "NA")</f>
        <v>NA</v>
      </c>
      <c r="S263" s="2"/>
      <c r="T263" s="14">
        <f>IFERROR(T240+T241+T242+T243+T244+T245+T246+T247+T248+T249+T250+T251+T252+T253+T254+T255+T256+T257+T258+T259+T260+T261+T262, "NA")</f>
        <v>0</v>
      </c>
      <c r="U263" s="15" t="str">
        <f>IFERROR(T263/T445, "NA")</f>
        <v>NA</v>
      </c>
      <c r="V263" s="2"/>
      <c r="W263" s="14">
        <f t="shared" si="66"/>
        <v>0</v>
      </c>
      <c r="X263" s="15" t="str">
        <f>IFERROR(W263/W445, "NA")</f>
        <v>NA</v>
      </c>
      <c r="Y263" s="2"/>
      <c r="Z263" s="14">
        <f>IFERROR(Z240+Z241+Z242+Z243+Z244+Z245+Z246+Z247+Z248+Z249+Z250+Z251+Z252+Z253+Z254+Z255+Z256+Z257+Z258+Z259+Z260+Z261+Z262, "NA")</f>
        <v>0</v>
      </c>
      <c r="AA263" s="15" t="str">
        <f>IFERROR(Z263/Z445, "NA")</f>
        <v>NA</v>
      </c>
      <c r="AB263" s="2"/>
      <c r="AC263" s="14">
        <f t="shared" si="67"/>
        <v>0</v>
      </c>
      <c r="AD263" s="15" t="str">
        <f>IFERROR(AC263/AC445, "NA")</f>
        <v>NA</v>
      </c>
    </row>
    <row r="264" spans="1:30" ht="16.5" customHeight="1" x14ac:dyDescent="0.45">
      <c r="A264" s="19" t="s">
        <v>241</v>
      </c>
      <c r="B264" s="14">
        <f>IFERROR(B238+B240+B241+B242+B243+B244+B245+B246+B247+B248+B249+B250+B251+B252+B253+B254+B255+B256+B257+B258+B259+B260+B261+B262, "NA")</f>
        <v>0</v>
      </c>
      <c r="C264" s="15" t="str">
        <f>IFERROR(B264/B445, "NA")</f>
        <v>NA</v>
      </c>
      <c r="D264" s="2"/>
      <c r="E264" s="14">
        <f>IFERROR(E238+E240+E241+E242+E243+E244+E245+E246+E247+E248+E249+E250+E251+E252+E253+E254+E255+E256+E257+E258+E259+E260+E261+E262, "NA")</f>
        <v>0</v>
      </c>
      <c r="F264" s="15" t="str">
        <f>IFERROR(E264/E445, "NA")</f>
        <v>NA</v>
      </c>
      <c r="G264" s="2"/>
      <c r="H264" s="14">
        <f t="shared" si="64"/>
        <v>0</v>
      </c>
      <c r="I264" s="15" t="str">
        <f>IFERROR(H264/H445, "NA")</f>
        <v>NA</v>
      </c>
      <c r="J264" s="2"/>
      <c r="K264" s="14">
        <f>IFERROR(K238+K240+K241+K242+K243+K244+K245+K246+K247+K248+K249+K250+K251+K252+K253+K254+K255+K256+K257+K258+K259+K260+K261+K262, "NA")</f>
        <v>0</v>
      </c>
      <c r="L264" s="15" t="str">
        <f>IFERROR(K264/K445, "NA")</f>
        <v>NA</v>
      </c>
      <c r="M264" s="2"/>
      <c r="N264" s="14">
        <f t="shared" si="65"/>
        <v>0</v>
      </c>
      <c r="O264" s="15" t="str">
        <f>IFERROR(N264/N445, "NA")</f>
        <v>NA</v>
      </c>
      <c r="P264" s="2"/>
      <c r="Q264" s="14">
        <f>IFERROR(Q238+Q240+Q241+Q242+Q243+Q244+Q245+Q246+Q247+Q248+Q249+Q250+Q251+Q252+Q253+Q254+Q255+Q256+Q257+Q258+Q259+Q260+Q261+Q262, "NA")</f>
        <v>0</v>
      </c>
      <c r="R264" s="15" t="str">
        <f>IFERROR(Q264/Q445, "NA")</f>
        <v>NA</v>
      </c>
      <c r="S264" s="2"/>
      <c r="T264" s="14">
        <f>IFERROR(T238+T240+T241+T242+T243+T244+T245+T246+T247+T248+T249+T250+T251+T252+T253+T254+T255+T256+T257+T258+T259+T260+T261+T262, "NA")</f>
        <v>0</v>
      </c>
      <c r="U264" s="15" t="str">
        <f>IFERROR(T264/T445, "NA")</f>
        <v>NA</v>
      </c>
      <c r="V264" s="2"/>
      <c r="W264" s="14">
        <f t="shared" si="66"/>
        <v>0</v>
      </c>
      <c r="X264" s="15" t="str">
        <f>IFERROR(W264/W445, "NA")</f>
        <v>NA</v>
      </c>
      <c r="Y264" s="2"/>
      <c r="Z264" s="14">
        <f>IFERROR(Z238+Z240+Z241+Z242+Z243+Z244+Z245+Z246+Z247+Z248+Z249+Z250+Z251+Z252+Z253+Z254+Z255+Z256+Z257+Z258+Z259+Z260+Z261+Z262, "NA")</f>
        <v>0</v>
      </c>
      <c r="AA264" s="15" t="str">
        <f>IFERROR(Z264/Z445, "NA")</f>
        <v>NA</v>
      </c>
      <c r="AB264" s="2"/>
      <c r="AC264" s="14">
        <f t="shared" si="67"/>
        <v>0</v>
      </c>
      <c r="AD264" s="15" t="str">
        <f>IFERROR(AC264/AC445, "NA")</f>
        <v>NA</v>
      </c>
    </row>
    <row r="265" spans="1:30" ht="16.5" customHeight="1" x14ac:dyDescent="0.45">
      <c r="A265" s="5" t="s">
        <v>242</v>
      </c>
      <c r="B265" s="2"/>
      <c r="C265" s="3"/>
      <c r="D265" s="4"/>
      <c r="E265" s="2"/>
      <c r="F265" s="3"/>
      <c r="G265" s="4"/>
      <c r="H265" s="2"/>
      <c r="I265" s="3"/>
      <c r="J265" s="4"/>
      <c r="K265" s="2"/>
      <c r="L265" s="3"/>
      <c r="M265" s="4"/>
      <c r="N265" s="2"/>
      <c r="O265" s="3"/>
      <c r="P265" s="4"/>
      <c r="Q265" s="2"/>
      <c r="R265" s="3"/>
      <c r="S265" s="4"/>
      <c r="T265" s="2"/>
      <c r="U265" s="3"/>
      <c r="V265" s="4"/>
      <c r="W265" s="2"/>
      <c r="X265" s="3"/>
      <c r="Y265" s="4"/>
      <c r="Z265" s="2"/>
      <c r="AA265" s="3"/>
      <c r="AB265" s="4"/>
      <c r="AC265" s="2"/>
      <c r="AD265" s="3"/>
    </row>
    <row r="266" spans="1:30" ht="16.5" hidden="1" customHeight="1" x14ac:dyDescent="0.45">
      <c r="A266" s="6" t="s">
        <v>242</v>
      </c>
      <c r="B266" s="7">
        <v>0</v>
      </c>
      <c r="C266" s="8" t="str">
        <f>IFERROR(B266/B445, "NA")</f>
        <v>NA</v>
      </c>
      <c r="D266" s="9"/>
      <c r="E266" s="7">
        <v>0</v>
      </c>
      <c r="F266" s="8" t="str">
        <f>IFERROR(E266/E445, "NA")</f>
        <v>NA</v>
      </c>
      <c r="G266" s="9"/>
      <c r="H266" s="10">
        <f>IFERROR(-(B266-E266), "NA")</f>
        <v>0</v>
      </c>
      <c r="I266" s="8" t="str">
        <f>IFERROR(H266/H445, "NA")</f>
        <v>NA</v>
      </c>
      <c r="J266" s="9"/>
      <c r="K266" s="7">
        <v>0</v>
      </c>
      <c r="L266" s="8" t="str">
        <f>IFERROR(K266/K445, "NA")</f>
        <v>NA</v>
      </c>
      <c r="M266" s="9"/>
      <c r="N266" s="10">
        <f>IFERROR(-(B266-K266), "NA")</f>
        <v>0</v>
      </c>
      <c r="O266" s="8" t="str">
        <f>IFERROR(N266/N445, "NA")</f>
        <v>NA</v>
      </c>
      <c r="P266" s="9"/>
      <c r="Q266" s="7">
        <v>0</v>
      </c>
      <c r="R266" s="8" t="str">
        <f>IFERROR(Q266/Q445, "NA")</f>
        <v>NA</v>
      </c>
      <c r="S266" s="9"/>
      <c r="T266" s="7">
        <v>0</v>
      </c>
      <c r="U266" s="8" t="str">
        <f>IFERROR(T266/T445, "NA")</f>
        <v>NA</v>
      </c>
      <c r="V266" s="9"/>
      <c r="W266" s="10">
        <f>IFERROR(-(Q266-T266), "NA")</f>
        <v>0</v>
      </c>
      <c r="X266" s="8" t="str">
        <f>IFERROR(W266/W445, "NA")</f>
        <v>NA</v>
      </c>
      <c r="Y266" s="9"/>
      <c r="Z266" s="7">
        <v>0</v>
      </c>
      <c r="AA266" s="8" t="str">
        <f>IFERROR(Z266/Z445, "NA")</f>
        <v>NA</v>
      </c>
      <c r="AB266" s="9"/>
      <c r="AC266" s="10">
        <f>IFERROR(-(Q266-Z266), "NA")</f>
        <v>0</v>
      </c>
      <c r="AD266" s="8" t="str">
        <f>IFERROR(AC266/AC445, "NA")</f>
        <v>NA</v>
      </c>
    </row>
    <row r="267" spans="1:30" ht="16.5" hidden="1" customHeight="1" x14ac:dyDescent="0.45">
      <c r="A267" s="6" t="s">
        <v>243</v>
      </c>
      <c r="B267" s="7">
        <v>0</v>
      </c>
      <c r="C267" s="8" t="str">
        <f>IFERROR(B267/B445, "NA")</f>
        <v>NA</v>
      </c>
      <c r="D267" s="9"/>
      <c r="E267" s="7">
        <v>0</v>
      </c>
      <c r="F267" s="8" t="str">
        <f>IFERROR(E267/E445, "NA")</f>
        <v>NA</v>
      </c>
      <c r="G267" s="9"/>
      <c r="H267" s="10">
        <f>IFERROR(-(B267-E267), "NA")</f>
        <v>0</v>
      </c>
      <c r="I267" s="8" t="str">
        <f>IFERROR(H267/H445, "NA")</f>
        <v>NA</v>
      </c>
      <c r="J267" s="9"/>
      <c r="K267" s="7">
        <v>0</v>
      </c>
      <c r="L267" s="8" t="str">
        <f>IFERROR(K267/K445, "NA")</f>
        <v>NA</v>
      </c>
      <c r="M267" s="9"/>
      <c r="N267" s="10">
        <f>IFERROR(-(B267-K267), "NA")</f>
        <v>0</v>
      </c>
      <c r="O267" s="8" t="str">
        <f>IFERROR(N267/N445, "NA")</f>
        <v>NA</v>
      </c>
      <c r="P267" s="9"/>
      <c r="Q267" s="7">
        <v>0</v>
      </c>
      <c r="R267" s="8" t="str">
        <f>IFERROR(Q267/Q445, "NA")</f>
        <v>NA</v>
      </c>
      <c r="S267" s="9"/>
      <c r="T267" s="7">
        <v>0</v>
      </c>
      <c r="U267" s="8" t="str">
        <f>IFERROR(T267/T445, "NA")</f>
        <v>NA</v>
      </c>
      <c r="V267" s="9"/>
      <c r="W267" s="10">
        <f>IFERROR(-(Q267-T267), "NA")</f>
        <v>0</v>
      </c>
      <c r="X267" s="8" t="str">
        <f>IFERROR(W267/W445, "NA")</f>
        <v>NA</v>
      </c>
      <c r="Y267" s="9"/>
      <c r="Z267" s="7">
        <v>0</v>
      </c>
      <c r="AA267" s="8" t="str">
        <f>IFERROR(Z267/Z445, "NA")</f>
        <v>NA</v>
      </c>
      <c r="AB267" s="9"/>
      <c r="AC267" s="10">
        <f>IFERROR(-(Q267-Z267), "NA")</f>
        <v>0</v>
      </c>
      <c r="AD267" s="8" t="str">
        <f>IFERROR(AC267/AC445, "NA")</f>
        <v>NA</v>
      </c>
    </row>
    <row r="268" spans="1:30" ht="16.5" customHeight="1" x14ac:dyDescent="0.45">
      <c r="A268" s="19" t="s">
        <v>244</v>
      </c>
      <c r="B268" s="14">
        <f>IFERROR(B266+B267, "NA")</f>
        <v>0</v>
      </c>
      <c r="C268" s="15" t="str">
        <f>IFERROR(B268/B445, "NA")</f>
        <v>NA</v>
      </c>
      <c r="D268" s="2"/>
      <c r="E268" s="14">
        <f>IFERROR(E266+E267, "NA")</f>
        <v>0</v>
      </c>
      <c r="F268" s="15" t="str">
        <f>IFERROR(E268/E445, "NA")</f>
        <v>NA</v>
      </c>
      <c r="G268" s="2"/>
      <c r="H268" s="14">
        <f>IFERROR(-(B268-E268), "NA")</f>
        <v>0</v>
      </c>
      <c r="I268" s="15" t="str">
        <f>IFERROR(H268/H445, "NA")</f>
        <v>NA</v>
      </c>
      <c r="J268" s="2"/>
      <c r="K268" s="14">
        <f>IFERROR(K266+K267, "NA")</f>
        <v>0</v>
      </c>
      <c r="L268" s="15" t="str">
        <f>IFERROR(K268/K445, "NA")</f>
        <v>NA</v>
      </c>
      <c r="M268" s="2"/>
      <c r="N268" s="14">
        <f>IFERROR(-(B268-K268), "NA")</f>
        <v>0</v>
      </c>
      <c r="O268" s="15" t="str">
        <f>IFERROR(N268/N445, "NA")</f>
        <v>NA</v>
      </c>
      <c r="P268" s="2"/>
      <c r="Q268" s="14">
        <f>IFERROR(Q266+Q267, "NA")</f>
        <v>0</v>
      </c>
      <c r="R268" s="15" t="str">
        <f>IFERROR(Q268/Q445, "NA")</f>
        <v>NA</v>
      </c>
      <c r="S268" s="2"/>
      <c r="T268" s="14">
        <f>IFERROR(T266+T267, "NA")</f>
        <v>0</v>
      </c>
      <c r="U268" s="15" t="str">
        <f>IFERROR(T268/T445, "NA")</f>
        <v>NA</v>
      </c>
      <c r="V268" s="2"/>
      <c r="W268" s="14">
        <f>IFERROR(-(Q268-T268), "NA")</f>
        <v>0</v>
      </c>
      <c r="X268" s="15" t="str">
        <f>IFERROR(W268/W445, "NA")</f>
        <v>NA</v>
      </c>
      <c r="Y268" s="2"/>
      <c r="Z268" s="14">
        <f>IFERROR(Z266+Z267, "NA")</f>
        <v>0</v>
      </c>
      <c r="AA268" s="15" t="str">
        <f>IFERROR(Z268/Z445, "NA")</f>
        <v>NA</v>
      </c>
      <c r="AB268" s="2"/>
      <c r="AC268" s="14">
        <f>IFERROR(-(Q268-Z268), "NA")</f>
        <v>0</v>
      </c>
      <c r="AD268" s="15" t="str">
        <f>IFERROR(AC268/AC445, "NA")</f>
        <v>NA</v>
      </c>
    </row>
    <row r="269" spans="1:30" ht="16.5" customHeight="1" x14ac:dyDescent="0.45">
      <c r="A269" s="5" t="s">
        <v>245</v>
      </c>
      <c r="B269" s="2"/>
      <c r="C269" s="3"/>
      <c r="D269" s="4"/>
      <c r="E269" s="2"/>
      <c r="F269" s="3"/>
      <c r="G269" s="4"/>
      <c r="H269" s="2"/>
      <c r="I269" s="3"/>
      <c r="J269" s="4"/>
      <c r="K269" s="2"/>
      <c r="L269" s="3"/>
      <c r="M269" s="4"/>
      <c r="N269" s="2"/>
      <c r="O269" s="3"/>
      <c r="P269" s="4"/>
      <c r="Q269" s="2"/>
      <c r="R269" s="3"/>
      <c r="S269" s="4"/>
      <c r="T269" s="2"/>
      <c r="U269" s="3"/>
      <c r="V269" s="4"/>
      <c r="W269" s="2"/>
      <c r="X269" s="3"/>
      <c r="Y269" s="4"/>
      <c r="Z269" s="2"/>
      <c r="AA269" s="3"/>
      <c r="AB269" s="4"/>
      <c r="AC269" s="2"/>
      <c r="AD269" s="3"/>
    </row>
    <row r="270" spans="1:30" ht="16.5" hidden="1" customHeight="1" x14ac:dyDescent="0.45">
      <c r="A270" s="6" t="s">
        <v>245</v>
      </c>
      <c r="B270" s="7">
        <v>0</v>
      </c>
      <c r="C270" s="8" t="str">
        <f>IFERROR(B270/B445, "NA")</f>
        <v>NA</v>
      </c>
      <c r="D270" s="9"/>
      <c r="E270" s="7">
        <v>0</v>
      </c>
      <c r="F270" s="8" t="str">
        <f>IFERROR(E270/E445, "NA")</f>
        <v>NA</v>
      </c>
      <c r="G270" s="9"/>
      <c r="H270" s="10">
        <f>IFERROR(-(B270-E270), "NA")</f>
        <v>0</v>
      </c>
      <c r="I270" s="8" t="str">
        <f>IFERROR(H270/H445, "NA")</f>
        <v>NA</v>
      </c>
      <c r="J270" s="9"/>
      <c r="K270" s="7">
        <v>0</v>
      </c>
      <c r="L270" s="8" t="str">
        <f>IFERROR(K270/K445, "NA")</f>
        <v>NA</v>
      </c>
      <c r="M270" s="9"/>
      <c r="N270" s="10">
        <f>IFERROR(-(B270-K270), "NA")</f>
        <v>0</v>
      </c>
      <c r="O270" s="8" t="str">
        <f>IFERROR(N270/N445, "NA")</f>
        <v>NA</v>
      </c>
      <c r="P270" s="9"/>
      <c r="Q270" s="7">
        <v>0</v>
      </c>
      <c r="R270" s="8" t="str">
        <f>IFERROR(Q270/Q445, "NA")</f>
        <v>NA</v>
      </c>
      <c r="S270" s="9"/>
      <c r="T270" s="7">
        <v>0</v>
      </c>
      <c r="U270" s="8" t="str">
        <f>IFERROR(T270/T445, "NA")</f>
        <v>NA</v>
      </c>
      <c r="V270" s="9"/>
      <c r="W270" s="10">
        <f>IFERROR(-(Q270-T270), "NA")</f>
        <v>0</v>
      </c>
      <c r="X270" s="8" t="str">
        <f>IFERROR(W270/W445, "NA")</f>
        <v>NA</v>
      </c>
      <c r="Y270" s="9"/>
      <c r="Z270" s="7">
        <v>0</v>
      </c>
      <c r="AA270" s="8" t="str">
        <f>IFERROR(Z270/Z445, "NA")</f>
        <v>NA</v>
      </c>
      <c r="AB270" s="9"/>
      <c r="AC270" s="10">
        <f>IFERROR(-(Q270-Z270), "NA")</f>
        <v>0</v>
      </c>
      <c r="AD270" s="8" t="str">
        <f>IFERROR(AC270/AC445,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IFERROR(B271/B445, "NA")</f>
        <v>NA</v>
      </c>
      <c r="D271" s="9"/>
      <c r="E271" s="7">
        <v>0</v>
      </c>
      <c r="F271" s="8" t="str">
        <f>IFERROR(E271/E445, "NA")</f>
        <v>NA</v>
      </c>
      <c r="G271" s="9"/>
      <c r="H271" s="10">
        <f>IFERROR(-(B271-E271), "NA")</f>
        <v>0</v>
      </c>
      <c r="I271" s="8" t="str">
        <f>IFERROR(H271/H445, "NA")</f>
        <v>NA</v>
      </c>
      <c r="J271" s="9"/>
      <c r="K271" s="7">
        <v>0</v>
      </c>
      <c r="L271" s="8" t="str">
        <f>IFERROR(K271/K445, "NA")</f>
        <v>NA</v>
      </c>
      <c r="M271" s="9"/>
      <c r="N271" s="10">
        <f>IFERROR(-(B271-K271), "NA")</f>
        <v>0</v>
      </c>
      <c r="O271" s="8" t="str">
        <f>IFERROR(N271/N445, "NA")</f>
        <v>NA</v>
      </c>
      <c r="P271" s="9"/>
      <c r="Q271" s="7">
        <v>0</v>
      </c>
      <c r="R271" s="8" t="str">
        <f>IFERROR(Q271/Q445, "NA")</f>
        <v>NA</v>
      </c>
      <c r="S271" s="9"/>
      <c r="T271" s="7">
        <v>0</v>
      </c>
      <c r="U271" s="8" t="str">
        <f>IFERROR(T271/T445, "NA")</f>
        <v>NA</v>
      </c>
      <c r="V271" s="9"/>
      <c r="W271" s="10">
        <f>IFERROR(-(Q271-T271), "NA")</f>
        <v>0</v>
      </c>
      <c r="X271" s="8" t="str">
        <f>IFERROR(W271/W445, "NA")</f>
        <v>NA</v>
      </c>
      <c r="Y271" s="9"/>
      <c r="Z271" s="7">
        <v>0</v>
      </c>
      <c r="AA271" s="8" t="str">
        <f>IFERROR(Z271/Z445, "NA")</f>
        <v>NA</v>
      </c>
      <c r="AB271" s="9"/>
      <c r="AC271" s="10">
        <f>IFERROR(-(Q271-Z271), "NA")</f>
        <v>0</v>
      </c>
      <c r="AD271" s="8" t="str">
        <f>IFERROR(AC271/AC445,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IFERROR(B272/B445, "NA")</f>
        <v>NA</v>
      </c>
      <c r="D272" s="9"/>
      <c r="E272" s="7">
        <v>0</v>
      </c>
      <c r="F272" s="8" t="str">
        <f>IFERROR(E272/E445, "NA")</f>
        <v>NA</v>
      </c>
      <c r="G272" s="9"/>
      <c r="H272" s="10">
        <f>IFERROR(-(B272-E272), "NA")</f>
        <v>0</v>
      </c>
      <c r="I272" s="8" t="str">
        <f>IFERROR(H272/H445, "NA")</f>
        <v>NA</v>
      </c>
      <c r="J272" s="9"/>
      <c r="K272" s="7">
        <v>0</v>
      </c>
      <c r="L272" s="8" t="str">
        <f>IFERROR(K272/K445, "NA")</f>
        <v>NA</v>
      </c>
      <c r="M272" s="9"/>
      <c r="N272" s="10">
        <f>IFERROR(-(B272-K272), "NA")</f>
        <v>0</v>
      </c>
      <c r="O272" s="8" t="str">
        <f>IFERROR(N272/N445, "NA")</f>
        <v>NA</v>
      </c>
      <c r="P272" s="9"/>
      <c r="Q272" s="7">
        <v>0</v>
      </c>
      <c r="R272" s="8" t="str">
        <f>IFERROR(Q272/Q445, "NA")</f>
        <v>NA</v>
      </c>
      <c r="S272" s="9"/>
      <c r="T272" s="7">
        <v>0</v>
      </c>
      <c r="U272" s="8" t="str">
        <f>IFERROR(T272/T445, "NA")</f>
        <v>NA</v>
      </c>
      <c r="V272" s="9"/>
      <c r="W272" s="10">
        <f>IFERROR(-(Q272-T272), "NA")</f>
        <v>0</v>
      </c>
      <c r="X272" s="8" t="str">
        <f>IFERROR(W272/W445, "NA")</f>
        <v>NA</v>
      </c>
      <c r="Y272" s="9"/>
      <c r="Z272" s="7">
        <v>0</v>
      </c>
      <c r="AA272" s="8" t="str">
        <f>IFERROR(Z272/Z445, "NA")</f>
        <v>NA</v>
      </c>
      <c r="AB272" s="9"/>
      <c r="AC272" s="10">
        <f>IFERROR(-(Q272-Z272), "NA")</f>
        <v>0</v>
      </c>
      <c r="AD272" s="8" t="str">
        <f>IFERROR(AC272/AC445, "NA")</f>
        <v>NA</v>
      </c>
    </row>
    <row r="273" spans="1:30" ht="16.5" hidden="1" customHeight="1" x14ac:dyDescent="0.45">
      <c r="A273" s="6" t="s">
        <v>248</v>
      </c>
      <c r="B273" s="7">
        <v>0</v>
      </c>
      <c r="C273" s="8" t="str">
        <f>IFERROR(B273/B445, "NA")</f>
        <v>NA</v>
      </c>
      <c r="D273" s="9"/>
      <c r="E273" s="7">
        <v>0</v>
      </c>
      <c r="F273" s="8" t="str">
        <f>IFERROR(E273/E445, "NA")</f>
        <v>NA</v>
      </c>
      <c r="G273" s="9"/>
      <c r="H273" s="10">
        <f>IFERROR(-(B273-E273), "NA")</f>
        <v>0</v>
      </c>
      <c r="I273" s="8" t="str">
        <f>IFERROR(H273/H445, "NA")</f>
        <v>NA</v>
      </c>
      <c r="J273" s="9"/>
      <c r="K273" s="7">
        <v>0</v>
      </c>
      <c r="L273" s="8" t="str">
        <f>IFERROR(K273/K445, "NA")</f>
        <v>NA</v>
      </c>
      <c r="M273" s="9"/>
      <c r="N273" s="10">
        <f>IFERROR(-(B273-K273), "NA")</f>
        <v>0</v>
      </c>
      <c r="O273" s="8" t="str">
        <f>IFERROR(N273/N445, "NA")</f>
        <v>NA</v>
      </c>
      <c r="P273" s="9"/>
      <c r="Q273" s="7">
        <v>0</v>
      </c>
      <c r="R273" s="8" t="str">
        <f>IFERROR(Q273/Q445, "NA")</f>
        <v>NA</v>
      </c>
      <c r="S273" s="9"/>
      <c r="T273" s="7">
        <v>0</v>
      </c>
      <c r="U273" s="8" t="str">
        <f>IFERROR(T273/T445, "NA")</f>
        <v>NA</v>
      </c>
      <c r="V273" s="9"/>
      <c r="W273" s="10">
        <f>IFERROR(-(Q273-T273), "NA")</f>
        <v>0</v>
      </c>
      <c r="X273" s="8" t="str">
        <f>IFERROR(W273/W445, "NA")</f>
        <v>NA</v>
      </c>
      <c r="Y273" s="9"/>
      <c r="Z273" s="7">
        <v>0</v>
      </c>
      <c r="AA273" s="8" t="str">
        <f>IFERROR(Z273/Z445, "NA")</f>
        <v>NA</v>
      </c>
      <c r="AB273" s="9"/>
      <c r="AC273" s="10">
        <f>IFERROR(-(Q273-Z273), "NA")</f>
        <v>0</v>
      </c>
      <c r="AD273" s="8" t="str">
        <f>IFERROR(AC273/AC445, "NA")</f>
        <v>NA</v>
      </c>
    </row>
    <row r="274" spans="1:30" ht="16.5" customHeight="1" x14ac:dyDescent="0.45">
      <c r="A274" s="19" t="s">
        <v>249</v>
      </c>
      <c r="B274" s="14">
        <f>IFERROR(B270+B271+B272+B273, "NA")</f>
        <v>0</v>
      </c>
      <c r="C274" s="15" t="str">
        <f>IFERROR(B274/B445, "NA")</f>
        <v>NA</v>
      </c>
      <c r="D274" s="2"/>
      <c r="E274" s="14">
        <f>IFERROR(E270+E271+E272+E273, "NA")</f>
        <v>0</v>
      </c>
      <c r="F274" s="15" t="str">
        <f>IFERROR(E274/E445, "NA")</f>
        <v>NA</v>
      </c>
      <c r="G274" s="2"/>
      <c r="H274" s="14">
        <f>IFERROR(-(B274-E274), "NA")</f>
        <v>0</v>
      </c>
      <c r="I274" s="15" t="str">
        <f>IFERROR(H274/H445, "NA")</f>
        <v>NA</v>
      </c>
      <c r="J274" s="2"/>
      <c r="K274" s="14">
        <f>IFERROR(K270+K271+K272+K273, "NA")</f>
        <v>0</v>
      </c>
      <c r="L274" s="15" t="str">
        <f>IFERROR(K274/K445, "NA")</f>
        <v>NA</v>
      </c>
      <c r="M274" s="2"/>
      <c r="N274" s="14">
        <f>IFERROR(-(B274-K274), "NA")</f>
        <v>0</v>
      </c>
      <c r="O274" s="15" t="str">
        <f>IFERROR(N274/N445, "NA")</f>
        <v>NA</v>
      </c>
      <c r="P274" s="2"/>
      <c r="Q274" s="14">
        <f>IFERROR(Q270+Q271+Q272+Q273, "NA")</f>
        <v>0</v>
      </c>
      <c r="R274" s="15" t="str">
        <f>IFERROR(Q274/Q445, "NA")</f>
        <v>NA</v>
      </c>
      <c r="S274" s="2"/>
      <c r="T274" s="14">
        <f>IFERROR(T270+T271+T272+T273, "NA")</f>
        <v>0</v>
      </c>
      <c r="U274" s="15" t="str">
        <f>IFERROR(T274/T445, "NA")</f>
        <v>NA</v>
      </c>
      <c r="V274" s="2"/>
      <c r="W274" s="14">
        <f>IFERROR(-(Q274-T274), "NA")</f>
        <v>0</v>
      </c>
      <c r="X274" s="15" t="str">
        <f>IFERROR(W274/W445, "NA")</f>
        <v>NA</v>
      </c>
      <c r="Y274" s="2"/>
      <c r="Z274" s="14">
        <f>IFERROR(Z270+Z271+Z272+Z273, "NA")</f>
        <v>0</v>
      </c>
      <c r="AA274" s="15" t="str">
        <f>IFERROR(Z274/Z445, "NA")</f>
        <v>NA</v>
      </c>
      <c r="AB274" s="2"/>
      <c r="AC274" s="14">
        <f>IFERROR(-(Q274-Z274), "NA")</f>
        <v>0</v>
      </c>
      <c r="AD274" s="15" t="str">
        <f>IFERROR(AC274/AC445, "NA")</f>
        <v>NA</v>
      </c>
    </row>
    <row r="275" spans="1:30" ht="16.5" customHeight="1" x14ac:dyDescent="0.45">
      <c r="A275" s="5" t="s">
        <v>250</v>
      </c>
      <c r="B275" s="2"/>
      <c r="C275" s="3"/>
      <c r="D275" s="4"/>
      <c r="E275" s="2"/>
      <c r="F275" s="3"/>
      <c r="G275" s="4"/>
      <c r="H275" s="2"/>
      <c r="I275" s="3"/>
      <c r="J275" s="4"/>
      <c r="K275" s="2"/>
      <c r="L275" s="3"/>
      <c r="M275" s="4"/>
      <c r="N275" s="2"/>
      <c r="O275" s="3"/>
      <c r="P275" s="4"/>
      <c r="Q275" s="2"/>
      <c r="R275" s="3"/>
      <c r="S275" s="4"/>
      <c r="T275" s="2"/>
      <c r="U275" s="3"/>
      <c r="V275" s="4"/>
      <c r="W275" s="2"/>
      <c r="X275" s="3"/>
      <c r="Y275" s="4"/>
      <c r="Z275" s="2"/>
      <c r="AA275" s="3"/>
      <c r="AB275" s="4"/>
      <c r="AC275" s="2"/>
      <c r="AD275" s="3"/>
    </row>
    <row r="276" spans="1:30" ht="16.5" hidden="1" customHeight="1" x14ac:dyDescent="0.45">
      <c r="A276" s="6" t="s">
        <v>250</v>
      </c>
      <c r="B276" s="7">
        <v>0</v>
      </c>
      <c r="C276" s="8" t="str">
        <f>IFERROR(B276/B445, "NA")</f>
        <v>NA</v>
      </c>
      <c r="D276" s="9"/>
      <c r="E276" s="7">
        <v>0</v>
      </c>
      <c r="F276" s="8" t="str">
        <f>IFERROR(E276/E445, "NA")</f>
        <v>NA</v>
      </c>
      <c r="G276" s="9"/>
      <c r="H276" s="10">
        <f t="shared" ref="H276:H285" si="68">IFERROR(-(B276-E276), "NA")</f>
        <v>0</v>
      </c>
      <c r="I276" s="8" t="str">
        <f>IFERROR(H276/H445, "NA")</f>
        <v>NA</v>
      </c>
      <c r="J276" s="9"/>
      <c r="K276" s="7">
        <v>0</v>
      </c>
      <c r="L276" s="8" t="str">
        <f>IFERROR(K276/K445, "NA")</f>
        <v>NA</v>
      </c>
      <c r="M276" s="9"/>
      <c r="N276" s="10">
        <f t="shared" ref="N276:N285" si="69">IFERROR(-(B276-K276), "NA")</f>
        <v>0</v>
      </c>
      <c r="O276" s="8" t="str">
        <f>IFERROR(N276/N445, "NA")</f>
        <v>NA</v>
      </c>
      <c r="P276" s="9"/>
      <c r="Q276" s="7">
        <v>0</v>
      </c>
      <c r="R276" s="8" t="str">
        <f>IFERROR(Q276/Q445, "NA")</f>
        <v>NA</v>
      </c>
      <c r="S276" s="9"/>
      <c r="T276" s="7">
        <v>0</v>
      </c>
      <c r="U276" s="8" t="str">
        <f>IFERROR(T276/T445, "NA")</f>
        <v>NA</v>
      </c>
      <c r="V276" s="9"/>
      <c r="W276" s="10">
        <f t="shared" ref="W276:W285" si="70">IFERROR(-(Q276-T276), "NA")</f>
        <v>0</v>
      </c>
      <c r="X276" s="8" t="str">
        <f>IFERROR(W276/W445, "NA")</f>
        <v>NA</v>
      </c>
      <c r="Y276" s="9"/>
      <c r="Z276" s="7">
        <v>0</v>
      </c>
      <c r="AA276" s="8" t="str">
        <f>IFERROR(Z276/Z445, "NA")</f>
        <v>NA</v>
      </c>
      <c r="AB276" s="9"/>
      <c r="AC276" s="10">
        <f t="shared" ref="AC276:AC285" si="71">IFERROR(-(Q276-Z276), "NA")</f>
        <v>0</v>
      </c>
      <c r="AD276" s="8" t="str">
        <f>IFERROR(AC276/AC445,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IFERROR(B277/B445, "NA")</f>
        <v>NA</v>
      </c>
      <c r="D277" s="9"/>
      <c r="E277" s="7">
        <v>0</v>
      </c>
      <c r="F277" s="8" t="str">
        <f>IFERROR(E277/E445, "NA")</f>
        <v>NA</v>
      </c>
      <c r="G277" s="9"/>
      <c r="H277" s="10">
        <f t="shared" si="68"/>
        <v>0</v>
      </c>
      <c r="I277" s="8" t="str">
        <f>IFERROR(H277/H445, "NA")</f>
        <v>NA</v>
      </c>
      <c r="J277" s="9"/>
      <c r="K277" s="7">
        <v>0</v>
      </c>
      <c r="L277" s="8" t="str">
        <f>IFERROR(K277/K445, "NA")</f>
        <v>NA</v>
      </c>
      <c r="M277" s="9"/>
      <c r="N277" s="10">
        <f t="shared" si="69"/>
        <v>0</v>
      </c>
      <c r="O277" s="8" t="str">
        <f>IFERROR(N277/N445, "NA")</f>
        <v>NA</v>
      </c>
      <c r="P277" s="9"/>
      <c r="Q277" s="7">
        <v>0</v>
      </c>
      <c r="R277" s="8" t="str">
        <f>IFERROR(Q277/Q445, "NA")</f>
        <v>NA</v>
      </c>
      <c r="S277" s="9"/>
      <c r="T277" s="7">
        <v>0</v>
      </c>
      <c r="U277" s="8" t="str">
        <f>IFERROR(T277/T445, "NA")</f>
        <v>NA</v>
      </c>
      <c r="V277" s="9"/>
      <c r="W277" s="10">
        <f t="shared" si="70"/>
        <v>0</v>
      </c>
      <c r="X277" s="8" t="str">
        <f>IFERROR(W277/W445, "NA")</f>
        <v>NA</v>
      </c>
      <c r="Y277" s="9"/>
      <c r="Z277" s="7">
        <v>0</v>
      </c>
      <c r="AA277" s="8" t="str">
        <f>IFERROR(Z277/Z445, "NA")</f>
        <v>NA</v>
      </c>
      <c r="AB277" s="9"/>
      <c r="AC277" s="10">
        <f t="shared" si="71"/>
        <v>0</v>
      </c>
      <c r="AD277" s="8" t="str">
        <f>IFERROR(AC277/AC445,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IFERROR(B278/B445, "NA")</f>
        <v>NA</v>
      </c>
      <c r="D278" s="9"/>
      <c r="E278" s="7">
        <v>0</v>
      </c>
      <c r="F278" s="8" t="str">
        <f>IFERROR(E278/E445, "NA")</f>
        <v>NA</v>
      </c>
      <c r="G278" s="9"/>
      <c r="H278" s="10">
        <f t="shared" si="68"/>
        <v>0</v>
      </c>
      <c r="I278" s="8" t="str">
        <f>IFERROR(H278/H445, "NA")</f>
        <v>NA</v>
      </c>
      <c r="J278" s="9"/>
      <c r="K278" s="7">
        <v>0</v>
      </c>
      <c r="L278" s="8" t="str">
        <f>IFERROR(K278/K445, "NA")</f>
        <v>NA</v>
      </c>
      <c r="M278" s="9"/>
      <c r="N278" s="10">
        <f t="shared" si="69"/>
        <v>0</v>
      </c>
      <c r="O278" s="8" t="str">
        <f>IFERROR(N278/N445, "NA")</f>
        <v>NA</v>
      </c>
      <c r="P278" s="9"/>
      <c r="Q278" s="7">
        <v>0</v>
      </c>
      <c r="R278" s="8" t="str">
        <f>IFERROR(Q278/Q445, "NA")</f>
        <v>NA</v>
      </c>
      <c r="S278" s="9"/>
      <c r="T278" s="7">
        <v>0</v>
      </c>
      <c r="U278" s="8" t="str">
        <f>IFERROR(T278/T445, "NA")</f>
        <v>NA</v>
      </c>
      <c r="V278" s="9"/>
      <c r="W278" s="10">
        <f t="shared" si="70"/>
        <v>0</v>
      </c>
      <c r="X278" s="8" t="str">
        <f>IFERROR(W278/W445, "NA")</f>
        <v>NA</v>
      </c>
      <c r="Y278" s="9"/>
      <c r="Z278" s="7">
        <v>0</v>
      </c>
      <c r="AA278" s="8" t="str">
        <f>IFERROR(Z278/Z445, "NA")</f>
        <v>NA</v>
      </c>
      <c r="AB278" s="9"/>
      <c r="AC278" s="10">
        <f t="shared" si="71"/>
        <v>0</v>
      </c>
      <c r="AD278" s="8" t="str">
        <f>IFERROR(AC278/AC445,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IFERROR(B279/B445, "NA")</f>
        <v>NA</v>
      </c>
      <c r="D279" s="9"/>
      <c r="E279" s="7">
        <v>0</v>
      </c>
      <c r="F279" s="8" t="str">
        <f>IFERROR(E279/E445, "NA")</f>
        <v>NA</v>
      </c>
      <c r="G279" s="9"/>
      <c r="H279" s="10">
        <f t="shared" si="68"/>
        <v>0</v>
      </c>
      <c r="I279" s="8" t="str">
        <f>IFERROR(H279/H445, "NA")</f>
        <v>NA</v>
      </c>
      <c r="J279" s="9"/>
      <c r="K279" s="7">
        <v>0</v>
      </c>
      <c r="L279" s="8" t="str">
        <f>IFERROR(K279/K445, "NA")</f>
        <v>NA</v>
      </c>
      <c r="M279" s="9"/>
      <c r="N279" s="10">
        <f t="shared" si="69"/>
        <v>0</v>
      </c>
      <c r="O279" s="8" t="str">
        <f>IFERROR(N279/N445, "NA")</f>
        <v>NA</v>
      </c>
      <c r="P279" s="9"/>
      <c r="Q279" s="7">
        <v>0</v>
      </c>
      <c r="R279" s="8" t="str">
        <f>IFERROR(Q279/Q445, "NA")</f>
        <v>NA</v>
      </c>
      <c r="S279" s="9"/>
      <c r="T279" s="7">
        <v>0</v>
      </c>
      <c r="U279" s="8" t="str">
        <f>IFERROR(T279/T445, "NA")</f>
        <v>NA</v>
      </c>
      <c r="V279" s="9"/>
      <c r="W279" s="10">
        <f t="shared" si="70"/>
        <v>0</v>
      </c>
      <c r="X279" s="8" t="str">
        <f>IFERROR(W279/W445, "NA")</f>
        <v>NA</v>
      </c>
      <c r="Y279" s="9"/>
      <c r="Z279" s="7">
        <v>0</v>
      </c>
      <c r="AA279" s="8" t="str">
        <f>IFERROR(Z279/Z445, "NA")</f>
        <v>NA</v>
      </c>
      <c r="AB279" s="9"/>
      <c r="AC279" s="10">
        <f t="shared" si="71"/>
        <v>0</v>
      </c>
      <c r="AD279" s="8" t="str">
        <f>IFERROR(AC279/AC445,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IFERROR(B280/B445, "NA")</f>
        <v>NA</v>
      </c>
      <c r="D280" s="9"/>
      <c r="E280" s="7">
        <v>0</v>
      </c>
      <c r="F280" s="8" t="str">
        <f>IFERROR(E280/E445, "NA")</f>
        <v>NA</v>
      </c>
      <c r="G280" s="9"/>
      <c r="H280" s="10">
        <f t="shared" si="68"/>
        <v>0</v>
      </c>
      <c r="I280" s="8" t="str">
        <f>IFERROR(H280/H445, "NA")</f>
        <v>NA</v>
      </c>
      <c r="J280" s="9"/>
      <c r="K280" s="7">
        <v>0</v>
      </c>
      <c r="L280" s="8" t="str">
        <f>IFERROR(K280/K445, "NA")</f>
        <v>NA</v>
      </c>
      <c r="M280" s="9"/>
      <c r="N280" s="10">
        <f t="shared" si="69"/>
        <v>0</v>
      </c>
      <c r="O280" s="8" t="str">
        <f>IFERROR(N280/N445, "NA")</f>
        <v>NA</v>
      </c>
      <c r="P280" s="9"/>
      <c r="Q280" s="7">
        <v>0</v>
      </c>
      <c r="R280" s="8" t="str">
        <f>IFERROR(Q280/Q445, "NA")</f>
        <v>NA</v>
      </c>
      <c r="S280" s="9"/>
      <c r="T280" s="7">
        <v>0</v>
      </c>
      <c r="U280" s="8" t="str">
        <f>IFERROR(T280/T445, "NA")</f>
        <v>NA</v>
      </c>
      <c r="V280" s="9"/>
      <c r="W280" s="10">
        <f t="shared" si="70"/>
        <v>0</v>
      </c>
      <c r="X280" s="8" t="str">
        <f>IFERROR(W280/W445, "NA")</f>
        <v>NA</v>
      </c>
      <c r="Y280" s="9"/>
      <c r="Z280" s="7">
        <v>0</v>
      </c>
      <c r="AA280" s="8" t="str">
        <f>IFERROR(Z280/Z445, "NA")</f>
        <v>NA</v>
      </c>
      <c r="AB280" s="9"/>
      <c r="AC280" s="10">
        <f t="shared" si="71"/>
        <v>0</v>
      </c>
      <c r="AD280" s="8" t="str">
        <f>IFERROR(AC280/AC445,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IFERROR(B281/B445, "NA")</f>
        <v>NA</v>
      </c>
      <c r="D281" s="9"/>
      <c r="E281" s="7">
        <v>0</v>
      </c>
      <c r="F281" s="8" t="str">
        <f>IFERROR(E281/E445, "NA")</f>
        <v>NA</v>
      </c>
      <c r="G281" s="9"/>
      <c r="H281" s="10">
        <f t="shared" si="68"/>
        <v>0</v>
      </c>
      <c r="I281" s="8" t="str">
        <f>IFERROR(H281/H445, "NA")</f>
        <v>NA</v>
      </c>
      <c r="J281" s="9"/>
      <c r="K281" s="7">
        <v>0</v>
      </c>
      <c r="L281" s="8" t="str">
        <f>IFERROR(K281/K445, "NA")</f>
        <v>NA</v>
      </c>
      <c r="M281" s="9"/>
      <c r="N281" s="10">
        <f t="shared" si="69"/>
        <v>0</v>
      </c>
      <c r="O281" s="8" t="str">
        <f>IFERROR(N281/N445, "NA")</f>
        <v>NA</v>
      </c>
      <c r="P281" s="9"/>
      <c r="Q281" s="7">
        <v>0</v>
      </c>
      <c r="R281" s="8" t="str">
        <f>IFERROR(Q281/Q445, "NA")</f>
        <v>NA</v>
      </c>
      <c r="S281" s="9"/>
      <c r="T281" s="7">
        <v>0</v>
      </c>
      <c r="U281" s="8" t="str">
        <f>IFERROR(T281/T445, "NA")</f>
        <v>NA</v>
      </c>
      <c r="V281" s="9"/>
      <c r="W281" s="10">
        <f t="shared" si="70"/>
        <v>0</v>
      </c>
      <c r="X281" s="8" t="str">
        <f>IFERROR(W281/W445, "NA")</f>
        <v>NA</v>
      </c>
      <c r="Y281" s="9"/>
      <c r="Z281" s="7">
        <v>0</v>
      </c>
      <c r="AA281" s="8" t="str">
        <f>IFERROR(Z281/Z445, "NA")</f>
        <v>NA</v>
      </c>
      <c r="AB281" s="9"/>
      <c r="AC281" s="10">
        <f t="shared" si="71"/>
        <v>0</v>
      </c>
      <c r="AD281" s="8" t="str">
        <f>IFERROR(AC281/AC445,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IFERROR(B282/B445, "NA")</f>
        <v>NA</v>
      </c>
      <c r="D282" s="9"/>
      <c r="E282" s="7">
        <v>0</v>
      </c>
      <c r="F282" s="8" t="str">
        <f>IFERROR(E282/E445, "NA")</f>
        <v>NA</v>
      </c>
      <c r="G282" s="9"/>
      <c r="H282" s="10">
        <f t="shared" si="68"/>
        <v>0</v>
      </c>
      <c r="I282" s="8" t="str">
        <f>IFERROR(H282/H445, "NA")</f>
        <v>NA</v>
      </c>
      <c r="J282" s="9"/>
      <c r="K282" s="7">
        <v>0</v>
      </c>
      <c r="L282" s="8" t="str">
        <f>IFERROR(K282/K445, "NA")</f>
        <v>NA</v>
      </c>
      <c r="M282" s="9"/>
      <c r="N282" s="10">
        <f t="shared" si="69"/>
        <v>0</v>
      </c>
      <c r="O282" s="8" t="str">
        <f>IFERROR(N282/N445, "NA")</f>
        <v>NA</v>
      </c>
      <c r="P282" s="9"/>
      <c r="Q282" s="7">
        <v>0</v>
      </c>
      <c r="R282" s="8" t="str">
        <f>IFERROR(Q282/Q445, "NA")</f>
        <v>NA</v>
      </c>
      <c r="S282" s="9"/>
      <c r="T282" s="7">
        <v>0</v>
      </c>
      <c r="U282" s="8" t="str">
        <f>IFERROR(T282/T445, "NA")</f>
        <v>NA</v>
      </c>
      <c r="V282" s="9"/>
      <c r="W282" s="10">
        <f t="shared" si="70"/>
        <v>0</v>
      </c>
      <c r="X282" s="8" t="str">
        <f>IFERROR(W282/W445, "NA")</f>
        <v>NA</v>
      </c>
      <c r="Y282" s="9"/>
      <c r="Z282" s="7">
        <v>0</v>
      </c>
      <c r="AA282" s="8" t="str">
        <f>IFERROR(Z282/Z445, "NA")</f>
        <v>NA</v>
      </c>
      <c r="AB282" s="9"/>
      <c r="AC282" s="10">
        <f t="shared" si="71"/>
        <v>0</v>
      </c>
      <c r="AD282" s="8" t="str">
        <f>IFERROR(AC282/AC445,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IFERROR(B283/B445, "NA")</f>
        <v>NA</v>
      </c>
      <c r="D283" s="9"/>
      <c r="E283" s="7">
        <v>0</v>
      </c>
      <c r="F283" s="8" t="str">
        <f>IFERROR(E283/E445, "NA")</f>
        <v>NA</v>
      </c>
      <c r="G283" s="9"/>
      <c r="H283" s="10">
        <f t="shared" si="68"/>
        <v>0</v>
      </c>
      <c r="I283" s="8" t="str">
        <f>IFERROR(H283/H445, "NA")</f>
        <v>NA</v>
      </c>
      <c r="J283" s="9"/>
      <c r="K283" s="7">
        <v>0</v>
      </c>
      <c r="L283" s="8" t="str">
        <f>IFERROR(K283/K445, "NA")</f>
        <v>NA</v>
      </c>
      <c r="M283" s="9"/>
      <c r="N283" s="10">
        <f t="shared" si="69"/>
        <v>0</v>
      </c>
      <c r="O283" s="8" t="str">
        <f>IFERROR(N283/N445, "NA")</f>
        <v>NA</v>
      </c>
      <c r="P283" s="9"/>
      <c r="Q283" s="7">
        <v>0</v>
      </c>
      <c r="R283" s="8" t="str">
        <f>IFERROR(Q283/Q445, "NA")</f>
        <v>NA</v>
      </c>
      <c r="S283" s="9"/>
      <c r="T283" s="7">
        <v>0</v>
      </c>
      <c r="U283" s="8" t="str">
        <f>IFERROR(T283/T445, "NA")</f>
        <v>NA</v>
      </c>
      <c r="V283" s="9"/>
      <c r="W283" s="10">
        <f t="shared" si="70"/>
        <v>0</v>
      </c>
      <c r="X283" s="8" t="str">
        <f>IFERROR(W283/W445, "NA")</f>
        <v>NA</v>
      </c>
      <c r="Y283" s="9"/>
      <c r="Z283" s="7">
        <v>0</v>
      </c>
      <c r="AA283" s="8" t="str">
        <f>IFERROR(Z283/Z445, "NA")</f>
        <v>NA</v>
      </c>
      <c r="AB283" s="9"/>
      <c r="AC283" s="10">
        <f t="shared" si="71"/>
        <v>0</v>
      </c>
      <c r="AD283" s="8" t="str">
        <f>IFERROR(AC283/AC445, "NA")</f>
        <v>NA</v>
      </c>
    </row>
    <row r="284" spans="1:30" ht="16.5" hidden="1" customHeight="1" x14ac:dyDescent="0.45">
      <c r="A284" s="6" t="s">
        <v>258</v>
      </c>
      <c r="B284" s="7">
        <v>0</v>
      </c>
      <c r="C284" s="8" t="str">
        <f>IFERROR(B284/B445, "NA")</f>
        <v>NA</v>
      </c>
      <c r="D284" s="9"/>
      <c r="E284" s="7">
        <v>0</v>
      </c>
      <c r="F284" s="8" t="str">
        <f>IFERROR(E284/E445, "NA")</f>
        <v>NA</v>
      </c>
      <c r="G284" s="9"/>
      <c r="H284" s="10">
        <f t="shared" si="68"/>
        <v>0</v>
      </c>
      <c r="I284" s="8" t="str">
        <f>IFERROR(H284/H445, "NA")</f>
        <v>NA</v>
      </c>
      <c r="J284" s="9"/>
      <c r="K284" s="7">
        <v>0</v>
      </c>
      <c r="L284" s="8" t="str">
        <f>IFERROR(K284/K445, "NA")</f>
        <v>NA</v>
      </c>
      <c r="M284" s="9"/>
      <c r="N284" s="10">
        <f t="shared" si="69"/>
        <v>0</v>
      </c>
      <c r="O284" s="8" t="str">
        <f>IFERROR(N284/N445, "NA")</f>
        <v>NA</v>
      </c>
      <c r="P284" s="9"/>
      <c r="Q284" s="7">
        <v>0</v>
      </c>
      <c r="R284" s="8" t="str">
        <f>IFERROR(Q284/Q445, "NA")</f>
        <v>NA</v>
      </c>
      <c r="S284" s="9"/>
      <c r="T284" s="7">
        <v>0</v>
      </c>
      <c r="U284" s="8" t="str">
        <f>IFERROR(T284/T445, "NA")</f>
        <v>NA</v>
      </c>
      <c r="V284" s="9"/>
      <c r="W284" s="10">
        <f t="shared" si="70"/>
        <v>0</v>
      </c>
      <c r="X284" s="8" t="str">
        <f>IFERROR(W284/W445, "NA")</f>
        <v>NA</v>
      </c>
      <c r="Y284" s="9"/>
      <c r="Z284" s="7">
        <v>0</v>
      </c>
      <c r="AA284" s="8" t="str">
        <f>IFERROR(Z284/Z445, "NA")</f>
        <v>NA</v>
      </c>
      <c r="AB284" s="9"/>
      <c r="AC284" s="10">
        <f t="shared" si="71"/>
        <v>0</v>
      </c>
      <c r="AD284" s="8" t="str">
        <f>IFERROR(AC284/AC445, "NA")</f>
        <v>NA</v>
      </c>
    </row>
    <row r="285" spans="1:30" ht="16.5" customHeight="1" x14ac:dyDescent="0.45">
      <c r="A285" s="19" t="s">
        <v>259</v>
      </c>
      <c r="B285" s="14">
        <f>IFERROR(B276+B277+B278+B279+B280+B281+B282+B283+B284, "NA")</f>
        <v>0</v>
      </c>
      <c r="C285" s="15" t="str">
        <f>IFERROR(B285/B445, "NA")</f>
        <v>NA</v>
      </c>
      <c r="D285" s="2"/>
      <c r="E285" s="14">
        <f>IFERROR(E276+E277+E278+E279+E280+E281+E282+E283+E284, "NA")</f>
        <v>0</v>
      </c>
      <c r="F285" s="15" t="str">
        <f>IFERROR(E285/E445, "NA")</f>
        <v>NA</v>
      </c>
      <c r="G285" s="2"/>
      <c r="H285" s="14">
        <f t="shared" si="68"/>
        <v>0</v>
      </c>
      <c r="I285" s="15" t="str">
        <f>IFERROR(H285/H445, "NA")</f>
        <v>NA</v>
      </c>
      <c r="J285" s="2"/>
      <c r="K285" s="14">
        <f>IFERROR(K276+K277+K278+K279+K280+K281+K282+K283+K284, "NA")</f>
        <v>0</v>
      </c>
      <c r="L285" s="15" t="str">
        <f>IFERROR(K285/K445, "NA")</f>
        <v>NA</v>
      </c>
      <c r="M285" s="2"/>
      <c r="N285" s="14">
        <f t="shared" si="69"/>
        <v>0</v>
      </c>
      <c r="O285" s="15" t="str">
        <f>IFERROR(N285/N445, "NA")</f>
        <v>NA</v>
      </c>
      <c r="P285" s="2"/>
      <c r="Q285" s="14">
        <f>IFERROR(Q276+Q277+Q278+Q279+Q280+Q281+Q282+Q283+Q284, "NA")</f>
        <v>0</v>
      </c>
      <c r="R285" s="15" t="str">
        <f>IFERROR(Q285/Q445, "NA")</f>
        <v>NA</v>
      </c>
      <c r="S285" s="2"/>
      <c r="T285" s="14">
        <f>IFERROR(T276+T277+T278+T279+T280+T281+T282+T283+T284, "NA")</f>
        <v>0</v>
      </c>
      <c r="U285" s="15" t="str">
        <f>IFERROR(T285/T445, "NA")</f>
        <v>NA</v>
      </c>
      <c r="V285" s="2"/>
      <c r="W285" s="14">
        <f t="shared" si="70"/>
        <v>0</v>
      </c>
      <c r="X285" s="15" t="str">
        <f>IFERROR(W285/W445, "NA")</f>
        <v>NA</v>
      </c>
      <c r="Y285" s="2"/>
      <c r="Z285" s="14">
        <f>IFERROR(Z276+Z277+Z278+Z279+Z280+Z281+Z282+Z283+Z284, "NA")</f>
        <v>0</v>
      </c>
      <c r="AA285" s="15" t="str">
        <f>IFERROR(Z285/Z445, "NA")</f>
        <v>NA</v>
      </c>
      <c r="AB285" s="2"/>
      <c r="AC285" s="14">
        <f t="shared" si="71"/>
        <v>0</v>
      </c>
      <c r="AD285" s="15" t="str">
        <f>IFERROR(AC285/AC445, "NA")</f>
        <v>NA</v>
      </c>
    </row>
    <row r="286" spans="1:30" ht="16.5" customHeight="1" x14ac:dyDescent="0.45">
      <c r="A286" s="5" t="s">
        <v>260</v>
      </c>
      <c r="B286" s="2"/>
      <c r="C286" s="3"/>
      <c r="D286" s="4"/>
      <c r="E286" s="2"/>
      <c r="F286" s="3"/>
      <c r="G286" s="4"/>
      <c r="H286" s="2"/>
      <c r="I286" s="3"/>
      <c r="J286" s="4"/>
      <c r="K286" s="2"/>
      <c r="L286" s="3"/>
      <c r="M286" s="4"/>
      <c r="N286" s="2"/>
      <c r="O286" s="3"/>
      <c r="P286" s="4"/>
      <c r="Q286" s="2"/>
      <c r="R286" s="3"/>
      <c r="S286" s="4"/>
      <c r="T286" s="2"/>
      <c r="U286" s="3"/>
      <c r="V286" s="4"/>
      <c r="W286" s="2"/>
      <c r="X286" s="3"/>
      <c r="Y286" s="4"/>
      <c r="Z286" s="2"/>
      <c r="AA286" s="3"/>
      <c r="AB286" s="4"/>
      <c r="AC286" s="2"/>
      <c r="AD286" s="3"/>
    </row>
    <row r="287" spans="1:30" ht="16.5" hidden="1" customHeight="1" x14ac:dyDescent="0.45">
      <c r="A287" s="6" t="s">
        <v>260</v>
      </c>
      <c r="B287" s="7">
        <v>0</v>
      </c>
      <c r="C287" s="8" t="str">
        <f>IFERROR(B287/B445, "NA")</f>
        <v>NA</v>
      </c>
      <c r="D287" s="9"/>
      <c r="E287" s="7">
        <v>0</v>
      </c>
      <c r="F287" s="8" t="str">
        <f>IFERROR(E287/E445, "NA")</f>
        <v>NA</v>
      </c>
      <c r="G287" s="9"/>
      <c r="H287" s="10">
        <f t="shared" ref="H287:H296" si="72">IFERROR(-(B287-E287), "NA")</f>
        <v>0</v>
      </c>
      <c r="I287" s="8" t="str">
        <f>IFERROR(H287/H445, "NA")</f>
        <v>NA</v>
      </c>
      <c r="J287" s="9"/>
      <c r="K287" s="7">
        <v>0</v>
      </c>
      <c r="L287" s="8" t="str">
        <f>IFERROR(K287/K445, "NA")</f>
        <v>NA</v>
      </c>
      <c r="M287" s="9"/>
      <c r="N287" s="10">
        <f t="shared" ref="N287:N296" si="73">IFERROR(-(B287-K287), "NA")</f>
        <v>0</v>
      </c>
      <c r="O287" s="8" t="str">
        <f>IFERROR(N287/N445, "NA")</f>
        <v>NA</v>
      </c>
      <c r="P287" s="9"/>
      <c r="Q287" s="7">
        <v>0</v>
      </c>
      <c r="R287" s="8" t="str">
        <f>IFERROR(Q287/Q445, "NA")</f>
        <v>NA</v>
      </c>
      <c r="S287" s="9"/>
      <c r="T287" s="7">
        <v>0</v>
      </c>
      <c r="U287" s="8" t="str">
        <f>IFERROR(T287/T445, "NA")</f>
        <v>NA</v>
      </c>
      <c r="V287" s="9"/>
      <c r="W287" s="10">
        <f t="shared" ref="W287:W296" si="74">IFERROR(-(Q287-T287), "NA")</f>
        <v>0</v>
      </c>
      <c r="X287" s="8" t="str">
        <f>IFERROR(W287/W445, "NA")</f>
        <v>NA</v>
      </c>
      <c r="Y287" s="9"/>
      <c r="Z287" s="7">
        <v>0</v>
      </c>
      <c r="AA287" s="8" t="str">
        <f>IFERROR(Z287/Z445, "NA")</f>
        <v>NA</v>
      </c>
      <c r="AB287" s="9"/>
      <c r="AC287" s="10">
        <f t="shared" ref="AC287:AC296" si="75">IFERROR(-(Q287-Z287), "NA")</f>
        <v>0</v>
      </c>
      <c r="AD287" s="8" t="str">
        <f>IFERROR(AC287/AC445,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IFERROR(B288/B445, "NA")</f>
        <v>NA</v>
      </c>
      <c r="D288" s="9"/>
      <c r="E288" s="7">
        <v>0</v>
      </c>
      <c r="F288" s="8" t="str">
        <f>IFERROR(E288/E445, "NA")</f>
        <v>NA</v>
      </c>
      <c r="G288" s="9"/>
      <c r="H288" s="10">
        <f t="shared" si="72"/>
        <v>0</v>
      </c>
      <c r="I288" s="8" t="str">
        <f>IFERROR(H288/H445, "NA")</f>
        <v>NA</v>
      </c>
      <c r="J288" s="9"/>
      <c r="K288" s="7">
        <v>0</v>
      </c>
      <c r="L288" s="8" t="str">
        <f>IFERROR(K288/K445, "NA")</f>
        <v>NA</v>
      </c>
      <c r="M288" s="9"/>
      <c r="N288" s="10">
        <f t="shared" si="73"/>
        <v>0</v>
      </c>
      <c r="O288" s="8" t="str">
        <f>IFERROR(N288/N445, "NA")</f>
        <v>NA</v>
      </c>
      <c r="P288" s="9"/>
      <c r="Q288" s="7">
        <v>0</v>
      </c>
      <c r="R288" s="8" t="str">
        <f>IFERROR(Q288/Q445, "NA")</f>
        <v>NA</v>
      </c>
      <c r="S288" s="9"/>
      <c r="T288" s="7">
        <v>0</v>
      </c>
      <c r="U288" s="8" t="str">
        <f>IFERROR(T288/T445, "NA")</f>
        <v>NA</v>
      </c>
      <c r="V288" s="9"/>
      <c r="W288" s="10">
        <f t="shared" si="74"/>
        <v>0</v>
      </c>
      <c r="X288" s="8" t="str">
        <f>IFERROR(W288/W445, "NA")</f>
        <v>NA</v>
      </c>
      <c r="Y288" s="9"/>
      <c r="Z288" s="7">
        <v>0</v>
      </c>
      <c r="AA288" s="8" t="str">
        <f>IFERROR(Z288/Z445, "NA")</f>
        <v>NA</v>
      </c>
      <c r="AB288" s="9"/>
      <c r="AC288" s="10">
        <f t="shared" si="75"/>
        <v>0</v>
      </c>
      <c r="AD288" s="8" t="str">
        <f>IFERROR(AC288/AC445,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IFERROR(B289/B445, "NA")</f>
        <v>NA</v>
      </c>
      <c r="D289" s="9"/>
      <c r="E289" s="7">
        <v>0</v>
      </c>
      <c r="F289" s="8" t="str">
        <f>IFERROR(E289/E445, "NA")</f>
        <v>NA</v>
      </c>
      <c r="G289" s="9"/>
      <c r="H289" s="10">
        <f t="shared" si="72"/>
        <v>0</v>
      </c>
      <c r="I289" s="8" t="str">
        <f>IFERROR(H289/H445, "NA")</f>
        <v>NA</v>
      </c>
      <c r="J289" s="9"/>
      <c r="K289" s="7">
        <v>0</v>
      </c>
      <c r="L289" s="8" t="str">
        <f>IFERROR(K289/K445, "NA")</f>
        <v>NA</v>
      </c>
      <c r="M289" s="9"/>
      <c r="N289" s="10">
        <f t="shared" si="73"/>
        <v>0</v>
      </c>
      <c r="O289" s="8" t="str">
        <f>IFERROR(N289/N445, "NA")</f>
        <v>NA</v>
      </c>
      <c r="P289" s="9"/>
      <c r="Q289" s="7">
        <v>0</v>
      </c>
      <c r="R289" s="8" t="str">
        <f>IFERROR(Q289/Q445, "NA")</f>
        <v>NA</v>
      </c>
      <c r="S289" s="9"/>
      <c r="T289" s="7">
        <v>0</v>
      </c>
      <c r="U289" s="8" t="str">
        <f>IFERROR(T289/T445, "NA")</f>
        <v>NA</v>
      </c>
      <c r="V289" s="9"/>
      <c r="W289" s="10">
        <f t="shared" si="74"/>
        <v>0</v>
      </c>
      <c r="X289" s="8" t="str">
        <f>IFERROR(W289/W445, "NA")</f>
        <v>NA</v>
      </c>
      <c r="Y289" s="9"/>
      <c r="Z289" s="7">
        <v>0</v>
      </c>
      <c r="AA289" s="8" t="str">
        <f>IFERROR(Z289/Z445, "NA")</f>
        <v>NA</v>
      </c>
      <c r="AB289" s="9"/>
      <c r="AC289" s="10">
        <f t="shared" si="75"/>
        <v>0</v>
      </c>
      <c r="AD289" s="8" t="str">
        <f>IFERROR(AC289/AC445,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IFERROR(B290/B445, "NA")</f>
        <v>NA</v>
      </c>
      <c r="D290" s="9"/>
      <c r="E290" s="7">
        <v>0</v>
      </c>
      <c r="F290" s="8" t="str">
        <f>IFERROR(E290/E445, "NA")</f>
        <v>NA</v>
      </c>
      <c r="G290" s="9"/>
      <c r="H290" s="10">
        <f t="shared" si="72"/>
        <v>0</v>
      </c>
      <c r="I290" s="8" t="str">
        <f>IFERROR(H290/H445, "NA")</f>
        <v>NA</v>
      </c>
      <c r="J290" s="9"/>
      <c r="K290" s="7">
        <v>0</v>
      </c>
      <c r="L290" s="8" t="str">
        <f>IFERROR(K290/K445, "NA")</f>
        <v>NA</v>
      </c>
      <c r="M290" s="9"/>
      <c r="N290" s="10">
        <f t="shared" si="73"/>
        <v>0</v>
      </c>
      <c r="O290" s="8" t="str">
        <f>IFERROR(N290/N445, "NA")</f>
        <v>NA</v>
      </c>
      <c r="P290" s="9"/>
      <c r="Q290" s="7">
        <v>0</v>
      </c>
      <c r="R290" s="8" t="str">
        <f>IFERROR(Q290/Q445, "NA")</f>
        <v>NA</v>
      </c>
      <c r="S290" s="9"/>
      <c r="T290" s="7">
        <v>0</v>
      </c>
      <c r="U290" s="8" t="str">
        <f>IFERROR(T290/T445, "NA")</f>
        <v>NA</v>
      </c>
      <c r="V290" s="9"/>
      <c r="W290" s="10">
        <f t="shared" si="74"/>
        <v>0</v>
      </c>
      <c r="X290" s="8" t="str">
        <f>IFERROR(W290/W445, "NA")</f>
        <v>NA</v>
      </c>
      <c r="Y290" s="9"/>
      <c r="Z290" s="7">
        <v>0</v>
      </c>
      <c r="AA290" s="8" t="str">
        <f>IFERROR(Z290/Z445, "NA")</f>
        <v>NA</v>
      </c>
      <c r="AB290" s="9"/>
      <c r="AC290" s="10">
        <f t="shared" si="75"/>
        <v>0</v>
      </c>
      <c r="AD290" s="8" t="str">
        <f>IFERROR(AC290/AC445,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IFERROR(B291/B445, "NA")</f>
        <v>NA</v>
      </c>
      <c r="D291" s="9"/>
      <c r="E291" s="7">
        <v>0</v>
      </c>
      <c r="F291" s="8" t="str">
        <f>IFERROR(E291/E445, "NA")</f>
        <v>NA</v>
      </c>
      <c r="G291" s="9"/>
      <c r="H291" s="10">
        <f t="shared" si="72"/>
        <v>0</v>
      </c>
      <c r="I291" s="8" t="str">
        <f>IFERROR(H291/H445, "NA")</f>
        <v>NA</v>
      </c>
      <c r="J291" s="9"/>
      <c r="K291" s="7">
        <v>0</v>
      </c>
      <c r="L291" s="8" t="str">
        <f>IFERROR(K291/K445, "NA")</f>
        <v>NA</v>
      </c>
      <c r="M291" s="9"/>
      <c r="N291" s="10">
        <f t="shared" si="73"/>
        <v>0</v>
      </c>
      <c r="O291" s="8" t="str">
        <f>IFERROR(N291/N445, "NA")</f>
        <v>NA</v>
      </c>
      <c r="P291" s="9"/>
      <c r="Q291" s="7">
        <v>0</v>
      </c>
      <c r="R291" s="8" t="str">
        <f>IFERROR(Q291/Q445, "NA")</f>
        <v>NA</v>
      </c>
      <c r="S291" s="9"/>
      <c r="T291" s="7">
        <v>0</v>
      </c>
      <c r="U291" s="8" t="str">
        <f>IFERROR(T291/T445, "NA")</f>
        <v>NA</v>
      </c>
      <c r="V291" s="9"/>
      <c r="W291" s="10">
        <f t="shared" si="74"/>
        <v>0</v>
      </c>
      <c r="X291" s="8" t="str">
        <f>IFERROR(W291/W445, "NA")</f>
        <v>NA</v>
      </c>
      <c r="Y291" s="9"/>
      <c r="Z291" s="7">
        <v>0</v>
      </c>
      <c r="AA291" s="8" t="str">
        <f>IFERROR(Z291/Z445, "NA")</f>
        <v>NA</v>
      </c>
      <c r="AB291" s="9"/>
      <c r="AC291" s="10">
        <f t="shared" si="75"/>
        <v>0</v>
      </c>
      <c r="AD291" s="8" t="str">
        <f>IFERROR(AC291/AC445,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IFERROR(B292/B445, "NA")</f>
        <v>NA</v>
      </c>
      <c r="D292" s="9"/>
      <c r="E292" s="7">
        <v>0</v>
      </c>
      <c r="F292" s="8" t="str">
        <f>IFERROR(E292/E445, "NA")</f>
        <v>NA</v>
      </c>
      <c r="G292" s="9"/>
      <c r="H292" s="10">
        <f t="shared" si="72"/>
        <v>0</v>
      </c>
      <c r="I292" s="8" t="str">
        <f>IFERROR(H292/H445, "NA")</f>
        <v>NA</v>
      </c>
      <c r="J292" s="9"/>
      <c r="K292" s="7">
        <v>0</v>
      </c>
      <c r="L292" s="8" t="str">
        <f>IFERROR(K292/K445, "NA")</f>
        <v>NA</v>
      </c>
      <c r="M292" s="9"/>
      <c r="N292" s="10">
        <f t="shared" si="73"/>
        <v>0</v>
      </c>
      <c r="O292" s="8" t="str">
        <f>IFERROR(N292/N445, "NA")</f>
        <v>NA</v>
      </c>
      <c r="P292" s="9"/>
      <c r="Q292" s="7">
        <v>0</v>
      </c>
      <c r="R292" s="8" t="str">
        <f>IFERROR(Q292/Q445, "NA")</f>
        <v>NA</v>
      </c>
      <c r="S292" s="9"/>
      <c r="T292" s="7">
        <v>0</v>
      </c>
      <c r="U292" s="8" t="str">
        <f>IFERROR(T292/T445, "NA")</f>
        <v>NA</v>
      </c>
      <c r="V292" s="9"/>
      <c r="W292" s="10">
        <f t="shared" si="74"/>
        <v>0</v>
      </c>
      <c r="X292" s="8" t="str">
        <f>IFERROR(W292/W445, "NA")</f>
        <v>NA</v>
      </c>
      <c r="Y292" s="9"/>
      <c r="Z292" s="7">
        <v>0</v>
      </c>
      <c r="AA292" s="8" t="str">
        <f>IFERROR(Z292/Z445, "NA")</f>
        <v>NA</v>
      </c>
      <c r="AB292" s="9"/>
      <c r="AC292" s="10">
        <f t="shared" si="75"/>
        <v>0</v>
      </c>
      <c r="AD292" s="8" t="str">
        <f>IFERROR(AC292/AC445,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IFERROR(B293/B445, "NA")</f>
        <v>NA</v>
      </c>
      <c r="D293" s="9"/>
      <c r="E293" s="7">
        <v>0</v>
      </c>
      <c r="F293" s="8" t="str">
        <f>IFERROR(E293/E445, "NA")</f>
        <v>NA</v>
      </c>
      <c r="G293" s="9"/>
      <c r="H293" s="10">
        <f t="shared" si="72"/>
        <v>0</v>
      </c>
      <c r="I293" s="8" t="str">
        <f>IFERROR(H293/H445, "NA")</f>
        <v>NA</v>
      </c>
      <c r="J293" s="9"/>
      <c r="K293" s="7">
        <v>0</v>
      </c>
      <c r="L293" s="8" t="str">
        <f>IFERROR(K293/K445, "NA")</f>
        <v>NA</v>
      </c>
      <c r="M293" s="9"/>
      <c r="N293" s="10">
        <f t="shared" si="73"/>
        <v>0</v>
      </c>
      <c r="O293" s="8" t="str">
        <f>IFERROR(N293/N445, "NA")</f>
        <v>NA</v>
      </c>
      <c r="P293" s="9"/>
      <c r="Q293" s="7">
        <v>0</v>
      </c>
      <c r="R293" s="8" t="str">
        <f>IFERROR(Q293/Q445, "NA")</f>
        <v>NA</v>
      </c>
      <c r="S293" s="9"/>
      <c r="T293" s="7">
        <v>0</v>
      </c>
      <c r="U293" s="8" t="str">
        <f>IFERROR(T293/T445, "NA")</f>
        <v>NA</v>
      </c>
      <c r="V293" s="9"/>
      <c r="W293" s="10">
        <f t="shared" si="74"/>
        <v>0</v>
      </c>
      <c r="X293" s="8" t="str">
        <f>IFERROR(W293/W445, "NA")</f>
        <v>NA</v>
      </c>
      <c r="Y293" s="9"/>
      <c r="Z293" s="7">
        <v>0</v>
      </c>
      <c r="AA293" s="8" t="str">
        <f>IFERROR(Z293/Z445, "NA")</f>
        <v>NA</v>
      </c>
      <c r="AB293" s="9"/>
      <c r="AC293" s="10">
        <f t="shared" si="75"/>
        <v>0</v>
      </c>
      <c r="AD293" s="8" t="str">
        <f>IFERROR(AC293/AC445,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IFERROR(B294/B445, "NA")</f>
        <v>NA</v>
      </c>
      <c r="D294" s="9"/>
      <c r="E294" s="7">
        <v>0</v>
      </c>
      <c r="F294" s="8" t="str">
        <f>IFERROR(E294/E445, "NA")</f>
        <v>NA</v>
      </c>
      <c r="G294" s="9"/>
      <c r="H294" s="10">
        <f t="shared" si="72"/>
        <v>0</v>
      </c>
      <c r="I294" s="8" t="str">
        <f>IFERROR(H294/H445, "NA")</f>
        <v>NA</v>
      </c>
      <c r="J294" s="9"/>
      <c r="K294" s="7">
        <v>0</v>
      </c>
      <c r="L294" s="8" t="str">
        <f>IFERROR(K294/K445, "NA")</f>
        <v>NA</v>
      </c>
      <c r="M294" s="9"/>
      <c r="N294" s="10">
        <f t="shared" si="73"/>
        <v>0</v>
      </c>
      <c r="O294" s="8" t="str">
        <f>IFERROR(N294/N445, "NA")</f>
        <v>NA</v>
      </c>
      <c r="P294" s="9"/>
      <c r="Q294" s="7">
        <v>0</v>
      </c>
      <c r="R294" s="8" t="str">
        <f>IFERROR(Q294/Q445, "NA")</f>
        <v>NA</v>
      </c>
      <c r="S294" s="9"/>
      <c r="T294" s="7">
        <v>0</v>
      </c>
      <c r="U294" s="8" t="str">
        <f>IFERROR(T294/T445, "NA")</f>
        <v>NA</v>
      </c>
      <c r="V294" s="9"/>
      <c r="W294" s="10">
        <f t="shared" si="74"/>
        <v>0</v>
      </c>
      <c r="X294" s="8" t="str">
        <f>IFERROR(W294/W445, "NA")</f>
        <v>NA</v>
      </c>
      <c r="Y294" s="9"/>
      <c r="Z294" s="7">
        <v>0</v>
      </c>
      <c r="AA294" s="8" t="str">
        <f>IFERROR(Z294/Z445, "NA")</f>
        <v>NA</v>
      </c>
      <c r="AB294" s="9"/>
      <c r="AC294" s="10">
        <f t="shared" si="75"/>
        <v>0</v>
      </c>
      <c r="AD294" s="8" t="str">
        <f>IFERROR(AC294/AC445, "NA")</f>
        <v>NA</v>
      </c>
    </row>
    <row r="295" spans="1:30" ht="16.5" hidden="1" customHeight="1" x14ac:dyDescent="0.45">
      <c r="A295" s="6" t="s">
        <v>268</v>
      </c>
      <c r="B295" s="7">
        <v>0</v>
      </c>
      <c r="C295" s="8" t="str">
        <f>IFERROR(B295/B445, "NA")</f>
        <v>NA</v>
      </c>
      <c r="D295" s="9"/>
      <c r="E295" s="7">
        <v>0</v>
      </c>
      <c r="F295" s="8" t="str">
        <f>IFERROR(E295/E445, "NA")</f>
        <v>NA</v>
      </c>
      <c r="G295" s="9"/>
      <c r="H295" s="10">
        <f t="shared" si="72"/>
        <v>0</v>
      </c>
      <c r="I295" s="8" t="str">
        <f>IFERROR(H295/H445, "NA")</f>
        <v>NA</v>
      </c>
      <c r="J295" s="9"/>
      <c r="K295" s="7">
        <v>0</v>
      </c>
      <c r="L295" s="8" t="str">
        <f>IFERROR(K295/K445, "NA")</f>
        <v>NA</v>
      </c>
      <c r="M295" s="9"/>
      <c r="N295" s="10">
        <f t="shared" si="73"/>
        <v>0</v>
      </c>
      <c r="O295" s="8" t="str">
        <f>IFERROR(N295/N445, "NA")</f>
        <v>NA</v>
      </c>
      <c r="P295" s="9"/>
      <c r="Q295" s="7">
        <v>0</v>
      </c>
      <c r="R295" s="8" t="str">
        <f>IFERROR(Q295/Q445, "NA")</f>
        <v>NA</v>
      </c>
      <c r="S295" s="9"/>
      <c r="T295" s="7">
        <v>0</v>
      </c>
      <c r="U295" s="8" t="str">
        <f>IFERROR(T295/T445, "NA")</f>
        <v>NA</v>
      </c>
      <c r="V295" s="9"/>
      <c r="W295" s="10">
        <f t="shared" si="74"/>
        <v>0</v>
      </c>
      <c r="X295" s="8" t="str">
        <f>IFERROR(W295/W445, "NA")</f>
        <v>NA</v>
      </c>
      <c r="Y295" s="9"/>
      <c r="Z295" s="7">
        <v>0</v>
      </c>
      <c r="AA295" s="8" t="str">
        <f>IFERROR(Z295/Z445, "NA")</f>
        <v>NA</v>
      </c>
      <c r="AB295" s="9"/>
      <c r="AC295" s="10">
        <f t="shared" si="75"/>
        <v>0</v>
      </c>
      <c r="AD295" s="8" t="str">
        <f>IFERROR(AC295/AC445, "NA")</f>
        <v>NA</v>
      </c>
    </row>
    <row r="296" spans="1:30" ht="16.5" customHeight="1" x14ac:dyDescent="0.45">
      <c r="A296" s="19" t="s">
        <v>269</v>
      </c>
      <c r="B296" s="14">
        <f>IFERROR(B287+B288+B289+B290+B291+B292+B293+B294+B295, "NA")</f>
        <v>0</v>
      </c>
      <c r="C296" s="15" t="str">
        <f>IFERROR(B296/B445, "NA")</f>
        <v>NA</v>
      </c>
      <c r="D296" s="2"/>
      <c r="E296" s="14">
        <f>IFERROR(E287+E288+E289+E290+E291+E292+E293+E294+E295, "NA")</f>
        <v>0</v>
      </c>
      <c r="F296" s="15" t="str">
        <f>IFERROR(E296/E445, "NA")</f>
        <v>NA</v>
      </c>
      <c r="G296" s="2"/>
      <c r="H296" s="14">
        <f t="shared" si="72"/>
        <v>0</v>
      </c>
      <c r="I296" s="15" t="str">
        <f>IFERROR(H296/H445, "NA")</f>
        <v>NA</v>
      </c>
      <c r="J296" s="2"/>
      <c r="K296" s="14">
        <f>IFERROR(K287+K288+K289+K290+K291+K292+K293+K294+K295, "NA")</f>
        <v>0</v>
      </c>
      <c r="L296" s="15" t="str">
        <f>IFERROR(K296/K445, "NA")</f>
        <v>NA</v>
      </c>
      <c r="M296" s="2"/>
      <c r="N296" s="14">
        <f t="shared" si="73"/>
        <v>0</v>
      </c>
      <c r="O296" s="15" t="str">
        <f>IFERROR(N296/N445, "NA")</f>
        <v>NA</v>
      </c>
      <c r="P296" s="2"/>
      <c r="Q296" s="14">
        <f>IFERROR(Q287+Q288+Q289+Q290+Q291+Q292+Q293+Q294+Q295, "NA")</f>
        <v>0</v>
      </c>
      <c r="R296" s="15" t="str">
        <f>IFERROR(Q296/Q445, "NA")</f>
        <v>NA</v>
      </c>
      <c r="S296" s="2"/>
      <c r="T296" s="14">
        <f>IFERROR(T287+T288+T289+T290+T291+T292+T293+T294+T295, "NA")</f>
        <v>0</v>
      </c>
      <c r="U296" s="15" t="str">
        <f>IFERROR(T296/T445, "NA")</f>
        <v>NA</v>
      </c>
      <c r="V296" s="2"/>
      <c r="W296" s="14">
        <f t="shared" si="74"/>
        <v>0</v>
      </c>
      <c r="X296" s="15" t="str">
        <f>IFERROR(W296/W445, "NA")</f>
        <v>NA</v>
      </c>
      <c r="Y296" s="2"/>
      <c r="Z296" s="14">
        <f>IFERROR(Z287+Z288+Z289+Z290+Z291+Z292+Z293+Z294+Z295, "NA")</f>
        <v>0</v>
      </c>
      <c r="AA296" s="15" t="str">
        <f>IFERROR(Z296/Z445, "NA")</f>
        <v>NA</v>
      </c>
      <c r="AB296" s="2"/>
      <c r="AC296" s="14">
        <f t="shared" si="75"/>
        <v>0</v>
      </c>
      <c r="AD296" s="15" t="str">
        <f>IFERROR(AC296/AC445, "NA")</f>
        <v>NA</v>
      </c>
    </row>
    <row r="297" spans="1:30" ht="16.5" customHeight="1" x14ac:dyDescent="0.45">
      <c r="A297" s="5" t="s">
        <v>270</v>
      </c>
      <c r="B297" s="2"/>
      <c r="C297" s="3"/>
      <c r="D297" s="4"/>
      <c r="E297" s="2"/>
      <c r="F297" s="3"/>
      <c r="G297" s="4"/>
      <c r="H297" s="2"/>
      <c r="I297" s="3"/>
      <c r="J297" s="4"/>
      <c r="K297" s="2"/>
      <c r="L297" s="3"/>
      <c r="M297" s="4"/>
      <c r="N297" s="2"/>
      <c r="O297" s="3"/>
      <c r="P297" s="4"/>
      <c r="Q297" s="2"/>
      <c r="R297" s="3"/>
      <c r="S297" s="4"/>
      <c r="T297" s="2"/>
      <c r="U297" s="3"/>
      <c r="V297" s="4"/>
      <c r="W297" s="2"/>
      <c r="X297" s="3"/>
      <c r="Y297" s="4"/>
      <c r="Z297" s="2"/>
      <c r="AA297" s="3"/>
      <c r="AB297" s="4"/>
      <c r="AC297" s="2"/>
      <c r="AD297" s="3"/>
    </row>
    <row r="298" spans="1:30" ht="16.5" hidden="1" customHeight="1" x14ac:dyDescent="0.45">
      <c r="A298" s="6" t="s">
        <v>270</v>
      </c>
      <c r="B298" s="7">
        <v>0</v>
      </c>
      <c r="C298" s="8" t="str">
        <f>IFERROR(B298/B445, "NA")</f>
        <v>NA</v>
      </c>
      <c r="D298" s="9"/>
      <c r="E298" s="7">
        <v>0</v>
      </c>
      <c r="F298" s="8" t="str">
        <f>IFERROR(E298/E445, "NA")</f>
        <v>NA</v>
      </c>
      <c r="G298" s="9"/>
      <c r="H298" s="10">
        <f t="shared" ref="H298:H326" si="76">IFERROR(-(B298-E298), "NA")</f>
        <v>0</v>
      </c>
      <c r="I298" s="8" t="str">
        <f>IFERROR(H298/H445, "NA")</f>
        <v>NA</v>
      </c>
      <c r="J298" s="9"/>
      <c r="K298" s="7">
        <v>0</v>
      </c>
      <c r="L298" s="8" t="str">
        <f>IFERROR(K298/K445, "NA")</f>
        <v>NA</v>
      </c>
      <c r="M298" s="9"/>
      <c r="N298" s="10">
        <f t="shared" ref="N298:N326" si="77">IFERROR(-(B298-K298), "NA")</f>
        <v>0</v>
      </c>
      <c r="O298" s="8" t="str">
        <f>IFERROR(N298/N445, "NA")</f>
        <v>NA</v>
      </c>
      <c r="P298" s="9"/>
      <c r="Q298" s="7">
        <v>0</v>
      </c>
      <c r="R298" s="8" t="str">
        <f>IFERROR(Q298/Q445, "NA")</f>
        <v>NA</v>
      </c>
      <c r="S298" s="9"/>
      <c r="T298" s="7">
        <v>0</v>
      </c>
      <c r="U298" s="8" t="str">
        <f>IFERROR(T298/T445, "NA")</f>
        <v>NA</v>
      </c>
      <c r="V298" s="9"/>
      <c r="W298" s="10">
        <f t="shared" ref="W298:W326" si="78">IFERROR(-(Q298-T298), "NA")</f>
        <v>0</v>
      </c>
      <c r="X298" s="8" t="str">
        <f>IFERROR(W298/W445, "NA")</f>
        <v>NA</v>
      </c>
      <c r="Y298" s="9"/>
      <c r="Z298" s="7">
        <v>0</v>
      </c>
      <c r="AA298" s="8" t="str">
        <f>IFERROR(Z298/Z445, "NA")</f>
        <v>NA</v>
      </c>
      <c r="AB298" s="9"/>
      <c r="AC298" s="10">
        <f t="shared" ref="AC298:AC326" si="79">IFERROR(-(Q298-Z298), "NA")</f>
        <v>0</v>
      </c>
      <c r="AD298" s="8" t="str">
        <f>IFERROR(AC298/AC445,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IFERROR(B299/B445, "NA")</f>
        <v>NA</v>
      </c>
      <c r="D299" s="9"/>
      <c r="E299" s="7">
        <v>0</v>
      </c>
      <c r="F299" s="8" t="str">
        <f>IFERROR(E299/E445, "NA")</f>
        <v>NA</v>
      </c>
      <c r="G299" s="9"/>
      <c r="H299" s="10">
        <f t="shared" si="76"/>
        <v>0</v>
      </c>
      <c r="I299" s="8" t="str">
        <f>IFERROR(H299/H445, "NA")</f>
        <v>NA</v>
      </c>
      <c r="J299" s="9"/>
      <c r="K299" s="7">
        <v>0</v>
      </c>
      <c r="L299" s="8" t="str">
        <f>IFERROR(K299/K445, "NA")</f>
        <v>NA</v>
      </c>
      <c r="M299" s="9"/>
      <c r="N299" s="10">
        <f t="shared" si="77"/>
        <v>0</v>
      </c>
      <c r="O299" s="8" t="str">
        <f>IFERROR(N299/N445, "NA")</f>
        <v>NA</v>
      </c>
      <c r="P299" s="9"/>
      <c r="Q299" s="7">
        <v>0</v>
      </c>
      <c r="R299" s="8" t="str">
        <f>IFERROR(Q299/Q445, "NA")</f>
        <v>NA</v>
      </c>
      <c r="S299" s="9"/>
      <c r="T299" s="7">
        <v>0</v>
      </c>
      <c r="U299" s="8" t="str">
        <f>IFERROR(T299/T445, "NA")</f>
        <v>NA</v>
      </c>
      <c r="V299" s="9"/>
      <c r="W299" s="10">
        <f t="shared" si="78"/>
        <v>0</v>
      </c>
      <c r="X299" s="8" t="str">
        <f>IFERROR(W299/W445, "NA")</f>
        <v>NA</v>
      </c>
      <c r="Y299" s="9"/>
      <c r="Z299" s="7">
        <v>0</v>
      </c>
      <c r="AA299" s="8" t="str">
        <f>IFERROR(Z299/Z445, "NA")</f>
        <v>NA</v>
      </c>
      <c r="AB299" s="9"/>
      <c r="AC299" s="10">
        <f t="shared" si="79"/>
        <v>0</v>
      </c>
      <c r="AD299" s="8" t="str">
        <f>IFERROR(AC299/AC445,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IFERROR(B300/B445, "NA")</f>
        <v>NA</v>
      </c>
      <c r="D300" s="9"/>
      <c r="E300" s="7">
        <v>0</v>
      </c>
      <c r="F300" s="8" t="str">
        <f>IFERROR(E300/E445, "NA")</f>
        <v>NA</v>
      </c>
      <c r="G300" s="9"/>
      <c r="H300" s="10">
        <f t="shared" si="76"/>
        <v>0</v>
      </c>
      <c r="I300" s="8" t="str">
        <f>IFERROR(H300/H445, "NA")</f>
        <v>NA</v>
      </c>
      <c r="J300" s="9"/>
      <c r="K300" s="7">
        <v>0</v>
      </c>
      <c r="L300" s="8" t="str">
        <f>IFERROR(K300/K445, "NA")</f>
        <v>NA</v>
      </c>
      <c r="M300" s="9"/>
      <c r="N300" s="10">
        <f t="shared" si="77"/>
        <v>0</v>
      </c>
      <c r="O300" s="8" t="str">
        <f>IFERROR(N300/N445, "NA")</f>
        <v>NA</v>
      </c>
      <c r="P300" s="9"/>
      <c r="Q300" s="7">
        <v>0</v>
      </c>
      <c r="R300" s="8" t="str">
        <f>IFERROR(Q300/Q445, "NA")</f>
        <v>NA</v>
      </c>
      <c r="S300" s="9"/>
      <c r="T300" s="7">
        <v>0</v>
      </c>
      <c r="U300" s="8" t="str">
        <f>IFERROR(T300/T445, "NA")</f>
        <v>NA</v>
      </c>
      <c r="V300" s="9"/>
      <c r="W300" s="10">
        <f t="shared" si="78"/>
        <v>0</v>
      </c>
      <c r="X300" s="8" t="str">
        <f>IFERROR(W300/W445, "NA")</f>
        <v>NA</v>
      </c>
      <c r="Y300" s="9"/>
      <c r="Z300" s="7">
        <v>0</v>
      </c>
      <c r="AA300" s="8" t="str">
        <f>IFERROR(Z300/Z445, "NA")</f>
        <v>NA</v>
      </c>
      <c r="AB300" s="9"/>
      <c r="AC300" s="10">
        <f t="shared" si="79"/>
        <v>0</v>
      </c>
      <c r="AD300" s="8" t="str">
        <f>IFERROR(AC300/AC445,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IFERROR(B301/B445, "NA")</f>
        <v>NA</v>
      </c>
      <c r="D301" s="9"/>
      <c r="E301" s="7">
        <v>0</v>
      </c>
      <c r="F301" s="8" t="str">
        <f>IFERROR(E301/E445, "NA")</f>
        <v>NA</v>
      </c>
      <c r="G301" s="9"/>
      <c r="H301" s="10">
        <f t="shared" si="76"/>
        <v>0</v>
      </c>
      <c r="I301" s="8" t="str">
        <f>IFERROR(H301/H445, "NA")</f>
        <v>NA</v>
      </c>
      <c r="J301" s="9"/>
      <c r="K301" s="7">
        <v>0</v>
      </c>
      <c r="L301" s="8" t="str">
        <f>IFERROR(K301/K445, "NA")</f>
        <v>NA</v>
      </c>
      <c r="M301" s="9"/>
      <c r="N301" s="10">
        <f t="shared" si="77"/>
        <v>0</v>
      </c>
      <c r="O301" s="8" t="str">
        <f>IFERROR(N301/N445, "NA")</f>
        <v>NA</v>
      </c>
      <c r="P301" s="9"/>
      <c r="Q301" s="7">
        <v>0</v>
      </c>
      <c r="R301" s="8" t="str">
        <f>IFERROR(Q301/Q445, "NA")</f>
        <v>NA</v>
      </c>
      <c r="S301" s="9"/>
      <c r="T301" s="7">
        <v>0</v>
      </c>
      <c r="U301" s="8" t="str">
        <f>IFERROR(T301/T445, "NA")</f>
        <v>NA</v>
      </c>
      <c r="V301" s="9"/>
      <c r="W301" s="10">
        <f t="shared" si="78"/>
        <v>0</v>
      </c>
      <c r="X301" s="8" t="str">
        <f>IFERROR(W301/W445, "NA")</f>
        <v>NA</v>
      </c>
      <c r="Y301" s="9"/>
      <c r="Z301" s="7">
        <v>0</v>
      </c>
      <c r="AA301" s="8" t="str">
        <f>IFERROR(Z301/Z445, "NA")</f>
        <v>NA</v>
      </c>
      <c r="AB301" s="9"/>
      <c r="AC301" s="10">
        <f t="shared" si="79"/>
        <v>0</v>
      </c>
      <c r="AD301" s="8" t="str">
        <f>IFERROR(AC301/AC445,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IFERROR(B302/B445, "NA")</f>
        <v>NA</v>
      </c>
      <c r="D302" s="9"/>
      <c r="E302" s="7">
        <v>0</v>
      </c>
      <c r="F302" s="8" t="str">
        <f>IFERROR(E302/E445, "NA")</f>
        <v>NA</v>
      </c>
      <c r="G302" s="9"/>
      <c r="H302" s="10">
        <f t="shared" si="76"/>
        <v>0</v>
      </c>
      <c r="I302" s="8" t="str">
        <f>IFERROR(H302/H445, "NA")</f>
        <v>NA</v>
      </c>
      <c r="J302" s="9"/>
      <c r="K302" s="7">
        <v>0</v>
      </c>
      <c r="L302" s="8" t="str">
        <f>IFERROR(K302/K445, "NA")</f>
        <v>NA</v>
      </c>
      <c r="M302" s="9"/>
      <c r="N302" s="10">
        <f t="shared" si="77"/>
        <v>0</v>
      </c>
      <c r="O302" s="8" t="str">
        <f>IFERROR(N302/N445, "NA")</f>
        <v>NA</v>
      </c>
      <c r="P302" s="9"/>
      <c r="Q302" s="7">
        <v>0</v>
      </c>
      <c r="R302" s="8" t="str">
        <f>IFERROR(Q302/Q445, "NA")</f>
        <v>NA</v>
      </c>
      <c r="S302" s="9"/>
      <c r="T302" s="7">
        <v>0</v>
      </c>
      <c r="U302" s="8" t="str">
        <f>IFERROR(T302/T445, "NA")</f>
        <v>NA</v>
      </c>
      <c r="V302" s="9"/>
      <c r="W302" s="10">
        <f t="shared" si="78"/>
        <v>0</v>
      </c>
      <c r="X302" s="8" t="str">
        <f>IFERROR(W302/W445, "NA")</f>
        <v>NA</v>
      </c>
      <c r="Y302" s="9"/>
      <c r="Z302" s="7">
        <v>0</v>
      </c>
      <c r="AA302" s="8" t="str">
        <f>IFERROR(Z302/Z445, "NA")</f>
        <v>NA</v>
      </c>
      <c r="AB302" s="9"/>
      <c r="AC302" s="10">
        <f t="shared" si="79"/>
        <v>0</v>
      </c>
      <c r="AD302" s="8" t="str">
        <f>IFERROR(AC302/AC445,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IFERROR(B303/B445, "NA")</f>
        <v>NA</v>
      </c>
      <c r="D303" s="9"/>
      <c r="E303" s="7">
        <v>0</v>
      </c>
      <c r="F303" s="8" t="str">
        <f>IFERROR(E303/E445, "NA")</f>
        <v>NA</v>
      </c>
      <c r="G303" s="9"/>
      <c r="H303" s="10">
        <f t="shared" si="76"/>
        <v>0</v>
      </c>
      <c r="I303" s="8" t="str">
        <f>IFERROR(H303/H445, "NA")</f>
        <v>NA</v>
      </c>
      <c r="J303" s="9"/>
      <c r="K303" s="7">
        <v>0</v>
      </c>
      <c r="L303" s="8" t="str">
        <f>IFERROR(K303/K445, "NA")</f>
        <v>NA</v>
      </c>
      <c r="M303" s="9"/>
      <c r="N303" s="10">
        <f t="shared" si="77"/>
        <v>0</v>
      </c>
      <c r="O303" s="8" t="str">
        <f>IFERROR(N303/N445, "NA")</f>
        <v>NA</v>
      </c>
      <c r="P303" s="9"/>
      <c r="Q303" s="7">
        <v>0</v>
      </c>
      <c r="R303" s="8" t="str">
        <f>IFERROR(Q303/Q445, "NA")</f>
        <v>NA</v>
      </c>
      <c r="S303" s="9"/>
      <c r="T303" s="7">
        <v>0</v>
      </c>
      <c r="U303" s="8" t="str">
        <f>IFERROR(T303/T445, "NA")</f>
        <v>NA</v>
      </c>
      <c r="V303" s="9"/>
      <c r="W303" s="10">
        <f t="shared" si="78"/>
        <v>0</v>
      </c>
      <c r="X303" s="8" t="str">
        <f>IFERROR(W303/W445, "NA")</f>
        <v>NA</v>
      </c>
      <c r="Y303" s="9"/>
      <c r="Z303" s="7">
        <v>0</v>
      </c>
      <c r="AA303" s="8" t="str">
        <f>IFERROR(Z303/Z445, "NA")</f>
        <v>NA</v>
      </c>
      <c r="AB303" s="9"/>
      <c r="AC303" s="10">
        <f t="shared" si="79"/>
        <v>0</v>
      </c>
      <c r="AD303" s="8" t="str">
        <f>IFERROR(AC303/AC445,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IFERROR(B304/B445, "NA")</f>
        <v>NA</v>
      </c>
      <c r="D304" s="9"/>
      <c r="E304" s="7">
        <v>0</v>
      </c>
      <c r="F304" s="8" t="str">
        <f>IFERROR(E304/E445, "NA")</f>
        <v>NA</v>
      </c>
      <c r="G304" s="9"/>
      <c r="H304" s="10">
        <f t="shared" si="76"/>
        <v>0</v>
      </c>
      <c r="I304" s="8" t="str">
        <f>IFERROR(H304/H445, "NA")</f>
        <v>NA</v>
      </c>
      <c r="J304" s="9"/>
      <c r="K304" s="7">
        <v>0</v>
      </c>
      <c r="L304" s="8" t="str">
        <f>IFERROR(K304/K445, "NA")</f>
        <v>NA</v>
      </c>
      <c r="M304" s="9"/>
      <c r="N304" s="10">
        <f t="shared" si="77"/>
        <v>0</v>
      </c>
      <c r="O304" s="8" t="str">
        <f>IFERROR(N304/N445, "NA")</f>
        <v>NA</v>
      </c>
      <c r="P304" s="9"/>
      <c r="Q304" s="7">
        <v>0</v>
      </c>
      <c r="R304" s="8" t="str">
        <f>IFERROR(Q304/Q445, "NA")</f>
        <v>NA</v>
      </c>
      <c r="S304" s="9"/>
      <c r="T304" s="7">
        <v>0</v>
      </c>
      <c r="U304" s="8" t="str">
        <f>IFERROR(T304/T445, "NA")</f>
        <v>NA</v>
      </c>
      <c r="V304" s="9"/>
      <c r="W304" s="10">
        <f t="shared" si="78"/>
        <v>0</v>
      </c>
      <c r="X304" s="8" t="str">
        <f>IFERROR(W304/W445, "NA")</f>
        <v>NA</v>
      </c>
      <c r="Y304" s="9"/>
      <c r="Z304" s="7">
        <v>0</v>
      </c>
      <c r="AA304" s="8" t="str">
        <f>IFERROR(Z304/Z445, "NA")</f>
        <v>NA</v>
      </c>
      <c r="AB304" s="9"/>
      <c r="AC304" s="10">
        <f t="shared" si="79"/>
        <v>0</v>
      </c>
      <c r="AD304" s="8" t="str">
        <f>IFERROR(AC304/AC445,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IFERROR(B305/B445, "NA")</f>
        <v>NA</v>
      </c>
      <c r="D305" s="9"/>
      <c r="E305" s="7">
        <v>0</v>
      </c>
      <c r="F305" s="8" t="str">
        <f>IFERROR(E305/E445, "NA")</f>
        <v>NA</v>
      </c>
      <c r="G305" s="9"/>
      <c r="H305" s="10">
        <f t="shared" si="76"/>
        <v>0</v>
      </c>
      <c r="I305" s="8" t="str">
        <f>IFERROR(H305/H445, "NA")</f>
        <v>NA</v>
      </c>
      <c r="J305" s="9"/>
      <c r="K305" s="7">
        <v>0</v>
      </c>
      <c r="L305" s="8" t="str">
        <f>IFERROR(K305/K445, "NA")</f>
        <v>NA</v>
      </c>
      <c r="M305" s="9"/>
      <c r="N305" s="10">
        <f t="shared" si="77"/>
        <v>0</v>
      </c>
      <c r="O305" s="8" t="str">
        <f>IFERROR(N305/N445, "NA")</f>
        <v>NA</v>
      </c>
      <c r="P305" s="9"/>
      <c r="Q305" s="7">
        <v>0</v>
      </c>
      <c r="R305" s="8" t="str">
        <f>IFERROR(Q305/Q445, "NA")</f>
        <v>NA</v>
      </c>
      <c r="S305" s="9"/>
      <c r="T305" s="7">
        <v>0</v>
      </c>
      <c r="U305" s="8" t="str">
        <f>IFERROR(T305/T445, "NA")</f>
        <v>NA</v>
      </c>
      <c r="V305" s="9"/>
      <c r="W305" s="10">
        <f t="shared" si="78"/>
        <v>0</v>
      </c>
      <c r="X305" s="8" t="str">
        <f>IFERROR(W305/W445, "NA")</f>
        <v>NA</v>
      </c>
      <c r="Y305" s="9"/>
      <c r="Z305" s="7">
        <v>0</v>
      </c>
      <c r="AA305" s="8" t="str">
        <f>IFERROR(Z305/Z445, "NA")</f>
        <v>NA</v>
      </c>
      <c r="AB305" s="9"/>
      <c r="AC305" s="10">
        <f t="shared" si="79"/>
        <v>0</v>
      </c>
      <c r="AD305" s="8" t="str">
        <f>IFERROR(AC305/AC445,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IFERROR(B306/B445, "NA")</f>
        <v>NA</v>
      </c>
      <c r="D306" s="9"/>
      <c r="E306" s="7">
        <v>0</v>
      </c>
      <c r="F306" s="8" t="str">
        <f>IFERROR(E306/E445, "NA")</f>
        <v>NA</v>
      </c>
      <c r="G306" s="9"/>
      <c r="H306" s="10">
        <f t="shared" si="76"/>
        <v>0</v>
      </c>
      <c r="I306" s="8" t="str">
        <f>IFERROR(H306/H445, "NA")</f>
        <v>NA</v>
      </c>
      <c r="J306" s="9"/>
      <c r="K306" s="7">
        <v>0</v>
      </c>
      <c r="L306" s="8" t="str">
        <f>IFERROR(K306/K445, "NA")</f>
        <v>NA</v>
      </c>
      <c r="M306" s="9"/>
      <c r="N306" s="10">
        <f t="shared" si="77"/>
        <v>0</v>
      </c>
      <c r="O306" s="8" t="str">
        <f>IFERROR(N306/N445, "NA")</f>
        <v>NA</v>
      </c>
      <c r="P306" s="9"/>
      <c r="Q306" s="7">
        <v>0</v>
      </c>
      <c r="R306" s="8" t="str">
        <f>IFERROR(Q306/Q445, "NA")</f>
        <v>NA</v>
      </c>
      <c r="S306" s="9"/>
      <c r="T306" s="7">
        <v>0</v>
      </c>
      <c r="U306" s="8" t="str">
        <f>IFERROR(T306/T445, "NA")</f>
        <v>NA</v>
      </c>
      <c r="V306" s="9"/>
      <c r="W306" s="10">
        <f t="shared" si="78"/>
        <v>0</v>
      </c>
      <c r="X306" s="8" t="str">
        <f>IFERROR(W306/W445, "NA")</f>
        <v>NA</v>
      </c>
      <c r="Y306" s="9"/>
      <c r="Z306" s="7">
        <v>0</v>
      </c>
      <c r="AA306" s="8" t="str">
        <f>IFERROR(Z306/Z445, "NA")</f>
        <v>NA</v>
      </c>
      <c r="AB306" s="9"/>
      <c r="AC306" s="10">
        <f t="shared" si="79"/>
        <v>0</v>
      </c>
      <c r="AD306" s="8" t="str">
        <f>IFERROR(AC306/AC445,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IFERROR(B307/B445, "NA")</f>
        <v>NA</v>
      </c>
      <c r="D307" s="9"/>
      <c r="E307" s="7">
        <v>0</v>
      </c>
      <c r="F307" s="8" t="str">
        <f>IFERROR(E307/E445, "NA")</f>
        <v>NA</v>
      </c>
      <c r="G307" s="9"/>
      <c r="H307" s="10">
        <f t="shared" si="76"/>
        <v>0</v>
      </c>
      <c r="I307" s="8" t="str">
        <f>IFERROR(H307/H445, "NA")</f>
        <v>NA</v>
      </c>
      <c r="J307" s="9"/>
      <c r="K307" s="7">
        <v>0</v>
      </c>
      <c r="L307" s="8" t="str">
        <f>IFERROR(K307/K445, "NA")</f>
        <v>NA</v>
      </c>
      <c r="M307" s="9"/>
      <c r="N307" s="10">
        <f t="shared" si="77"/>
        <v>0</v>
      </c>
      <c r="O307" s="8" t="str">
        <f>IFERROR(N307/N445, "NA")</f>
        <v>NA</v>
      </c>
      <c r="P307" s="9"/>
      <c r="Q307" s="7">
        <v>0</v>
      </c>
      <c r="R307" s="8" t="str">
        <f>IFERROR(Q307/Q445, "NA")</f>
        <v>NA</v>
      </c>
      <c r="S307" s="9"/>
      <c r="T307" s="7">
        <v>0</v>
      </c>
      <c r="U307" s="8" t="str">
        <f>IFERROR(T307/T445, "NA")</f>
        <v>NA</v>
      </c>
      <c r="V307" s="9"/>
      <c r="W307" s="10">
        <f t="shared" si="78"/>
        <v>0</v>
      </c>
      <c r="X307" s="8" t="str">
        <f>IFERROR(W307/W445, "NA")</f>
        <v>NA</v>
      </c>
      <c r="Y307" s="9"/>
      <c r="Z307" s="7">
        <v>0</v>
      </c>
      <c r="AA307" s="8" t="str">
        <f>IFERROR(Z307/Z445, "NA")</f>
        <v>NA</v>
      </c>
      <c r="AB307" s="9"/>
      <c r="AC307" s="10">
        <f t="shared" si="79"/>
        <v>0</v>
      </c>
      <c r="AD307" s="8" t="str">
        <f>IFERROR(AC307/AC445,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IFERROR(B308/B445, "NA")</f>
        <v>NA</v>
      </c>
      <c r="D308" s="9"/>
      <c r="E308" s="7">
        <v>0</v>
      </c>
      <c r="F308" s="8" t="str">
        <f>IFERROR(E308/E445, "NA")</f>
        <v>NA</v>
      </c>
      <c r="G308" s="9"/>
      <c r="H308" s="10">
        <f t="shared" si="76"/>
        <v>0</v>
      </c>
      <c r="I308" s="8" t="str">
        <f>IFERROR(H308/H445, "NA")</f>
        <v>NA</v>
      </c>
      <c r="J308" s="9"/>
      <c r="K308" s="7">
        <v>0</v>
      </c>
      <c r="L308" s="8" t="str">
        <f>IFERROR(K308/K445, "NA")</f>
        <v>NA</v>
      </c>
      <c r="M308" s="9"/>
      <c r="N308" s="10">
        <f t="shared" si="77"/>
        <v>0</v>
      </c>
      <c r="O308" s="8" t="str">
        <f>IFERROR(N308/N445, "NA")</f>
        <v>NA</v>
      </c>
      <c r="P308" s="9"/>
      <c r="Q308" s="7">
        <v>0</v>
      </c>
      <c r="R308" s="8" t="str">
        <f>IFERROR(Q308/Q445, "NA")</f>
        <v>NA</v>
      </c>
      <c r="S308" s="9"/>
      <c r="T308" s="7">
        <v>0</v>
      </c>
      <c r="U308" s="8" t="str">
        <f>IFERROR(T308/T445, "NA")</f>
        <v>NA</v>
      </c>
      <c r="V308" s="9"/>
      <c r="W308" s="10">
        <f t="shared" si="78"/>
        <v>0</v>
      </c>
      <c r="X308" s="8" t="str">
        <f>IFERROR(W308/W445, "NA")</f>
        <v>NA</v>
      </c>
      <c r="Y308" s="9"/>
      <c r="Z308" s="7">
        <v>0</v>
      </c>
      <c r="AA308" s="8" t="str">
        <f>IFERROR(Z308/Z445, "NA")</f>
        <v>NA</v>
      </c>
      <c r="AB308" s="9"/>
      <c r="AC308" s="10">
        <f t="shared" si="79"/>
        <v>0</v>
      </c>
      <c r="AD308" s="8" t="str">
        <f>IFERROR(AC308/AC445,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IFERROR(B309/B445, "NA")</f>
        <v>NA</v>
      </c>
      <c r="D309" s="9"/>
      <c r="E309" s="7">
        <v>0</v>
      </c>
      <c r="F309" s="8" t="str">
        <f>IFERROR(E309/E445, "NA")</f>
        <v>NA</v>
      </c>
      <c r="G309" s="9"/>
      <c r="H309" s="10">
        <f t="shared" si="76"/>
        <v>0</v>
      </c>
      <c r="I309" s="8" t="str">
        <f>IFERROR(H309/H445, "NA")</f>
        <v>NA</v>
      </c>
      <c r="J309" s="9"/>
      <c r="K309" s="7">
        <v>0</v>
      </c>
      <c r="L309" s="8" t="str">
        <f>IFERROR(K309/K445, "NA")</f>
        <v>NA</v>
      </c>
      <c r="M309" s="9"/>
      <c r="N309" s="10">
        <f t="shared" si="77"/>
        <v>0</v>
      </c>
      <c r="O309" s="8" t="str">
        <f>IFERROR(N309/N445, "NA")</f>
        <v>NA</v>
      </c>
      <c r="P309" s="9"/>
      <c r="Q309" s="7">
        <v>0</v>
      </c>
      <c r="R309" s="8" t="str">
        <f>IFERROR(Q309/Q445, "NA")</f>
        <v>NA</v>
      </c>
      <c r="S309" s="9"/>
      <c r="T309" s="7">
        <v>0</v>
      </c>
      <c r="U309" s="8" t="str">
        <f>IFERROR(T309/T445, "NA")</f>
        <v>NA</v>
      </c>
      <c r="V309" s="9"/>
      <c r="W309" s="10">
        <f t="shared" si="78"/>
        <v>0</v>
      </c>
      <c r="X309" s="8" t="str">
        <f>IFERROR(W309/W445, "NA")</f>
        <v>NA</v>
      </c>
      <c r="Y309" s="9"/>
      <c r="Z309" s="7">
        <v>0</v>
      </c>
      <c r="AA309" s="8" t="str">
        <f>IFERROR(Z309/Z445, "NA")</f>
        <v>NA</v>
      </c>
      <c r="AB309" s="9"/>
      <c r="AC309" s="10">
        <f t="shared" si="79"/>
        <v>0</v>
      </c>
      <c r="AD309" s="8" t="str">
        <f>IFERROR(AC309/AC445,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IFERROR(B310/B445, "NA")</f>
        <v>NA</v>
      </c>
      <c r="D310" s="9"/>
      <c r="E310" s="7">
        <v>0</v>
      </c>
      <c r="F310" s="8" t="str">
        <f>IFERROR(E310/E445, "NA")</f>
        <v>NA</v>
      </c>
      <c r="G310" s="9"/>
      <c r="H310" s="10">
        <f t="shared" si="76"/>
        <v>0</v>
      </c>
      <c r="I310" s="8" t="str">
        <f>IFERROR(H310/H445, "NA")</f>
        <v>NA</v>
      </c>
      <c r="J310" s="9"/>
      <c r="K310" s="7">
        <v>0</v>
      </c>
      <c r="L310" s="8" t="str">
        <f>IFERROR(K310/K445, "NA")</f>
        <v>NA</v>
      </c>
      <c r="M310" s="9"/>
      <c r="N310" s="10">
        <f t="shared" si="77"/>
        <v>0</v>
      </c>
      <c r="O310" s="8" t="str">
        <f>IFERROR(N310/N445, "NA")</f>
        <v>NA</v>
      </c>
      <c r="P310" s="9"/>
      <c r="Q310" s="7">
        <v>0</v>
      </c>
      <c r="R310" s="8" t="str">
        <f>IFERROR(Q310/Q445, "NA")</f>
        <v>NA</v>
      </c>
      <c r="S310" s="9"/>
      <c r="T310" s="7">
        <v>0</v>
      </c>
      <c r="U310" s="8" t="str">
        <f>IFERROR(T310/T445, "NA")</f>
        <v>NA</v>
      </c>
      <c r="V310" s="9"/>
      <c r="W310" s="10">
        <f t="shared" si="78"/>
        <v>0</v>
      </c>
      <c r="X310" s="8" t="str">
        <f>IFERROR(W310/W445, "NA")</f>
        <v>NA</v>
      </c>
      <c r="Y310" s="9"/>
      <c r="Z310" s="7">
        <v>0</v>
      </c>
      <c r="AA310" s="8" t="str">
        <f>IFERROR(Z310/Z445, "NA")</f>
        <v>NA</v>
      </c>
      <c r="AB310" s="9"/>
      <c r="AC310" s="10">
        <f t="shared" si="79"/>
        <v>0</v>
      </c>
      <c r="AD310" s="8" t="str">
        <f>IFERROR(AC310/AC445,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IFERROR(B311/B445, "NA")</f>
        <v>NA</v>
      </c>
      <c r="D311" s="9"/>
      <c r="E311" s="7">
        <v>0</v>
      </c>
      <c r="F311" s="8" t="str">
        <f>IFERROR(E311/E445, "NA")</f>
        <v>NA</v>
      </c>
      <c r="G311" s="9"/>
      <c r="H311" s="10">
        <f t="shared" si="76"/>
        <v>0</v>
      </c>
      <c r="I311" s="8" t="str">
        <f>IFERROR(H311/H445, "NA")</f>
        <v>NA</v>
      </c>
      <c r="J311" s="9"/>
      <c r="K311" s="7">
        <v>0</v>
      </c>
      <c r="L311" s="8" t="str">
        <f>IFERROR(K311/K445, "NA")</f>
        <v>NA</v>
      </c>
      <c r="M311" s="9"/>
      <c r="N311" s="10">
        <f t="shared" si="77"/>
        <v>0</v>
      </c>
      <c r="O311" s="8" t="str">
        <f>IFERROR(N311/N445, "NA")</f>
        <v>NA</v>
      </c>
      <c r="P311" s="9"/>
      <c r="Q311" s="7">
        <v>0</v>
      </c>
      <c r="R311" s="8" t="str">
        <f>IFERROR(Q311/Q445, "NA")</f>
        <v>NA</v>
      </c>
      <c r="S311" s="9"/>
      <c r="T311" s="7">
        <v>0</v>
      </c>
      <c r="U311" s="8" t="str">
        <f>IFERROR(T311/T445, "NA")</f>
        <v>NA</v>
      </c>
      <c r="V311" s="9"/>
      <c r="W311" s="10">
        <f t="shared" si="78"/>
        <v>0</v>
      </c>
      <c r="X311" s="8" t="str">
        <f>IFERROR(W311/W445, "NA")</f>
        <v>NA</v>
      </c>
      <c r="Y311" s="9"/>
      <c r="Z311" s="7">
        <v>0</v>
      </c>
      <c r="AA311" s="8" t="str">
        <f>IFERROR(Z311/Z445, "NA")</f>
        <v>NA</v>
      </c>
      <c r="AB311" s="9"/>
      <c r="AC311" s="10">
        <f t="shared" si="79"/>
        <v>0</v>
      </c>
      <c r="AD311" s="8" t="str">
        <f>IFERROR(AC311/AC445,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IFERROR(B312/B445, "NA")</f>
        <v>NA</v>
      </c>
      <c r="D312" s="9"/>
      <c r="E312" s="7">
        <v>0</v>
      </c>
      <c r="F312" s="8" t="str">
        <f>IFERROR(E312/E445, "NA")</f>
        <v>NA</v>
      </c>
      <c r="G312" s="9"/>
      <c r="H312" s="10">
        <f t="shared" si="76"/>
        <v>0</v>
      </c>
      <c r="I312" s="8" t="str">
        <f>IFERROR(H312/H445, "NA")</f>
        <v>NA</v>
      </c>
      <c r="J312" s="9"/>
      <c r="K312" s="7">
        <v>0</v>
      </c>
      <c r="L312" s="8" t="str">
        <f>IFERROR(K312/K445, "NA")</f>
        <v>NA</v>
      </c>
      <c r="M312" s="9"/>
      <c r="N312" s="10">
        <f t="shared" si="77"/>
        <v>0</v>
      </c>
      <c r="O312" s="8" t="str">
        <f>IFERROR(N312/N445, "NA")</f>
        <v>NA</v>
      </c>
      <c r="P312" s="9"/>
      <c r="Q312" s="7">
        <v>0</v>
      </c>
      <c r="R312" s="8" t="str">
        <f>IFERROR(Q312/Q445, "NA")</f>
        <v>NA</v>
      </c>
      <c r="S312" s="9"/>
      <c r="T312" s="7">
        <v>0</v>
      </c>
      <c r="U312" s="8" t="str">
        <f>IFERROR(T312/T445, "NA")</f>
        <v>NA</v>
      </c>
      <c r="V312" s="9"/>
      <c r="W312" s="10">
        <f t="shared" si="78"/>
        <v>0</v>
      </c>
      <c r="X312" s="8" t="str">
        <f>IFERROR(W312/W445, "NA")</f>
        <v>NA</v>
      </c>
      <c r="Y312" s="9"/>
      <c r="Z312" s="7">
        <v>0</v>
      </c>
      <c r="AA312" s="8" t="str">
        <f>IFERROR(Z312/Z445, "NA")</f>
        <v>NA</v>
      </c>
      <c r="AB312" s="9"/>
      <c r="AC312" s="10">
        <f t="shared" si="79"/>
        <v>0</v>
      </c>
      <c r="AD312" s="8" t="str">
        <f>IFERROR(AC312/AC445,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IFERROR(B313/B445, "NA")</f>
        <v>NA</v>
      </c>
      <c r="D313" s="9"/>
      <c r="E313" s="7">
        <v>0</v>
      </c>
      <c r="F313" s="8" t="str">
        <f>IFERROR(E313/E445, "NA")</f>
        <v>NA</v>
      </c>
      <c r="G313" s="9"/>
      <c r="H313" s="10">
        <f t="shared" si="76"/>
        <v>0</v>
      </c>
      <c r="I313" s="8" t="str">
        <f>IFERROR(H313/H445, "NA")</f>
        <v>NA</v>
      </c>
      <c r="J313" s="9"/>
      <c r="K313" s="7">
        <v>0</v>
      </c>
      <c r="L313" s="8" t="str">
        <f>IFERROR(K313/K445, "NA")</f>
        <v>NA</v>
      </c>
      <c r="M313" s="9"/>
      <c r="N313" s="10">
        <f t="shared" si="77"/>
        <v>0</v>
      </c>
      <c r="O313" s="8" t="str">
        <f>IFERROR(N313/N445, "NA")</f>
        <v>NA</v>
      </c>
      <c r="P313" s="9"/>
      <c r="Q313" s="7">
        <v>0</v>
      </c>
      <c r="R313" s="8" t="str">
        <f>IFERROR(Q313/Q445, "NA")</f>
        <v>NA</v>
      </c>
      <c r="S313" s="9"/>
      <c r="T313" s="7">
        <v>0</v>
      </c>
      <c r="U313" s="8" t="str">
        <f>IFERROR(T313/T445, "NA")</f>
        <v>NA</v>
      </c>
      <c r="V313" s="9"/>
      <c r="W313" s="10">
        <f t="shared" si="78"/>
        <v>0</v>
      </c>
      <c r="X313" s="8" t="str">
        <f>IFERROR(W313/W445, "NA")</f>
        <v>NA</v>
      </c>
      <c r="Y313" s="9"/>
      <c r="Z313" s="7">
        <v>0</v>
      </c>
      <c r="AA313" s="8" t="str">
        <f>IFERROR(Z313/Z445, "NA")</f>
        <v>NA</v>
      </c>
      <c r="AB313" s="9"/>
      <c r="AC313" s="10">
        <f t="shared" si="79"/>
        <v>0</v>
      </c>
      <c r="AD313" s="8" t="str">
        <f>IFERROR(AC313/AC445,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IFERROR(B314/B445, "NA")</f>
        <v>NA</v>
      </c>
      <c r="D314" s="9"/>
      <c r="E314" s="7">
        <v>0</v>
      </c>
      <c r="F314" s="8" t="str">
        <f>IFERROR(E314/E445, "NA")</f>
        <v>NA</v>
      </c>
      <c r="G314" s="9"/>
      <c r="H314" s="10">
        <f t="shared" si="76"/>
        <v>0</v>
      </c>
      <c r="I314" s="8" t="str">
        <f>IFERROR(H314/H445, "NA")</f>
        <v>NA</v>
      </c>
      <c r="J314" s="9"/>
      <c r="K314" s="7">
        <v>0</v>
      </c>
      <c r="L314" s="8" t="str">
        <f>IFERROR(K314/K445, "NA")</f>
        <v>NA</v>
      </c>
      <c r="M314" s="9"/>
      <c r="N314" s="10">
        <f t="shared" si="77"/>
        <v>0</v>
      </c>
      <c r="O314" s="8" t="str">
        <f>IFERROR(N314/N445, "NA")</f>
        <v>NA</v>
      </c>
      <c r="P314" s="9"/>
      <c r="Q314" s="7">
        <v>0</v>
      </c>
      <c r="R314" s="8" t="str">
        <f>IFERROR(Q314/Q445, "NA")</f>
        <v>NA</v>
      </c>
      <c r="S314" s="9"/>
      <c r="T314" s="7">
        <v>0</v>
      </c>
      <c r="U314" s="8" t="str">
        <f>IFERROR(T314/T445, "NA")</f>
        <v>NA</v>
      </c>
      <c r="V314" s="9"/>
      <c r="W314" s="10">
        <f t="shared" si="78"/>
        <v>0</v>
      </c>
      <c r="X314" s="8" t="str">
        <f>IFERROR(W314/W445, "NA")</f>
        <v>NA</v>
      </c>
      <c r="Y314" s="9"/>
      <c r="Z314" s="7">
        <v>0</v>
      </c>
      <c r="AA314" s="8" t="str">
        <f>IFERROR(Z314/Z445, "NA")</f>
        <v>NA</v>
      </c>
      <c r="AB314" s="9"/>
      <c r="AC314" s="10">
        <f t="shared" si="79"/>
        <v>0</v>
      </c>
      <c r="AD314" s="8" t="str">
        <f>IFERROR(AC314/AC445,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IFERROR(B315/B445, "NA")</f>
        <v>NA</v>
      </c>
      <c r="D315" s="9"/>
      <c r="E315" s="7">
        <v>0</v>
      </c>
      <c r="F315" s="8" t="str">
        <f>IFERROR(E315/E445, "NA")</f>
        <v>NA</v>
      </c>
      <c r="G315" s="9"/>
      <c r="H315" s="10">
        <f t="shared" si="76"/>
        <v>0</v>
      </c>
      <c r="I315" s="8" t="str">
        <f>IFERROR(H315/H445, "NA")</f>
        <v>NA</v>
      </c>
      <c r="J315" s="9"/>
      <c r="K315" s="7">
        <v>0</v>
      </c>
      <c r="L315" s="8" t="str">
        <f>IFERROR(K315/K445, "NA")</f>
        <v>NA</v>
      </c>
      <c r="M315" s="9"/>
      <c r="N315" s="10">
        <f t="shared" si="77"/>
        <v>0</v>
      </c>
      <c r="O315" s="8" t="str">
        <f>IFERROR(N315/N445, "NA")</f>
        <v>NA</v>
      </c>
      <c r="P315" s="9"/>
      <c r="Q315" s="7">
        <v>0</v>
      </c>
      <c r="R315" s="8" t="str">
        <f>IFERROR(Q315/Q445, "NA")</f>
        <v>NA</v>
      </c>
      <c r="S315" s="9"/>
      <c r="T315" s="7">
        <v>0</v>
      </c>
      <c r="U315" s="8" t="str">
        <f>IFERROR(T315/T445, "NA")</f>
        <v>NA</v>
      </c>
      <c r="V315" s="9"/>
      <c r="W315" s="10">
        <f t="shared" si="78"/>
        <v>0</v>
      </c>
      <c r="X315" s="8" t="str">
        <f>IFERROR(W315/W445, "NA")</f>
        <v>NA</v>
      </c>
      <c r="Y315" s="9"/>
      <c r="Z315" s="7">
        <v>0</v>
      </c>
      <c r="AA315" s="8" t="str">
        <f>IFERROR(Z315/Z445, "NA")</f>
        <v>NA</v>
      </c>
      <c r="AB315" s="9"/>
      <c r="AC315" s="10">
        <f t="shared" si="79"/>
        <v>0</v>
      </c>
      <c r="AD315" s="8" t="str">
        <f>IFERROR(AC315/AC445,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IFERROR(B316/B445, "NA")</f>
        <v>NA</v>
      </c>
      <c r="D316" s="9"/>
      <c r="E316" s="7">
        <v>0</v>
      </c>
      <c r="F316" s="8" t="str">
        <f>IFERROR(E316/E445, "NA")</f>
        <v>NA</v>
      </c>
      <c r="G316" s="9"/>
      <c r="H316" s="10">
        <f t="shared" si="76"/>
        <v>0</v>
      </c>
      <c r="I316" s="8" t="str">
        <f>IFERROR(H316/H445, "NA")</f>
        <v>NA</v>
      </c>
      <c r="J316" s="9"/>
      <c r="K316" s="7">
        <v>0</v>
      </c>
      <c r="L316" s="8" t="str">
        <f>IFERROR(K316/K445, "NA")</f>
        <v>NA</v>
      </c>
      <c r="M316" s="9"/>
      <c r="N316" s="10">
        <f t="shared" si="77"/>
        <v>0</v>
      </c>
      <c r="O316" s="8" t="str">
        <f>IFERROR(N316/N445, "NA")</f>
        <v>NA</v>
      </c>
      <c r="P316" s="9"/>
      <c r="Q316" s="7">
        <v>0</v>
      </c>
      <c r="R316" s="8" t="str">
        <f>IFERROR(Q316/Q445, "NA")</f>
        <v>NA</v>
      </c>
      <c r="S316" s="9"/>
      <c r="T316" s="7">
        <v>0</v>
      </c>
      <c r="U316" s="8" t="str">
        <f>IFERROR(T316/T445, "NA")</f>
        <v>NA</v>
      </c>
      <c r="V316" s="9"/>
      <c r="W316" s="10">
        <f t="shared" si="78"/>
        <v>0</v>
      </c>
      <c r="X316" s="8" t="str">
        <f>IFERROR(W316/W445, "NA")</f>
        <v>NA</v>
      </c>
      <c r="Y316" s="9"/>
      <c r="Z316" s="7">
        <v>0</v>
      </c>
      <c r="AA316" s="8" t="str">
        <f>IFERROR(Z316/Z445, "NA")</f>
        <v>NA</v>
      </c>
      <c r="AB316" s="9"/>
      <c r="AC316" s="10">
        <f t="shared" si="79"/>
        <v>0</v>
      </c>
      <c r="AD316" s="8" t="str">
        <f>IFERROR(AC316/AC445,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IFERROR(B317/B445, "NA")</f>
        <v>NA</v>
      </c>
      <c r="D317" s="9"/>
      <c r="E317" s="7">
        <v>0</v>
      </c>
      <c r="F317" s="8" t="str">
        <f>IFERROR(E317/E445, "NA")</f>
        <v>NA</v>
      </c>
      <c r="G317" s="9"/>
      <c r="H317" s="10">
        <f t="shared" si="76"/>
        <v>0</v>
      </c>
      <c r="I317" s="8" t="str">
        <f>IFERROR(H317/H445, "NA")</f>
        <v>NA</v>
      </c>
      <c r="J317" s="9"/>
      <c r="K317" s="7">
        <v>0</v>
      </c>
      <c r="L317" s="8" t="str">
        <f>IFERROR(K317/K445, "NA")</f>
        <v>NA</v>
      </c>
      <c r="M317" s="9"/>
      <c r="N317" s="10">
        <f t="shared" si="77"/>
        <v>0</v>
      </c>
      <c r="O317" s="8" t="str">
        <f>IFERROR(N317/N445, "NA")</f>
        <v>NA</v>
      </c>
      <c r="P317" s="9"/>
      <c r="Q317" s="7">
        <v>0</v>
      </c>
      <c r="R317" s="8" t="str">
        <f>IFERROR(Q317/Q445, "NA")</f>
        <v>NA</v>
      </c>
      <c r="S317" s="9"/>
      <c r="T317" s="7">
        <v>0</v>
      </c>
      <c r="U317" s="8" t="str">
        <f>IFERROR(T317/T445, "NA")</f>
        <v>NA</v>
      </c>
      <c r="V317" s="9"/>
      <c r="W317" s="10">
        <f t="shared" si="78"/>
        <v>0</v>
      </c>
      <c r="X317" s="8" t="str">
        <f>IFERROR(W317/W445, "NA")</f>
        <v>NA</v>
      </c>
      <c r="Y317" s="9"/>
      <c r="Z317" s="7">
        <v>0</v>
      </c>
      <c r="AA317" s="8" t="str">
        <f>IFERROR(Z317/Z445, "NA")</f>
        <v>NA</v>
      </c>
      <c r="AB317" s="9"/>
      <c r="AC317" s="10">
        <f t="shared" si="79"/>
        <v>0</v>
      </c>
      <c r="AD317" s="8" t="str">
        <f>IFERROR(AC317/AC445,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IFERROR(B318/B445, "NA")</f>
        <v>NA</v>
      </c>
      <c r="D318" s="9"/>
      <c r="E318" s="7">
        <v>0</v>
      </c>
      <c r="F318" s="8" t="str">
        <f>IFERROR(E318/E445, "NA")</f>
        <v>NA</v>
      </c>
      <c r="G318" s="9"/>
      <c r="H318" s="10">
        <f t="shared" si="76"/>
        <v>0</v>
      </c>
      <c r="I318" s="8" t="str">
        <f>IFERROR(H318/H445, "NA")</f>
        <v>NA</v>
      </c>
      <c r="J318" s="9"/>
      <c r="K318" s="7">
        <v>0</v>
      </c>
      <c r="L318" s="8" t="str">
        <f>IFERROR(K318/K445, "NA")</f>
        <v>NA</v>
      </c>
      <c r="M318" s="9"/>
      <c r="N318" s="10">
        <f t="shared" si="77"/>
        <v>0</v>
      </c>
      <c r="O318" s="8" t="str">
        <f>IFERROR(N318/N445, "NA")</f>
        <v>NA</v>
      </c>
      <c r="P318" s="9"/>
      <c r="Q318" s="7">
        <v>0</v>
      </c>
      <c r="R318" s="8" t="str">
        <f>IFERROR(Q318/Q445, "NA")</f>
        <v>NA</v>
      </c>
      <c r="S318" s="9"/>
      <c r="T318" s="7">
        <v>0</v>
      </c>
      <c r="U318" s="8" t="str">
        <f>IFERROR(T318/T445, "NA")</f>
        <v>NA</v>
      </c>
      <c r="V318" s="9"/>
      <c r="W318" s="10">
        <f t="shared" si="78"/>
        <v>0</v>
      </c>
      <c r="X318" s="8" t="str">
        <f>IFERROR(W318/W445, "NA")</f>
        <v>NA</v>
      </c>
      <c r="Y318" s="9"/>
      <c r="Z318" s="7">
        <v>0</v>
      </c>
      <c r="AA318" s="8" t="str">
        <f>IFERROR(Z318/Z445, "NA")</f>
        <v>NA</v>
      </c>
      <c r="AB318" s="9"/>
      <c r="AC318" s="10">
        <f t="shared" si="79"/>
        <v>0</v>
      </c>
      <c r="AD318" s="8" t="str">
        <f>IFERROR(AC318/AC445,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IFERROR(B319/B445, "NA")</f>
        <v>NA</v>
      </c>
      <c r="D319" s="9"/>
      <c r="E319" s="7">
        <v>0</v>
      </c>
      <c r="F319" s="8" t="str">
        <f>IFERROR(E319/E445, "NA")</f>
        <v>NA</v>
      </c>
      <c r="G319" s="9"/>
      <c r="H319" s="10">
        <f t="shared" si="76"/>
        <v>0</v>
      </c>
      <c r="I319" s="8" t="str">
        <f>IFERROR(H319/H445, "NA")</f>
        <v>NA</v>
      </c>
      <c r="J319" s="9"/>
      <c r="K319" s="7">
        <v>0</v>
      </c>
      <c r="L319" s="8" t="str">
        <f>IFERROR(K319/K445, "NA")</f>
        <v>NA</v>
      </c>
      <c r="M319" s="9"/>
      <c r="N319" s="10">
        <f t="shared" si="77"/>
        <v>0</v>
      </c>
      <c r="O319" s="8" t="str">
        <f>IFERROR(N319/N445, "NA")</f>
        <v>NA</v>
      </c>
      <c r="P319" s="9"/>
      <c r="Q319" s="7">
        <v>0</v>
      </c>
      <c r="R319" s="8" t="str">
        <f>IFERROR(Q319/Q445, "NA")</f>
        <v>NA</v>
      </c>
      <c r="S319" s="9"/>
      <c r="T319" s="7">
        <v>0</v>
      </c>
      <c r="U319" s="8" t="str">
        <f>IFERROR(T319/T445, "NA")</f>
        <v>NA</v>
      </c>
      <c r="V319" s="9"/>
      <c r="W319" s="10">
        <f t="shared" si="78"/>
        <v>0</v>
      </c>
      <c r="X319" s="8" t="str">
        <f>IFERROR(W319/W445, "NA")</f>
        <v>NA</v>
      </c>
      <c r="Y319" s="9"/>
      <c r="Z319" s="7">
        <v>0</v>
      </c>
      <c r="AA319" s="8" t="str">
        <f>IFERROR(Z319/Z445, "NA")</f>
        <v>NA</v>
      </c>
      <c r="AB319" s="9"/>
      <c r="AC319" s="10">
        <f t="shared" si="79"/>
        <v>0</v>
      </c>
      <c r="AD319" s="8" t="str">
        <f>IFERROR(AC319/AC445,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IFERROR(B320/B445, "NA")</f>
        <v>NA</v>
      </c>
      <c r="D320" s="9"/>
      <c r="E320" s="7">
        <v>0</v>
      </c>
      <c r="F320" s="8" t="str">
        <f>IFERROR(E320/E445, "NA")</f>
        <v>NA</v>
      </c>
      <c r="G320" s="9"/>
      <c r="H320" s="10">
        <f t="shared" si="76"/>
        <v>0</v>
      </c>
      <c r="I320" s="8" t="str">
        <f>IFERROR(H320/H445, "NA")</f>
        <v>NA</v>
      </c>
      <c r="J320" s="9"/>
      <c r="K320" s="7">
        <v>0</v>
      </c>
      <c r="L320" s="8" t="str">
        <f>IFERROR(K320/K445, "NA")</f>
        <v>NA</v>
      </c>
      <c r="M320" s="9"/>
      <c r="N320" s="10">
        <f t="shared" si="77"/>
        <v>0</v>
      </c>
      <c r="O320" s="8" t="str">
        <f>IFERROR(N320/N445, "NA")</f>
        <v>NA</v>
      </c>
      <c r="P320" s="9"/>
      <c r="Q320" s="7">
        <v>0</v>
      </c>
      <c r="R320" s="8" t="str">
        <f>IFERROR(Q320/Q445, "NA")</f>
        <v>NA</v>
      </c>
      <c r="S320" s="9"/>
      <c r="T320" s="7">
        <v>0</v>
      </c>
      <c r="U320" s="8" t="str">
        <f>IFERROR(T320/T445, "NA")</f>
        <v>NA</v>
      </c>
      <c r="V320" s="9"/>
      <c r="W320" s="10">
        <f t="shared" si="78"/>
        <v>0</v>
      </c>
      <c r="X320" s="8" t="str">
        <f>IFERROR(W320/W445, "NA")</f>
        <v>NA</v>
      </c>
      <c r="Y320" s="9"/>
      <c r="Z320" s="7">
        <v>0</v>
      </c>
      <c r="AA320" s="8" t="str">
        <f>IFERROR(Z320/Z445, "NA")</f>
        <v>NA</v>
      </c>
      <c r="AB320" s="9"/>
      <c r="AC320" s="10">
        <f t="shared" si="79"/>
        <v>0</v>
      </c>
      <c r="AD320" s="8" t="str">
        <f>IFERROR(AC320/AC445,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IFERROR(B321/B445, "NA")</f>
        <v>NA</v>
      </c>
      <c r="D321" s="9"/>
      <c r="E321" s="7">
        <v>0</v>
      </c>
      <c r="F321" s="8" t="str">
        <f>IFERROR(E321/E445, "NA")</f>
        <v>NA</v>
      </c>
      <c r="G321" s="9"/>
      <c r="H321" s="10">
        <f t="shared" si="76"/>
        <v>0</v>
      </c>
      <c r="I321" s="8" t="str">
        <f>IFERROR(H321/H445, "NA")</f>
        <v>NA</v>
      </c>
      <c r="J321" s="9"/>
      <c r="K321" s="7">
        <v>0</v>
      </c>
      <c r="L321" s="8" t="str">
        <f>IFERROR(K321/K445, "NA")</f>
        <v>NA</v>
      </c>
      <c r="M321" s="9"/>
      <c r="N321" s="10">
        <f t="shared" si="77"/>
        <v>0</v>
      </c>
      <c r="O321" s="8" t="str">
        <f>IFERROR(N321/N445, "NA")</f>
        <v>NA</v>
      </c>
      <c r="P321" s="9"/>
      <c r="Q321" s="7">
        <v>0</v>
      </c>
      <c r="R321" s="8" t="str">
        <f>IFERROR(Q321/Q445, "NA")</f>
        <v>NA</v>
      </c>
      <c r="S321" s="9"/>
      <c r="T321" s="7">
        <v>0</v>
      </c>
      <c r="U321" s="8" t="str">
        <f>IFERROR(T321/T445, "NA")</f>
        <v>NA</v>
      </c>
      <c r="V321" s="9"/>
      <c r="W321" s="10">
        <f t="shared" si="78"/>
        <v>0</v>
      </c>
      <c r="X321" s="8" t="str">
        <f>IFERROR(W321/W445, "NA")</f>
        <v>NA</v>
      </c>
      <c r="Y321" s="9"/>
      <c r="Z321" s="7">
        <v>0</v>
      </c>
      <c r="AA321" s="8" t="str">
        <f>IFERROR(Z321/Z445, "NA")</f>
        <v>NA</v>
      </c>
      <c r="AB321" s="9"/>
      <c r="AC321" s="10">
        <f t="shared" si="79"/>
        <v>0</v>
      </c>
      <c r="AD321" s="8" t="str">
        <f>IFERROR(AC321/AC445,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IFERROR(B322/B445, "NA")</f>
        <v>NA</v>
      </c>
      <c r="D322" s="9"/>
      <c r="E322" s="7">
        <v>0</v>
      </c>
      <c r="F322" s="8" t="str">
        <f>IFERROR(E322/E445, "NA")</f>
        <v>NA</v>
      </c>
      <c r="G322" s="9"/>
      <c r="H322" s="10">
        <f t="shared" si="76"/>
        <v>0</v>
      </c>
      <c r="I322" s="8" t="str">
        <f>IFERROR(H322/H445, "NA")</f>
        <v>NA</v>
      </c>
      <c r="J322" s="9"/>
      <c r="K322" s="7">
        <v>0</v>
      </c>
      <c r="L322" s="8" t="str">
        <f>IFERROR(K322/K445, "NA")</f>
        <v>NA</v>
      </c>
      <c r="M322" s="9"/>
      <c r="N322" s="10">
        <f t="shared" si="77"/>
        <v>0</v>
      </c>
      <c r="O322" s="8" t="str">
        <f>IFERROR(N322/N445, "NA")</f>
        <v>NA</v>
      </c>
      <c r="P322" s="9"/>
      <c r="Q322" s="7">
        <v>0</v>
      </c>
      <c r="R322" s="8" t="str">
        <f>IFERROR(Q322/Q445, "NA")</f>
        <v>NA</v>
      </c>
      <c r="S322" s="9"/>
      <c r="T322" s="7">
        <v>0</v>
      </c>
      <c r="U322" s="8" t="str">
        <f>IFERROR(T322/T445, "NA")</f>
        <v>NA</v>
      </c>
      <c r="V322" s="9"/>
      <c r="W322" s="10">
        <f t="shared" si="78"/>
        <v>0</v>
      </c>
      <c r="X322" s="8" t="str">
        <f>IFERROR(W322/W445, "NA")</f>
        <v>NA</v>
      </c>
      <c r="Y322" s="9"/>
      <c r="Z322" s="7">
        <v>0</v>
      </c>
      <c r="AA322" s="8" t="str">
        <f>IFERROR(Z322/Z445, "NA")</f>
        <v>NA</v>
      </c>
      <c r="AB322" s="9"/>
      <c r="AC322" s="10">
        <f t="shared" si="79"/>
        <v>0</v>
      </c>
      <c r="AD322" s="8" t="str">
        <f>IFERROR(AC322/AC445,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IFERROR(B323/B445, "NA")</f>
        <v>NA</v>
      </c>
      <c r="D323" s="9"/>
      <c r="E323" s="7">
        <v>0</v>
      </c>
      <c r="F323" s="8" t="str">
        <f>IFERROR(E323/E445, "NA")</f>
        <v>NA</v>
      </c>
      <c r="G323" s="9"/>
      <c r="H323" s="10">
        <f t="shared" si="76"/>
        <v>0</v>
      </c>
      <c r="I323" s="8" t="str">
        <f>IFERROR(H323/H445, "NA")</f>
        <v>NA</v>
      </c>
      <c r="J323" s="9"/>
      <c r="K323" s="7">
        <v>0</v>
      </c>
      <c r="L323" s="8" t="str">
        <f>IFERROR(K323/K445, "NA")</f>
        <v>NA</v>
      </c>
      <c r="M323" s="9"/>
      <c r="N323" s="10">
        <f t="shared" si="77"/>
        <v>0</v>
      </c>
      <c r="O323" s="8" t="str">
        <f>IFERROR(N323/N445, "NA")</f>
        <v>NA</v>
      </c>
      <c r="P323" s="9"/>
      <c r="Q323" s="7">
        <v>0</v>
      </c>
      <c r="R323" s="8" t="str">
        <f>IFERROR(Q323/Q445, "NA")</f>
        <v>NA</v>
      </c>
      <c r="S323" s="9"/>
      <c r="T323" s="7">
        <v>0</v>
      </c>
      <c r="U323" s="8" t="str">
        <f>IFERROR(T323/T445, "NA")</f>
        <v>NA</v>
      </c>
      <c r="V323" s="9"/>
      <c r="W323" s="10">
        <f t="shared" si="78"/>
        <v>0</v>
      </c>
      <c r="X323" s="8" t="str">
        <f>IFERROR(W323/W445, "NA")</f>
        <v>NA</v>
      </c>
      <c r="Y323" s="9"/>
      <c r="Z323" s="7">
        <v>0</v>
      </c>
      <c r="AA323" s="8" t="str">
        <f>IFERROR(Z323/Z445, "NA")</f>
        <v>NA</v>
      </c>
      <c r="AB323" s="9"/>
      <c r="AC323" s="10">
        <f t="shared" si="79"/>
        <v>0</v>
      </c>
      <c r="AD323" s="8" t="str">
        <f>IFERROR(AC323/AC445, "NA")</f>
        <v>NA</v>
      </c>
    </row>
    <row r="324" spans="1:30" ht="16.5" hidden="1" customHeight="1" x14ac:dyDescent="0.45">
      <c r="A324" s="6" t="s">
        <v>296</v>
      </c>
      <c r="B324" s="7">
        <v>0</v>
      </c>
      <c r="C324" s="8" t="str">
        <f>IFERROR(B324/B445, "NA")</f>
        <v>NA</v>
      </c>
      <c r="D324" s="9"/>
      <c r="E324" s="7">
        <v>0</v>
      </c>
      <c r="F324" s="8" t="str">
        <f>IFERROR(E324/E445, "NA")</f>
        <v>NA</v>
      </c>
      <c r="G324" s="9"/>
      <c r="H324" s="10">
        <f t="shared" si="76"/>
        <v>0</v>
      </c>
      <c r="I324" s="8" t="str">
        <f>IFERROR(H324/H445, "NA")</f>
        <v>NA</v>
      </c>
      <c r="J324" s="9"/>
      <c r="K324" s="7">
        <v>0</v>
      </c>
      <c r="L324" s="8" t="str">
        <f>IFERROR(K324/K445, "NA")</f>
        <v>NA</v>
      </c>
      <c r="M324" s="9"/>
      <c r="N324" s="10">
        <f t="shared" si="77"/>
        <v>0</v>
      </c>
      <c r="O324" s="8" t="str">
        <f>IFERROR(N324/N445, "NA")</f>
        <v>NA</v>
      </c>
      <c r="P324" s="9"/>
      <c r="Q324" s="7">
        <v>0</v>
      </c>
      <c r="R324" s="8" t="str">
        <f>IFERROR(Q324/Q445, "NA")</f>
        <v>NA</v>
      </c>
      <c r="S324" s="9"/>
      <c r="T324" s="7">
        <v>0</v>
      </c>
      <c r="U324" s="8" t="str">
        <f>IFERROR(T324/T445, "NA")</f>
        <v>NA</v>
      </c>
      <c r="V324" s="9"/>
      <c r="W324" s="10">
        <f t="shared" si="78"/>
        <v>0</v>
      </c>
      <c r="X324" s="8" t="str">
        <f>IFERROR(W324/W445, "NA")</f>
        <v>NA</v>
      </c>
      <c r="Y324" s="9"/>
      <c r="Z324" s="7">
        <v>0</v>
      </c>
      <c r="AA324" s="8" t="str">
        <f>IFERROR(Z324/Z445, "NA")</f>
        <v>NA</v>
      </c>
      <c r="AB324" s="9"/>
      <c r="AC324" s="10">
        <f t="shared" si="79"/>
        <v>0</v>
      </c>
      <c r="AD324" s="8" t="str">
        <f>IFERROR(AC324/AC445, "NA")</f>
        <v>NA</v>
      </c>
    </row>
    <row r="325" spans="1:30" ht="16.5" customHeight="1" x14ac:dyDescent="0.45">
      <c r="A325" s="19" t="s">
        <v>297</v>
      </c>
      <c r="B325" s="14">
        <f>IFERROR(B298+B299+B300+B301+B302+B303+B304+B305+B306+B307+B308+B309+B310+B311+B312+B313+B314+B315+B316+B317+B318+B319+B320+B321+B322+B323+B324, "NA")</f>
        <v>0</v>
      </c>
      <c r="C325" s="15" t="str">
        <f>IFERROR(B325/B445, "NA")</f>
        <v>NA</v>
      </c>
      <c r="D325" s="2"/>
      <c r="E325" s="14">
        <f>IFERROR(E298+E299+E300+E301+E302+E303+E304+E305+E306+E307+E308+E309+E310+E311+E312+E313+E314+E315+E316+E317+E318+E319+E320+E321+E322+E323+E324, "NA")</f>
        <v>0</v>
      </c>
      <c r="F325" s="15" t="str">
        <f>IFERROR(E325/E445, "NA")</f>
        <v>NA</v>
      </c>
      <c r="G325" s="2"/>
      <c r="H325" s="14">
        <f t="shared" si="76"/>
        <v>0</v>
      </c>
      <c r="I325" s="15" t="str">
        <f>IFERROR(H325/H445, "NA")</f>
        <v>NA</v>
      </c>
      <c r="J325" s="2"/>
      <c r="K325" s="14">
        <f>IFERROR(K298+K299+K300+K301+K302+K303+K304+K305+K306+K307+K308+K309+K310+K311+K312+K313+K314+K315+K316+K317+K318+K319+K320+K321+K322+K323+K324, "NA")</f>
        <v>0</v>
      </c>
      <c r="L325" s="15" t="str">
        <f>IFERROR(K325/K445, "NA")</f>
        <v>NA</v>
      </c>
      <c r="M325" s="2"/>
      <c r="N325" s="14">
        <f t="shared" si="77"/>
        <v>0</v>
      </c>
      <c r="O325" s="15" t="str">
        <f>IFERROR(N325/N445, "NA")</f>
        <v>NA</v>
      </c>
      <c r="P325" s="2"/>
      <c r="Q325" s="14">
        <f>IFERROR(Q298+Q299+Q300+Q301+Q302+Q303+Q304+Q305+Q306+Q307+Q308+Q309+Q310+Q311+Q312+Q313+Q314+Q315+Q316+Q317+Q318+Q319+Q320+Q321+Q322+Q323+Q324, "NA")</f>
        <v>0</v>
      </c>
      <c r="R325" s="15" t="str">
        <f>IFERROR(Q325/Q445, "NA")</f>
        <v>NA</v>
      </c>
      <c r="S325" s="2"/>
      <c r="T325" s="14">
        <f>IFERROR(T298+T299+T300+T301+T302+T303+T304+T305+T306+T307+T308+T309+T310+T311+T312+T313+T314+T315+T316+T317+T318+T319+T320+T321+T322+T323+T324, "NA")</f>
        <v>0</v>
      </c>
      <c r="U325" s="15" t="str">
        <f>IFERROR(T325/T445, "NA")</f>
        <v>NA</v>
      </c>
      <c r="V325" s="2"/>
      <c r="W325" s="14">
        <f t="shared" si="78"/>
        <v>0</v>
      </c>
      <c r="X325" s="15" t="str">
        <f>IFERROR(W325/W445, "NA")</f>
        <v>NA</v>
      </c>
      <c r="Y325" s="2"/>
      <c r="Z325" s="14">
        <f>IFERROR(Z298+Z299+Z300+Z301+Z302+Z303+Z304+Z305+Z306+Z307+Z308+Z309+Z310+Z311+Z312+Z313+Z314+Z315+Z316+Z317+Z318+Z319+Z320+Z321+Z322+Z323+Z324, "NA")</f>
        <v>0</v>
      </c>
      <c r="AA325" s="15" t="str">
        <f>IFERROR(Z325/Z445, "NA")</f>
        <v>NA</v>
      </c>
      <c r="AB325" s="2"/>
      <c r="AC325" s="14">
        <f t="shared" si="79"/>
        <v>0</v>
      </c>
      <c r="AD325" s="15" t="str">
        <f>IFERROR(AC325/AC445, "NA")</f>
        <v>NA</v>
      </c>
    </row>
    <row r="326" spans="1:30" ht="16.5" customHeight="1" x14ac:dyDescent="0.45">
      <c r="A326" s="21" t="s">
        <v>298</v>
      </c>
      <c r="B326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0</v>
      </c>
      <c r="C326" s="15" t="str">
        <f>IFERROR(B326/B445, "NA")</f>
        <v>NA</v>
      </c>
      <c r="D326" s="2"/>
      <c r="E326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0</v>
      </c>
      <c r="F326" s="15" t="str">
        <f>IFERROR(E326/E445, "NA")</f>
        <v>NA</v>
      </c>
      <c r="G326" s="2"/>
      <c r="H326" s="14">
        <f t="shared" si="76"/>
        <v>0</v>
      </c>
      <c r="I326" s="15" t="str">
        <f>IFERROR(H326/H445, "NA")</f>
        <v>NA</v>
      </c>
      <c r="J326" s="2"/>
      <c r="K326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0</v>
      </c>
      <c r="L326" s="15" t="str">
        <f>IFERROR(K326/K445, "NA")</f>
        <v>NA</v>
      </c>
      <c r="M326" s="2"/>
      <c r="N326" s="14">
        <f t="shared" si="77"/>
        <v>0</v>
      </c>
      <c r="O326" s="15" t="str">
        <f>IFERROR(N326/N445, "NA")</f>
        <v>NA</v>
      </c>
      <c r="P326" s="2"/>
      <c r="Q326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0</v>
      </c>
      <c r="R326" s="15" t="str">
        <f>IFERROR(Q326/Q445, "NA")</f>
        <v>NA</v>
      </c>
      <c r="S326" s="2"/>
      <c r="T326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0</v>
      </c>
      <c r="U326" s="15" t="str">
        <f>IFERROR(T326/T445, "NA")</f>
        <v>NA</v>
      </c>
      <c r="V326" s="2"/>
      <c r="W326" s="14">
        <f t="shared" si="78"/>
        <v>0</v>
      </c>
      <c r="X326" s="15" t="str">
        <f>IFERROR(W326/W445, "NA")</f>
        <v>NA</v>
      </c>
      <c r="Y326" s="2"/>
      <c r="Z326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0</v>
      </c>
      <c r="AA326" s="15" t="str">
        <f>IFERROR(Z326/Z445, "NA")</f>
        <v>NA</v>
      </c>
      <c r="AB326" s="2"/>
      <c r="AC326" s="14">
        <f t="shared" si="79"/>
        <v>0</v>
      </c>
      <c r="AD326" s="15" t="str">
        <f>IFERROR(AC326/AC445, "NA")</f>
        <v>NA</v>
      </c>
    </row>
    <row r="327" spans="1:30" ht="16.5" customHeight="1" x14ac:dyDescent="0.45">
      <c r="A327" s="1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customHeight="1" x14ac:dyDescent="0.45">
      <c r="A328" s="5" t="s">
        <v>300</v>
      </c>
      <c r="B328" s="2"/>
      <c r="C328" s="3"/>
      <c r="D328" s="4"/>
      <c r="E328" s="2"/>
      <c r="F328" s="3"/>
      <c r="G328" s="4"/>
      <c r="H328" s="2"/>
      <c r="I328" s="3"/>
      <c r="J328" s="4"/>
      <c r="K328" s="2"/>
      <c r="L328" s="3"/>
      <c r="M328" s="4"/>
      <c r="N328" s="2"/>
      <c r="O328" s="3"/>
      <c r="P328" s="4"/>
      <c r="Q328" s="2"/>
      <c r="R328" s="3"/>
      <c r="S328" s="4"/>
      <c r="T328" s="2"/>
      <c r="U328" s="3"/>
      <c r="V328" s="4"/>
      <c r="W328" s="2"/>
      <c r="X328" s="3"/>
      <c r="Y328" s="4"/>
      <c r="Z328" s="2"/>
      <c r="AA328" s="3"/>
      <c r="AB328" s="4"/>
      <c r="AC328" s="2"/>
      <c r="AD328" s="3"/>
    </row>
    <row r="329" spans="1:30" ht="16.5" hidden="1" customHeight="1" x14ac:dyDescent="0.45">
      <c r="A329" s="6" t="s">
        <v>300</v>
      </c>
      <c r="B329" s="7">
        <v>0</v>
      </c>
      <c r="C329" s="8" t="str">
        <f>IFERROR(B329/B445, "NA")</f>
        <v>NA</v>
      </c>
      <c r="D329" s="9"/>
      <c r="E329" s="7">
        <v>0</v>
      </c>
      <c r="F329" s="8" t="str">
        <f>IFERROR(E329/E445, "NA")</f>
        <v>NA</v>
      </c>
      <c r="G329" s="9"/>
      <c r="H329" s="10">
        <f t="shared" ref="H329:H336" si="80">IFERROR(-(B329-E329), "NA")</f>
        <v>0</v>
      </c>
      <c r="I329" s="8" t="str">
        <f>IFERROR(H329/H445, "NA")</f>
        <v>NA</v>
      </c>
      <c r="J329" s="9"/>
      <c r="K329" s="7">
        <v>0</v>
      </c>
      <c r="L329" s="8" t="str">
        <f>IFERROR(K329/K445, "NA")</f>
        <v>NA</v>
      </c>
      <c r="M329" s="9"/>
      <c r="N329" s="10">
        <f t="shared" ref="N329:N336" si="81">IFERROR(-(B329-K329), "NA")</f>
        <v>0</v>
      </c>
      <c r="O329" s="8" t="str">
        <f>IFERROR(N329/N445, "NA")</f>
        <v>NA</v>
      </c>
      <c r="P329" s="9"/>
      <c r="Q329" s="7">
        <v>0</v>
      </c>
      <c r="R329" s="8" t="str">
        <f>IFERROR(Q329/Q445, "NA")</f>
        <v>NA</v>
      </c>
      <c r="S329" s="9"/>
      <c r="T329" s="7">
        <v>0</v>
      </c>
      <c r="U329" s="8" t="str">
        <f>IFERROR(T329/T445, "NA")</f>
        <v>NA</v>
      </c>
      <c r="V329" s="9"/>
      <c r="W329" s="10">
        <f t="shared" ref="W329:W336" si="82">IFERROR(-(Q329-T329), "NA")</f>
        <v>0</v>
      </c>
      <c r="X329" s="8" t="str">
        <f>IFERROR(W329/W445, "NA")</f>
        <v>NA</v>
      </c>
      <c r="Y329" s="9"/>
      <c r="Z329" s="7">
        <v>0</v>
      </c>
      <c r="AA329" s="8" t="str">
        <f>IFERROR(Z329/Z445, "NA")</f>
        <v>NA</v>
      </c>
      <c r="AB329" s="9"/>
      <c r="AC329" s="10">
        <f t="shared" ref="AC329:AC336" si="83">IFERROR(-(Q329-Z329), "NA")</f>
        <v>0</v>
      </c>
      <c r="AD329" s="8" t="str">
        <f>IFERROR(AC329/AC445,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IFERROR(B330/B445, "NA")</f>
        <v>NA</v>
      </c>
      <c r="D330" s="9"/>
      <c r="E330" s="7">
        <v>0</v>
      </c>
      <c r="F330" s="8" t="str">
        <f>IFERROR(E330/E445, "NA")</f>
        <v>NA</v>
      </c>
      <c r="G330" s="9"/>
      <c r="H330" s="10">
        <f t="shared" si="80"/>
        <v>0</v>
      </c>
      <c r="I330" s="8" t="str">
        <f>IFERROR(H330/H445, "NA")</f>
        <v>NA</v>
      </c>
      <c r="J330" s="9"/>
      <c r="K330" s="7">
        <v>0</v>
      </c>
      <c r="L330" s="8" t="str">
        <f>IFERROR(K330/K445, "NA")</f>
        <v>NA</v>
      </c>
      <c r="M330" s="9"/>
      <c r="N330" s="10">
        <f t="shared" si="81"/>
        <v>0</v>
      </c>
      <c r="O330" s="8" t="str">
        <f>IFERROR(N330/N445, "NA")</f>
        <v>NA</v>
      </c>
      <c r="P330" s="9"/>
      <c r="Q330" s="7">
        <v>0</v>
      </c>
      <c r="R330" s="8" t="str">
        <f>IFERROR(Q330/Q445, "NA")</f>
        <v>NA</v>
      </c>
      <c r="S330" s="9"/>
      <c r="T330" s="7">
        <v>0</v>
      </c>
      <c r="U330" s="8" t="str">
        <f>IFERROR(T330/T445, "NA")</f>
        <v>NA</v>
      </c>
      <c r="V330" s="9"/>
      <c r="W330" s="10">
        <f t="shared" si="82"/>
        <v>0</v>
      </c>
      <c r="X330" s="8" t="str">
        <f>IFERROR(W330/W445, "NA")</f>
        <v>NA</v>
      </c>
      <c r="Y330" s="9"/>
      <c r="Z330" s="7">
        <v>0</v>
      </c>
      <c r="AA330" s="8" t="str">
        <f>IFERROR(Z330/Z445, "NA")</f>
        <v>NA</v>
      </c>
      <c r="AB330" s="9"/>
      <c r="AC330" s="10">
        <f t="shared" si="83"/>
        <v>0</v>
      </c>
      <c r="AD330" s="8" t="str">
        <f>IFERROR(AC330/AC445,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IFERROR(B331/B445, "NA")</f>
        <v>NA</v>
      </c>
      <c r="D331" s="9"/>
      <c r="E331" s="7">
        <v>0</v>
      </c>
      <c r="F331" s="8" t="str">
        <f>IFERROR(E331/E445, "NA")</f>
        <v>NA</v>
      </c>
      <c r="G331" s="9"/>
      <c r="H331" s="10">
        <f t="shared" si="80"/>
        <v>0</v>
      </c>
      <c r="I331" s="8" t="str">
        <f>IFERROR(H331/H445, "NA")</f>
        <v>NA</v>
      </c>
      <c r="J331" s="9"/>
      <c r="K331" s="7">
        <v>0</v>
      </c>
      <c r="L331" s="8" t="str">
        <f>IFERROR(K331/K445, "NA")</f>
        <v>NA</v>
      </c>
      <c r="M331" s="9"/>
      <c r="N331" s="10">
        <f t="shared" si="81"/>
        <v>0</v>
      </c>
      <c r="O331" s="8" t="str">
        <f>IFERROR(N331/N445, "NA")</f>
        <v>NA</v>
      </c>
      <c r="P331" s="9"/>
      <c r="Q331" s="7">
        <v>0</v>
      </c>
      <c r="R331" s="8" t="str">
        <f>IFERROR(Q331/Q445, "NA")</f>
        <v>NA</v>
      </c>
      <c r="S331" s="9"/>
      <c r="T331" s="7">
        <v>0</v>
      </c>
      <c r="U331" s="8" t="str">
        <f>IFERROR(T331/T445, "NA")</f>
        <v>NA</v>
      </c>
      <c r="V331" s="9"/>
      <c r="W331" s="10">
        <f t="shared" si="82"/>
        <v>0</v>
      </c>
      <c r="X331" s="8" t="str">
        <f>IFERROR(W331/W445, "NA")</f>
        <v>NA</v>
      </c>
      <c r="Y331" s="9"/>
      <c r="Z331" s="7">
        <v>0</v>
      </c>
      <c r="AA331" s="8" t="str">
        <f>IFERROR(Z331/Z445, "NA")</f>
        <v>NA</v>
      </c>
      <c r="AB331" s="9"/>
      <c r="AC331" s="10">
        <f t="shared" si="83"/>
        <v>0</v>
      </c>
      <c r="AD331" s="8" t="str">
        <f>IFERROR(AC331/AC445,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IFERROR(B332/B445, "NA")</f>
        <v>NA</v>
      </c>
      <c r="D332" s="9"/>
      <c r="E332" s="7">
        <v>0</v>
      </c>
      <c r="F332" s="8" t="str">
        <f>IFERROR(E332/E445, "NA")</f>
        <v>NA</v>
      </c>
      <c r="G332" s="9"/>
      <c r="H332" s="10">
        <f t="shared" si="80"/>
        <v>0</v>
      </c>
      <c r="I332" s="8" t="str">
        <f>IFERROR(H332/H445, "NA")</f>
        <v>NA</v>
      </c>
      <c r="J332" s="9"/>
      <c r="K332" s="7">
        <v>0</v>
      </c>
      <c r="L332" s="8" t="str">
        <f>IFERROR(K332/K445, "NA")</f>
        <v>NA</v>
      </c>
      <c r="M332" s="9"/>
      <c r="N332" s="10">
        <f t="shared" si="81"/>
        <v>0</v>
      </c>
      <c r="O332" s="8" t="str">
        <f>IFERROR(N332/N445, "NA")</f>
        <v>NA</v>
      </c>
      <c r="P332" s="9"/>
      <c r="Q332" s="7">
        <v>0</v>
      </c>
      <c r="R332" s="8" t="str">
        <f>IFERROR(Q332/Q445, "NA")</f>
        <v>NA</v>
      </c>
      <c r="S332" s="9"/>
      <c r="T332" s="7">
        <v>0</v>
      </c>
      <c r="U332" s="8" t="str">
        <f>IFERROR(T332/T445, "NA")</f>
        <v>NA</v>
      </c>
      <c r="V332" s="9"/>
      <c r="W332" s="10">
        <f t="shared" si="82"/>
        <v>0</v>
      </c>
      <c r="X332" s="8" t="str">
        <f>IFERROR(W332/W445, "NA")</f>
        <v>NA</v>
      </c>
      <c r="Y332" s="9"/>
      <c r="Z332" s="7">
        <v>0</v>
      </c>
      <c r="AA332" s="8" t="str">
        <f>IFERROR(Z332/Z445, "NA")</f>
        <v>NA</v>
      </c>
      <c r="AB332" s="9"/>
      <c r="AC332" s="10">
        <f t="shared" si="83"/>
        <v>0</v>
      </c>
      <c r="AD332" s="8" t="str">
        <f>IFERROR(AC332/AC445,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IFERROR(B333/B445, "NA")</f>
        <v>NA</v>
      </c>
      <c r="D333" s="9"/>
      <c r="E333" s="7">
        <v>0</v>
      </c>
      <c r="F333" s="8" t="str">
        <f>IFERROR(E333/E445, "NA")</f>
        <v>NA</v>
      </c>
      <c r="G333" s="9"/>
      <c r="H333" s="10">
        <f t="shared" si="80"/>
        <v>0</v>
      </c>
      <c r="I333" s="8" t="str">
        <f>IFERROR(H333/H445, "NA")</f>
        <v>NA</v>
      </c>
      <c r="J333" s="9"/>
      <c r="K333" s="7">
        <v>0</v>
      </c>
      <c r="L333" s="8" t="str">
        <f>IFERROR(K333/K445, "NA")</f>
        <v>NA</v>
      </c>
      <c r="M333" s="9"/>
      <c r="N333" s="10">
        <f t="shared" si="81"/>
        <v>0</v>
      </c>
      <c r="O333" s="8" t="str">
        <f>IFERROR(N333/N445, "NA")</f>
        <v>NA</v>
      </c>
      <c r="P333" s="9"/>
      <c r="Q333" s="7">
        <v>0</v>
      </c>
      <c r="R333" s="8" t="str">
        <f>IFERROR(Q333/Q445, "NA")</f>
        <v>NA</v>
      </c>
      <c r="S333" s="9"/>
      <c r="T333" s="7">
        <v>0</v>
      </c>
      <c r="U333" s="8" t="str">
        <f>IFERROR(T333/T445, "NA")</f>
        <v>NA</v>
      </c>
      <c r="V333" s="9"/>
      <c r="W333" s="10">
        <f t="shared" si="82"/>
        <v>0</v>
      </c>
      <c r="X333" s="8" t="str">
        <f>IFERROR(W333/W445, "NA")</f>
        <v>NA</v>
      </c>
      <c r="Y333" s="9"/>
      <c r="Z333" s="7">
        <v>0</v>
      </c>
      <c r="AA333" s="8" t="str">
        <f>IFERROR(Z333/Z445, "NA")</f>
        <v>NA</v>
      </c>
      <c r="AB333" s="9"/>
      <c r="AC333" s="10">
        <f t="shared" si="83"/>
        <v>0</v>
      </c>
      <c r="AD333" s="8" t="str">
        <f>IFERROR(AC333/AC445,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IFERROR(B334/B445, "NA")</f>
        <v>NA</v>
      </c>
      <c r="D334" s="9"/>
      <c r="E334" s="7">
        <v>0</v>
      </c>
      <c r="F334" s="8" t="str">
        <f>IFERROR(E334/E445, "NA")</f>
        <v>NA</v>
      </c>
      <c r="G334" s="9"/>
      <c r="H334" s="10">
        <f t="shared" si="80"/>
        <v>0</v>
      </c>
      <c r="I334" s="8" t="str">
        <f>IFERROR(H334/H445, "NA")</f>
        <v>NA</v>
      </c>
      <c r="J334" s="9"/>
      <c r="K334" s="7">
        <v>0</v>
      </c>
      <c r="L334" s="8" t="str">
        <f>IFERROR(K334/K445, "NA")</f>
        <v>NA</v>
      </c>
      <c r="M334" s="9"/>
      <c r="N334" s="10">
        <f t="shared" si="81"/>
        <v>0</v>
      </c>
      <c r="O334" s="8" t="str">
        <f>IFERROR(N334/N445, "NA")</f>
        <v>NA</v>
      </c>
      <c r="P334" s="9"/>
      <c r="Q334" s="7">
        <v>0</v>
      </c>
      <c r="R334" s="8" t="str">
        <f>IFERROR(Q334/Q445, "NA")</f>
        <v>NA</v>
      </c>
      <c r="S334" s="9"/>
      <c r="T334" s="7">
        <v>0</v>
      </c>
      <c r="U334" s="8" t="str">
        <f>IFERROR(T334/T445, "NA")</f>
        <v>NA</v>
      </c>
      <c r="V334" s="9"/>
      <c r="W334" s="10">
        <f t="shared" si="82"/>
        <v>0</v>
      </c>
      <c r="X334" s="8" t="str">
        <f>IFERROR(W334/W445, "NA")</f>
        <v>NA</v>
      </c>
      <c r="Y334" s="9"/>
      <c r="Z334" s="7">
        <v>0</v>
      </c>
      <c r="AA334" s="8" t="str">
        <f>IFERROR(Z334/Z445, "NA")</f>
        <v>NA</v>
      </c>
      <c r="AB334" s="9"/>
      <c r="AC334" s="10">
        <f t="shared" si="83"/>
        <v>0</v>
      </c>
      <c r="AD334" s="8" t="str">
        <f>IFERROR(AC334/AC445,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IFERROR(B335/B445, "NA")</f>
        <v>NA</v>
      </c>
      <c r="D335" s="9"/>
      <c r="E335" s="7">
        <v>0</v>
      </c>
      <c r="F335" s="8" t="str">
        <f>IFERROR(E335/E445, "NA")</f>
        <v>NA</v>
      </c>
      <c r="G335" s="9"/>
      <c r="H335" s="10">
        <f t="shared" si="80"/>
        <v>0</v>
      </c>
      <c r="I335" s="8" t="str">
        <f>IFERROR(H335/H445, "NA")</f>
        <v>NA</v>
      </c>
      <c r="J335" s="9"/>
      <c r="K335" s="7">
        <v>0</v>
      </c>
      <c r="L335" s="8" t="str">
        <f>IFERROR(K335/K445, "NA")</f>
        <v>NA</v>
      </c>
      <c r="M335" s="9"/>
      <c r="N335" s="10">
        <f t="shared" si="81"/>
        <v>0</v>
      </c>
      <c r="O335" s="8" t="str">
        <f>IFERROR(N335/N445, "NA")</f>
        <v>NA</v>
      </c>
      <c r="P335" s="9"/>
      <c r="Q335" s="7">
        <v>0</v>
      </c>
      <c r="R335" s="8" t="str">
        <f>IFERROR(Q335/Q445, "NA")</f>
        <v>NA</v>
      </c>
      <c r="S335" s="9"/>
      <c r="T335" s="7">
        <v>0</v>
      </c>
      <c r="U335" s="8" t="str">
        <f>IFERROR(T335/T445, "NA")</f>
        <v>NA</v>
      </c>
      <c r="V335" s="9"/>
      <c r="W335" s="10">
        <f t="shared" si="82"/>
        <v>0</v>
      </c>
      <c r="X335" s="8" t="str">
        <f>IFERROR(W335/W445, "NA")</f>
        <v>NA</v>
      </c>
      <c r="Y335" s="9"/>
      <c r="Z335" s="7">
        <v>0</v>
      </c>
      <c r="AA335" s="8" t="str">
        <f>IFERROR(Z335/Z445, "NA")</f>
        <v>NA</v>
      </c>
      <c r="AB335" s="9"/>
      <c r="AC335" s="10">
        <f t="shared" si="83"/>
        <v>0</v>
      </c>
      <c r="AD335" s="8" t="str">
        <f>IFERROR(AC335/AC445, "NA")</f>
        <v>NA</v>
      </c>
    </row>
    <row r="336" spans="1:30" ht="16.5" hidden="1" customHeight="1" x14ac:dyDescent="0.45">
      <c r="A336" s="6" t="s">
        <v>307</v>
      </c>
      <c r="B336" s="7">
        <v>0</v>
      </c>
      <c r="C336" s="8" t="str">
        <f>IFERROR(B336/B445, "NA")</f>
        <v>NA</v>
      </c>
      <c r="D336" s="9"/>
      <c r="E336" s="7">
        <v>0</v>
      </c>
      <c r="F336" s="8" t="str">
        <f>IFERROR(E336/E445, "NA")</f>
        <v>NA</v>
      </c>
      <c r="G336" s="9"/>
      <c r="H336" s="10">
        <f t="shared" si="80"/>
        <v>0</v>
      </c>
      <c r="I336" s="8" t="str">
        <f>IFERROR(H336/H445, "NA")</f>
        <v>NA</v>
      </c>
      <c r="J336" s="9"/>
      <c r="K336" s="7">
        <v>0</v>
      </c>
      <c r="L336" s="8" t="str">
        <f>IFERROR(K336/K445, "NA")</f>
        <v>NA</v>
      </c>
      <c r="M336" s="9"/>
      <c r="N336" s="10">
        <f t="shared" si="81"/>
        <v>0</v>
      </c>
      <c r="O336" s="8" t="str">
        <f>IFERROR(N336/N445, "NA")</f>
        <v>NA</v>
      </c>
      <c r="P336" s="9"/>
      <c r="Q336" s="7">
        <v>0</v>
      </c>
      <c r="R336" s="8" t="str">
        <f>IFERROR(Q336/Q445, "NA")</f>
        <v>NA</v>
      </c>
      <c r="S336" s="9"/>
      <c r="T336" s="7">
        <v>0</v>
      </c>
      <c r="U336" s="8" t="str">
        <f>IFERROR(T336/T445, "NA")</f>
        <v>NA</v>
      </c>
      <c r="V336" s="9"/>
      <c r="W336" s="10">
        <f t="shared" si="82"/>
        <v>0</v>
      </c>
      <c r="X336" s="8" t="str">
        <f>IFERROR(W336/W445, "NA")</f>
        <v>NA</v>
      </c>
      <c r="Y336" s="9"/>
      <c r="Z336" s="7">
        <v>0</v>
      </c>
      <c r="AA336" s="8" t="str">
        <f>IFERROR(Z336/Z445, "NA")</f>
        <v>NA</v>
      </c>
      <c r="AB336" s="9"/>
      <c r="AC336" s="10">
        <f t="shared" si="83"/>
        <v>0</v>
      </c>
      <c r="AD336" s="8" t="str">
        <f>IFERROR(AC336/AC445, "NA")</f>
        <v>NA</v>
      </c>
    </row>
    <row r="337" spans="1:30" ht="16.5" customHeight="1" x14ac:dyDescent="0.45">
      <c r="A337" s="11" t="s">
        <v>308</v>
      </c>
      <c r="B337" s="2"/>
      <c r="C337" s="3"/>
      <c r="D337" s="4"/>
      <c r="E337" s="2"/>
      <c r="F337" s="3"/>
      <c r="G337" s="4"/>
      <c r="H337" s="2"/>
      <c r="I337" s="3"/>
      <c r="J337" s="4"/>
      <c r="K337" s="2"/>
      <c r="L337" s="3"/>
      <c r="M337" s="4"/>
      <c r="N337" s="2"/>
      <c r="O337" s="3"/>
      <c r="P337" s="4"/>
      <c r="Q337" s="2"/>
      <c r="R337" s="3"/>
      <c r="S337" s="4"/>
      <c r="T337" s="2"/>
      <c r="U337" s="3"/>
      <c r="V337" s="4"/>
      <c r="W337" s="2"/>
      <c r="X337" s="3"/>
      <c r="Y337" s="4"/>
      <c r="Z337" s="2"/>
      <c r="AA337" s="3"/>
      <c r="AB337" s="4"/>
      <c r="AC337" s="2"/>
      <c r="AD337" s="3"/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IFERROR(B338/B445, "NA")</f>
        <v>NA</v>
      </c>
      <c r="D338" s="9"/>
      <c r="E338" s="7">
        <v>0</v>
      </c>
      <c r="F338" s="8" t="str">
        <f>IFERROR(E338/E445, "NA")</f>
        <v>NA</v>
      </c>
      <c r="G338" s="9"/>
      <c r="H338" s="10">
        <f t="shared" ref="H338:H345" si="84">IFERROR(-(B338-E338), "NA")</f>
        <v>0</v>
      </c>
      <c r="I338" s="8" t="str">
        <f>IFERROR(H338/H445, "NA")</f>
        <v>NA</v>
      </c>
      <c r="J338" s="9"/>
      <c r="K338" s="7">
        <v>0</v>
      </c>
      <c r="L338" s="8" t="str">
        <f>IFERROR(K338/K445, "NA")</f>
        <v>NA</v>
      </c>
      <c r="M338" s="9"/>
      <c r="N338" s="10">
        <f t="shared" ref="N338:N345" si="85">IFERROR(-(B338-K338), "NA")</f>
        <v>0</v>
      </c>
      <c r="O338" s="8" t="str">
        <f>IFERROR(N338/N445, "NA")</f>
        <v>NA</v>
      </c>
      <c r="P338" s="9"/>
      <c r="Q338" s="7">
        <v>0</v>
      </c>
      <c r="R338" s="8" t="str">
        <f>IFERROR(Q338/Q445, "NA")</f>
        <v>NA</v>
      </c>
      <c r="S338" s="9"/>
      <c r="T338" s="7">
        <v>0</v>
      </c>
      <c r="U338" s="8" t="str">
        <f>IFERROR(T338/T445, "NA")</f>
        <v>NA</v>
      </c>
      <c r="V338" s="9"/>
      <c r="W338" s="10">
        <f t="shared" ref="W338:W345" si="86">IFERROR(-(Q338-T338), "NA")</f>
        <v>0</v>
      </c>
      <c r="X338" s="8" t="str">
        <f>IFERROR(W338/W445, "NA")</f>
        <v>NA</v>
      </c>
      <c r="Y338" s="9"/>
      <c r="Z338" s="7">
        <v>0</v>
      </c>
      <c r="AA338" s="8" t="str">
        <f>IFERROR(Z338/Z445, "NA")</f>
        <v>NA</v>
      </c>
      <c r="AB338" s="9"/>
      <c r="AC338" s="10">
        <f t="shared" ref="AC338:AC345" si="87">IFERROR(-(Q338-Z338), "NA")</f>
        <v>0</v>
      </c>
      <c r="AD338" s="8" t="str">
        <f>IFERROR(AC338/AC445,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IFERROR(B339/B445, "NA")</f>
        <v>NA</v>
      </c>
      <c r="D339" s="9"/>
      <c r="E339" s="7">
        <v>0</v>
      </c>
      <c r="F339" s="8" t="str">
        <f>IFERROR(E339/E445, "NA")</f>
        <v>NA</v>
      </c>
      <c r="G339" s="9"/>
      <c r="H339" s="10">
        <f t="shared" si="84"/>
        <v>0</v>
      </c>
      <c r="I339" s="8" t="str">
        <f>IFERROR(H339/H445, "NA")</f>
        <v>NA</v>
      </c>
      <c r="J339" s="9"/>
      <c r="K339" s="7">
        <v>0</v>
      </c>
      <c r="L339" s="8" t="str">
        <f>IFERROR(K339/K445, "NA")</f>
        <v>NA</v>
      </c>
      <c r="M339" s="9"/>
      <c r="N339" s="10">
        <f t="shared" si="85"/>
        <v>0</v>
      </c>
      <c r="O339" s="8" t="str">
        <f>IFERROR(N339/N445, "NA")</f>
        <v>NA</v>
      </c>
      <c r="P339" s="9"/>
      <c r="Q339" s="7">
        <v>0</v>
      </c>
      <c r="R339" s="8" t="str">
        <f>IFERROR(Q339/Q445, "NA")</f>
        <v>NA</v>
      </c>
      <c r="S339" s="9"/>
      <c r="T339" s="7">
        <v>0</v>
      </c>
      <c r="U339" s="8" t="str">
        <f>IFERROR(T339/T445, "NA")</f>
        <v>NA</v>
      </c>
      <c r="V339" s="9"/>
      <c r="W339" s="10">
        <f t="shared" si="86"/>
        <v>0</v>
      </c>
      <c r="X339" s="8" t="str">
        <f>IFERROR(W339/W445, "NA")</f>
        <v>NA</v>
      </c>
      <c r="Y339" s="9"/>
      <c r="Z339" s="7">
        <v>0</v>
      </c>
      <c r="AA339" s="8" t="str">
        <f>IFERROR(Z339/Z445, "NA")</f>
        <v>NA</v>
      </c>
      <c r="AB339" s="9"/>
      <c r="AC339" s="10">
        <f t="shared" si="87"/>
        <v>0</v>
      </c>
      <c r="AD339" s="8" t="str">
        <f>IFERROR(AC339/AC445,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IFERROR(B340/B445, "NA")</f>
        <v>NA</v>
      </c>
      <c r="D340" s="9"/>
      <c r="E340" s="7">
        <v>0</v>
      </c>
      <c r="F340" s="8" t="str">
        <f>IFERROR(E340/E445, "NA")</f>
        <v>NA</v>
      </c>
      <c r="G340" s="9"/>
      <c r="H340" s="10">
        <f t="shared" si="84"/>
        <v>0</v>
      </c>
      <c r="I340" s="8" t="str">
        <f>IFERROR(H340/H445, "NA")</f>
        <v>NA</v>
      </c>
      <c r="J340" s="9"/>
      <c r="K340" s="7">
        <v>0</v>
      </c>
      <c r="L340" s="8" t="str">
        <f>IFERROR(K340/K445, "NA")</f>
        <v>NA</v>
      </c>
      <c r="M340" s="9"/>
      <c r="N340" s="10">
        <f t="shared" si="85"/>
        <v>0</v>
      </c>
      <c r="O340" s="8" t="str">
        <f>IFERROR(N340/N445, "NA")</f>
        <v>NA</v>
      </c>
      <c r="P340" s="9"/>
      <c r="Q340" s="7">
        <v>0</v>
      </c>
      <c r="R340" s="8" t="str">
        <f>IFERROR(Q340/Q445, "NA")</f>
        <v>NA</v>
      </c>
      <c r="S340" s="9"/>
      <c r="T340" s="7">
        <v>0</v>
      </c>
      <c r="U340" s="8" t="str">
        <f>IFERROR(T340/T445, "NA")</f>
        <v>NA</v>
      </c>
      <c r="V340" s="9"/>
      <c r="W340" s="10">
        <f t="shared" si="86"/>
        <v>0</v>
      </c>
      <c r="X340" s="8" t="str">
        <f>IFERROR(W340/W445, "NA")</f>
        <v>NA</v>
      </c>
      <c r="Y340" s="9"/>
      <c r="Z340" s="7">
        <v>0</v>
      </c>
      <c r="AA340" s="8" t="str">
        <f>IFERROR(Z340/Z445, "NA")</f>
        <v>NA</v>
      </c>
      <c r="AB340" s="9"/>
      <c r="AC340" s="10">
        <f t="shared" si="87"/>
        <v>0</v>
      </c>
      <c r="AD340" s="8" t="str">
        <f>IFERROR(AC340/AC445,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IFERROR(B341/B445, "NA")</f>
        <v>NA</v>
      </c>
      <c r="D341" s="9"/>
      <c r="E341" s="7">
        <v>0</v>
      </c>
      <c r="F341" s="8" t="str">
        <f>IFERROR(E341/E445, "NA")</f>
        <v>NA</v>
      </c>
      <c r="G341" s="9"/>
      <c r="H341" s="10">
        <f t="shared" si="84"/>
        <v>0</v>
      </c>
      <c r="I341" s="8" t="str">
        <f>IFERROR(H341/H445, "NA")</f>
        <v>NA</v>
      </c>
      <c r="J341" s="9"/>
      <c r="K341" s="7">
        <v>0</v>
      </c>
      <c r="L341" s="8" t="str">
        <f>IFERROR(K341/K445, "NA")</f>
        <v>NA</v>
      </c>
      <c r="M341" s="9"/>
      <c r="N341" s="10">
        <f t="shared" si="85"/>
        <v>0</v>
      </c>
      <c r="O341" s="8" t="str">
        <f>IFERROR(N341/N445, "NA")</f>
        <v>NA</v>
      </c>
      <c r="P341" s="9"/>
      <c r="Q341" s="7">
        <v>0</v>
      </c>
      <c r="R341" s="8" t="str">
        <f>IFERROR(Q341/Q445, "NA")</f>
        <v>NA</v>
      </c>
      <c r="S341" s="9"/>
      <c r="T341" s="7">
        <v>0</v>
      </c>
      <c r="U341" s="8" t="str">
        <f>IFERROR(T341/T445, "NA")</f>
        <v>NA</v>
      </c>
      <c r="V341" s="9"/>
      <c r="W341" s="10">
        <f t="shared" si="86"/>
        <v>0</v>
      </c>
      <c r="X341" s="8" t="str">
        <f>IFERROR(W341/W445, "NA")</f>
        <v>NA</v>
      </c>
      <c r="Y341" s="9"/>
      <c r="Z341" s="7">
        <v>0</v>
      </c>
      <c r="AA341" s="8" t="str">
        <f>IFERROR(Z341/Z445, "NA")</f>
        <v>NA</v>
      </c>
      <c r="AB341" s="9"/>
      <c r="AC341" s="10">
        <f t="shared" si="87"/>
        <v>0</v>
      </c>
      <c r="AD341" s="8" t="str">
        <f>IFERROR(AC341/AC445, "NA")</f>
        <v>NA</v>
      </c>
    </row>
    <row r="342" spans="1:30" ht="16.5" hidden="1" customHeight="1" x14ac:dyDescent="0.45">
      <c r="A342" s="12" t="s">
        <v>312</v>
      </c>
      <c r="B342" s="7">
        <v>0</v>
      </c>
      <c r="C342" s="8" t="str">
        <f>IFERROR(B342/B445, "NA")</f>
        <v>NA</v>
      </c>
      <c r="D342" s="9"/>
      <c r="E342" s="7">
        <v>0</v>
      </c>
      <c r="F342" s="8" t="str">
        <f>IFERROR(E342/E445, "NA")</f>
        <v>NA</v>
      </c>
      <c r="G342" s="9"/>
      <c r="H342" s="10">
        <f t="shared" si="84"/>
        <v>0</v>
      </c>
      <c r="I342" s="8" t="str">
        <f>IFERROR(H342/H445, "NA")</f>
        <v>NA</v>
      </c>
      <c r="J342" s="9"/>
      <c r="K342" s="7">
        <v>0</v>
      </c>
      <c r="L342" s="8" t="str">
        <f>IFERROR(K342/K445, "NA")</f>
        <v>NA</v>
      </c>
      <c r="M342" s="9"/>
      <c r="N342" s="10">
        <f t="shared" si="85"/>
        <v>0</v>
      </c>
      <c r="O342" s="8" t="str">
        <f>IFERROR(N342/N445, "NA")</f>
        <v>NA</v>
      </c>
      <c r="P342" s="9"/>
      <c r="Q342" s="7">
        <v>0</v>
      </c>
      <c r="R342" s="8" t="str">
        <f>IFERROR(Q342/Q445, "NA")</f>
        <v>NA</v>
      </c>
      <c r="S342" s="9"/>
      <c r="T342" s="7">
        <v>0</v>
      </c>
      <c r="U342" s="8" t="str">
        <f>IFERROR(T342/T445, "NA")</f>
        <v>NA</v>
      </c>
      <c r="V342" s="9"/>
      <c r="W342" s="10">
        <f t="shared" si="86"/>
        <v>0</v>
      </c>
      <c r="X342" s="8" t="str">
        <f>IFERROR(W342/W445, "NA")</f>
        <v>NA</v>
      </c>
      <c r="Y342" s="9"/>
      <c r="Z342" s="7">
        <v>0</v>
      </c>
      <c r="AA342" s="8" t="str">
        <f>IFERROR(Z342/Z445, "NA")</f>
        <v>NA</v>
      </c>
      <c r="AB342" s="9"/>
      <c r="AC342" s="10">
        <f t="shared" si="87"/>
        <v>0</v>
      </c>
      <c r="AD342" s="8" t="str">
        <f>IFERROR(AC342/AC445, "NA")</f>
        <v>NA</v>
      </c>
    </row>
    <row r="343" spans="1:30" ht="16.5" customHeight="1" x14ac:dyDescent="0.45">
      <c r="A343" s="13" t="s">
        <v>313</v>
      </c>
      <c r="B343" s="14">
        <f>IFERROR(B338+B339+B340+B341+B342, "NA")</f>
        <v>0</v>
      </c>
      <c r="C343" s="15" t="str">
        <f>IFERROR(B343/B445, "NA")</f>
        <v>NA</v>
      </c>
      <c r="D343" s="2"/>
      <c r="E343" s="14">
        <f>IFERROR(E338+E339+E340+E341+E342, "NA")</f>
        <v>0</v>
      </c>
      <c r="F343" s="15" t="str">
        <f>IFERROR(E343/E445, "NA")</f>
        <v>NA</v>
      </c>
      <c r="G343" s="2"/>
      <c r="H343" s="14">
        <f t="shared" si="84"/>
        <v>0</v>
      </c>
      <c r="I343" s="15" t="str">
        <f>IFERROR(H343/H445, "NA")</f>
        <v>NA</v>
      </c>
      <c r="J343" s="2"/>
      <c r="K343" s="14">
        <f>IFERROR(K338+K339+K340+K341+K342, "NA")</f>
        <v>0</v>
      </c>
      <c r="L343" s="15" t="str">
        <f>IFERROR(K343/K445, "NA")</f>
        <v>NA</v>
      </c>
      <c r="M343" s="2"/>
      <c r="N343" s="14">
        <f t="shared" si="85"/>
        <v>0</v>
      </c>
      <c r="O343" s="15" t="str">
        <f>IFERROR(N343/N445, "NA")</f>
        <v>NA</v>
      </c>
      <c r="P343" s="2"/>
      <c r="Q343" s="14">
        <f>IFERROR(Q338+Q339+Q340+Q341+Q342, "NA")</f>
        <v>0</v>
      </c>
      <c r="R343" s="15" t="str">
        <f>IFERROR(Q343/Q445, "NA")</f>
        <v>NA</v>
      </c>
      <c r="S343" s="2"/>
      <c r="T343" s="14">
        <f>IFERROR(T338+T339+T340+T341+T342, "NA")</f>
        <v>0</v>
      </c>
      <c r="U343" s="15" t="str">
        <f>IFERROR(T343/T445, "NA")</f>
        <v>NA</v>
      </c>
      <c r="V343" s="2"/>
      <c r="W343" s="14">
        <f t="shared" si="86"/>
        <v>0</v>
      </c>
      <c r="X343" s="15" t="str">
        <f>IFERROR(W343/W445, "NA")</f>
        <v>NA</v>
      </c>
      <c r="Y343" s="2"/>
      <c r="Z343" s="14">
        <f>IFERROR(Z338+Z339+Z340+Z341+Z342, "NA")</f>
        <v>0</v>
      </c>
      <c r="AA343" s="15" t="str">
        <f>IFERROR(Z343/Z445, "NA")</f>
        <v>NA</v>
      </c>
      <c r="AB343" s="2"/>
      <c r="AC343" s="14">
        <f t="shared" si="87"/>
        <v>0</v>
      </c>
      <c r="AD343" s="15" t="str">
        <f>IFERROR(AC343/AC445, "NA")</f>
        <v>NA</v>
      </c>
    </row>
    <row r="344" spans="1:30" ht="16.5" customHeight="1" x14ac:dyDescent="0.45">
      <c r="A344" s="19" t="s">
        <v>314</v>
      </c>
      <c r="B344" s="14">
        <f>IFERROR(B329+B330+B331+B332+B333+B334+B335+B336+B338+B339+B340+B341+B342, "NA")</f>
        <v>0</v>
      </c>
      <c r="C344" s="15" t="str">
        <f>IFERROR(B344/B445, "NA")</f>
        <v>NA</v>
      </c>
      <c r="D344" s="2"/>
      <c r="E344" s="14">
        <f>IFERROR(E329+E330+E331+E332+E333+E334+E335+E336+E338+E339+E340+E341+E342, "NA")</f>
        <v>0</v>
      </c>
      <c r="F344" s="15" t="str">
        <f>IFERROR(E344/E445, "NA")</f>
        <v>NA</v>
      </c>
      <c r="G344" s="2"/>
      <c r="H344" s="14">
        <f t="shared" si="84"/>
        <v>0</v>
      </c>
      <c r="I344" s="15" t="str">
        <f>IFERROR(H344/H445, "NA")</f>
        <v>NA</v>
      </c>
      <c r="J344" s="2"/>
      <c r="K344" s="14">
        <f>IFERROR(K329+K330+K331+K332+K333+K334+K335+K336+K338+K339+K340+K341+K342, "NA")</f>
        <v>0</v>
      </c>
      <c r="L344" s="15" t="str">
        <f>IFERROR(K344/K445, "NA")</f>
        <v>NA</v>
      </c>
      <c r="M344" s="2"/>
      <c r="N344" s="14">
        <f t="shared" si="85"/>
        <v>0</v>
      </c>
      <c r="O344" s="15" t="str">
        <f>IFERROR(N344/N445, "NA")</f>
        <v>NA</v>
      </c>
      <c r="P344" s="2"/>
      <c r="Q344" s="14">
        <f>IFERROR(Q329+Q330+Q331+Q332+Q333+Q334+Q335+Q336+Q338+Q339+Q340+Q341+Q342, "NA")</f>
        <v>0</v>
      </c>
      <c r="R344" s="15" t="str">
        <f>IFERROR(Q344/Q445, "NA")</f>
        <v>NA</v>
      </c>
      <c r="S344" s="2"/>
      <c r="T344" s="14">
        <f>IFERROR(T329+T330+T331+T332+T333+T334+T335+T336+T338+T339+T340+T341+T342, "NA")</f>
        <v>0</v>
      </c>
      <c r="U344" s="15" t="str">
        <f>IFERROR(T344/T445, "NA")</f>
        <v>NA</v>
      </c>
      <c r="V344" s="2"/>
      <c r="W344" s="14">
        <f t="shared" si="86"/>
        <v>0</v>
      </c>
      <c r="X344" s="15" t="str">
        <f>IFERROR(W344/W445, "NA")</f>
        <v>NA</v>
      </c>
      <c r="Y344" s="2"/>
      <c r="Z344" s="14">
        <f>IFERROR(Z329+Z330+Z331+Z332+Z333+Z334+Z335+Z336+Z338+Z339+Z340+Z341+Z342, "NA")</f>
        <v>0</v>
      </c>
      <c r="AA344" s="15" t="str">
        <f>IFERROR(Z344/Z445, "NA")</f>
        <v>NA</v>
      </c>
      <c r="AB344" s="2"/>
      <c r="AC344" s="14">
        <f t="shared" si="87"/>
        <v>0</v>
      </c>
      <c r="AD344" s="15" t="str">
        <f>IFERROR(AC344/AC445, "NA")</f>
        <v>NA</v>
      </c>
    </row>
    <row r="345" spans="1:30" ht="16.5" customHeight="1" x14ac:dyDescent="0.45">
      <c r="A345" s="21" t="s">
        <v>315</v>
      </c>
      <c r="B345" s="14">
        <f>IFERROR(B329+B330+B331+B332+B333+B334+B335+B336+B338+B339+B340+B341+B342, "NA")</f>
        <v>0</v>
      </c>
      <c r="C345" s="15" t="str">
        <f>IFERROR(B345/B445, "NA")</f>
        <v>NA</v>
      </c>
      <c r="D345" s="2"/>
      <c r="E345" s="14">
        <f>IFERROR(E329+E330+E331+E332+E333+E334+E335+E336+E338+E339+E340+E341+E342, "NA")</f>
        <v>0</v>
      </c>
      <c r="F345" s="15" t="str">
        <f>IFERROR(E345/E445, "NA")</f>
        <v>NA</v>
      </c>
      <c r="G345" s="2"/>
      <c r="H345" s="14">
        <f t="shared" si="84"/>
        <v>0</v>
      </c>
      <c r="I345" s="15" t="str">
        <f>IFERROR(H345/H445, "NA")</f>
        <v>NA</v>
      </c>
      <c r="J345" s="2"/>
      <c r="K345" s="14">
        <f>IFERROR(K329+K330+K331+K332+K333+K334+K335+K336+K338+K339+K340+K341+K342, "NA")</f>
        <v>0</v>
      </c>
      <c r="L345" s="15" t="str">
        <f>IFERROR(K345/K445, "NA")</f>
        <v>NA</v>
      </c>
      <c r="M345" s="2"/>
      <c r="N345" s="14">
        <f t="shared" si="85"/>
        <v>0</v>
      </c>
      <c r="O345" s="15" t="str">
        <f>IFERROR(N345/N445, "NA")</f>
        <v>NA</v>
      </c>
      <c r="P345" s="2"/>
      <c r="Q345" s="14">
        <f>IFERROR(Q329+Q330+Q331+Q332+Q333+Q334+Q335+Q336+Q338+Q339+Q340+Q341+Q342, "NA")</f>
        <v>0</v>
      </c>
      <c r="R345" s="15" t="str">
        <f>IFERROR(Q345/Q445, "NA")</f>
        <v>NA</v>
      </c>
      <c r="S345" s="2"/>
      <c r="T345" s="14">
        <f>IFERROR(T329+T330+T331+T332+T333+T334+T335+T336+T338+T339+T340+T341+T342, "NA")</f>
        <v>0</v>
      </c>
      <c r="U345" s="15" t="str">
        <f>IFERROR(T345/T445, "NA")</f>
        <v>NA</v>
      </c>
      <c r="V345" s="2"/>
      <c r="W345" s="14">
        <f t="shared" si="86"/>
        <v>0</v>
      </c>
      <c r="X345" s="15" t="str">
        <f>IFERROR(W345/W445, "NA")</f>
        <v>NA</v>
      </c>
      <c r="Y345" s="2"/>
      <c r="Z345" s="14">
        <f>IFERROR(Z329+Z330+Z331+Z332+Z333+Z334+Z335+Z336+Z338+Z339+Z340+Z341+Z342, "NA")</f>
        <v>0</v>
      </c>
      <c r="AA345" s="15" t="str">
        <f>IFERROR(Z345/Z445, "NA")</f>
        <v>NA</v>
      </c>
      <c r="AB345" s="2"/>
      <c r="AC345" s="14">
        <f t="shared" si="87"/>
        <v>0</v>
      </c>
      <c r="AD345" s="15" t="str">
        <f>IFERROR(AC345/AC445, "NA")</f>
        <v>NA</v>
      </c>
    </row>
    <row r="346" spans="1:30" ht="16.5" customHeight="1" x14ac:dyDescent="0.45">
      <c r="A346" s="22" t="s">
        <v>316</v>
      </c>
      <c r="B346" s="23">
        <f>IFERROR(B198-B326-B345, "NA")</f>
        <v>0</v>
      </c>
      <c r="C346" s="24" t="str">
        <f>IFERROR(B346/B445, "NA")</f>
        <v>NA</v>
      </c>
      <c r="D346" s="25"/>
      <c r="E346" s="23">
        <f>IFERROR(E198-E326-E345, "NA")</f>
        <v>0</v>
      </c>
      <c r="F346" s="24" t="str">
        <f>IFERROR(E346/E445, "NA")</f>
        <v>NA</v>
      </c>
      <c r="G346" s="25"/>
      <c r="H346" s="23">
        <f>IFERROR(B346-E346, "NA")</f>
        <v>0</v>
      </c>
      <c r="I346" s="24" t="str">
        <f>IFERROR(H346/H445, "NA")</f>
        <v>NA</v>
      </c>
      <c r="J346" s="25"/>
      <c r="K346" s="23">
        <f>IFERROR(K198-K326-K345, "NA")</f>
        <v>0</v>
      </c>
      <c r="L346" s="24" t="str">
        <f>IFERROR(K346/K445, "NA")</f>
        <v>NA</v>
      </c>
      <c r="M346" s="25"/>
      <c r="N346" s="23">
        <f>IFERROR(B346-K346, "NA")</f>
        <v>0</v>
      </c>
      <c r="O346" s="24" t="str">
        <f>IFERROR(N346/N445, "NA")</f>
        <v>NA</v>
      </c>
      <c r="P346" s="25"/>
      <c r="Q346" s="23">
        <f>IFERROR(Q198-Q326-Q345, "NA")</f>
        <v>0</v>
      </c>
      <c r="R346" s="24" t="str">
        <f>IFERROR(Q346/Q445, "NA")</f>
        <v>NA</v>
      </c>
      <c r="S346" s="25"/>
      <c r="T346" s="23">
        <f>IFERROR(T198-T326-T345, "NA")</f>
        <v>0</v>
      </c>
      <c r="U346" s="24" t="str">
        <f>IFERROR(T346/T445, "NA")</f>
        <v>NA</v>
      </c>
      <c r="V346" s="25"/>
      <c r="W346" s="23">
        <f>IFERROR(Q346-T346, "NA")</f>
        <v>0</v>
      </c>
      <c r="X346" s="24" t="str">
        <f>IFERROR(W346/W445, "NA")</f>
        <v>NA</v>
      </c>
      <c r="Y346" s="25"/>
      <c r="Z346" s="23">
        <f>IFERROR(Z198-Z326-Z345, "NA")</f>
        <v>0</v>
      </c>
      <c r="AA346" s="24" t="str">
        <f>IFERROR(Z346/Z445, "NA")</f>
        <v>NA</v>
      </c>
      <c r="AB346" s="25"/>
      <c r="AC346" s="23">
        <f>IFERROR(Q346-Z346, "NA")</f>
        <v>0</v>
      </c>
      <c r="AD346" s="24" t="str">
        <f>IFERROR(AC346/AC445, "NA")</f>
        <v>NA</v>
      </c>
    </row>
    <row r="347" spans="1:30" ht="16.5" customHeight="1" x14ac:dyDescent="0.45">
      <c r="A347" s="1" t="s">
        <v>317</v>
      </c>
      <c r="B347" s="2"/>
      <c r="C347" s="3"/>
      <c r="D347" s="4"/>
      <c r="E347" s="2"/>
      <c r="F347" s="3"/>
      <c r="G347" s="4"/>
      <c r="H347" s="2"/>
      <c r="I347" s="3"/>
      <c r="J347" s="4"/>
      <c r="K347" s="2"/>
      <c r="L347" s="3"/>
      <c r="M347" s="4"/>
      <c r="N347" s="2"/>
      <c r="O347" s="3"/>
      <c r="P347" s="4"/>
      <c r="Q347" s="2"/>
      <c r="R347" s="3"/>
      <c r="S347" s="4"/>
      <c r="T347" s="2"/>
      <c r="U347" s="3"/>
      <c r="V347" s="4"/>
      <c r="W347" s="2"/>
      <c r="X347" s="3"/>
      <c r="Y347" s="4"/>
      <c r="Z347" s="2"/>
      <c r="AA347" s="3"/>
      <c r="AB347" s="4"/>
      <c r="AC347" s="2"/>
      <c r="AD347" s="3"/>
    </row>
    <row r="348" spans="1:30" ht="16.5" hidden="1" customHeight="1" x14ac:dyDescent="0.45">
      <c r="A348" s="20" t="s">
        <v>318</v>
      </c>
      <c r="B348" s="7">
        <v>0</v>
      </c>
      <c r="C348" s="8" t="str">
        <f>IFERROR(B348/B445, "NA")</f>
        <v>NA</v>
      </c>
      <c r="D348" s="9"/>
      <c r="E348" s="7">
        <v>0</v>
      </c>
      <c r="F348" s="8" t="str">
        <f>IFERROR(E348/E445, "NA")</f>
        <v>NA</v>
      </c>
      <c r="G348" s="9"/>
      <c r="H348" s="10">
        <f>IFERROR(-(B348-E348), "NA")</f>
        <v>0</v>
      </c>
      <c r="I348" s="8" t="str">
        <f>IFERROR(H348/H445, "NA")</f>
        <v>NA</v>
      </c>
      <c r="J348" s="9"/>
      <c r="K348" s="7">
        <v>0</v>
      </c>
      <c r="L348" s="8" t="str">
        <f>IFERROR(K348/K445, "NA")</f>
        <v>NA</v>
      </c>
      <c r="M348" s="9"/>
      <c r="N348" s="10">
        <f>IFERROR(-(B348-K348), "NA")</f>
        <v>0</v>
      </c>
      <c r="O348" s="8" t="str">
        <f>IFERROR(N348/N445, "NA")</f>
        <v>NA</v>
      </c>
      <c r="P348" s="9"/>
      <c r="Q348" s="7">
        <v>0</v>
      </c>
      <c r="R348" s="8" t="str">
        <f>IFERROR(Q348/Q445, "NA")</f>
        <v>NA</v>
      </c>
      <c r="S348" s="9"/>
      <c r="T348" s="7">
        <v>0</v>
      </c>
      <c r="U348" s="8" t="str">
        <f>IFERROR(T348/T445, "NA")</f>
        <v>NA</v>
      </c>
      <c r="V348" s="9"/>
      <c r="W348" s="10">
        <f>IFERROR(-(Q348-T348), "NA")</f>
        <v>0</v>
      </c>
      <c r="X348" s="8" t="str">
        <f>IFERROR(W348/W445, "NA")</f>
        <v>NA</v>
      </c>
      <c r="Y348" s="9"/>
      <c r="Z348" s="7">
        <v>0</v>
      </c>
      <c r="AA348" s="8" t="str">
        <f>IFERROR(Z348/Z445, "NA")</f>
        <v>NA</v>
      </c>
      <c r="AB348" s="9"/>
      <c r="AC348" s="10">
        <f>IFERROR(-(Q348-Z348), "NA")</f>
        <v>0</v>
      </c>
      <c r="AD348" s="8" t="str">
        <f>IFERROR(AC348/AC445, "NA")</f>
        <v>NA</v>
      </c>
    </row>
    <row r="349" spans="1:30" ht="16.5" customHeight="1" x14ac:dyDescent="0.45">
      <c r="A349" s="5" t="s">
        <v>319</v>
      </c>
      <c r="B349" s="2"/>
      <c r="C349" s="3"/>
      <c r="D349" s="4"/>
      <c r="E349" s="2"/>
      <c r="F349" s="3"/>
      <c r="G349" s="4"/>
      <c r="H349" s="2"/>
      <c r="I349" s="3"/>
      <c r="J349" s="4"/>
      <c r="K349" s="2"/>
      <c r="L349" s="3"/>
      <c r="M349" s="4"/>
      <c r="N349" s="2"/>
      <c r="O349" s="3"/>
      <c r="P349" s="4"/>
      <c r="Q349" s="2"/>
      <c r="R349" s="3"/>
      <c r="S349" s="4"/>
      <c r="T349" s="2"/>
      <c r="U349" s="3"/>
      <c r="V349" s="4"/>
      <c r="W349" s="2"/>
      <c r="X349" s="3"/>
      <c r="Y349" s="4"/>
      <c r="Z349" s="2"/>
      <c r="AA349" s="3"/>
      <c r="AB349" s="4"/>
      <c r="AC349" s="2"/>
      <c r="AD349" s="3"/>
    </row>
    <row r="350" spans="1:30" ht="16.5" hidden="1" customHeight="1" x14ac:dyDescent="0.45">
      <c r="A350" s="6" t="s">
        <v>319</v>
      </c>
      <c r="B350" s="7">
        <v>0</v>
      </c>
      <c r="C350" s="8" t="str">
        <f>IFERROR(B350/B445, "NA")</f>
        <v>NA</v>
      </c>
      <c r="D350" s="9"/>
      <c r="E350" s="7">
        <v>0</v>
      </c>
      <c r="F350" s="8" t="str">
        <f>IFERROR(E350/E445, "NA")</f>
        <v>NA</v>
      </c>
      <c r="G350" s="9"/>
      <c r="H350" s="10">
        <f t="shared" ref="H350:H359" si="88">IFERROR(-(B350-E350), "NA")</f>
        <v>0</v>
      </c>
      <c r="I350" s="8" t="str">
        <f>IFERROR(H350/H445, "NA")</f>
        <v>NA</v>
      </c>
      <c r="J350" s="9"/>
      <c r="K350" s="7">
        <v>0</v>
      </c>
      <c r="L350" s="8" t="str">
        <f>IFERROR(K350/K445, "NA")</f>
        <v>NA</v>
      </c>
      <c r="M350" s="9"/>
      <c r="N350" s="10">
        <f t="shared" ref="N350:N359" si="89">IFERROR(-(B350-K350), "NA")</f>
        <v>0</v>
      </c>
      <c r="O350" s="8" t="str">
        <f>IFERROR(N350/N445, "NA")</f>
        <v>NA</v>
      </c>
      <c r="P350" s="9"/>
      <c r="Q350" s="7">
        <v>0</v>
      </c>
      <c r="R350" s="8" t="str">
        <f>IFERROR(Q350/Q445, "NA")</f>
        <v>NA</v>
      </c>
      <c r="S350" s="9"/>
      <c r="T350" s="7">
        <v>0</v>
      </c>
      <c r="U350" s="8" t="str">
        <f>IFERROR(T350/T445, "NA")</f>
        <v>NA</v>
      </c>
      <c r="V350" s="9"/>
      <c r="W350" s="10">
        <f t="shared" ref="W350:W359" si="90">IFERROR(-(Q350-T350), "NA")</f>
        <v>0</v>
      </c>
      <c r="X350" s="8" t="str">
        <f>IFERROR(W350/W445, "NA")</f>
        <v>NA</v>
      </c>
      <c r="Y350" s="9"/>
      <c r="Z350" s="7">
        <v>0</v>
      </c>
      <c r="AA350" s="8" t="str">
        <f>IFERROR(Z350/Z445, "NA")</f>
        <v>NA</v>
      </c>
      <c r="AB350" s="9"/>
      <c r="AC350" s="10">
        <f t="shared" ref="AC350:AC359" si="91">IFERROR(-(Q350-Z350), "NA")</f>
        <v>0</v>
      </c>
      <c r="AD350" s="8" t="str">
        <f>IFERROR(AC350/AC445, "NA")</f>
        <v>NA</v>
      </c>
    </row>
    <row r="351" spans="1:30" ht="16.5" customHeight="1" x14ac:dyDescent="0.45">
      <c r="A351" s="6" t="s">
        <v>320</v>
      </c>
      <c r="B351" s="7">
        <v>35384.6</v>
      </c>
      <c r="C351" s="8" t="str">
        <f>IFERROR(B351/B445, "NA")</f>
        <v>NA</v>
      </c>
      <c r="D351" s="9"/>
      <c r="E351" s="7">
        <v>43307.69</v>
      </c>
      <c r="F351" s="8" t="str">
        <f>IFERROR(E351/E445, "NA")</f>
        <v>NA</v>
      </c>
      <c r="G351" s="9"/>
      <c r="H351" s="10">
        <f t="shared" si="88"/>
        <v>7923.0900000000038</v>
      </c>
      <c r="I351" s="8" t="str">
        <f>IFERROR(H351/H445, "NA")</f>
        <v>NA</v>
      </c>
      <c r="J351" s="9"/>
      <c r="K351" s="7">
        <v>41182.639999999999</v>
      </c>
      <c r="L351" s="8" t="str">
        <f>IFERROR(K351/K445, "NA")</f>
        <v>NA</v>
      </c>
      <c r="M351" s="9"/>
      <c r="N351" s="10">
        <f t="shared" si="89"/>
        <v>5798.0400000000009</v>
      </c>
      <c r="O351" s="8" t="str">
        <f>IFERROR(N351/N445, "NA")</f>
        <v>NA</v>
      </c>
      <c r="P351" s="9"/>
      <c r="Q351" s="7">
        <v>185802.82</v>
      </c>
      <c r="R351" s="8" t="str">
        <f>IFERROR(Q351/Q445, "NA")</f>
        <v>NA</v>
      </c>
      <c r="S351" s="9"/>
      <c r="T351" s="7">
        <v>212942.3</v>
      </c>
      <c r="U351" s="8" t="str">
        <f>IFERROR(T351/T445, "NA")</f>
        <v>NA</v>
      </c>
      <c r="V351" s="9"/>
      <c r="W351" s="10">
        <f t="shared" si="90"/>
        <v>27139.479999999981</v>
      </c>
      <c r="X351" s="8" t="str">
        <f>IFERROR(W351/W445, "NA")</f>
        <v>NA</v>
      </c>
      <c r="Y351" s="9"/>
      <c r="Z351" s="7">
        <v>262612.25</v>
      </c>
      <c r="AA351" s="8" t="str">
        <f>IFERROR(Z351/Z445, "NA")</f>
        <v>NA</v>
      </c>
      <c r="AB351" s="9"/>
      <c r="AC351" s="10">
        <f t="shared" si="91"/>
        <v>76809.429999999993</v>
      </c>
      <c r="AD351" s="8" t="str">
        <f>IFERROR(AC351/AC445, "NA")</f>
        <v>NA</v>
      </c>
    </row>
    <row r="352" spans="1:30" ht="16.5" hidden="1" customHeight="1" x14ac:dyDescent="0.45">
      <c r="A352" s="6" t="s">
        <v>321</v>
      </c>
      <c r="B352" s="7">
        <v>0</v>
      </c>
      <c r="C352" s="8" t="str">
        <f>IFERROR(B352/B445, "NA")</f>
        <v>NA</v>
      </c>
      <c r="D352" s="9"/>
      <c r="E352" s="7">
        <v>0</v>
      </c>
      <c r="F352" s="8" t="str">
        <f>IFERROR(E352/E445, "NA")</f>
        <v>NA</v>
      </c>
      <c r="G352" s="9"/>
      <c r="H352" s="10">
        <f t="shared" si="88"/>
        <v>0</v>
      </c>
      <c r="I352" s="8" t="str">
        <f>IFERROR(H352/H445, "NA")</f>
        <v>NA</v>
      </c>
      <c r="J352" s="9"/>
      <c r="K352" s="7">
        <v>0</v>
      </c>
      <c r="L352" s="8" t="str">
        <f>IFERROR(K352/K445, "NA")</f>
        <v>NA</v>
      </c>
      <c r="M352" s="9"/>
      <c r="N352" s="10">
        <f t="shared" si="89"/>
        <v>0</v>
      </c>
      <c r="O352" s="8" t="str">
        <f>IFERROR(N352/N445, "NA")</f>
        <v>NA</v>
      </c>
      <c r="P352" s="9"/>
      <c r="Q352" s="7">
        <v>0</v>
      </c>
      <c r="R352" s="8" t="str">
        <f>IFERROR(Q352/Q445, "NA")</f>
        <v>NA</v>
      </c>
      <c r="S352" s="9"/>
      <c r="T352" s="7">
        <v>0</v>
      </c>
      <c r="U352" s="8" t="str">
        <f>IFERROR(T352/T445, "NA")</f>
        <v>NA</v>
      </c>
      <c r="V352" s="9"/>
      <c r="W352" s="10">
        <f t="shared" si="90"/>
        <v>0</v>
      </c>
      <c r="X352" s="8" t="str">
        <f>IFERROR(W352/W445, "NA")</f>
        <v>NA</v>
      </c>
      <c r="Y352" s="9"/>
      <c r="Z352" s="7">
        <v>0</v>
      </c>
      <c r="AA352" s="8" t="str">
        <f>IFERROR(Z352/Z445, "NA")</f>
        <v>NA</v>
      </c>
      <c r="AB352" s="9"/>
      <c r="AC352" s="10">
        <f t="shared" si="91"/>
        <v>0</v>
      </c>
      <c r="AD352" s="8" t="str">
        <f>IFERROR(AC352/AC445, "NA")</f>
        <v>NA</v>
      </c>
    </row>
    <row r="353" spans="1:30" ht="16.5" hidden="1" customHeight="1" x14ac:dyDescent="0.45">
      <c r="A353" s="6" t="s">
        <v>322</v>
      </c>
      <c r="B353" s="7">
        <v>0</v>
      </c>
      <c r="C353" s="8" t="str">
        <f>IFERROR(B353/B445, "NA")</f>
        <v>NA</v>
      </c>
      <c r="D353" s="9"/>
      <c r="E353" s="7">
        <v>0</v>
      </c>
      <c r="F353" s="8" t="str">
        <f>IFERROR(E353/E445, "NA")</f>
        <v>NA</v>
      </c>
      <c r="G353" s="9"/>
      <c r="H353" s="10">
        <f t="shared" si="88"/>
        <v>0</v>
      </c>
      <c r="I353" s="8" t="str">
        <f>IFERROR(H353/H445, "NA")</f>
        <v>NA</v>
      </c>
      <c r="J353" s="9"/>
      <c r="K353" s="7">
        <v>0</v>
      </c>
      <c r="L353" s="8" t="str">
        <f>IFERROR(K353/K445, "NA")</f>
        <v>NA</v>
      </c>
      <c r="M353" s="9"/>
      <c r="N353" s="10">
        <f t="shared" si="89"/>
        <v>0</v>
      </c>
      <c r="O353" s="8" t="str">
        <f>IFERROR(N353/N445, "NA")</f>
        <v>NA</v>
      </c>
      <c r="P353" s="9"/>
      <c r="Q353" s="7">
        <v>0</v>
      </c>
      <c r="R353" s="8" t="str">
        <f>IFERROR(Q353/Q445, "NA")</f>
        <v>NA</v>
      </c>
      <c r="S353" s="9"/>
      <c r="T353" s="7">
        <v>0</v>
      </c>
      <c r="U353" s="8" t="str">
        <f>IFERROR(T353/T445, "NA")</f>
        <v>NA</v>
      </c>
      <c r="V353" s="9"/>
      <c r="W353" s="10">
        <f t="shared" si="90"/>
        <v>0</v>
      </c>
      <c r="X353" s="8" t="str">
        <f>IFERROR(W353/W445, "NA")</f>
        <v>NA</v>
      </c>
      <c r="Y353" s="9"/>
      <c r="Z353" s="7">
        <v>0</v>
      </c>
      <c r="AA353" s="8" t="str">
        <f>IFERROR(Z353/Z445, "NA")</f>
        <v>NA</v>
      </c>
      <c r="AB353" s="9"/>
      <c r="AC353" s="10">
        <f t="shared" si="91"/>
        <v>0</v>
      </c>
      <c r="AD353" s="8" t="str">
        <f>IFERROR(AC353/AC445, "NA")</f>
        <v>NA</v>
      </c>
    </row>
    <row r="354" spans="1:30" ht="16.5" customHeight="1" x14ac:dyDescent="0.45">
      <c r="A354" s="6" t="s">
        <v>323</v>
      </c>
      <c r="B354" s="7">
        <v>0</v>
      </c>
      <c r="C354" s="8" t="str">
        <f>IFERROR(B354/B445, "NA")</f>
        <v>NA</v>
      </c>
      <c r="D354" s="9"/>
      <c r="E354" s="7">
        <v>0</v>
      </c>
      <c r="F354" s="8" t="str">
        <f>IFERROR(E354/E445, "NA")</f>
        <v>NA</v>
      </c>
      <c r="G354" s="9"/>
      <c r="H354" s="10">
        <f t="shared" si="88"/>
        <v>0</v>
      </c>
      <c r="I354" s="8" t="str">
        <f>IFERROR(H354/H445, "NA")</f>
        <v>NA</v>
      </c>
      <c r="J354" s="9"/>
      <c r="K354" s="7">
        <v>0</v>
      </c>
      <c r="L354" s="8" t="str">
        <f>IFERROR(K354/K445, "NA")</f>
        <v>NA</v>
      </c>
      <c r="M354" s="9"/>
      <c r="N354" s="10">
        <f t="shared" si="89"/>
        <v>0</v>
      </c>
      <c r="O354" s="8" t="str">
        <f>IFERROR(N354/N445, "NA")</f>
        <v>NA</v>
      </c>
      <c r="P354" s="9"/>
      <c r="Q354" s="7">
        <v>0</v>
      </c>
      <c r="R354" s="8" t="str">
        <f>IFERROR(Q354/Q445, "NA")</f>
        <v>NA</v>
      </c>
      <c r="S354" s="9"/>
      <c r="T354" s="7">
        <v>0</v>
      </c>
      <c r="U354" s="8" t="str">
        <f>IFERROR(T354/T445, "NA")</f>
        <v>NA</v>
      </c>
      <c r="V354" s="9"/>
      <c r="W354" s="10">
        <f t="shared" si="90"/>
        <v>0</v>
      </c>
      <c r="X354" s="8" t="str">
        <f>IFERROR(W354/W445, "NA")</f>
        <v>NA</v>
      </c>
      <c r="Y354" s="9"/>
      <c r="Z354" s="7">
        <v>6774.8</v>
      </c>
      <c r="AA354" s="8" t="str">
        <f>IFERROR(Z354/Z445, "NA")</f>
        <v>NA</v>
      </c>
      <c r="AB354" s="9"/>
      <c r="AC354" s="10">
        <f t="shared" si="91"/>
        <v>6774.8</v>
      </c>
      <c r="AD354" s="8" t="str">
        <f>IFERROR(AC354/AC445, "NA")</f>
        <v>NA</v>
      </c>
    </row>
    <row r="355" spans="1:30" ht="16.5" customHeight="1" x14ac:dyDescent="0.45">
      <c r="A355" s="6" t="s">
        <v>324</v>
      </c>
      <c r="B355" s="7">
        <v>2833.65</v>
      </c>
      <c r="C355" s="8" t="str">
        <f>IFERROR(B355/B445, "NA")</f>
        <v>NA</v>
      </c>
      <c r="D355" s="9"/>
      <c r="E355" s="7">
        <v>3594.54</v>
      </c>
      <c r="F355" s="8" t="str">
        <f>IFERROR(E355/E445, "NA")</f>
        <v>NA</v>
      </c>
      <c r="G355" s="9"/>
      <c r="H355" s="10">
        <f t="shared" si="88"/>
        <v>760.88999999999987</v>
      </c>
      <c r="I355" s="8" t="str">
        <f>IFERROR(H355/H445, "NA")</f>
        <v>NA</v>
      </c>
      <c r="J355" s="9"/>
      <c r="K355" s="7">
        <v>3454.45</v>
      </c>
      <c r="L355" s="8" t="str">
        <f>IFERROR(K355/K445, "NA")</f>
        <v>NA</v>
      </c>
      <c r="M355" s="9"/>
      <c r="N355" s="10">
        <f t="shared" si="89"/>
        <v>620.79999999999973</v>
      </c>
      <c r="O355" s="8" t="str">
        <f>IFERROR(N355/N445, "NA")</f>
        <v>NA</v>
      </c>
      <c r="P355" s="9"/>
      <c r="Q355" s="7">
        <v>15216.88</v>
      </c>
      <c r="R355" s="8" t="str">
        <f>IFERROR(Q355/Q445, "NA")</f>
        <v>NA</v>
      </c>
      <c r="S355" s="9"/>
      <c r="T355" s="7">
        <v>17674.21</v>
      </c>
      <c r="U355" s="8" t="str">
        <f>IFERROR(T355/T445, "NA")</f>
        <v>NA</v>
      </c>
      <c r="V355" s="9"/>
      <c r="W355" s="10">
        <f t="shared" si="90"/>
        <v>2457.33</v>
      </c>
      <c r="X355" s="8" t="str">
        <f>IFERROR(W355/W445, "NA")</f>
        <v>NA</v>
      </c>
      <c r="Y355" s="9"/>
      <c r="Z355" s="7">
        <v>23661.43</v>
      </c>
      <c r="AA355" s="8" t="str">
        <f>IFERROR(Z355/Z445, "NA")</f>
        <v>NA</v>
      </c>
      <c r="AB355" s="9"/>
      <c r="AC355" s="10">
        <f t="shared" si="91"/>
        <v>8444.5500000000011</v>
      </c>
      <c r="AD355" s="8" t="str">
        <f>IFERROR(AC355/AC445, "NA")</f>
        <v>NA</v>
      </c>
    </row>
    <row r="356" spans="1:30" ht="16.5" customHeight="1" x14ac:dyDescent="0.45">
      <c r="A356" s="6" t="s">
        <v>325</v>
      </c>
      <c r="B356" s="7">
        <v>127.83</v>
      </c>
      <c r="C356" s="8" t="str">
        <f>IFERROR(B356/B445, "NA")</f>
        <v>NA</v>
      </c>
      <c r="D356" s="9"/>
      <c r="E356" s="7">
        <v>212</v>
      </c>
      <c r="F356" s="8" t="str">
        <f>IFERROR(E356/E445, "NA")</f>
        <v>NA</v>
      </c>
      <c r="G356" s="9"/>
      <c r="H356" s="10">
        <f t="shared" si="88"/>
        <v>84.17</v>
      </c>
      <c r="I356" s="8" t="str">
        <f>IFERROR(H356/H445, "NA")</f>
        <v>NA</v>
      </c>
      <c r="J356" s="9"/>
      <c r="K356" s="7">
        <v>212</v>
      </c>
      <c r="L356" s="8" t="str">
        <f>IFERROR(K356/K445, "NA")</f>
        <v>NA</v>
      </c>
      <c r="M356" s="9"/>
      <c r="N356" s="10">
        <f t="shared" si="89"/>
        <v>84.17</v>
      </c>
      <c r="O356" s="8" t="str">
        <f>IFERROR(N356/N445, "NA")</f>
        <v>NA</v>
      </c>
      <c r="P356" s="9"/>
      <c r="Q356" s="7">
        <v>633.87</v>
      </c>
      <c r="R356" s="8" t="str">
        <f>IFERROR(Q356/Q445, "NA")</f>
        <v>NA</v>
      </c>
      <c r="S356" s="9"/>
      <c r="T356" s="7">
        <v>1081</v>
      </c>
      <c r="U356" s="8" t="str">
        <f>IFERROR(T356/T445, "NA")</f>
        <v>NA</v>
      </c>
      <c r="V356" s="9"/>
      <c r="W356" s="10">
        <f t="shared" si="90"/>
        <v>447.13</v>
      </c>
      <c r="X356" s="8" t="str">
        <f>IFERROR(W356/W445, "NA")</f>
        <v>NA</v>
      </c>
      <c r="Y356" s="9"/>
      <c r="Z356" s="7">
        <v>1219</v>
      </c>
      <c r="AA356" s="8" t="str">
        <f>IFERROR(Z356/Z445, "NA")</f>
        <v>NA</v>
      </c>
      <c r="AB356" s="9"/>
      <c r="AC356" s="10">
        <f t="shared" si="91"/>
        <v>585.13</v>
      </c>
      <c r="AD356" s="8" t="str">
        <f>IFERROR(AC356/AC445, "NA")</f>
        <v>NA</v>
      </c>
    </row>
    <row r="357" spans="1:30" ht="16.5" customHeight="1" x14ac:dyDescent="0.45">
      <c r="A357" s="6" t="s">
        <v>326</v>
      </c>
      <c r="B357" s="7">
        <v>5413</v>
      </c>
      <c r="C357" s="8" t="str">
        <f>IFERROR(B357/B445, "NA")</f>
        <v>NA</v>
      </c>
      <c r="D357" s="9"/>
      <c r="E357" s="7">
        <v>5413.46</v>
      </c>
      <c r="F357" s="8" t="str">
        <f>IFERROR(E357/E445, "NA")</f>
        <v>NA</v>
      </c>
      <c r="G357" s="9"/>
      <c r="H357" s="10">
        <f t="shared" si="88"/>
        <v>0.46000000000003638</v>
      </c>
      <c r="I357" s="8" t="str">
        <f>IFERROR(H357/H445, "NA")</f>
        <v>NA</v>
      </c>
      <c r="J357" s="9"/>
      <c r="K357" s="7">
        <v>6687.5</v>
      </c>
      <c r="L357" s="8" t="str">
        <f>IFERROR(K357/K445, "NA")</f>
        <v>NA</v>
      </c>
      <c r="M357" s="9"/>
      <c r="N357" s="10">
        <f t="shared" si="89"/>
        <v>1274.5</v>
      </c>
      <c r="O357" s="8" t="str">
        <f>IFERROR(N357/N445, "NA")</f>
        <v>NA</v>
      </c>
      <c r="P357" s="9"/>
      <c r="Q357" s="7">
        <v>26617</v>
      </c>
      <c r="R357" s="8" t="str">
        <f>IFERROR(Q357/Q445, "NA")</f>
        <v>NA</v>
      </c>
      <c r="S357" s="9"/>
      <c r="T357" s="7">
        <v>26617.79</v>
      </c>
      <c r="U357" s="8" t="str">
        <f>IFERROR(T357/T445, "NA")</f>
        <v>NA</v>
      </c>
      <c r="V357" s="9"/>
      <c r="W357" s="10">
        <f t="shared" si="90"/>
        <v>0.79000000000087311</v>
      </c>
      <c r="X357" s="8" t="str">
        <f>IFERROR(W357/W445, "NA")</f>
        <v>NA</v>
      </c>
      <c r="Y357" s="9"/>
      <c r="Z357" s="7">
        <v>34050</v>
      </c>
      <c r="AA357" s="8" t="str">
        <f>IFERROR(Z357/Z445, "NA")</f>
        <v>NA</v>
      </c>
      <c r="AB357" s="9"/>
      <c r="AC357" s="10">
        <f t="shared" si="91"/>
        <v>7433</v>
      </c>
      <c r="AD357" s="8" t="str">
        <f>IFERROR(AC357/AC445, "NA")</f>
        <v>NA</v>
      </c>
    </row>
    <row r="358" spans="1:30" ht="16.5" customHeight="1" x14ac:dyDescent="0.45">
      <c r="A358" s="6" t="s">
        <v>327</v>
      </c>
      <c r="B358" s="7">
        <v>2988.52</v>
      </c>
      <c r="C358" s="8" t="str">
        <f>IFERROR(B358/B445, "NA")</f>
        <v>NA</v>
      </c>
      <c r="D358" s="9"/>
      <c r="E358" s="7">
        <v>3680</v>
      </c>
      <c r="F358" s="8" t="str">
        <f>IFERROR(E358/E445, "NA")</f>
        <v>NA</v>
      </c>
      <c r="G358" s="9"/>
      <c r="H358" s="10">
        <f t="shared" si="88"/>
        <v>691.48</v>
      </c>
      <c r="I358" s="8" t="str">
        <f>IFERROR(H358/H445, "NA")</f>
        <v>NA</v>
      </c>
      <c r="J358" s="9"/>
      <c r="K358" s="7">
        <v>3674.43</v>
      </c>
      <c r="L358" s="8" t="str">
        <f>IFERROR(K358/K445, "NA")</f>
        <v>NA</v>
      </c>
      <c r="M358" s="9"/>
      <c r="N358" s="10">
        <f t="shared" si="89"/>
        <v>685.90999999999985</v>
      </c>
      <c r="O358" s="8" t="str">
        <f>IFERROR(N358/N445, "NA")</f>
        <v>NA</v>
      </c>
      <c r="P358" s="9"/>
      <c r="Q358" s="7">
        <v>15895.04</v>
      </c>
      <c r="R358" s="8" t="str">
        <f>IFERROR(Q358/Q445, "NA")</f>
        <v>NA</v>
      </c>
      <c r="S358" s="9"/>
      <c r="T358" s="7">
        <v>18400</v>
      </c>
      <c r="U358" s="8" t="str">
        <f>IFERROR(T358/T445, "NA")</f>
        <v>NA</v>
      </c>
      <c r="V358" s="9"/>
      <c r="W358" s="10">
        <f t="shared" si="90"/>
        <v>2504.9599999999991</v>
      </c>
      <c r="X358" s="8" t="str">
        <f>IFERROR(W358/W445, "NA")</f>
        <v>NA</v>
      </c>
      <c r="Y358" s="9"/>
      <c r="Z358" s="7">
        <v>17505.03</v>
      </c>
      <c r="AA358" s="8" t="str">
        <f>IFERROR(Z358/Z445, "NA")</f>
        <v>NA</v>
      </c>
      <c r="AB358" s="9"/>
      <c r="AC358" s="10">
        <f t="shared" si="91"/>
        <v>1609.989999999998</v>
      </c>
      <c r="AD358" s="8" t="str">
        <f>IFERROR(AC358/AC445, "NA")</f>
        <v>NA</v>
      </c>
    </row>
    <row r="359" spans="1:30" ht="16.5" customHeight="1" x14ac:dyDescent="0.45">
      <c r="A359" s="19" t="s">
        <v>328</v>
      </c>
      <c r="B359" s="14">
        <f>IFERROR(B350+B351+B352+B353+B354+B355+B356+B357+B358, "NA")</f>
        <v>46747.6</v>
      </c>
      <c r="C359" s="15" t="str">
        <f>IFERROR(B359/B445, "NA")</f>
        <v>NA</v>
      </c>
      <c r="D359" s="2"/>
      <c r="E359" s="14">
        <f>IFERROR(E350+E351+E352+E353+E354+E355+E356+E357+E358, "NA")</f>
        <v>56207.69</v>
      </c>
      <c r="F359" s="15" t="str">
        <f>IFERROR(E359/E445, "NA")</f>
        <v>NA</v>
      </c>
      <c r="G359" s="2"/>
      <c r="H359" s="14">
        <f t="shared" si="88"/>
        <v>9460.0900000000038</v>
      </c>
      <c r="I359" s="15" t="str">
        <f>IFERROR(H359/H445, "NA")</f>
        <v>NA</v>
      </c>
      <c r="J359" s="2"/>
      <c r="K359" s="14">
        <f>IFERROR(K350+K351+K352+K353+K354+K355+K356+K357+K358, "NA")</f>
        <v>55211.02</v>
      </c>
      <c r="L359" s="15" t="str">
        <f>IFERROR(K359/K445, "NA")</f>
        <v>NA</v>
      </c>
      <c r="M359" s="2"/>
      <c r="N359" s="14">
        <f t="shared" si="89"/>
        <v>8463.4199999999983</v>
      </c>
      <c r="O359" s="15" t="str">
        <f>IFERROR(N359/N445, "NA")</f>
        <v>NA</v>
      </c>
      <c r="P359" s="2"/>
      <c r="Q359" s="14">
        <f>IFERROR(Q350+Q351+Q352+Q353+Q354+Q355+Q356+Q357+Q358, "NA")</f>
        <v>244165.61000000002</v>
      </c>
      <c r="R359" s="15" t="str">
        <f>IFERROR(Q359/Q445, "NA")</f>
        <v>NA</v>
      </c>
      <c r="S359" s="2"/>
      <c r="T359" s="14">
        <f>IFERROR(T350+T351+T352+T353+T354+T355+T356+T357+T358, "NA")</f>
        <v>276715.3</v>
      </c>
      <c r="U359" s="15" t="str">
        <f>IFERROR(T359/T445, "NA")</f>
        <v>NA</v>
      </c>
      <c r="V359" s="2"/>
      <c r="W359" s="14">
        <f t="shared" si="90"/>
        <v>32549.689999999973</v>
      </c>
      <c r="X359" s="15" t="str">
        <f>IFERROR(W359/W445, "NA")</f>
        <v>NA</v>
      </c>
      <c r="Y359" s="2"/>
      <c r="Z359" s="14">
        <f>IFERROR(Z350+Z351+Z352+Z353+Z354+Z355+Z356+Z357+Z358, "NA")</f>
        <v>345822.51</v>
      </c>
      <c r="AA359" s="15" t="str">
        <f>IFERROR(Z359/Z445, "NA")</f>
        <v>NA</v>
      </c>
      <c r="AB359" s="2"/>
      <c r="AC359" s="14">
        <f t="shared" si="91"/>
        <v>101656.9</v>
      </c>
      <c r="AD359" s="15" t="str">
        <f>IFERROR(AC359/AC445, "NA")</f>
        <v>NA</v>
      </c>
    </row>
    <row r="360" spans="1:30" ht="16.5" customHeight="1" x14ac:dyDescent="0.45">
      <c r="A360" s="5" t="s">
        <v>329</v>
      </c>
      <c r="B360" s="2"/>
      <c r="C360" s="3"/>
      <c r="D360" s="4"/>
      <c r="E360" s="2"/>
      <c r="F360" s="3"/>
      <c r="G360" s="4"/>
      <c r="H360" s="2"/>
      <c r="I360" s="3"/>
      <c r="J360" s="4"/>
      <c r="K360" s="2"/>
      <c r="L360" s="3"/>
      <c r="M360" s="4"/>
      <c r="N360" s="2"/>
      <c r="O360" s="3"/>
      <c r="P360" s="4"/>
      <c r="Q360" s="2"/>
      <c r="R360" s="3"/>
      <c r="S360" s="4"/>
      <c r="T360" s="2"/>
      <c r="U360" s="3"/>
      <c r="V360" s="4"/>
      <c r="W360" s="2"/>
      <c r="X360" s="3"/>
      <c r="Y360" s="4"/>
      <c r="Z360" s="2"/>
      <c r="AA360" s="3"/>
      <c r="AB360" s="4"/>
      <c r="AC360" s="2"/>
      <c r="AD360" s="3"/>
    </row>
    <row r="361" spans="1:30" ht="16.5" hidden="1" customHeight="1" x14ac:dyDescent="0.45">
      <c r="A361" s="6" t="s">
        <v>329</v>
      </c>
      <c r="B361" s="7">
        <v>0</v>
      </c>
      <c r="C361" s="8" t="str">
        <f>IFERROR(B361/B445, "NA")</f>
        <v>NA</v>
      </c>
      <c r="D361" s="9"/>
      <c r="E361" s="7">
        <v>0</v>
      </c>
      <c r="F361" s="8" t="str">
        <f>IFERROR(E361/E445, "NA")</f>
        <v>NA</v>
      </c>
      <c r="G361" s="9"/>
      <c r="H361" s="10">
        <f t="shared" ref="H361:H384" si="92">IFERROR(-(B361-E361), "NA")</f>
        <v>0</v>
      </c>
      <c r="I361" s="8" t="str">
        <f>IFERROR(H361/H445, "NA")</f>
        <v>NA</v>
      </c>
      <c r="J361" s="9"/>
      <c r="K361" s="7">
        <v>0</v>
      </c>
      <c r="L361" s="8" t="str">
        <f>IFERROR(K361/K445, "NA")</f>
        <v>NA</v>
      </c>
      <c r="M361" s="9"/>
      <c r="N361" s="10">
        <f t="shared" ref="N361:N384" si="93">IFERROR(-(B361-K361), "NA")</f>
        <v>0</v>
      </c>
      <c r="O361" s="8" t="str">
        <f>IFERROR(N361/N445, "NA")</f>
        <v>NA</v>
      </c>
      <c r="P361" s="9"/>
      <c r="Q361" s="7">
        <v>0</v>
      </c>
      <c r="R361" s="8" t="str">
        <f>IFERROR(Q361/Q445, "NA")</f>
        <v>NA</v>
      </c>
      <c r="S361" s="9"/>
      <c r="T361" s="7">
        <v>0</v>
      </c>
      <c r="U361" s="8" t="str">
        <f>IFERROR(T361/T445, "NA")</f>
        <v>NA</v>
      </c>
      <c r="V361" s="9"/>
      <c r="W361" s="10">
        <f t="shared" ref="W361:W384" si="94">IFERROR(-(Q361-T361), "NA")</f>
        <v>0</v>
      </c>
      <c r="X361" s="8" t="str">
        <f>IFERROR(W361/W445, "NA")</f>
        <v>NA</v>
      </c>
      <c r="Y361" s="9"/>
      <c r="Z361" s="7">
        <v>0</v>
      </c>
      <c r="AA361" s="8" t="str">
        <f>IFERROR(Z361/Z445, "NA")</f>
        <v>NA</v>
      </c>
      <c r="AB361" s="9"/>
      <c r="AC361" s="10">
        <f t="shared" ref="AC361:AC384" si="95">IFERROR(-(Q361-Z361), "NA")</f>
        <v>0</v>
      </c>
      <c r="AD361" s="8" t="str">
        <f>IFERROR(AC361/AC445, "NA")</f>
        <v>NA</v>
      </c>
    </row>
    <row r="362" spans="1:30" ht="16.5" hidden="1" customHeight="1" x14ac:dyDescent="0.45">
      <c r="A362" s="6" t="s">
        <v>330</v>
      </c>
      <c r="B362" s="7">
        <v>0</v>
      </c>
      <c r="C362" s="8" t="str">
        <f>IFERROR(B362/B445, "NA")</f>
        <v>NA</v>
      </c>
      <c r="D362" s="9"/>
      <c r="E362" s="7">
        <v>0</v>
      </c>
      <c r="F362" s="8" t="str">
        <f>IFERROR(E362/E445, "NA")</f>
        <v>NA</v>
      </c>
      <c r="G362" s="9"/>
      <c r="H362" s="10">
        <f t="shared" si="92"/>
        <v>0</v>
      </c>
      <c r="I362" s="8" t="str">
        <f>IFERROR(H362/H445, "NA")</f>
        <v>NA</v>
      </c>
      <c r="J362" s="9"/>
      <c r="K362" s="7">
        <v>0</v>
      </c>
      <c r="L362" s="8" t="str">
        <f>IFERROR(K362/K445, "NA")</f>
        <v>NA</v>
      </c>
      <c r="M362" s="9"/>
      <c r="N362" s="10">
        <f t="shared" si="93"/>
        <v>0</v>
      </c>
      <c r="O362" s="8" t="str">
        <f>IFERROR(N362/N445, "NA")</f>
        <v>NA</v>
      </c>
      <c r="P362" s="9"/>
      <c r="Q362" s="7">
        <v>0</v>
      </c>
      <c r="R362" s="8" t="str">
        <f>IFERROR(Q362/Q445, "NA")</f>
        <v>NA</v>
      </c>
      <c r="S362" s="9"/>
      <c r="T362" s="7">
        <v>0</v>
      </c>
      <c r="U362" s="8" t="str">
        <f>IFERROR(T362/T445, "NA")</f>
        <v>NA</v>
      </c>
      <c r="V362" s="9"/>
      <c r="W362" s="10">
        <f t="shared" si="94"/>
        <v>0</v>
      </c>
      <c r="X362" s="8" t="str">
        <f>IFERROR(W362/W445, "NA")</f>
        <v>NA</v>
      </c>
      <c r="Y362" s="9"/>
      <c r="Z362" s="7">
        <v>0</v>
      </c>
      <c r="AA362" s="8" t="str">
        <f>IFERROR(Z362/Z445, "NA")</f>
        <v>NA</v>
      </c>
      <c r="AB362" s="9"/>
      <c r="AC362" s="10">
        <f t="shared" si="95"/>
        <v>0</v>
      </c>
      <c r="AD362" s="8" t="str">
        <f>IFERROR(AC362/AC445, "NA")</f>
        <v>NA</v>
      </c>
    </row>
    <row r="363" spans="1:30" ht="16.5" customHeight="1" x14ac:dyDescent="0.45">
      <c r="A363" s="6" t="s">
        <v>331</v>
      </c>
      <c r="B363" s="7">
        <v>225.99</v>
      </c>
      <c r="C363" s="8" t="str">
        <f>IFERROR(B363/B445, "NA")</f>
        <v>NA</v>
      </c>
      <c r="D363" s="9"/>
      <c r="E363" s="7">
        <v>864</v>
      </c>
      <c r="F363" s="8" t="str">
        <f>IFERROR(E363/E445, "NA")</f>
        <v>NA</v>
      </c>
      <c r="G363" s="9"/>
      <c r="H363" s="10">
        <f t="shared" si="92"/>
        <v>638.01</v>
      </c>
      <c r="I363" s="8" t="str">
        <f>IFERROR(H363/H445, "NA")</f>
        <v>NA</v>
      </c>
      <c r="J363" s="9"/>
      <c r="K363" s="7">
        <v>679.65</v>
      </c>
      <c r="L363" s="8" t="str">
        <f>IFERROR(K363/K445, "NA")</f>
        <v>NA</v>
      </c>
      <c r="M363" s="9"/>
      <c r="N363" s="10">
        <f t="shared" si="93"/>
        <v>453.65999999999997</v>
      </c>
      <c r="O363" s="8" t="str">
        <f>IFERROR(N363/N445, "NA")</f>
        <v>NA</v>
      </c>
      <c r="P363" s="9"/>
      <c r="Q363" s="7">
        <v>1595.35</v>
      </c>
      <c r="R363" s="8" t="str">
        <f>IFERROR(Q363/Q445, "NA")</f>
        <v>NA</v>
      </c>
      <c r="S363" s="9"/>
      <c r="T363" s="7">
        <v>4536</v>
      </c>
      <c r="U363" s="8" t="str">
        <f>IFERROR(T363/T445, "NA")</f>
        <v>NA</v>
      </c>
      <c r="V363" s="9"/>
      <c r="W363" s="10">
        <f t="shared" si="94"/>
        <v>2940.65</v>
      </c>
      <c r="X363" s="8" t="str">
        <f>IFERROR(W363/W445, "NA")</f>
        <v>NA</v>
      </c>
      <c r="Y363" s="9"/>
      <c r="Z363" s="7">
        <v>4176.6000000000004</v>
      </c>
      <c r="AA363" s="8" t="str">
        <f>IFERROR(Z363/Z445, "NA")</f>
        <v>NA</v>
      </c>
      <c r="AB363" s="9"/>
      <c r="AC363" s="10">
        <f t="shared" si="95"/>
        <v>2581.2500000000005</v>
      </c>
      <c r="AD363" s="8" t="str">
        <f>IFERROR(AC363/AC445, "NA")</f>
        <v>NA</v>
      </c>
    </row>
    <row r="364" spans="1:30" ht="16.5" customHeight="1" x14ac:dyDescent="0.45">
      <c r="A364" s="6" t="s">
        <v>332</v>
      </c>
      <c r="B364" s="7">
        <v>1603.27</v>
      </c>
      <c r="C364" s="8" t="str">
        <f>IFERROR(B364/B445, "NA")</f>
        <v>NA</v>
      </c>
      <c r="D364" s="9"/>
      <c r="E364" s="7">
        <v>150</v>
      </c>
      <c r="F364" s="8" t="str">
        <f>IFERROR(E364/E445, "NA")</f>
        <v>NA</v>
      </c>
      <c r="G364" s="9"/>
      <c r="H364" s="10">
        <f t="shared" si="92"/>
        <v>-1453.27</v>
      </c>
      <c r="I364" s="8" t="str">
        <f>IFERROR(H364/H445, "NA")</f>
        <v>NA</v>
      </c>
      <c r="J364" s="9"/>
      <c r="K364" s="7">
        <v>1574.06</v>
      </c>
      <c r="L364" s="8" t="str">
        <f>IFERROR(K364/K445, "NA")</f>
        <v>NA</v>
      </c>
      <c r="M364" s="9"/>
      <c r="N364" s="10">
        <f t="shared" si="93"/>
        <v>-29.210000000000036</v>
      </c>
      <c r="O364" s="8" t="str">
        <f>IFERROR(N364/N445, "NA")</f>
        <v>NA</v>
      </c>
      <c r="P364" s="9"/>
      <c r="Q364" s="7">
        <v>5141.28</v>
      </c>
      <c r="R364" s="8" t="str">
        <f>IFERROR(Q364/Q445, "NA")</f>
        <v>NA</v>
      </c>
      <c r="S364" s="9"/>
      <c r="T364" s="7">
        <v>825</v>
      </c>
      <c r="U364" s="8" t="str">
        <f>IFERROR(T364/T445, "NA")</f>
        <v>NA</v>
      </c>
      <c r="V364" s="9"/>
      <c r="W364" s="10">
        <f t="shared" si="94"/>
        <v>-4316.28</v>
      </c>
      <c r="X364" s="8" t="str">
        <f>IFERROR(W364/W445, "NA")</f>
        <v>NA</v>
      </c>
      <c r="Y364" s="9"/>
      <c r="Z364" s="7">
        <v>5001.76</v>
      </c>
      <c r="AA364" s="8" t="str">
        <f>IFERROR(Z364/Z445, "NA")</f>
        <v>NA</v>
      </c>
      <c r="AB364" s="9"/>
      <c r="AC364" s="10">
        <f t="shared" si="95"/>
        <v>-139.51999999999953</v>
      </c>
      <c r="AD364" s="8" t="str">
        <f>IFERROR(AC364/AC445, "NA")</f>
        <v>NA</v>
      </c>
    </row>
    <row r="365" spans="1:30" ht="16.5" customHeight="1" x14ac:dyDescent="0.45">
      <c r="A365" s="6" t="s">
        <v>333</v>
      </c>
      <c r="B365" s="7">
        <v>199.73</v>
      </c>
      <c r="C365" s="8" t="str">
        <f>IFERROR(B365/B445, "NA")</f>
        <v>NA</v>
      </c>
      <c r="D365" s="9"/>
      <c r="E365" s="7">
        <v>500</v>
      </c>
      <c r="F365" s="8" t="str">
        <f>IFERROR(E365/E445, "NA")</f>
        <v>NA</v>
      </c>
      <c r="G365" s="9"/>
      <c r="H365" s="10">
        <f t="shared" si="92"/>
        <v>300.27</v>
      </c>
      <c r="I365" s="8" t="str">
        <f>IFERROR(H365/H445, "NA")</f>
        <v>NA</v>
      </c>
      <c r="J365" s="9"/>
      <c r="K365" s="7">
        <v>1034.8499999999999</v>
      </c>
      <c r="L365" s="8" t="str">
        <f>IFERROR(K365/K445, "NA")</f>
        <v>NA</v>
      </c>
      <c r="M365" s="9"/>
      <c r="N365" s="10">
        <f t="shared" si="93"/>
        <v>835.11999999999989</v>
      </c>
      <c r="O365" s="8" t="str">
        <f>IFERROR(N365/N445, "NA")</f>
        <v>NA</v>
      </c>
      <c r="P365" s="9"/>
      <c r="Q365" s="7">
        <v>792.42</v>
      </c>
      <c r="R365" s="8" t="str">
        <f>IFERROR(Q365/Q445, "NA")</f>
        <v>NA</v>
      </c>
      <c r="S365" s="9"/>
      <c r="T365" s="7">
        <v>2900</v>
      </c>
      <c r="U365" s="8" t="str">
        <f>IFERROR(T365/T445, "NA")</f>
        <v>NA</v>
      </c>
      <c r="V365" s="9"/>
      <c r="W365" s="10">
        <f t="shared" si="94"/>
        <v>2107.58</v>
      </c>
      <c r="X365" s="8" t="str">
        <f>IFERROR(W365/W445, "NA")</f>
        <v>NA</v>
      </c>
      <c r="Y365" s="9"/>
      <c r="Z365" s="7">
        <v>3959.6</v>
      </c>
      <c r="AA365" s="8" t="str">
        <f>IFERROR(Z365/Z445, "NA")</f>
        <v>NA</v>
      </c>
      <c r="AB365" s="9"/>
      <c r="AC365" s="10">
        <f t="shared" si="95"/>
        <v>3167.18</v>
      </c>
      <c r="AD365" s="8" t="str">
        <f>IFERROR(AC365/AC445, "NA")</f>
        <v>NA</v>
      </c>
    </row>
    <row r="366" spans="1:30" ht="16.5" customHeight="1" x14ac:dyDescent="0.45">
      <c r="A366" s="6" t="s">
        <v>334</v>
      </c>
      <c r="B366" s="7">
        <v>-292</v>
      </c>
      <c r="C366" s="8" t="str">
        <f>IFERROR(B366/B445, "NA")</f>
        <v>NA</v>
      </c>
      <c r="D366" s="9"/>
      <c r="E366" s="7">
        <v>1125</v>
      </c>
      <c r="F366" s="8" t="str">
        <f>IFERROR(E366/E445, "NA")</f>
        <v>NA</v>
      </c>
      <c r="G366" s="9"/>
      <c r="H366" s="10">
        <f t="shared" si="92"/>
        <v>1417</v>
      </c>
      <c r="I366" s="8" t="str">
        <f>IFERROR(H366/H445, "NA")</f>
        <v>NA</v>
      </c>
      <c r="J366" s="9"/>
      <c r="K366" s="7">
        <v>1823.32</v>
      </c>
      <c r="L366" s="8" t="str">
        <f>IFERROR(K366/K445, "NA")</f>
        <v>NA</v>
      </c>
      <c r="M366" s="9"/>
      <c r="N366" s="10">
        <f t="shared" si="93"/>
        <v>2115.3199999999997</v>
      </c>
      <c r="O366" s="8" t="str">
        <f>IFERROR(N366/N445, "NA")</f>
        <v>NA</v>
      </c>
      <c r="P366" s="9"/>
      <c r="Q366" s="7">
        <v>4375.46</v>
      </c>
      <c r="R366" s="8" t="str">
        <f>IFERROR(Q366/Q445, "NA")</f>
        <v>NA</v>
      </c>
      <c r="S366" s="9"/>
      <c r="T366" s="7">
        <v>4050</v>
      </c>
      <c r="U366" s="8" t="str">
        <f>IFERROR(T366/T445, "NA")</f>
        <v>NA</v>
      </c>
      <c r="V366" s="9"/>
      <c r="W366" s="10">
        <f t="shared" si="94"/>
        <v>-325.46000000000004</v>
      </c>
      <c r="X366" s="8" t="str">
        <f>IFERROR(W366/W445, "NA")</f>
        <v>NA</v>
      </c>
      <c r="Y366" s="9"/>
      <c r="Z366" s="7">
        <v>4358.38</v>
      </c>
      <c r="AA366" s="8" t="str">
        <f>IFERROR(Z366/Z445, "NA")</f>
        <v>NA</v>
      </c>
      <c r="AB366" s="9"/>
      <c r="AC366" s="10">
        <f t="shared" si="95"/>
        <v>-17.079999999999927</v>
      </c>
      <c r="AD366" s="8" t="str">
        <f>IFERROR(AC366/AC445, "NA")</f>
        <v>NA</v>
      </c>
    </row>
    <row r="367" spans="1:30" ht="16.5" customHeight="1" x14ac:dyDescent="0.45">
      <c r="A367" s="6" t="s">
        <v>335</v>
      </c>
      <c r="B367" s="7">
        <v>0</v>
      </c>
      <c r="C367" s="8" t="str">
        <f>IFERROR(B367/B445, "NA")</f>
        <v>NA</v>
      </c>
      <c r="D367" s="9"/>
      <c r="E367" s="7">
        <v>225</v>
      </c>
      <c r="F367" s="8" t="str">
        <f>IFERROR(E367/E445, "NA")</f>
        <v>NA</v>
      </c>
      <c r="G367" s="9"/>
      <c r="H367" s="10">
        <f t="shared" si="92"/>
        <v>225</v>
      </c>
      <c r="I367" s="8" t="str">
        <f>IFERROR(H367/H445, "NA")</f>
        <v>NA</v>
      </c>
      <c r="J367" s="9"/>
      <c r="K367" s="7">
        <v>1375.6</v>
      </c>
      <c r="L367" s="8" t="str">
        <f>IFERROR(K367/K445, "NA")</f>
        <v>NA</v>
      </c>
      <c r="M367" s="9"/>
      <c r="N367" s="10">
        <f t="shared" si="93"/>
        <v>1375.6</v>
      </c>
      <c r="O367" s="8" t="str">
        <f>IFERROR(N367/N445, "NA")</f>
        <v>NA</v>
      </c>
      <c r="P367" s="9"/>
      <c r="Q367" s="7">
        <v>2548.41</v>
      </c>
      <c r="R367" s="8" t="str">
        <f>IFERROR(Q367/Q445, "NA")</f>
        <v>NA</v>
      </c>
      <c r="S367" s="9"/>
      <c r="T367" s="7">
        <v>1800</v>
      </c>
      <c r="U367" s="8" t="str">
        <f>IFERROR(T367/T445, "NA")</f>
        <v>NA</v>
      </c>
      <c r="V367" s="9"/>
      <c r="W367" s="10">
        <f t="shared" si="94"/>
        <v>-748.40999999999985</v>
      </c>
      <c r="X367" s="8" t="str">
        <f>IFERROR(W367/W445, "NA")</f>
        <v>NA</v>
      </c>
      <c r="Y367" s="9"/>
      <c r="Z367" s="7">
        <v>2793.51</v>
      </c>
      <c r="AA367" s="8" t="str">
        <f>IFERROR(Z367/Z445, "NA")</f>
        <v>NA</v>
      </c>
      <c r="AB367" s="9"/>
      <c r="AC367" s="10">
        <f t="shared" si="95"/>
        <v>245.10000000000036</v>
      </c>
      <c r="AD367" s="8" t="str">
        <f>IFERROR(AC367/AC445, "NA")</f>
        <v>NA</v>
      </c>
    </row>
    <row r="368" spans="1:30" ht="16.5" customHeight="1" x14ac:dyDescent="0.45">
      <c r="A368" s="6" t="s">
        <v>336</v>
      </c>
      <c r="B368" s="7">
        <v>1212.74</v>
      </c>
      <c r="C368" s="8" t="str">
        <f>IFERROR(B368/B445, "NA")</f>
        <v>NA</v>
      </c>
      <c r="D368" s="9"/>
      <c r="E368" s="7">
        <v>0</v>
      </c>
      <c r="F368" s="8" t="str">
        <f>IFERROR(E368/E445, "NA")</f>
        <v>NA</v>
      </c>
      <c r="G368" s="9"/>
      <c r="H368" s="10">
        <f t="shared" si="92"/>
        <v>-1212.74</v>
      </c>
      <c r="I368" s="8" t="str">
        <f>IFERROR(H368/H445, "NA")</f>
        <v>NA</v>
      </c>
      <c r="J368" s="9"/>
      <c r="K368" s="7">
        <v>0</v>
      </c>
      <c r="L368" s="8" t="str">
        <f>IFERROR(K368/K445, "NA")</f>
        <v>NA</v>
      </c>
      <c r="M368" s="9"/>
      <c r="N368" s="10">
        <f t="shared" si="93"/>
        <v>-1212.74</v>
      </c>
      <c r="O368" s="8" t="str">
        <f>IFERROR(N368/N445, "NA")</f>
        <v>NA</v>
      </c>
      <c r="P368" s="9"/>
      <c r="Q368" s="7">
        <v>8148.15</v>
      </c>
      <c r="R368" s="8" t="str">
        <f>IFERROR(Q368/Q445, "NA")</f>
        <v>NA</v>
      </c>
      <c r="S368" s="9"/>
      <c r="T368" s="7">
        <v>0</v>
      </c>
      <c r="U368" s="8" t="str">
        <f>IFERROR(T368/T445, "NA")</f>
        <v>NA</v>
      </c>
      <c r="V368" s="9"/>
      <c r="W368" s="10">
        <f t="shared" si="94"/>
        <v>-8148.15</v>
      </c>
      <c r="X368" s="8" t="str">
        <f>IFERROR(W368/W445, "NA")</f>
        <v>NA</v>
      </c>
      <c r="Y368" s="9"/>
      <c r="Z368" s="7">
        <v>5481.74</v>
      </c>
      <c r="AA368" s="8" t="str">
        <f>IFERROR(Z368/Z445, "NA")</f>
        <v>NA</v>
      </c>
      <c r="AB368" s="9"/>
      <c r="AC368" s="10">
        <f t="shared" si="95"/>
        <v>-2666.41</v>
      </c>
      <c r="AD368" s="8" t="str">
        <f>IFERROR(AC368/AC445, "NA")</f>
        <v>NA</v>
      </c>
    </row>
    <row r="369" spans="1:30" ht="16.5" customHeight="1" x14ac:dyDescent="0.45">
      <c r="A369" s="19" t="s">
        <v>337</v>
      </c>
      <c r="B369" s="14">
        <f>IFERROR(B361+B362+B363+B364+B365+B366+B367+B368, "NA")</f>
        <v>2949.73</v>
      </c>
      <c r="C369" s="15" t="str">
        <f>IFERROR(B369/B445, "NA")</f>
        <v>NA</v>
      </c>
      <c r="D369" s="2"/>
      <c r="E369" s="14">
        <f>IFERROR(E361+E362+E363+E364+E365+E366+E367+E368, "NA")</f>
        <v>2864</v>
      </c>
      <c r="F369" s="15" t="str">
        <f>IFERROR(E369/E445, "NA")</f>
        <v>NA</v>
      </c>
      <c r="G369" s="2"/>
      <c r="H369" s="14">
        <f t="shared" si="92"/>
        <v>-85.730000000000018</v>
      </c>
      <c r="I369" s="15" t="str">
        <f>IFERROR(H369/H445, "NA")</f>
        <v>NA</v>
      </c>
      <c r="J369" s="2"/>
      <c r="K369" s="14">
        <f>IFERROR(K361+K362+K363+K364+K365+K366+K367+K368, "NA")</f>
        <v>6487.48</v>
      </c>
      <c r="L369" s="15" t="str">
        <f>IFERROR(K369/K445, "NA")</f>
        <v>NA</v>
      </c>
      <c r="M369" s="2"/>
      <c r="N369" s="14">
        <f t="shared" si="93"/>
        <v>3537.7499999999995</v>
      </c>
      <c r="O369" s="15" t="str">
        <f>IFERROR(N369/N445, "NA")</f>
        <v>NA</v>
      </c>
      <c r="P369" s="2"/>
      <c r="Q369" s="14">
        <f>IFERROR(Q361+Q362+Q363+Q364+Q365+Q366+Q367+Q368, "NA")</f>
        <v>22601.07</v>
      </c>
      <c r="R369" s="15" t="str">
        <f>IFERROR(Q369/Q445, "NA")</f>
        <v>NA</v>
      </c>
      <c r="S369" s="2"/>
      <c r="T369" s="14">
        <f>IFERROR(T361+T362+T363+T364+T365+T366+T367+T368, "NA")</f>
        <v>14111</v>
      </c>
      <c r="U369" s="15" t="str">
        <f>IFERROR(T369/T445, "NA")</f>
        <v>NA</v>
      </c>
      <c r="V369" s="2"/>
      <c r="W369" s="14">
        <f t="shared" si="94"/>
        <v>-8490.07</v>
      </c>
      <c r="X369" s="15" t="str">
        <f>IFERROR(W369/W445, "NA")</f>
        <v>NA</v>
      </c>
      <c r="Y369" s="2"/>
      <c r="Z369" s="14">
        <f>IFERROR(Z361+Z362+Z363+Z364+Z365+Z366+Z367+Z368, "NA")</f>
        <v>25771.589999999997</v>
      </c>
      <c r="AA369" s="15" t="str">
        <f>IFERROR(Z369/Z445, "NA")</f>
        <v>NA</v>
      </c>
      <c r="AB369" s="2"/>
      <c r="AC369" s="14">
        <f t="shared" si="95"/>
        <v>3170.5199999999968</v>
      </c>
      <c r="AD369" s="15" t="str">
        <f>IFERROR(AC369/AC445, "NA")</f>
        <v>NA</v>
      </c>
    </row>
    <row r="370" spans="1:30" ht="16.5" hidden="1" customHeight="1" x14ac:dyDescent="0.45">
      <c r="A370" s="20" t="s">
        <v>338</v>
      </c>
      <c r="B370" s="7">
        <v>0</v>
      </c>
      <c r="C370" s="8" t="str">
        <f>IFERROR(B370/B445, "NA")</f>
        <v>NA</v>
      </c>
      <c r="D370" s="9"/>
      <c r="E370" s="7">
        <v>0</v>
      </c>
      <c r="F370" s="8" t="str">
        <f>IFERROR(E370/E445, "NA")</f>
        <v>NA</v>
      </c>
      <c r="G370" s="9"/>
      <c r="H370" s="10">
        <f t="shared" si="92"/>
        <v>0</v>
      </c>
      <c r="I370" s="8" t="str">
        <f>IFERROR(H370/H445, "NA")</f>
        <v>NA</v>
      </c>
      <c r="J370" s="9"/>
      <c r="K370" s="7">
        <v>0</v>
      </c>
      <c r="L370" s="8" t="str">
        <f>IFERROR(K370/K445, "NA")</f>
        <v>NA</v>
      </c>
      <c r="M370" s="9"/>
      <c r="N370" s="10">
        <f t="shared" si="93"/>
        <v>0</v>
      </c>
      <c r="O370" s="8" t="str">
        <f>IFERROR(N370/N445, "NA")</f>
        <v>NA</v>
      </c>
      <c r="P370" s="9"/>
      <c r="Q370" s="7">
        <v>0</v>
      </c>
      <c r="R370" s="8" t="str">
        <f>IFERROR(Q370/Q445, "NA")</f>
        <v>NA</v>
      </c>
      <c r="S370" s="9"/>
      <c r="T370" s="7">
        <v>0</v>
      </c>
      <c r="U370" s="8" t="str">
        <f>IFERROR(T370/T445, "NA")</f>
        <v>NA</v>
      </c>
      <c r="V370" s="9"/>
      <c r="W370" s="10">
        <f t="shared" si="94"/>
        <v>0</v>
      </c>
      <c r="X370" s="8" t="str">
        <f>IFERROR(W370/W445, "NA")</f>
        <v>NA</v>
      </c>
      <c r="Y370" s="9"/>
      <c r="Z370" s="7">
        <v>0</v>
      </c>
      <c r="AA370" s="8" t="str">
        <f>IFERROR(Z370/Z445, "NA")</f>
        <v>NA</v>
      </c>
      <c r="AB370" s="9"/>
      <c r="AC370" s="10">
        <f t="shared" si="95"/>
        <v>0</v>
      </c>
      <c r="AD370" s="8" t="str">
        <f>IFERROR(AC370/AC445, "NA")</f>
        <v>NA</v>
      </c>
    </row>
    <row r="371" spans="1:30" ht="16.5" customHeight="1" x14ac:dyDescent="0.45">
      <c r="A371" s="20" t="s">
        <v>339</v>
      </c>
      <c r="B371" s="7">
        <v>110.71</v>
      </c>
      <c r="C371" s="8" t="str">
        <f>IFERROR(B371/B445, "NA")</f>
        <v>NA</v>
      </c>
      <c r="D371" s="9"/>
      <c r="E371" s="7">
        <v>100</v>
      </c>
      <c r="F371" s="8" t="str">
        <f>IFERROR(E371/E445, "NA")</f>
        <v>NA</v>
      </c>
      <c r="G371" s="9"/>
      <c r="H371" s="10">
        <f t="shared" si="92"/>
        <v>-10.709999999999994</v>
      </c>
      <c r="I371" s="8" t="str">
        <f>IFERROR(H371/H445, "NA")</f>
        <v>NA</v>
      </c>
      <c r="J371" s="9"/>
      <c r="K371" s="7">
        <v>98</v>
      </c>
      <c r="L371" s="8" t="str">
        <f>IFERROR(K371/K445, "NA")</f>
        <v>NA</v>
      </c>
      <c r="M371" s="9"/>
      <c r="N371" s="10">
        <f t="shared" si="93"/>
        <v>-12.709999999999994</v>
      </c>
      <c r="O371" s="8" t="str">
        <f>IFERROR(N371/N445, "NA")</f>
        <v>NA</v>
      </c>
      <c r="P371" s="9"/>
      <c r="Q371" s="7">
        <v>569.66</v>
      </c>
      <c r="R371" s="8" t="str">
        <f>IFERROR(Q371/Q445, "NA")</f>
        <v>NA</v>
      </c>
      <c r="S371" s="9"/>
      <c r="T371" s="7">
        <v>1400</v>
      </c>
      <c r="U371" s="8" t="str">
        <f>IFERROR(T371/T445, "NA")</f>
        <v>NA</v>
      </c>
      <c r="V371" s="9"/>
      <c r="W371" s="10">
        <f t="shared" si="94"/>
        <v>830.34</v>
      </c>
      <c r="X371" s="8" t="str">
        <f>IFERROR(W371/W445, "NA")</f>
        <v>NA</v>
      </c>
      <c r="Y371" s="9"/>
      <c r="Z371" s="7">
        <v>1389</v>
      </c>
      <c r="AA371" s="8" t="str">
        <f>IFERROR(Z371/Z445, "NA")</f>
        <v>NA</v>
      </c>
      <c r="AB371" s="9"/>
      <c r="AC371" s="10">
        <f t="shared" si="95"/>
        <v>819.34</v>
      </c>
      <c r="AD371" s="8" t="str">
        <f>IFERROR(AC371/AC445, "NA")</f>
        <v>NA</v>
      </c>
    </row>
    <row r="372" spans="1:30" ht="16.5" customHeight="1" x14ac:dyDescent="0.45">
      <c r="A372" s="20" t="s">
        <v>340</v>
      </c>
      <c r="B372" s="7">
        <v>348.13</v>
      </c>
      <c r="C372" s="8" t="str">
        <f>IFERROR(B372/B445, "NA")</f>
        <v>NA</v>
      </c>
      <c r="D372" s="9"/>
      <c r="E372" s="7">
        <v>125</v>
      </c>
      <c r="F372" s="8" t="str">
        <f>IFERROR(E372/E445, "NA")</f>
        <v>NA</v>
      </c>
      <c r="G372" s="9"/>
      <c r="H372" s="10">
        <f t="shared" si="92"/>
        <v>-223.13</v>
      </c>
      <c r="I372" s="8" t="str">
        <f>IFERROR(H372/H445, "NA")</f>
        <v>NA</v>
      </c>
      <c r="J372" s="9"/>
      <c r="K372" s="7">
        <v>1529.36</v>
      </c>
      <c r="L372" s="8" t="str">
        <f>IFERROR(K372/K445, "NA")</f>
        <v>NA</v>
      </c>
      <c r="M372" s="9"/>
      <c r="N372" s="10">
        <f t="shared" si="93"/>
        <v>1181.23</v>
      </c>
      <c r="O372" s="8" t="str">
        <f>IFERROR(N372/N445, "NA")</f>
        <v>NA</v>
      </c>
      <c r="P372" s="9"/>
      <c r="Q372" s="7">
        <v>1968.74</v>
      </c>
      <c r="R372" s="8" t="str">
        <f>IFERROR(Q372/Q445, "NA")</f>
        <v>NA</v>
      </c>
      <c r="S372" s="9"/>
      <c r="T372" s="7">
        <v>625</v>
      </c>
      <c r="U372" s="8" t="str">
        <f>IFERROR(T372/T445, "NA")</f>
        <v>NA</v>
      </c>
      <c r="V372" s="9"/>
      <c r="W372" s="10">
        <f t="shared" si="94"/>
        <v>-1343.74</v>
      </c>
      <c r="X372" s="8" t="str">
        <f>IFERROR(W372/W445, "NA")</f>
        <v>NA</v>
      </c>
      <c r="Y372" s="9"/>
      <c r="Z372" s="7">
        <v>2404.83</v>
      </c>
      <c r="AA372" s="8" t="str">
        <f>IFERROR(Z372/Z445, "NA")</f>
        <v>NA</v>
      </c>
      <c r="AB372" s="9"/>
      <c r="AC372" s="10">
        <f t="shared" si="95"/>
        <v>436.08999999999992</v>
      </c>
      <c r="AD372" s="8" t="str">
        <f>IFERROR(AC372/AC445, "NA")</f>
        <v>NA</v>
      </c>
    </row>
    <row r="373" spans="1:30" ht="16.5" customHeight="1" x14ac:dyDescent="0.45">
      <c r="A373" s="20" t="s">
        <v>341</v>
      </c>
      <c r="B373" s="7">
        <v>781.8</v>
      </c>
      <c r="C373" s="8" t="str">
        <f>IFERROR(B373/B445, "NA")</f>
        <v>NA</v>
      </c>
      <c r="D373" s="9"/>
      <c r="E373" s="7">
        <v>0</v>
      </c>
      <c r="F373" s="8" t="str">
        <f>IFERROR(E373/E445, "NA")</f>
        <v>NA</v>
      </c>
      <c r="G373" s="9"/>
      <c r="H373" s="10">
        <f t="shared" si="92"/>
        <v>-781.8</v>
      </c>
      <c r="I373" s="8" t="str">
        <f>IFERROR(H373/H445, "NA")</f>
        <v>NA</v>
      </c>
      <c r="J373" s="9"/>
      <c r="K373" s="7">
        <v>277.17</v>
      </c>
      <c r="L373" s="8" t="str">
        <f>IFERROR(K373/K445, "NA")</f>
        <v>NA</v>
      </c>
      <c r="M373" s="9"/>
      <c r="N373" s="10">
        <f t="shared" si="93"/>
        <v>-504.62999999999994</v>
      </c>
      <c r="O373" s="8" t="str">
        <f>IFERROR(N373/N445, "NA")</f>
        <v>NA</v>
      </c>
      <c r="P373" s="9"/>
      <c r="Q373" s="7">
        <v>2853.56</v>
      </c>
      <c r="R373" s="8" t="str">
        <f>IFERROR(Q373/Q445, "NA")</f>
        <v>NA</v>
      </c>
      <c r="S373" s="9"/>
      <c r="T373" s="7">
        <v>0</v>
      </c>
      <c r="U373" s="8" t="str">
        <f>IFERROR(T373/T445, "NA")</f>
        <v>NA</v>
      </c>
      <c r="V373" s="9"/>
      <c r="W373" s="10">
        <f t="shared" si="94"/>
        <v>-2853.56</v>
      </c>
      <c r="X373" s="8" t="str">
        <f>IFERROR(W373/W445, "NA")</f>
        <v>NA</v>
      </c>
      <c r="Y373" s="9"/>
      <c r="Z373" s="7">
        <v>2108.6799999999998</v>
      </c>
      <c r="AA373" s="8" t="str">
        <f>IFERROR(Z373/Z445, "NA")</f>
        <v>NA</v>
      </c>
      <c r="AB373" s="9"/>
      <c r="AC373" s="10">
        <f t="shared" si="95"/>
        <v>-744.88000000000011</v>
      </c>
      <c r="AD373" s="8" t="str">
        <f>IFERROR(AC373/AC445, "NA")</f>
        <v>NA</v>
      </c>
    </row>
    <row r="374" spans="1:30" ht="16.5" customHeight="1" x14ac:dyDescent="0.45">
      <c r="A374" s="20" t="s">
        <v>342</v>
      </c>
      <c r="B374" s="7">
        <v>387.98</v>
      </c>
      <c r="C374" s="8" t="str">
        <f>IFERROR(B374/B445, "NA")</f>
        <v>NA</v>
      </c>
      <c r="D374" s="9"/>
      <c r="E374" s="7">
        <v>629</v>
      </c>
      <c r="F374" s="8" t="str">
        <f>IFERROR(E374/E445, "NA")</f>
        <v>NA</v>
      </c>
      <c r="G374" s="9"/>
      <c r="H374" s="10">
        <f t="shared" si="92"/>
        <v>241.01999999999998</v>
      </c>
      <c r="I374" s="8" t="str">
        <f>IFERROR(H374/H445, "NA")</f>
        <v>NA</v>
      </c>
      <c r="J374" s="9"/>
      <c r="K374" s="7">
        <v>368.33</v>
      </c>
      <c r="L374" s="8" t="str">
        <f>IFERROR(K374/K445, "NA")</f>
        <v>NA</v>
      </c>
      <c r="M374" s="9"/>
      <c r="N374" s="10">
        <f t="shared" si="93"/>
        <v>-19.650000000000034</v>
      </c>
      <c r="O374" s="8" t="str">
        <f>IFERROR(N374/N445, "NA")</f>
        <v>NA</v>
      </c>
      <c r="P374" s="9"/>
      <c r="Q374" s="7">
        <v>3345.85</v>
      </c>
      <c r="R374" s="8" t="str">
        <f>IFERROR(Q374/Q445, "NA")</f>
        <v>NA</v>
      </c>
      <c r="S374" s="9"/>
      <c r="T374" s="7">
        <v>3145</v>
      </c>
      <c r="U374" s="8" t="str">
        <f>IFERROR(T374/T445, "NA")</f>
        <v>NA</v>
      </c>
      <c r="V374" s="9"/>
      <c r="W374" s="10">
        <f t="shared" si="94"/>
        <v>-200.84999999999991</v>
      </c>
      <c r="X374" s="8" t="str">
        <f>IFERROR(W374/W445, "NA")</f>
        <v>NA</v>
      </c>
      <c r="Y374" s="9"/>
      <c r="Z374" s="7">
        <v>2150.64</v>
      </c>
      <c r="AA374" s="8" t="str">
        <f>IFERROR(Z374/Z445, "NA")</f>
        <v>NA</v>
      </c>
      <c r="AB374" s="9"/>
      <c r="AC374" s="10">
        <f t="shared" si="95"/>
        <v>-1195.21</v>
      </c>
      <c r="AD374" s="8" t="str">
        <f>IFERROR(AC374/AC445, "NA")</f>
        <v>NA</v>
      </c>
    </row>
    <row r="375" spans="1:30" ht="16.5" customHeight="1" x14ac:dyDescent="0.45">
      <c r="A375" s="20" t="s">
        <v>343</v>
      </c>
      <c r="B375" s="7">
        <v>2117.81</v>
      </c>
      <c r="C375" s="8" t="str">
        <f>IFERROR(B375/B445, "NA")</f>
        <v>NA</v>
      </c>
      <c r="D375" s="9"/>
      <c r="E375" s="7">
        <v>2150</v>
      </c>
      <c r="F375" s="8" t="str">
        <f>IFERROR(E375/E445, "NA")</f>
        <v>NA</v>
      </c>
      <c r="G375" s="9"/>
      <c r="H375" s="10">
        <f t="shared" si="92"/>
        <v>32.190000000000055</v>
      </c>
      <c r="I375" s="8" t="str">
        <f>IFERROR(H375/H445, "NA")</f>
        <v>NA</v>
      </c>
      <c r="J375" s="9"/>
      <c r="K375" s="7">
        <v>1925</v>
      </c>
      <c r="L375" s="8" t="str">
        <f>IFERROR(K375/K445, "NA")</f>
        <v>NA</v>
      </c>
      <c r="M375" s="9"/>
      <c r="N375" s="10">
        <f t="shared" si="93"/>
        <v>-192.80999999999995</v>
      </c>
      <c r="O375" s="8" t="str">
        <f>IFERROR(N375/N445, "NA")</f>
        <v>NA</v>
      </c>
      <c r="P375" s="9"/>
      <c r="Q375" s="7">
        <v>10577.92</v>
      </c>
      <c r="R375" s="8" t="str">
        <f>IFERROR(Q375/Q445, "NA")</f>
        <v>NA</v>
      </c>
      <c r="S375" s="9"/>
      <c r="T375" s="7">
        <v>10750</v>
      </c>
      <c r="U375" s="8" t="str">
        <f>IFERROR(T375/T445, "NA")</f>
        <v>NA</v>
      </c>
      <c r="V375" s="9"/>
      <c r="W375" s="10">
        <f t="shared" si="94"/>
        <v>172.07999999999993</v>
      </c>
      <c r="X375" s="8" t="str">
        <f>IFERROR(W375/W445, "NA")</f>
        <v>NA</v>
      </c>
      <c r="Y375" s="9"/>
      <c r="Z375" s="7">
        <v>9584.01</v>
      </c>
      <c r="AA375" s="8" t="str">
        <f>IFERROR(Z375/Z445, "NA")</f>
        <v>NA</v>
      </c>
      <c r="AB375" s="9"/>
      <c r="AC375" s="10">
        <f t="shared" si="95"/>
        <v>-993.90999999999985</v>
      </c>
      <c r="AD375" s="8" t="str">
        <f>IFERROR(AC375/AC445, "NA")</f>
        <v>NA</v>
      </c>
    </row>
    <row r="376" spans="1:30" ht="16.5" customHeight="1" x14ac:dyDescent="0.45">
      <c r="A376" s="20" t="s">
        <v>344</v>
      </c>
      <c r="B376" s="7">
        <v>658.21</v>
      </c>
      <c r="C376" s="8" t="str">
        <f>IFERROR(B376/B445, "NA")</f>
        <v>NA</v>
      </c>
      <c r="D376" s="9"/>
      <c r="E376" s="7">
        <v>0</v>
      </c>
      <c r="F376" s="8" t="str">
        <f>IFERROR(E376/E445, "NA")</f>
        <v>NA</v>
      </c>
      <c r="G376" s="9"/>
      <c r="H376" s="10">
        <f t="shared" si="92"/>
        <v>-658.21</v>
      </c>
      <c r="I376" s="8" t="str">
        <f>IFERROR(H376/H445, "NA")</f>
        <v>NA</v>
      </c>
      <c r="J376" s="9"/>
      <c r="K376" s="7">
        <v>0</v>
      </c>
      <c r="L376" s="8" t="str">
        <f>IFERROR(K376/K445, "NA")</f>
        <v>NA</v>
      </c>
      <c r="M376" s="9"/>
      <c r="N376" s="10">
        <f t="shared" si="93"/>
        <v>-658.21</v>
      </c>
      <c r="O376" s="8" t="str">
        <f>IFERROR(N376/N445, "NA")</f>
        <v>NA</v>
      </c>
      <c r="P376" s="9"/>
      <c r="Q376" s="7">
        <v>843.21</v>
      </c>
      <c r="R376" s="8" t="str">
        <f>IFERROR(Q376/Q445, "NA")</f>
        <v>NA</v>
      </c>
      <c r="S376" s="9"/>
      <c r="T376" s="7">
        <v>0</v>
      </c>
      <c r="U376" s="8" t="str">
        <f>IFERROR(T376/T445, "NA")</f>
        <v>NA</v>
      </c>
      <c r="V376" s="9"/>
      <c r="W376" s="10">
        <f t="shared" si="94"/>
        <v>-843.21</v>
      </c>
      <c r="X376" s="8" t="str">
        <f>IFERROR(W376/W445, "NA")</f>
        <v>NA</v>
      </c>
      <c r="Y376" s="9"/>
      <c r="Z376" s="7">
        <v>205.26</v>
      </c>
      <c r="AA376" s="8" t="str">
        <f>IFERROR(Z376/Z445, "NA")</f>
        <v>NA</v>
      </c>
      <c r="AB376" s="9"/>
      <c r="AC376" s="10">
        <f t="shared" si="95"/>
        <v>-637.95000000000005</v>
      </c>
      <c r="AD376" s="8" t="str">
        <f>IFERROR(AC376/AC445, "NA")</f>
        <v>NA</v>
      </c>
    </row>
    <row r="377" spans="1:30" ht="16.5" customHeight="1" x14ac:dyDescent="0.45">
      <c r="A377" s="20" t="s">
        <v>345</v>
      </c>
      <c r="B377" s="7">
        <v>41.72</v>
      </c>
      <c r="C377" s="8" t="str">
        <f>IFERROR(B377/B445, "NA")</f>
        <v>NA</v>
      </c>
      <c r="D377" s="9"/>
      <c r="E377" s="7">
        <v>0</v>
      </c>
      <c r="F377" s="8" t="str">
        <f>IFERROR(E377/E445, "NA")</f>
        <v>NA</v>
      </c>
      <c r="G377" s="9"/>
      <c r="H377" s="10">
        <f t="shared" si="92"/>
        <v>-41.72</v>
      </c>
      <c r="I377" s="8" t="str">
        <f>IFERROR(H377/H445, "NA")</f>
        <v>NA</v>
      </c>
      <c r="J377" s="9"/>
      <c r="K377" s="7">
        <v>0</v>
      </c>
      <c r="L377" s="8" t="str">
        <f>IFERROR(K377/K445, "NA")</f>
        <v>NA</v>
      </c>
      <c r="M377" s="9"/>
      <c r="N377" s="10">
        <f t="shared" si="93"/>
        <v>-41.72</v>
      </c>
      <c r="O377" s="8" t="str">
        <f>IFERROR(N377/N445, "NA")</f>
        <v>NA</v>
      </c>
      <c r="P377" s="9"/>
      <c r="Q377" s="7">
        <v>180.5</v>
      </c>
      <c r="R377" s="8" t="str">
        <f>IFERROR(Q377/Q445, "NA")</f>
        <v>NA</v>
      </c>
      <c r="S377" s="9"/>
      <c r="T377" s="7">
        <v>0</v>
      </c>
      <c r="U377" s="8" t="str">
        <f>IFERROR(T377/T445, "NA")</f>
        <v>NA</v>
      </c>
      <c r="V377" s="9"/>
      <c r="W377" s="10">
        <f t="shared" si="94"/>
        <v>-180.5</v>
      </c>
      <c r="X377" s="8" t="str">
        <f>IFERROR(W377/W445, "NA")</f>
        <v>NA</v>
      </c>
      <c r="Y377" s="9"/>
      <c r="Z377" s="7">
        <v>-2413</v>
      </c>
      <c r="AA377" s="8" t="str">
        <f>IFERROR(Z377/Z445, "NA")</f>
        <v>NA</v>
      </c>
      <c r="AB377" s="9"/>
      <c r="AC377" s="10">
        <f t="shared" si="95"/>
        <v>-2593.5</v>
      </c>
      <c r="AD377" s="8" t="str">
        <f>IFERROR(AC377/AC445, "NA")</f>
        <v>NA</v>
      </c>
    </row>
    <row r="378" spans="1:30" ht="16.5" hidden="1" customHeight="1" x14ac:dyDescent="0.45">
      <c r="A378" s="20" t="s">
        <v>346</v>
      </c>
      <c r="B378" s="7">
        <v>0</v>
      </c>
      <c r="C378" s="8" t="str">
        <f>IFERROR(B378/B445, "NA")</f>
        <v>NA</v>
      </c>
      <c r="D378" s="9"/>
      <c r="E378" s="7">
        <v>0</v>
      </c>
      <c r="F378" s="8" t="str">
        <f>IFERROR(E378/E445, "NA")</f>
        <v>NA</v>
      </c>
      <c r="G378" s="9"/>
      <c r="H378" s="10">
        <f t="shared" si="92"/>
        <v>0</v>
      </c>
      <c r="I378" s="8" t="str">
        <f>IFERROR(H378/H445, "NA")</f>
        <v>NA</v>
      </c>
      <c r="J378" s="9"/>
      <c r="K378" s="7">
        <v>0</v>
      </c>
      <c r="L378" s="8" t="str">
        <f>IFERROR(K378/K445, "NA")</f>
        <v>NA</v>
      </c>
      <c r="M378" s="9"/>
      <c r="N378" s="10">
        <f t="shared" si="93"/>
        <v>0</v>
      </c>
      <c r="O378" s="8" t="str">
        <f>IFERROR(N378/N445, "NA")</f>
        <v>NA</v>
      </c>
      <c r="P378" s="9"/>
      <c r="Q378" s="7">
        <v>0</v>
      </c>
      <c r="R378" s="8" t="str">
        <f>IFERROR(Q378/Q445, "NA")</f>
        <v>NA</v>
      </c>
      <c r="S378" s="9"/>
      <c r="T378" s="7">
        <v>0</v>
      </c>
      <c r="U378" s="8" t="str">
        <f>IFERROR(T378/T445, "NA")</f>
        <v>NA</v>
      </c>
      <c r="V378" s="9"/>
      <c r="W378" s="10">
        <f t="shared" si="94"/>
        <v>0</v>
      </c>
      <c r="X378" s="8" t="str">
        <f>IFERROR(W378/W445, "NA")</f>
        <v>NA</v>
      </c>
      <c r="Y378" s="9"/>
      <c r="Z378" s="7">
        <v>0</v>
      </c>
      <c r="AA378" s="8" t="str">
        <f>IFERROR(Z378/Z445, "NA")</f>
        <v>NA</v>
      </c>
      <c r="AB378" s="9"/>
      <c r="AC378" s="10">
        <f t="shared" si="95"/>
        <v>0</v>
      </c>
      <c r="AD378" s="8" t="str">
        <f>IFERROR(AC378/AC445, "NA")</f>
        <v>NA</v>
      </c>
    </row>
    <row r="379" spans="1:30" ht="16.5" customHeight="1" x14ac:dyDescent="0.45">
      <c r="A379" s="20" t="s">
        <v>347</v>
      </c>
      <c r="B379" s="7">
        <v>5987.86</v>
      </c>
      <c r="C379" s="8" t="str">
        <f>IFERROR(B379/B445, "NA")</f>
        <v>NA</v>
      </c>
      <c r="D379" s="9"/>
      <c r="E379" s="7">
        <v>7184</v>
      </c>
      <c r="F379" s="8" t="str">
        <f>IFERROR(E379/E445, "NA")</f>
        <v>NA</v>
      </c>
      <c r="G379" s="9"/>
      <c r="H379" s="10">
        <f t="shared" si="92"/>
        <v>1196.1400000000003</v>
      </c>
      <c r="I379" s="8" t="str">
        <f>IFERROR(H379/H445, "NA")</f>
        <v>NA</v>
      </c>
      <c r="J379" s="9"/>
      <c r="K379" s="7">
        <v>9061.9</v>
      </c>
      <c r="L379" s="8" t="str">
        <f>IFERROR(K379/K445, "NA")</f>
        <v>NA</v>
      </c>
      <c r="M379" s="9"/>
      <c r="N379" s="10">
        <f t="shared" si="93"/>
        <v>3074.04</v>
      </c>
      <c r="O379" s="8" t="str">
        <f>IFERROR(N379/N445, "NA")</f>
        <v>NA</v>
      </c>
      <c r="P379" s="9"/>
      <c r="Q379" s="7">
        <v>32404.26</v>
      </c>
      <c r="R379" s="8" t="str">
        <f>IFERROR(Q379/Q445, "NA")</f>
        <v>NA</v>
      </c>
      <c r="S379" s="9"/>
      <c r="T379" s="7">
        <v>39120</v>
      </c>
      <c r="U379" s="8" t="str">
        <f>IFERROR(T379/T445, "NA")</f>
        <v>NA</v>
      </c>
      <c r="V379" s="9"/>
      <c r="W379" s="10">
        <f t="shared" si="94"/>
        <v>6715.7400000000016</v>
      </c>
      <c r="X379" s="8" t="str">
        <f>IFERROR(W379/W445, "NA")</f>
        <v>NA</v>
      </c>
      <c r="Y379" s="9"/>
      <c r="Z379" s="7">
        <v>43630.02</v>
      </c>
      <c r="AA379" s="8" t="str">
        <f>IFERROR(Z379/Z445, "NA")</f>
        <v>NA</v>
      </c>
      <c r="AB379" s="9"/>
      <c r="AC379" s="10">
        <f t="shared" si="95"/>
        <v>11225.759999999998</v>
      </c>
      <c r="AD379" s="8" t="str">
        <f>IFERROR(AC379/AC445, "NA")</f>
        <v>NA</v>
      </c>
    </row>
    <row r="380" spans="1:30" ht="16.5" customHeight="1" x14ac:dyDescent="0.45">
      <c r="A380" s="20" t="s">
        <v>348</v>
      </c>
      <c r="B380" s="7">
        <v>1113</v>
      </c>
      <c r="C380" s="8" t="str">
        <f>IFERROR(B380/B445, "NA")</f>
        <v>NA</v>
      </c>
      <c r="D380" s="9"/>
      <c r="E380" s="7">
        <v>0</v>
      </c>
      <c r="F380" s="8" t="str">
        <f>IFERROR(E380/E445, "NA")</f>
        <v>NA</v>
      </c>
      <c r="G380" s="9"/>
      <c r="H380" s="10">
        <f t="shared" si="92"/>
        <v>-1113</v>
      </c>
      <c r="I380" s="8" t="str">
        <f>IFERROR(H380/H445, "NA")</f>
        <v>NA</v>
      </c>
      <c r="J380" s="9"/>
      <c r="K380" s="7">
        <v>1217.19</v>
      </c>
      <c r="L380" s="8" t="str">
        <f>IFERROR(K380/K445, "NA")</f>
        <v>NA</v>
      </c>
      <c r="M380" s="9"/>
      <c r="N380" s="10">
        <f t="shared" si="93"/>
        <v>104.19000000000005</v>
      </c>
      <c r="O380" s="8" t="str">
        <f>IFERROR(N380/N445, "NA")</f>
        <v>NA</v>
      </c>
      <c r="P380" s="9"/>
      <c r="Q380" s="7">
        <v>3033.56</v>
      </c>
      <c r="R380" s="8" t="str">
        <f>IFERROR(Q380/Q445, "NA")</f>
        <v>NA</v>
      </c>
      <c r="S380" s="9"/>
      <c r="T380" s="7">
        <v>0</v>
      </c>
      <c r="U380" s="8" t="str">
        <f>IFERROR(T380/T445, "NA")</f>
        <v>NA</v>
      </c>
      <c r="V380" s="9"/>
      <c r="W380" s="10">
        <f t="shared" si="94"/>
        <v>-3033.56</v>
      </c>
      <c r="X380" s="8" t="str">
        <f>IFERROR(W380/W445, "NA")</f>
        <v>NA</v>
      </c>
      <c r="Y380" s="9"/>
      <c r="Z380" s="7">
        <v>5028.83</v>
      </c>
      <c r="AA380" s="8" t="str">
        <f>IFERROR(Z380/Z445, "NA")</f>
        <v>NA</v>
      </c>
      <c r="AB380" s="9"/>
      <c r="AC380" s="10">
        <f t="shared" si="95"/>
        <v>1995.27</v>
      </c>
      <c r="AD380" s="8" t="str">
        <f>IFERROR(AC380/AC445, "NA")</f>
        <v>NA</v>
      </c>
    </row>
    <row r="381" spans="1:30" ht="16.5" customHeight="1" x14ac:dyDescent="0.45">
      <c r="A381" s="20" t="s">
        <v>349</v>
      </c>
      <c r="B381" s="7">
        <v>11800</v>
      </c>
      <c r="C381" s="8" t="str">
        <f>IFERROR(B381/B445, "NA")</f>
        <v>NA</v>
      </c>
      <c r="D381" s="9"/>
      <c r="E381" s="7">
        <v>11800</v>
      </c>
      <c r="F381" s="8" t="str">
        <f>IFERROR(E381/E445, "NA")</f>
        <v>NA</v>
      </c>
      <c r="G381" s="9"/>
      <c r="H381" s="10">
        <f t="shared" si="92"/>
        <v>0</v>
      </c>
      <c r="I381" s="8" t="str">
        <f>IFERROR(H381/H445, "NA")</f>
        <v>NA</v>
      </c>
      <c r="J381" s="9"/>
      <c r="K381" s="7">
        <v>11500</v>
      </c>
      <c r="L381" s="8" t="str">
        <f>IFERROR(K381/K445, "NA")</f>
        <v>NA</v>
      </c>
      <c r="M381" s="9"/>
      <c r="N381" s="10">
        <f t="shared" si="93"/>
        <v>-300</v>
      </c>
      <c r="O381" s="8" t="str">
        <f>IFERROR(N381/N445, "NA")</f>
        <v>NA</v>
      </c>
      <c r="P381" s="9"/>
      <c r="Q381" s="7">
        <v>59055.67</v>
      </c>
      <c r="R381" s="8" t="str">
        <f>IFERROR(Q381/Q445, "NA")</f>
        <v>NA</v>
      </c>
      <c r="S381" s="9"/>
      <c r="T381" s="7">
        <v>59000</v>
      </c>
      <c r="U381" s="8" t="str">
        <f>IFERROR(T381/T445, "NA")</f>
        <v>NA</v>
      </c>
      <c r="V381" s="9"/>
      <c r="W381" s="10">
        <f t="shared" si="94"/>
        <v>-55.669999999998254</v>
      </c>
      <c r="X381" s="8" t="str">
        <f>IFERROR(W381/W445, "NA")</f>
        <v>NA</v>
      </c>
      <c r="Y381" s="9"/>
      <c r="Z381" s="7">
        <v>57500</v>
      </c>
      <c r="AA381" s="8" t="str">
        <f>IFERROR(Z381/Z445, "NA")</f>
        <v>NA</v>
      </c>
      <c r="AB381" s="9"/>
      <c r="AC381" s="10">
        <f t="shared" si="95"/>
        <v>-1555.6699999999983</v>
      </c>
      <c r="AD381" s="8" t="str">
        <f>IFERROR(AC381/AC445, "NA")</f>
        <v>NA</v>
      </c>
    </row>
    <row r="382" spans="1:30" ht="16.5" customHeight="1" x14ac:dyDescent="0.45">
      <c r="A382" s="20" t="s">
        <v>350</v>
      </c>
      <c r="B382" s="7">
        <v>0</v>
      </c>
      <c r="C382" s="8" t="str">
        <f>IFERROR(B382/B445, "NA")</f>
        <v>NA</v>
      </c>
      <c r="D382" s="9"/>
      <c r="E382" s="7">
        <v>3000</v>
      </c>
      <c r="F382" s="8" t="str">
        <f>IFERROR(E382/E445, "NA")</f>
        <v>NA</v>
      </c>
      <c r="G382" s="9"/>
      <c r="H382" s="10">
        <f t="shared" si="92"/>
        <v>3000</v>
      </c>
      <c r="I382" s="8" t="str">
        <f>IFERROR(H382/H445, "NA")</f>
        <v>NA</v>
      </c>
      <c r="J382" s="9"/>
      <c r="K382" s="7">
        <v>4000</v>
      </c>
      <c r="L382" s="8" t="str">
        <f>IFERROR(K382/K445, "NA")</f>
        <v>NA</v>
      </c>
      <c r="M382" s="9"/>
      <c r="N382" s="10">
        <f t="shared" si="93"/>
        <v>4000</v>
      </c>
      <c r="O382" s="8" t="str">
        <f>IFERROR(N382/N445, "NA")</f>
        <v>NA</v>
      </c>
      <c r="P382" s="9"/>
      <c r="Q382" s="7">
        <v>3672.5</v>
      </c>
      <c r="R382" s="8" t="str">
        <f>IFERROR(Q382/Q445, "NA")</f>
        <v>NA</v>
      </c>
      <c r="S382" s="9"/>
      <c r="T382" s="7">
        <v>14000</v>
      </c>
      <c r="U382" s="8" t="str">
        <f>IFERROR(T382/T445, "NA")</f>
        <v>NA</v>
      </c>
      <c r="V382" s="9"/>
      <c r="W382" s="10">
        <f t="shared" si="94"/>
        <v>10327.5</v>
      </c>
      <c r="X382" s="8" t="str">
        <f>IFERROR(W382/W445, "NA")</f>
        <v>NA</v>
      </c>
      <c r="Y382" s="9"/>
      <c r="Z382" s="7">
        <v>30491.51</v>
      </c>
      <c r="AA382" s="8" t="str">
        <f>IFERROR(Z382/Z445, "NA")</f>
        <v>NA</v>
      </c>
      <c r="AB382" s="9"/>
      <c r="AC382" s="10">
        <f t="shared" si="95"/>
        <v>26819.01</v>
      </c>
      <c r="AD382" s="8" t="str">
        <f>IFERROR(AC382/AC445, "NA")</f>
        <v>NA</v>
      </c>
    </row>
    <row r="383" spans="1:30" ht="16.5" customHeight="1" x14ac:dyDescent="0.45">
      <c r="A383" s="20" t="s">
        <v>351</v>
      </c>
      <c r="B383" s="7">
        <v>0</v>
      </c>
      <c r="C383" s="8" t="str">
        <f>IFERROR(B383/B445, "NA")</f>
        <v>NA</v>
      </c>
      <c r="D383" s="9"/>
      <c r="E383" s="7">
        <v>506</v>
      </c>
      <c r="F383" s="8" t="str">
        <f>IFERROR(E383/E445, "NA")</f>
        <v>NA</v>
      </c>
      <c r="G383" s="9"/>
      <c r="H383" s="10">
        <f t="shared" si="92"/>
        <v>506</v>
      </c>
      <c r="I383" s="8" t="str">
        <f>IFERROR(H383/H445, "NA")</f>
        <v>NA</v>
      </c>
      <c r="J383" s="9"/>
      <c r="K383" s="7">
        <v>648.72</v>
      </c>
      <c r="L383" s="8" t="str">
        <f>IFERROR(K383/K445, "NA")</f>
        <v>NA</v>
      </c>
      <c r="M383" s="9"/>
      <c r="N383" s="10">
        <f t="shared" si="93"/>
        <v>648.72</v>
      </c>
      <c r="O383" s="8" t="str">
        <f>IFERROR(N383/N445, "NA")</f>
        <v>NA</v>
      </c>
      <c r="P383" s="9"/>
      <c r="Q383" s="7">
        <v>2741.64</v>
      </c>
      <c r="R383" s="8" t="str">
        <f>IFERROR(Q383/Q445, "NA")</f>
        <v>NA</v>
      </c>
      <c r="S383" s="9"/>
      <c r="T383" s="7">
        <v>2530</v>
      </c>
      <c r="U383" s="8" t="str">
        <f>IFERROR(T383/T445, "NA")</f>
        <v>NA</v>
      </c>
      <c r="V383" s="9"/>
      <c r="W383" s="10">
        <f t="shared" si="94"/>
        <v>-211.63999999999987</v>
      </c>
      <c r="X383" s="8" t="str">
        <f>IFERROR(W383/W445, "NA")</f>
        <v>NA</v>
      </c>
      <c r="Y383" s="9"/>
      <c r="Z383" s="7">
        <v>2791.76</v>
      </c>
      <c r="AA383" s="8" t="str">
        <f>IFERROR(Z383/Z445, "NA")</f>
        <v>NA</v>
      </c>
      <c r="AB383" s="9"/>
      <c r="AC383" s="10">
        <f t="shared" si="95"/>
        <v>50.120000000000346</v>
      </c>
      <c r="AD383" s="8" t="str">
        <f>IFERROR(AC383/AC445, "NA")</f>
        <v>NA</v>
      </c>
    </row>
    <row r="384" spans="1:30" ht="16.5" hidden="1" customHeight="1" x14ac:dyDescent="0.45">
      <c r="A384" s="20" t="s">
        <v>352</v>
      </c>
      <c r="B384" s="7">
        <v>0</v>
      </c>
      <c r="C384" s="8" t="str">
        <f>IFERROR(B384/B445, "NA")</f>
        <v>NA</v>
      </c>
      <c r="D384" s="9"/>
      <c r="E384" s="7">
        <v>0</v>
      </c>
      <c r="F384" s="8" t="str">
        <f>IFERROR(E384/E445, "NA")</f>
        <v>NA</v>
      </c>
      <c r="G384" s="9"/>
      <c r="H384" s="10">
        <f t="shared" si="92"/>
        <v>0</v>
      </c>
      <c r="I384" s="8" t="str">
        <f>IFERROR(H384/H445, "NA")</f>
        <v>NA</v>
      </c>
      <c r="J384" s="9"/>
      <c r="K384" s="7">
        <v>0</v>
      </c>
      <c r="L384" s="8" t="str">
        <f>IFERROR(K384/K445, "NA")</f>
        <v>NA</v>
      </c>
      <c r="M384" s="9"/>
      <c r="N384" s="10">
        <f t="shared" si="93"/>
        <v>0</v>
      </c>
      <c r="O384" s="8" t="str">
        <f>IFERROR(N384/N445, "NA")</f>
        <v>NA</v>
      </c>
      <c r="P384" s="9"/>
      <c r="Q384" s="7">
        <v>0</v>
      </c>
      <c r="R384" s="8" t="str">
        <f>IFERROR(Q384/Q445, "NA")</f>
        <v>NA</v>
      </c>
      <c r="S384" s="9"/>
      <c r="T384" s="7">
        <v>0</v>
      </c>
      <c r="U384" s="8" t="str">
        <f>IFERROR(T384/T445, "NA")</f>
        <v>NA</v>
      </c>
      <c r="V384" s="9"/>
      <c r="W384" s="10">
        <f t="shared" si="94"/>
        <v>0</v>
      </c>
      <c r="X384" s="8" t="str">
        <f>IFERROR(W384/W445, "NA")</f>
        <v>NA</v>
      </c>
      <c r="Y384" s="9"/>
      <c r="Z384" s="7">
        <v>0</v>
      </c>
      <c r="AA384" s="8" t="str">
        <f>IFERROR(Z384/Z445, "NA")</f>
        <v>NA</v>
      </c>
      <c r="AB384" s="9"/>
      <c r="AC384" s="10">
        <f t="shared" si="95"/>
        <v>0</v>
      </c>
      <c r="AD384" s="8" t="str">
        <f>IFERROR(AC384/AC445, "NA")</f>
        <v>NA</v>
      </c>
    </row>
    <row r="385" spans="1:30" ht="16.5" customHeight="1" x14ac:dyDescent="0.45">
      <c r="A385" s="5" t="s">
        <v>353</v>
      </c>
      <c r="B385" s="2"/>
      <c r="C385" s="3"/>
      <c r="D385" s="4"/>
      <c r="E385" s="2"/>
      <c r="F385" s="3"/>
      <c r="G385" s="4"/>
      <c r="H385" s="2"/>
      <c r="I385" s="3"/>
      <c r="J385" s="4"/>
      <c r="K385" s="2"/>
      <c r="L385" s="3"/>
      <c r="M385" s="4"/>
      <c r="N385" s="2"/>
      <c r="O385" s="3"/>
      <c r="P385" s="4"/>
      <c r="Q385" s="2"/>
      <c r="R385" s="3"/>
      <c r="S385" s="4"/>
      <c r="T385" s="2"/>
      <c r="U385" s="3"/>
      <c r="V385" s="4"/>
      <c r="W385" s="2"/>
      <c r="X385" s="3"/>
      <c r="Y385" s="4"/>
      <c r="Z385" s="2"/>
      <c r="AA385" s="3"/>
      <c r="AB385" s="4"/>
      <c r="AC385" s="2"/>
      <c r="AD385" s="3"/>
    </row>
    <row r="386" spans="1:30" ht="16.5" customHeight="1" x14ac:dyDescent="0.45">
      <c r="A386" s="6" t="s">
        <v>353</v>
      </c>
      <c r="B386" s="7">
        <v>419.69</v>
      </c>
      <c r="C386" s="8" t="str">
        <f>IFERROR(B386/B445, "NA")</f>
        <v>NA</v>
      </c>
      <c r="D386" s="9"/>
      <c r="E386" s="7">
        <v>750</v>
      </c>
      <c r="F386" s="8" t="str">
        <f>IFERROR(E386/E445, "NA")</f>
        <v>NA</v>
      </c>
      <c r="G386" s="9"/>
      <c r="H386" s="10">
        <f>IFERROR(-(B386-E386), "NA")</f>
        <v>330.31</v>
      </c>
      <c r="I386" s="8" t="str">
        <f>IFERROR(H386/H445, "NA")</f>
        <v>NA</v>
      </c>
      <c r="J386" s="9"/>
      <c r="K386" s="7">
        <v>3768.79</v>
      </c>
      <c r="L386" s="8" t="str">
        <f>IFERROR(K386/K445, "NA")</f>
        <v>NA</v>
      </c>
      <c r="M386" s="9"/>
      <c r="N386" s="10">
        <f>IFERROR(-(B386-K386), "NA")</f>
        <v>3349.1</v>
      </c>
      <c r="O386" s="8" t="str">
        <f>IFERROR(N386/N445, "NA")</f>
        <v>NA</v>
      </c>
      <c r="P386" s="9"/>
      <c r="Q386" s="7">
        <v>11767.12</v>
      </c>
      <c r="R386" s="8" t="str">
        <f>IFERROR(Q386/Q445, "NA")</f>
        <v>NA</v>
      </c>
      <c r="S386" s="9"/>
      <c r="T386" s="7">
        <v>4500</v>
      </c>
      <c r="U386" s="8" t="str">
        <f>IFERROR(T386/T445, "NA")</f>
        <v>NA</v>
      </c>
      <c r="V386" s="9"/>
      <c r="W386" s="10">
        <f>IFERROR(-(Q386-T386), "NA")</f>
        <v>-7267.1200000000008</v>
      </c>
      <c r="X386" s="8" t="str">
        <f>IFERROR(W386/W445, "NA")</f>
        <v>NA</v>
      </c>
      <c r="Y386" s="9"/>
      <c r="Z386" s="7">
        <v>17586.55</v>
      </c>
      <c r="AA386" s="8" t="str">
        <f>IFERROR(Z386/Z445, "NA")</f>
        <v>NA</v>
      </c>
      <c r="AB386" s="9"/>
      <c r="AC386" s="10">
        <f>IFERROR(-(Q386-Z386), "NA")</f>
        <v>5819.4299999999985</v>
      </c>
      <c r="AD386" s="8" t="str">
        <f>IFERROR(AC386/AC445, "NA")</f>
        <v>NA</v>
      </c>
    </row>
    <row r="387" spans="1:30" ht="16.5" customHeight="1" x14ac:dyDescent="0.45">
      <c r="A387" s="6" t="s">
        <v>354</v>
      </c>
      <c r="B387" s="7">
        <v>0</v>
      </c>
      <c r="C387" s="8" t="str">
        <f>IFERROR(B387/B445, "NA")</f>
        <v>NA</v>
      </c>
      <c r="D387" s="9"/>
      <c r="E387" s="7">
        <v>0</v>
      </c>
      <c r="F387" s="8" t="str">
        <f>IFERROR(E387/E445, "NA")</f>
        <v>NA</v>
      </c>
      <c r="G387" s="9"/>
      <c r="H387" s="10">
        <f>IFERROR(-(B387-E387), "NA")</f>
        <v>0</v>
      </c>
      <c r="I387" s="8" t="str">
        <f>IFERROR(H387/H445, "NA")</f>
        <v>NA</v>
      </c>
      <c r="J387" s="9"/>
      <c r="K387" s="7">
        <v>0</v>
      </c>
      <c r="L387" s="8" t="str">
        <f>IFERROR(K387/K445, "NA")</f>
        <v>NA</v>
      </c>
      <c r="M387" s="9"/>
      <c r="N387" s="10">
        <f>IFERROR(-(B387-K387), "NA")</f>
        <v>0</v>
      </c>
      <c r="O387" s="8" t="str">
        <f>IFERROR(N387/N445, "NA")</f>
        <v>NA</v>
      </c>
      <c r="P387" s="9"/>
      <c r="Q387" s="7">
        <v>0</v>
      </c>
      <c r="R387" s="8" t="str">
        <f>IFERROR(Q387/Q445, "NA")</f>
        <v>NA</v>
      </c>
      <c r="S387" s="9"/>
      <c r="T387" s="7">
        <v>0</v>
      </c>
      <c r="U387" s="8" t="str">
        <f>IFERROR(T387/T445, "NA")</f>
        <v>NA</v>
      </c>
      <c r="V387" s="9"/>
      <c r="W387" s="10">
        <f>IFERROR(-(Q387-T387), "NA")</f>
        <v>0</v>
      </c>
      <c r="X387" s="8" t="str">
        <f>IFERROR(W387/W445, "NA")</f>
        <v>NA</v>
      </c>
      <c r="Y387" s="9"/>
      <c r="Z387" s="7">
        <v>51.47</v>
      </c>
      <c r="AA387" s="8" t="str">
        <f>IFERROR(Z387/Z445, "NA")</f>
        <v>NA</v>
      </c>
      <c r="AB387" s="9"/>
      <c r="AC387" s="10">
        <f>IFERROR(-(Q387-Z387), "NA")</f>
        <v>51.47</v>
      </c>
      <c r="AD387" s="8" t="str">
        <f>IFERROR(AC387/AC445, "NA")</f>
        <v>NA</v>
      </c>
    </row>
    <row r="388" spans="1:30" ht="16.5" customHeight="1" x14ac:dyDescent="0.45">
      <c r="A388" s="11" t="s">
        <v>355</v>
      </c>
      <c r="B388" s="2"/>
      <c r="C388" s="3"/>
      <c r="D388" s="4"/>
      <c r="E388" s="2"/>
      <c r="F388" s="3"/>
      <c r="G388" s="4"/>
      <c r="H388" s="2"/>
      <c r="I388" s="3"/>
      <c r="J388" s="4"/>
      <c r="K388" s="2"/>
      <c r="L388" s="3"/>
      <c r="M388" s="4"/>
      <c r="N388" s="2"/>
      <c r="O388" s="3"/>
      <c r="P388" s="4"/>
      <c r="Q388" s="2"/>
      <c r="R388" s="3"/>
      <c r="S388" s="4"/>
      <c r="T388" s="2"/>
      <c r="U388" s="3"/>
      <c r="V388" s="4"/>
      <c r="W388" s="2"/>
      <c r="X388" s="3"/>
      <c r="Y388" s="4"/>
      <c r="Z388" s="2"/>
      <c r="AA388" s="3"/>
      <c r="AB388" s="4"/>
      <c r="AC388" s="2"/>
      <c r="AD388" s="3"/>
    </row>
    <row r="389" spans="1:30" ht="16.5" customHeight="1" x14ac:dyDescent="0.45">
      <c r="A389" s="12" t="s">
        <v>355</v>
      </c>
      <c r="B389" s="7">
        <v>0</v>
      </c>
      <c r="C389" s="8" t="str">
        <f>IFERROR(B389/B445, "NA")</f>
        <v>NA</v>
      </c>
      <c r="D389" s="9"/>
      <c r="E389" s="7">
        <v>13622.39</v>
      </c>
      <c r="F389" s="8" t="str">
        <f>IFERROR(E389/E445, "NA")</f>
        <v>NA</v>
      </c>
      <c r="G389" s="9"/>
      <c r="H389" s="10">
        <f t="shared" ref="H389:H404" si="96">IFERROR(-(B389-E389), "NA")</f>
        <v>13622.39</v>
      </c>
      <c r="I389" s="8" t="str">
        <f>IFERROR(H389/H445, "NA")</f>
        <v>NA</v>
      </c>
      <c r="J389" s="9"/>
      <c r="K389" s="7">
        <v>0</v>
      </c>
      <c r="L389" s="8" t="str">
        <f>IFERROR(K389/K445, "NA")</f>
        <v>NA</v>
      </c>
      <c r="M389" s="9"/>
      <c r="N389" s="10">
        <f t="shared" ref="N389:N404" si="97">IFERROR(-(B389-K389), "NA")</f>
        <v>0</v>
      </c>
      <c r="O389" s="8" t="str">
        <f>IFERROR(N389/N445, "NA")</f>
        <v>NA</v>
      </c>
      <c r="P389" s="9"/>
      <c r="Q389" s="7">
        <v>0</v>
      </c>
      <c r="R389" s="8" t="str">
        <f>IFERROR(Q389/Q445, "NA")</f>
        <v>NA</v>
      </c>
      <c r="S389" s="9"/>
      <c r="T389" s="7">
        <v>64424.4</v>
      </c>
      <c r="U389" s="8" t="str">
        <f>IFERROR(T389/T445, "NA")</f>
        <v>NA</v>
      </c>
      <c r="V389" s="9"/>
      <c r="W389" s="10">
        <f t="shared" ref="W389:W404" si="98">IFERROR(-(Q389-T389), "NA")</f>
        <v>64424.4</v>
      </c>
      <c r="X389" s="8" t="str">
        <f>IFERROR(W389/W445, "NA")</f>
        <v>NA</v>
      </c>
      <c r="Y389" s="9"/>
      <c r="Z389" s="7">
        <v>0</v>
      </c>
      <c r="AA389" s="8" t="str">
        <f>IFERROR(Z389/Z445, "NA")</f>
        <v>NA</v>
      </c>
      <c r="AB389" s="9"/>
      <c r="AC389" s="10">
        <f t="shared" ref="AC389:AC404" si="99">IFERROR(-(Q389-Z389), "NA")</f>
        <v>0</v>
      </c>
      <c r="AD389" s="8" t="str">
        <f>IFERROR(AC389/AC445, "NA")</f>
        <v>NA</v>
      </c>
    </row>
    <row r="390" spans="1:30" ht="16.5" customHeight="1" x14ac:dyDescent="0.45">
      <c r="A390" s="12" t="s">
        <v>356</v>
      </c>
      <c r="B390" s="7">
        <v>6446.98</v>
      </c>
      <c r="C390" s="8" t="str">
        <f>IFERROR(B390/B445, "NA")</f>
        <v>NA</v>
      </c>
      <c r="D390" s="9"/>
      <c r="E390" s="7">
        <v>0</v>
      </c>
      <c r="F390" s="8" t="str">
        <f>IFERROR(E390/E445, "NA")</f>
        <v>NA</v>
      </c>
      <c r="G390" s="9"/>
      <c r="H390" s="10">
        <f t="shared" si="96"/>
        <v>-6446.98</v>
      </c>
      <c r="I390" s="8" t="str">
        <f>IFERROR(H390/H445, "NA")</f>
        <v>NA</v>
      </c>
      <c r="J390" s="9"/>
      <c r="K390" s="7">
        <v>4539.07</v>
      </c>
      <c r="L390" s="8" t="str">
        <f>IFERROR(K390/K445, "NA")</f>
        <v>NA</v>
      </c>
      <c r="M390" s="9"/>
      <c r="N390" s="10">
        <f t="shared" si="97"/>
        <v>-1907.9099999999999</v>
      </c>
      <c r="O390" s="8" t="str">
        <f>IFERROR(N390/N445, "NA")</f>
        <v>NA</v>
      </c>
      <c r="P390" s="9"/>
      <c r="Q390" s="7">
        <v>33075.360000000001</v>
      </c>
      <c r="R390" s="8" t="str">
        <f>IFERROR(Q390/Q445, "NA")</f>
        <v>NA</v>
      </c>
      <c r="S390" s="9"/>
      <c r="T390" s="7">
        <v>0</v>
      </c>
      <c r="U390" s="8" t="str">
        <f>IFERROR(T390/T445, "NA")</f>
        <v>NA</v>
      </c>
      <c r="V390" s="9"/>
      <c r="W390" s="10">
        <f t="shared" si="98"/>
        <v>-33075.360000000001</v>
      </c>
      <c r="X390" s="8" t="str">
        <f>IFERROR(W390/W445, "NA")</f>
        <v>NA</v>
      </c>
      <c r="Y390" s="9"/>
      <c r="Z390" s="7">
        <v>21081.37</v>
      </c>
      <c r="AA390" s="8" t="str">
        <f>IFERROR(Z390/Z445, "NA")</f>
        <v>NA</v>
      </c>
      <c r="AB390" s="9"/>
      <c r="AC390" s="10">
        <f t="shared" si="99"/>
        <v>-11993.990000000002</v>
      </c>
      <c r="AD390" s="8" t="str">
        <f>IFERROR(AC390/AC445, "NA")</f>
        <v>NA</v>
      </c>
    </row>
    <row r="391" spans="1:30" ht="16.5" customHeight="1" x14ac:dyDescent="0.45">
      <c r="A391" s="12" t="s">
        <v>357</v>
      </c>
      <c r="B391" s="7">
        <v>3014.19</v>
      </c>
      <c r="C391" s="8" t="str">
        <f>IFERROR(B391/B445, "NA")</f>
        <v>NA</v>
      </c>
      <c r="D391" s="9"/>
      <c r="E391" s="7">
        <v>0</v>
      </c>
      <c r="F391" s="8" t="str">
        <f>IFERROR(E391/E445, "NA")</f>
        <v>NA</v>
      </c>
      <c r="G391" s="9"/>
      <c r="H391" s="10">
        <f t="shared" si="96"/>
        <v>-3014.19</v>
      </c>
      <c r="I391" s="8" t="str">
        <f>IFERROR(H391/H445, "NA")</f>
        <v>NA</v>
      </c>
      <c r="J391" s="9"/>
      <c r="K391" s="7">
        <v>9868.84</v>
      </c>
      <c r="L391" s="8" t="str">
        <f>IFERROR(K391/K445, "NA")</f>
        <v>NA</v>
      </c>
      <c r="M391" s="9"/>
      <c r="N391" s="10">
        <f t="shared" si="97"/>
        <v>6854.65</v>
      </c>
      <c r="O391" s="8" t="str">
        <f>IFERROR(N391/N445, "NA")</f>
        <v>NA</v>
      </c>
      <c r="P391" s="9"/>
      <c r="Q391" s="7">
        <v>26472.19</v>
      </c>
      <c r="R391" s="8" t="str">
        <f>IFERROR(Q391/Q445, "NA")</f>
        <v>NA</v>
      </c>
      <c r="S391" s="9"/>
      <c r="T391" s="7">
        <v>0</v>
      </c>
      <c r="U391" s="8" t="str">
        <f>IFERROR(T391/T445, "NA")</f>
        <v>NA</v>
      </c>
      <c r="V391" s="9"/>
      <c r="W391" s="10">
        <f t="shared" si="98"/>
        <v>-26472.19</v>
      </c>
      <c r="X391" s="8" t="str">
        <f>IFERROR(W391/W445, "NA")</f>
        <v>NA</v>
      </c>
      <c r="Y391" s="9"/>
      <c r="Z391" s="7">
        <v>54838.06</v>
      </c>
      <c r="AA391" s="8" t="str">
        <f>IFERROR(Z391/Z445, "NA")</f>
        <v>NA</v>
      </c>
      <c r="AB391" s="9"/>
      <c r="AC391" s="10">
        <f t="shared" si="99"/>
        <v>28365.87</v>
      </c>
      <c r="AD391" s="8" t="str">
        <f>IFERROR(AC391/AC445, "NA")</f>
        <v>NA</v>
      </c>
    </row>
    <row r="392" spans="1:30" ht="16.5" hidden="1" customHeight="1" x14ac:dyDescent="0.45">
      <c r="A392" s="12" t="s">
        <v>358</v>
      </c>
      <c r="B392" s="7">
        <v>0</v>
      </c>
      <c r="C392" s="8" t="str">
        <f>IFERROR(B392/B445, "NA")</f>
        <v>NA</v>
      </c>
      <c r="D392" s="9"/>
      <c r="E392" s="7">
        <v>0</v>
      </c>
      <c r="F392" s="8" t="str">
        <f>IFERROR(E392/E445, "NA")</f>
        <v>NA</v>
      </c>
      <c r="G392" s="9"/>
      <c r="H392" s="10">
        <f t="shared" si="96"/>
        <v>0</v>
      </c>
      <c r="I392" s="8" t="str">
        <f>IFERROR(H392/H445, "NA")</f>
        <v>NA</v>
      </c>
      <c r="J392" s="9"/>
      <c r="K392" s="7">
        <v>0</v>
      </c>
      <c r="L392" s="8" t="str">
        <f>IFERROR(K392/K445, "NA")</f>
        <v>NA</v>
      </c>
      <c r="M392" s="9"/>
      <c r="N392" s="10">
        <f t="shared" si="97"/>
        <v>0</v>
      </c>
      <c r="O392" s="8" t="str">
        <f>IFERROR(N392/N445, "NA")</f>
        <v>NA</v>
      </c>
      <c r="P392" s="9"/>
      <c r="Q392" s="7">
        <v>0</v>
      </c>
      <c r="R392" s="8" t="str">
        <f>IFERROR(Q392/Q445, "NA")</f>
        <v>NA</v>
      </c>
      <c r="S392" s="9"/>
      <c r="T392" s="7">
        <v>0</v>
      </c>
      <c r="U392" s="8" t="str">
        <f>IFERROR(T392/T445, "NA")</f>
        <v>NA</v>
      </c>
      <c r="V392" s="9"/>
      <c r="W392" s="10">
        <f t="shared" si="98"/>
        <v>0</v>
      </c>
      <c r="X392" s="8" t="str">
        <f>IFERROR(W392/W445, "NA")</f>
        <v>NA</v>
      </c>
      <c r="Y392" s="9"/>
      <c r="Z392" s="7">
        <v>0</v>
      </c>
      <c r="AA392" s="8" t="str">
        <f>IFERROR(Z392/Z445, "NA")</f>
        <v>NA</v>
      </c>
      <c r="AB392" s="9"/>
      <c r="AC392" s="10">
        <f t="shared" si="99"/>
        <v>0</v>
      </c>
      <c r="AD392" s="8" t="str">
        <f>IFERROR(AC392/AC445, "NA")</f>
        <v>NA</v>
      </c>
    </row>
    <row r="393" spans="1:30" ht="16.5" customHeight="1" x14ac:dyDescent="0.45">
      <c r="A393" s="12" t="s">
        <v>359</v>
      </c>
      <c r="B393" s="7">
        <v>2705.8</v>
      </c>
      <c r="C393" s="8" t="str">
        <f>IFERROR(B393/B445, "NA")</f>
        <v>NA</v>
      </c>
      <c r="D393" s="9"/>
      <c r="E393" s="7">
        <v>0</v>
      </c>
      <c r="F393" s="8" t="str">
        <f>IFERROR(E393/E445, "NA")</f>
        <v>NA</v>
      </c>
      <c r="G393" s="9"/>
      <c r="H393" s="10">
        <f t="shared" si="96"/>
        <v>-2705.8</v>
      </c>
      <c r="I393" s="8" t="str">
        <f>IFERROR(H393/H445, "NA")</f>
        <v>NA</v>
      </c>
      <c r="J393" s="9"/>
      <c r="K393" s="7">
        <v>4240.24</v>
      </c>
      <c r="L393" s="8" t="str">
        <f>IFERROR(K393/K445, "NA")</f>
        <v>NA</v>
      </c>
      <c r="M393" s="9"/>
      <c r="N393" s="10">
        <f t="shared" si="97"/>
        <v>1534.4399999999996</v>
      </c>
      <c r="O393" s="8" t="str">
        <f>IFERROR(N393/N445, "NA")</f>
        <v>NA</v>
      </c>
      <c r="P393" s="9"/>
      <c r="Q393" s="7">
        <v>17928.03</v>
      </c>
      <c r="R393" s="8" t="str">
        <f>IFERROR(Q393/Q445, "NA")</f>
        <v>NA</v>
      </c>
      <c r="S393" s="9"/>
      <c r="T393" s="7">
        <v>0</v>
      </c>
      <c r="U393" s="8" t="str">
        <f>IFERROR(T393/T445, "NA")</f>
        <v>NA</v>
      </c>
      <c r="V393" s="9"/>
      <c r="W393" s="10">
        <f t="shared" si="98"/>
        <v>-17928.03</v>
      </c>
      <c r="X393" s="8" t="str">
        <f>IFERROR(W393/W445, "NA")</f>
        <v>NA</v>
      </c>
      <c r="Y393" s="9"/>
      <c r="Z393" s="7">
        <v>24215.119999999999</v>
      </c>
      <c r="AA393" s="8" t="str">
        <f>IFERROR(Z393/Z445, "NA")</f>
        <v>NA</v>
      </c>
      <c r="AB393" s="9"/>
      <c r="AC393" s="10">
        <f t="shared" si="99"/>
        <v>6287.09</v>
      </c>
      <c r="AD393" s="8" t="str">
        <f>IFERROR(AC393/AC445, "NA")</f>
        <v>NA</v>
      </c>
    </row>
    <row r="394" spans="1:30" ht="16.5" customHeight="1" x14ac:dyDescent="0.45">
      <c r="A394" s="13" t="s">
        <v>360</v>
      </c>
      <c r="B394" s="14">
        <f>IFERROR(B389+B390+B391+B392+B393, "NA")</f>
        <v>12166.970000000001</v>
      </c>
      <c r="C394" s="15" t="str">
        <f>IFERROR(B394/B445, "NA")</f>
        <v>NA</v>
      </c>
      <c r="D394" s="2"/>
      <c r="E394" s="14">
        <f>IFERROR(E389+E390+E391+E392+E393, "NA")</f>
        <v>13622.39</v>
      </c>
      <c r="F394" s="15" t="str">
        <f>IFERROR(E394/E445, "NA")</f>
        <v>NA</v>
      </c>
      <c r="G394" s="2"/>
      <c r="H394" s="14">
        <f t="shared" si="96"/>
        <v>1455.4199999999983</v>
      </c>
      <c r="I394" s="15" t="str">
        <f>IFERROR(H394/H445, "NA")</f>
        <v>NA</v>
      </c>
      <c r="J394" s="2"/>
      <c r="K394" s="14">
        <f>IFERROR(K389+K390+K391+K392+K393, "NA")</f>
        <v>18648.150000000001</v>
      </c>
      <c r="L394" s="15" t="str">
        <f>IFERROR(K394/K445, "NA")</f>
        <v>NA</v>
      </c>
      <c r="M394" s="2"/>
      <c r="N394" s="14">
        <f t="shared" si="97"/>
        <v>6481.18</v>
      </c>
      <c r="O394" s="15" t="str">
        <f>IFERROR(N394/N445, "NA")</f>
        <v>NA</v>
      </c>
      <c r="P394" s="2"/>
      <c r="Q394" s="14">
        <f>IFERROR(Q389+Q390+Q391+Q392+Q393, "NA")</f>
        <v>77475.58</v>
      </c>
      <c r="R394" s="15" t="str">
        <f>IFERROR(Q394/Q445, "NA")</f>
        <v>NA</v>
      </c>
      <c r="S394" s="2"/>
      <c r="T394" s="14">
        <f>IFERROR(T389+T390+T391+T392+T393, "NA")</f>
        <v>64424.4</v>
      </c>
      <c r="U394" s="15" t="str">
        <f>IFERROR(T394/T445, "NA")</f>
        <v>NA</v>
      </c>
      <c r="V394" s="2"/>
      <c r="W394" s="14">
        <f t="shared" si="98"/>
        <v>-13051.18</v>
      </c>
      <c r="X394" s="15" t="str">
        <f>IFERROR(W394/W445, "NA")</f>
        <v>NA</v>
      </c>
      <c r="Y394" s="2"/>
      <c r="Z394" s="14">
        <f>IFERROR(Z389+Z390+Z391+Z392+Z393, "NA")</f>
        <v>100134.54999999999</v>
      </c>
      <c r="AA394" s="15" t="str">
        <f>IFERROR(Z394/Z445, "NA")</f>
        <v>NA</v>
      </c>
      <c r="AB394" s="2"/>
      <c r="AC394" s="14">
        <f t="shared" si="99"/>
        <v>22658.969999999987</v>
      </c>
      <c r="AD394" s="15" t="str">
        <f>IFERROR(AC394/AC445, "NA")</f>
        <v>NA</v>
      </c>
    </row>
    <row r="395" spans="1:30" ht="16.5" customHeight="1" x14ac:dyDescent="0.45">
      <c r="A395" s="6" t="s">
        <v>361</v>
      </c>
      <c r="B395" s="7">
        <v>5465.51</v>
      </c>
      <c r="C395" s="8" t="str">
        <f>IFERROR(B395/B445, "NA")</f>
        <v>NA</v>
      </c>
      <c r="D395" s="9"/>
      <c r="E395" s="7">
        <v>5189.4799999999996</v>
      </c>
      <c r="F395" s="8" t="str">
        <f>IFERROR(E395/E445, "NA")</f>
        <v>NA</v>
      </c>
      <c r="G395" s="9"/>
      <c r="H395" s="10">
        <f t="shared" si="96"/>
        <v>-276.03000000000065</v>
      </c>
      <c r="I395" s="8" t="str">
        <f>IFERROR(H395/H445, "NA")</f>
        <v>NA</v>
      </c>
      <c r="J395" s="9"/>
      <c r="K395" s="7">
        <v>0</v>
      </c>
      <c r="L395" s="8" t="str">
        <f>IFERROR(K395/K445, "NA")</f>
        <v>NA</v>
      </c>
      <c r="M395" s="9"/>
      <c r="N395" s="10">
        <f t="shared" si="97"/>
        <v>-5465.51</v>
      </c>
      <c r="O395" s="8" t="str">
        <f>IFERROR(N395/N445, "NA")</f>
        <v>NA</v>
      </c>
      <c r="P395" s="9"/>
      <c r="Q395" s="7">
        <v>5465.51</v>
      </c>
      <c r="R395" s="8" t="str">
        <f>IFERROR(Q395/Q445, "NA")</f>
        <v>NA</v>
      </c>
      <c r="S395" s="9"/>
      <c r="T395" s="7">
        <v>20952.96</v>
      </c>
      <c r="U395" s="8" t="str">
        <f>IFERROR(T395/T445, "NA")</f>
        <v>NA</v>
      </c>
      <c r="V395" s="9"/>
      <c r="W395" s="10">
        <f t="shared" si="98"/>
        <v>15487.449999999999</v>
      </c>
      <c r="X395" s="8" t="str">
        <f>IFERROR(W395/W445, "NA")</f>
        <v>NA</v>
      </c>
      <c r="Y395" s="9"/>
      <c r="Z395" s="7">
        <v>6612.06</v>
      </c>
      <c r="AA395" s="8" t="str">
        <f>IFERROR(Z395/Z445, "NA")</f>
        <v>NA</v>
      </c>
      <c r="AB395" s="9"/>
      <c r="AC395" s="10">
        <f t="shared" si="99"/>
        <v>1146.5500000000002</v>
      </c>
      <c r="AD395" s="8" t="str">
        <f>IFERROR(AC395/AC445, "NA")</f>
        <v>NA</v>
      </c>
    </row>
    <row r="396" spans="1:30" ht="16.5" customHeight="1" x14ac:dyDescent="0.45">
      <c r="A396" s="6" t="s">
        <v>362</v>
      </c>
      <c r="B396" s="7">
        <v>276.98</v>
      </c>
      <c r="C396" s="8" t="str">
        <f>IFERROR(B396/B445, "NA")</f>
        <v>NA</v>
      </c>
      <c r="D396" s="9"/>
      <c r="E396" s="7">
        <v>0</v>
      </c>
      <c r="F396" s="8" t="str">
        <f>IFERROR(E396/E445, "NA")</f>
        <v>NA</v>
      </c>
      <c r="G396" s="9"/>
      <c r="H396" s="10">
        <f t="shared" si="96"/>
        <v>-276.98</v>
      </c>
      <c r="I396" s="8" t="str">
        <f>IFERROR(H396/H445, "NA")</f>
        <v>NA</v>
      </c>
      <c r="J396" s="9"/>
      <c r="K396" s="7">
        <v>0</v>
      </c>
      <c r="L396" s="8" t="str">
        <f>IFERROR(K396/K445, "NA")</f>
        <v>NA</v>
      </c>
      <c r="M396" s="9"/>
      <c r="N396" s="10">
        <f t="shared" si="97"/>
        <v>-276.98</v>
      </c>
      <c r="O396" s="8" t="str">
        <f>IFERROR(N396/N445, "NA")</f>
        <v>NA</v>
      </c>
      <c r="P396" s="9"/>
      <c r="Q396" s="7">
        <v>770.53</v>
      </c>
      <c r="R396" s="8" t="str">
        <f>IFERROR(Q396/Q445, "NA")</f>
        <v>NA</v>
      </c>
      <c r="S396" s="9"/>
      <c r="T396" s="7">
        <v>0</v>
      </c>
      <c r="U396" s="8" t="str">
        <f>IFERROR(T396/T445, "NA")</f>
        <v>NA</v>
      </c>
      <c r="V396" s="9"/>
      <c r="W396" s="10">
        <f t="shared" si="98"/>
        <v>-770.53</v>
      </c>
      <c r="X396" s="8" t="str">
        <f>IFERROR(W396/W445, "NA")</f>
        <v>NA</v>
      </c>
      <c r="Y396" s="9"/>
      <c r="Z396" s="7">
        <v>0</v>
      </c>
      <c r="AA396" s="8" t="str">
        <f>IFERROR(Z396/Z445, "NA")</f>
        <v>NA</v>
      </c>
      <c r="AB396" s="9"/>
      <c r="AC396" s="10">
        <f t="shared" si="99"/>
        <v>-770.53</v>
      </c>
      <c r="AD396" s="8" t="str">
        <f>IFERROR(AC396/AC445, "NA")</f>
        <v>NA</v>
      </c>
    </row>
    <row r="397" spans="1:30" ht="16.5" customHeight="1" x14ac:dyDescent="0.45">
      <c r="A397" s="19" t="s">
        <v>363</v>
      </c>
      <c r="B397" s="14">
        <f>IFERROR(B386+B387+B389+B390+B391+B392+B393+B395+B396, "NA")</f>
        <v>18329.149999999998</v>
      </c>
      <c r="C397" s="15" t="str">
        <f>IFERROR(B397/B445, "NA")</f>
        <v>NA</v>
      </c>
      <c r="D397" s="2"/>
      <c r="E397" s="14">
        <f>IFERROR(E386+E387+E389+E390+E391+E392+E393+E395+E396, "NA")</f>
        <v>19561.87</v>
      </c>
      <c r="F397" s="15" t="str">
        <f>IFERROR(E397/E445, "NA")</f>
        <v>NA</v>
      </c>
      <c r="G397" s="2"/>
      <c r="H397" s="14">
        <f t="shared" si="96"/>
        <v>1232.7200000000012</v>
      </c>
      <c r="I397" s="15" t="str">
        <f>IFERROR(H397/H445, "NA")</f>
        <v>NA</v>
      </c>
      <c r="J397" s="2"/>
      <c r="K397" s="14">
        <f>IFERROR(K386+K387+K389+K390+K391+K392+K393+K395+K396, "NA")</f>
        <v>22416.940000000002</v>
      </c>
      <c r="L397" s="15" t="str">
        <f>IFERROR(K397/K445, "NA")</f>
        <v>NA</v>
      </c>
      <c r="M397" s="2"/>
      <c r="N397" s="14">
        <f t="shared" si="97"/>
        <v>4087.7900000000045</v>
      </c>
      <c r="O397" s="15" t="str">
        <f>IFERROR(N397/N445, "NA")</f>
        <v>NA</v>
      </c>
      <c r="P397" s="2"/>
      <c r="Q397" s="14">
        <f>IFERROR(Q386+Q387+Q389+Q390+Q391+Q392+Q393+Q395+Q396, "NA")</f>
        <v>95478.739999999991</v>
      </c>
      <c r="R397" s="15" t="str">
        <f>IFERROR(Q397/Q445, "NA")</f>
        <v>NA</v>
      </c>
      <c r="S397" s="2"/>
      <c r="T397" s="14">
        <f>IFERROR(T386+T387+T389+T390+T391+T392+T393+T395+T396, "NA")</f>
        <v>89877.359999999986</v>
      </c>
      <c r="U397" s="15" t="str">
        <f>IFERROR(T397/T445, "NA")</f>
        <v>NA</v>
      </c>
      <c r="V397" s="2"/>
      <c r="W397" s="14">
        <f t="shared" si="98"/>
        <v>-5601.3800000000047</v>
      </c>
      <c r="X397" s="15" t="str">
        <f>IFERROR(W397/W445, "NA")</f>
        <v>NA</v>
      </c>
      <c r="Y397" s="2"/>
      <c r="Z397" s="14">
        <f>IFERROR(Z386+Z387+Z389+Z390+Z391+Z392+Z393+Z395+Z396, "NA")</f>
        <v>124384.62999999999</v>
      </c>
      <c r="AA397" s="15" t="str">
        <f>IFERROR(Z397/Z445, "NA")</f>
        <v>NA</v>
      </c>
      <c r="AB397" s="2"/>
      <c r="AC397" s="14">
        <f t="shared" si="99"/>
        <v>28905.89</v>
      </c>
      <c r="AD397" s="15" t="str">
        <f>IFERROR(AC397/AC445, "NA")</f>
        <v>NA</v>
      </c>
    </row>
    <row r="398" spans="1:30" ht="16.5" customHeight="1" x14ac:dyDescent="0.45">
      <c r="A398" s="20" t="s">
        <v>364</v>
      </c>
      <c r="B398" s="7">
        <v>21896.87</v>
      </c>
      <c r="C398" s="8" t="str">
        <f>IFERROR(B398/B445, "NA")</f>
        <v>NA</v>
      </c>
      <c r="D398" s="9"/>
      <c r="E398" s="7">
        <v>9200</v>
      </c>
      <c r="F398" s="8" t="str">
        <f>IFERROR(E398/E445, "NA")</f>
        <v>NA</v>
      </c>
      <c r="G398" s="9"/>
      <c r="H398" s="10">
        <f t="shared" si="96"/>
        <v>-12696.869999999999</v>
      </c>
      <c r="I398" s="8" t="str">
        <f>IFERROR(H398/H445, "NA")</f>
        <v>NA</v>
      </c>
      <c r="J398" s="9"/>
      <c r="K398" s="7">
        <v>6516.99</v>
      </c>
      <c r="L398" s="8" t="str">
        <f>IFERROR(K398/K445, "NA")</f>
        <v>NA</v>
      </c>
      <c r="M398" s="9"/>
      <c r="N398" s="10">
        <f t="shared" si="97"/>
        <v>-15379.88</v>
      </c>
      <c r="O398" s="8" t="str">
        <f>IFERROR(N398/N445, "NA")</f>
        <v>NA</v>
      </c>
      <c r="P398" s="9"/>
      <c r="Q398" s="7">
        <v>71508.87</v>
      </c>
      <c r="R398" s="8" t="str">
        <f>IFERROR(Q398/Q445, "NA")</f>
        <v>NA</v>
      </c>
      <c r="S398" s="9"/>
      <c r="T398" s="7">
        <v>44000</v>
      </c>
      <c r="U398" s="8" t="str">
        <f>IFERROR(T398/T445, "NA")</f>
        <v>NA</v>
      </c>
      <c r="V398" s="9"/>
      <c r="W398" s="10">
        <f t="shared" si="98"/>
        <v>-27508.869999999995</v>
      </c>
      <c r="X398" s="8" t="str">
        <f>IFERROR(W398/W445, "NA")</f>
        <v>NA</v>
      </c>
      <c r="Y398" s="9"/>
      <c r="Z398" s="7">
        <v>22317.26</v>
      </c>
      <c r="AA398" s="8" t="str">
        <f>IFERROR(Z398/Z445, "NA")</f>
        <v>NA</v>
      </c>
      <c r="AB398" s="9"/>
      <c r="AC398" s="10">
        <f t="shared" si="99"/>
        <v>-49191.61</v>
      </c>
      <c r="AD398" s="8" t="str">
        <f>IFERROR(AC398/AC445, "NA")</f>
        <v>NA</v>
      </c>
    </row>
    <row r="399" spans="1:30" ht="16.5" customHeight="1" x14ac:dyDescent="0.45">
      <c r="A399" s="20" t="s">
        <v>365</v>
      </c>
      <c r="B399" s="7">
        <v>241.59</v>
      </c>
      <c r="C399" s="8" t="str">
        <f>IFERROR(B399/B445, "NA")</f>
        <v>NA</v>
      </c>
      <c r="D399" s="9"/>
      <c r="E399" s="7">
        <v>0</v>
      </c>
      <c r="F399" s="8" t="str">
        <f>IFERROR(E399/E445, "NA")</f>
        <v>NA</v>
      </c>
      <c r="G399" s="9"/>
      <c r="H399" s="10">
        <f t="shared" si="96"/>
        <v>-241.59</v>
      </c>
      <c r="I399" s="8" t="str">
        <f>IFERROR(H399/H445, "NA")</f>
        <v>NA</v>
      </c>
      <c r="J399" s="9"/>
      <c r="K399" s="7">
        <v>120.93</v>
      </c>
      <c r="L399" s="8" t="str">
        <f>IFERROR(K399/K445, "NA")</f>
        <v>NA</v>
      </c>
      <c r="M399" s="9"/>
      <c r="N399" s="10">
        <f t="shared" si="97"/>
        <v>-120.66</v>
      </c>
      <c r="O399" s="8" t="str">
        <f>IFERROR(N399/N445, "NA")</f>
        <v>NA</v>
      </c>
      <c r="P399" s="9"/>
      <c r="Q399" s="7">
        <v>1247.8</v>
      </c>
      <c r="R399" s="8" t="str">
        <f>IFERROR(Q399/Q445, "NA")</f>
        <v>NA</v>
      </c>
      <c r="S399" s="9"/>
      <c r="T399" s="7">
        <v>0</v>
      </c>
      <c r="U399" s="8" t="str">
        <f>IFERROR(T399/T445, "NA")</f>
        <v>NA</v>
      </c>
      <c r="V399" s="9"/>
      <c r="W399" s="10">
        <f t="shared" si="98"/>
        <v>-1247.8</v>
      </c>
      <c r="X399" s="8" t="str">
        <f>IFERROR(W399/W445, "NA")</f>
        <v>NA</v>
      </c>
      <c r="Y399" s="9"/>
      <c r="Z399" s="7">
        <v>703.84</v>
      </c>
      <c r="AA399" s="8" t="str">
        <f>IFERROR(Z399/Z445, "NA")</f>
        <v>NA</v>
      </c>
      <c r="AB399" s="9"/>
      <c r="AC399" s="10">
        <f t="shared" si="99"/>
        <v>-543.95999999999992</v>
      </c>
      <c r="AD399" s="8" t="str">
        <f>IFERROR(AC399/AC445, "NA")</f>
        <v>NA</v>
      </c>
    </row>
    <row r="400" spans="1:30" ht="16.5" customHeight="1" x14ac:dyDescent="0.45">
      <c r="A400" s="20" t="s">
        <v>366</v>
      </c>
      <c r="B400" s="7">
        <v>150</v>
      </c>
      <c r="C400" s="8" t="str">
        <f>IFERROR(B400/B445, "NA")</f>
        <v>NA</v>
      </c>
      <c r="D400" s="9"/>
      <c r="E400" s="7">
        <v>0</v>
      </c>
      <c r="F400" s="8" t="str">
        <f>IFERROR(E400/E445, "NA")</f>
        <v>NA</v>
      </c>
      <c r="G400" s="9"/>
      <c r="H400" s="10">
        <f t="shared" si="96"/>
        <v>-150</v>
      </c>
      <c r="I400" s="8" t="str">
        <f>IFERROR(H400/H445, "NA")</f>
        <v>NA</v>
      </c>
      <c r="J400" s="9"/>
      <c r="K400" s="7">
        <v>0</v>
      </c>
      <c r="L400" s="8" t="str">
        <f>IFERROR(K400/K445, "NA")</f>
        <v>NA</v>
      </c>
      <c r="M400" s="9"/>
      <c r="N400" s="10">
        <f t="shared" si="97"/>
        <v>-150</v>
      </c>
      <c r="O400" s="8" t="str">
        <f>IFERROR(N400/N445, "NA")</f>
        <v>NA</v>
      </c>
      <c r="P400" s="9"/>
      <c r="Q400" s="7">
        <v>2826.84</v>
      </c>
      <c r="R400" s="8" t="str">
        <f>IFERROR(Q400/Q445, "NA")</f>
        <v>NA</v>
      </c>
      <c r="S400" s="9"/>
      <c r="T400" s="7">
        <v>600</v>
      </c>
      <c r="U400" s="8" t="str">
        <f>IFERROR(T400/T445, "NA")</f>
        <v>NA</v>
      </c>
      <c r="V400" s="9"/>
      <c r="W400" s="10">
        <f t="shared" si="98"/>
        <v>-2226.84</v>
      </c>
      <c r="X400" s="8" t="str">
        <f>IFERROR(W400/W445, "NA")</f>
        <v>NA</v>
      </c>
      <c r="Y400" s="9"/>
      <c r="Z400" s="7">
        <v>500</v>
      </c>
      <c r="AA400" s="8" t="str">
        <f>IFERROR(Z400/Z445, "NA")</f>
        <v>NA</v>
      </c>
      <c r="AB400" s="9"/>
      <c r="AC400" s="10">
        <f t="shared" si="99"/>
        <v>-2326.84</v>
      </c>
      <c r="AD400" s="8" t="str">
        <f>IFERROR(AC400/AC445, "NA")</f>
        <v>NA</v>
      </c>
    </row>
    <row r="401" spans="1:30" ht="16.5" hidden="1" customHeight="1" x14ac:dyDescent="0.45">
      <c r="A401" s="20" t="s">
        <v>367</v>
      </c>
      <c r="B401" s="7">
        <v>0</v>
      </c>
      <c r="C401" s="8" t="str">
        <f>IFERROR(B401/B445, "NA")</f>
        <v>NA</v>
      </c>
      <c r="D401" s="9"/>
      <c r="E401" s="7">
        <v>0</v>
      </c>
      <c r="F401" s="8" t="str">
        <f>IFERROR(E401/E445, "NA")</f>
        <v>NA</v>
      </c>
      <c r="G401" s="9"/>
      <c r="H401" s="10">
        <f t="shared" si="96"/>
        <v>0</v>
      </c>
      <c r="I401" s="8" t="str">
        <f>IFERROR(H401/H445, "NA")</f>
        <v>NA</v>
      </c>
      <c r="J401" s="9"/>
      <c r="K401" s="7">
        <v>0</v>
      </c>
      <c r="L401" s="8" t="str">
        <f>IFERROR(K401/K445, "NA")</f>
        <v>NA</v>
      </c>
      <c r="M401" s="9"/>
      <c r="N401" s="10">
        <f t="shared" si="97"/>
        <v>0</v>
      </c>
      <c r="O401" s="8" t="str">
        <f>IFERROR(N401/N445, "NA")</f>
        <v>NA</v>
      </c>
      <c r="P401" s="9"/>
      <c r="Q401" s="7">
        <v>0</v>
      </c>
      <c r="R401" s="8" t="str">
        <f>IFERROR(Q401/Q445, "NA")</f>
        <v>NA</v>
      </c>
      <c r="S401" s="9"/>
      <c r="T401" s="7">
        <v>0</v>
      </c>
      <c r="U401" s="8" t="str">
        <f>IFERROR(T401/T445, "NA")</f>
        <v>NA</v>
      </c>
      <c r="V401" s="9"/>
      <c r="W401" s="10">
        <f t="shared" si="98"/>
        <v>0</v>
      </c>
      <c r="X401" s="8" t="str">
        <f>IFERROR(W401/W445, "NA")</f>
        <v>NA</v>
      </c>
      <c r="Y401" s="9"/>
      <c r="Z401" s="7">
        <v>0</v>
      </c>
      <c r="AA401" s="8" t="str">
        <f>IFERROR(Z401/Z445, "NA")</f>
        <v>NA</v>
      </c>
      <c r="AB401" s="9"/>
      <c r="AC401" s="10">
        <f t="shared" si="99"/>
        <v>0</v>
      </c>
      <c r="AD401" s="8" t="str">
        <f>IFERROR(AC401/AC445,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IFERROR(B402/B445, "NA")</f>
        <v>NA</v>
      </c>
      <c r="D402" s="9"/>
      <c r="E402" s="7">
        <v>0</v>
      </c>
      <c r="F402" s="8" t="str">
        <f>IFERROR(E402/E445, "NA")</f>
        <v>NA</v>
      </c>
      <c r="G402" s="9"/>
      <c r="H402" s="10">
        <f t="shared" si="96"/>
        <v>0</v>
      </c>
      <c r="I402" s="8" t="str">
        <f>IFERROR(H402/H445, "NA")</f>
        <v>NA</v>
      </c>
      <c r="J402" s="9"/>
      <c r="K402" s="7">
        <v>0</v>
      </c>
      <c r="L402" s="8" t="str">
        <f>IFERROR(K402/K445, "NA")</f>
        <v>NA</v>
      </c>
      <c r="M402" s="9"/>
      <c r="N402" s="10">
        <f t="shared" si="97"/>
        <v>0</v>
      </c>
      <c r="O402" s="8" t="str">
        <f>IFERROR(N402/N445, "NA")</f>
        <v>NA</v>
      </c>
      <c r="P402" s="9"/>
      <c r="Q402" s="7">
        <v>0</v>
      </c>
      <c r="R402" s="8" t="str">
        <f>IFERROR(Q402/Q445, "NA")</f>
        <v>NA</v>
      </c>
      <c r="S402" s="9"/>
      <c r="T402" s="7">
        <v>0</v>
      </c>
      <c r="U402" s="8" t="str">
        <f>IFERROR(T402/T445, "NA")</f>
        <v>NA</v>
      </c>
      <c r="V402" s="9"/>
      <c r="W402" s="10">
        <f t="shared" si="98"/>
        <v>0</v>
      </c>
      <c r="X402" s="8" t="str">
        <f>IFERROR(W402/W445, "NA")</f>
        <v>NA</v>
      </c>
      <c r="Y402" s="9"/>
      <c r="Z402" s="7">
        <v>0</v>
      </c>
      <c r="AA402" s="8" t="str">
        <f>IFERROR(Z402/Z445, "NA")</f>
        <v>NA</v>
      </c>
      <c r="AB402" s="9"/>
      <c r="AC402" s="10">
        <f t="shared" si="99"/>
        <v>0</v>
      </c>
      <c r="AD402" s="8" t="str">
        <f>IFERROR(AC402/AC445, "NA")</f>
        <v>NA</v>
      </c>
    </row>
    <row r="403" spans="1:30" ht="16.5" hidden="1" customHeight="1" x14ac:dyDescent="0.45">
      <c r="A403" s="20" t="s">
        <v>369</v>
      </c>
      <c r="B403" s="7">
        <v>0</v>
      </c>
      <c r="C403" s="8" t="str">
        <f>IFERROR(B403/B445, "NA")</f>
        <v>NA</v>
      </c>
      <c r="D403" s="9"/>
      <c r="E403" s="7">
        <v>0</v>
      </c>
      <c r="F403" s="8" t="str">
        <f>IFERROR(E403/E445, "NA")</f>
        <v>NA</v>
      </c>
      <c r="G403" s="9"/>
      <c r="H403" s="10">
        <f t="shared" si="96"/>
        <v>0</v>
      </c>
      <c r="I403" s="8" t="str">
        <f>IFERROR(H403/H445, "NA")</f>
        <v>NA</v>
      </c>
      <c r="J403" s="9"/>
      <c r="K403" s="7">
        <v>0</v>
      </c>
      <c r="L403" s="8" t="str">
        <f>IFERROR(K403/K445, "NA")</f>
        <v>NA</v>
      </c>
      <c r="M403" s="9"/>
      <c r="N403" s="10">
        <f t="shared" si="97"/>
        <v>0</v>
      </c>
      <c r="O403" s="8" t="str">
        <f>IFERROR(N403/N445, "NA")</f>
        <v>NA</v>
      </c>
      <c r="P403" s="9"/>
      <c r="Q403" s="7">
        <v>0</v>
      </c>
      <c r="R403" s="8" t="str">
        <f>IFERROR(Q403/Q445, "NA")</f>
        <v>NA</v>
      </c>
      <c r="S403" s="9"/>
      <c r="T403" s="7">
        <v>0</v>
      </c>
      <c r="U403" s="8" t="str">
        <f>IFERROR(T403/T445, "NA")</f>
        <v>NA</v>
      </c>
      <c r="V403" s="9"/>
      <c r="W403" s="10">
        <f t="shared" si="98"/>
        <v>0</v>
      </c>
      <c r="X403" s="8" t="str">
        <f>IFERROR(W403/W445, "NA")</f>
        <v>NA</v>
      </c>
      <c r="Y403" s="9"/>
      <c r="Z403" s="7">
        <v>0</v>
      </c>
      <c r="AA403" s="8" t="str">
        <f>IFERROR(Z403/Z445, "NA")</f>
        <v>NA</v>
      </c>
      <c r="AB403" s="9"/>
      <c r="AC403" s="10">
        <f t="shared" si="99"/>
        <v>0</v>
      </c>
      <c r="AD403" s="8" t="str">
        <f>IFERROR(AC403/AC445, "NA")</f>
        <v>NA</v>
      </c>
    </row>
    <row r="404" spans="1:30" ht="16.5" customHeight="1" x14ac:dyDescent="0.45">
      <c r="A404" s="21" t="s">
        <v>370</v>
      </c>
      <c r="B404" s="14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113662.15999999997</v>
      </c>
      <c r="C404" s="15" t="str">
        <f>IFERROR(B404/B445, "NA")</f>
        <v>NA</v>
      </c>
      <c r="D404" s="2"/>
      <c r="E404" s="14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113327.56</v>
      </c>
      <c r="F404" s="15" t="str">
        <f>IFERROR(E404/E445, "NA")</f>
        <v>NA</v>
      </c>
      <c r="G404" s="2"/>
      <c r="H404" s="14">
        <f t="shared" si="96"/>
        <v>-334.59999999997672</v>
      </c>
      <c r="I404" s="15" t="str">
        <f>IFERROR(H404/H445, "NA")</f>
        <v>NA</v>
      </c>
      <c r="J404" s="2"/>
      <c r="K404" s="14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121379.02999999997</v>
      </c>
      <c r="L404" s="15" t="str">
        <f>IFERROR(K404/K445, "NA")</f>
        <v>NA</v>
      </c>
      <c r="M404" s="2"/>
      <c r="N404" s="14">
        <f t="shared" si="97"/>
        <v>7716.8699999999953</v>
      </c>
      <c r="O404" s="15" t="str">
        <f>IFERROR(N404/N445, "NA")</f>
        <v>NA</v>
      </c>
      <c r="P404" s="2"/>
      <c r="Q404" s="14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559076</v>
      </c>
      <c r="R404" s="15" t="str">
        <f>IFERROR(Q404/Q445, "NA")</f>
        <v>NA</v>
      </c>
      <c r="S404" s="2"/>
      <c r="T404" s="14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555873.66</v>
      </c>
      <c r="U404" s="15" t="str">
        <f>IFERROR(T404/T445, "NA")</f>
        <v>NA</v>
      </c>
      <c r="V404" s="2"/>
      <c r="W404" s="14">
        <f t="shared" si="98"/>
        <v>-3202.3399999999674</v>
      </c>
      <c r="X404" s="15" t="str">
        <f>IFERROR(W404/W445, "NA")</f>
        <v>NA</v>
      </c>
      <c r="Y404" s="2"/>
      <c r="Z404" s="14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674371.37000000011</v>
      </c>
      <c r="AA404" s="15" t="str">
        <f>IFERROR(Z404/Z445, "NA")</f>
        <v>NA</v>
      </c>
      <c r="AB404" s="2"/>
      <c r="AC404" s="14">
        <f t="shared" si="99"/>
        <v>115295.37000000011</v>
      </c>
      <c r="AD404" s="15" t="str">
        <f>IFERROR(AC404/AC445, "NA")</f>
        <v>NA</v>
      </c>
    </row>
    <row r="405" spans="1:30" ht="16.5" customHeight="1" x14ac:dyDescent="0.45">
      <c r="A405" s="22" t="s">
        <v>371</v>
      </c>
      <c r="B405" s="23">
        <f>IFERROR(B346-B404, "NA")</f>
        <v>-113662.15999999997</v>
      </c>
      <c r="C405" s="24" t="str">
        <f>IFERROR(B405/B445, "NA")</f>
        <v>NA</v>
      </c>
      <c r="D405" s="25"/>
      <c r="E405" s="23">
        <f>IFERROR(E346-E404, "NA")</f>
        <v>-113327.56</v>
      </c>
      <c r="F405" s="24" t="str">
        <f>IFERROR(E405/E445, "NA")</f>
        <v>NA</v>
      </c>
      <c r="G405" s="25"/>
      <c r="H405" s="23">
        <f>IFERROR(B405-E405, "NA")</f>
        <v>-334.59999999997672</v>
      </c>
      <c r="I405" s="24" t="str">
        <f>IFERROR(H405/H445, "NA")</f>
        <v>NA</v>
      </c>
      <c r="J405" s="25"/>
      <c r="K405" s="23">
        <f>IFERROR(K346-K404, "NA")</f>
        <v>-121379.02999999997</v>
      </c>
      <c r="L405" s="24" t="str">
        <f>IFERROR(K405/K445, "NA")</f>
        <v>NA</v>
      </c>
      <c r="M405" s="25"/>
      <c r="N405" s="23">
        <f>IFERROR(B405-K405, "NA")</f>
        <v>7716.8699999999953</v>
      </c>
      <c r="O405" s="24" t="str">
        <f>IFERROR(N405/N445, "NA")</f>
        <v>NA</v>
      </c>
      <c r="P405" s="25"/>
      <c r="Q405" s="23">
        <f>IFERROR(Q346-Q404, "NA")</f>
        <v>-559076</v>
      </c>
      <c r="R405" s="24" t="str">
        <f>IFERROR(Q405/Q445, "NA")</f>
        <v>NA</v>
      </c>
      <c r="S405" s="25"/>
      <c r="T405" s="23">
        <f>IFERROR(T346-T404, "NA")</f>
        <v>-555873.66</v>
      </c>
      <c r="U405" s="24" t="str">
        <f>IFERROR(T405/T445, "NA")</f>
        <v>NA</v>
      </c>
      <c r="V405" s="25"/>
      <c r="W405" s="23">
        <f>IFERROR(Q405-T405, "NA")</f>
        <v>-3202.3399999999674</v>
      </c>
      <c r="X405" s="24" t="str">
        <f>IFERROR(W405/W445, "NA")</f>
        <v>NA</v>
      </c>
      <c r="Y405" s="25"/>
      <c r="Z405" s="23">
        <f>IFERROR(Z346-Z404, "NA")</f>
        <v>-674371.37000000011</v>
      </c>
      <c r="AA405" s="24" t="str">
        <f>IFERROR(Z405/Z445, "NA")</f>
        <v>NA</v>
      </c>
      <c r="AB405" s="25"/>
      <c r="AC405" s="23">
        <f>IFERROR(Q405-Z405, "NA")</f>
        <v>115295.37000000011</v>
      </c>
      <c r="AD405" s="24" t="str">
        <f>IFERROR(AC405/AC445, "NA")</f>
        <v>NA</v>
      </c>
    </row>
    <row r="406" spans="1:30" ht="16.5" customHeight="1" x14ac:dyDescent="0.45">
      <c r="A406" s="1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5" t="s">
        <v>373</v>
      </c>
      <c r="B407" s="2"/>
      <c r="C407" s="3"/>
      <c r="D407" s="4"/>
      <c r="E407" s="2"/>
      <c r="F407" s="3"/>
      <c r="G407" s="4"/>
      <c r="H407" s="2"/>
      <c r="I407" s="3"/>
      <c r="J407" s="4"/>
      <c r="K407" s="2"/>
      <c r="L407" s="3"/>
      <c r="M407" s="4"/>
      <c r="N407" s="2"/>
      <c r="O407" s="3"/>
      <c r="P407" s="4"/>
      <c r="Q407" s="2"/>
      <c r="R407" s="3"/>
      <c r="S407" s="4"/>
      <c r="T407" s="2"/>
      <c r="U407" s="3"/>
      <c r="V407" s="4"/>
      <c r="W407" s="2"/>
      <c r="X407" s="3"/>
      <c r="Y407" s="4"/>
      <c r="Z407" s="2"/>
      <c r="AA407" s="3"/>
      <c r="AB407" s="4"/>
      <c r="AC407" s="2"/>
      <c r="AD407" s="3"/>
    </row>
    <row r="408" spans="1:30" ht="16.5" customHeight="1" x14ac:dyDescent="0.45">
      <c r="A408" s="6" t="s">
        <v>373</v>
      </c>
      <c r="B408" s="7">
        <v>0</v>
      </c>
      <c r="C408" s="8" t="str">
        <f>IFERROR(B408/B445, "NA")</f>
        <v>NA</v>
      </c>
      <c r="D408" s="9"/>
      <c r="E408" s="7">
        <v>-13500</v>
      </c>
      <c r="F408" s="8" t="str">
        <f>IFERROR(E408/E445, "NA")</f>
        <v>NA</v>
      </c>
      <c r="G408" s="9"/>
      <c r="H408" s="10">
        <f t="shared" ref="H408:H430" si="100">IFERROR(-(B408-E408), "NA")</f>
        <v>-13500</v>
      </c>
      <c r="I408" s="8" t="str">
        <f>IFERROR(H408/H445, "NA")</f>
        <v>NA</v>
      </c>
      <c r="J408" s="9"/>
      <c r="K408" s="7">
        <v>0</v>
      </c>
      <c r="L408" s="8" t="str">
        <f>IFERROR(K408/K445, "NA")</f>
        <v>NA</v>
      </c>
      <c r="M408" s="9"/>
      <c r="N408" s="10">
        <f t="shared" ref="N408:N430" si="101">IFERROR(-(B408-K408), "NA")</f>
        <v>0</v>
      </c>
      <c r="O408" s="8" t="str">
        <f>IFERROR(N408/N445, "NA")</f>
        <v>NA</v>
      </c>
      <c r="P408" s="9"/>
      <c r="Q408" s="7">
        <v>0</v>
      </c>
      <c r="R408" s="8" t="str">
        <f>IFERROR(Q408/Q445, "NA")</f>
        <v>NA</v>
      </c>
      <c r="S408" s="9"/>
      <c r="T408" s="7">
        <v>-67500</v>
      </c>
      <c r="U408" s="8" t="str">
        <f>IFERROR(T408/T445, "NA")</f>
        <v>NA</v>
      </c>
      <c r="V408" s="9"/>
      <c r="W408" s="10">
        <f t="shared" ref="W408:W430" si="102">IFERROR(-(Q408-T408), "NA")</f>
        <v>-67500</v>
      </c>
      <c r="X408" s="8" t="str">
        <f>IFERROR(W408/W445, "NA")</f>
        <v>NA</v>
      </c>
      <c r="Y408" s="9"/>
      <c r="Z408" s="7">
        <v>0</v>
      </c>
      <c r="AA408" s="8" t="str">
        <f>IFERROR(Z408/Z445, "NA")</f>
        <v>NA</v>
      </c>
      <c r="AB408" s="9"/>
      <c r="AC408" s="10">
        <f t="shared" ref="AC408:AC430" si="103">IFERROR(-(Q408-Z408), "NA")</f>
        <v>0</v>
      </c>
      <c r="AD408" s="8" t="str">
        <f>IFERROR(AC408/AC445,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IFERROR(B409/B445, "NA")</f>
        <v>NA</v>
      </c>
      <c r="D409" s="9"/>
      <c r="E409" s="7">
        <v>0</v>
      </c>
      <c r="F409" s="8" t="str">
        <f>IFERROR(E409/E445, "NA")</f>
        <v>NA</v>
      </c>
      <c r="G409" s="9"/>
      <c r="H409" s="10">
        <f t="shared" si="100"/>
        <v>0</v>
      </c>
      <c r="I409" s="8" t="str">
        <f>IFERROR(H409/H445, "NA")</f>
        <v>NA</v>
      </c>
      <c r="J409" s="9"/>
      <c r="K409" s="7">
        <v>0</v>
      </c>
      <c r="L409" s="8" t="str">
        <f>IFERROR(K409/K445, "NA")</f>
        <v>NA</v>
      </c>
      <c r="M409" s="9"/>
      <c r="N409" s="10">
        <f t="shared" si="101"/>
        <v>0</v>
      </c>
      <c r="O409" s="8" t="str">
        <f>IFERROR(N409/N445, "NA")</f>
        <v>NA</v>
      </c>
      <c r="P409" s="9"/>
      <c r="Q409" s="7">
        <v>0</v>
      </c>
      <c r="R409" s="8" t="str">
        <f>IFERROR(Q409/Q445, "NA")</f>
        <v>NA</v>
      </c>
      <c r="S409" s="9"/>
      <c r="T409" s="7">
        <v>0</v>
      </c>
      <c r="U409" s="8" t="str">
        <f>IFERROR(T409/T445, "NA")</f>
        <v>NA</v>
      </c>
      <c r="V409" s="9"/>
      <c r="W409" s="10">
        <f t="shared" si="102"/>
        <v>0</v>
      </c>
      <c r="X409" s="8" t="str">
        <f>IFERROR(W409/W445, "NA")</f>
        <v>NA</v>
      </c>
      <c r="Y409" s="9"/>
      <c r="Z409" s="7">
        <v>0</v>
      </c>
      <c r="AA409" s="8" t="str">
        <f>IFERROR(Z409/Z445, "NA")</f>
        <v>NA</v>
      </c>
      <c r="AB409" s="9"/>
      <c r="AC409" s="10">
        <f t="shared" si="103"/>
        <v>0</v>
      </c>
      <c r="AD409" s="8" t="str">
        <f>IFERROR(AC409/AC445, "NA")</f>
        <v>NA</v>
      </c>
    </row>
    <row r="410" spans="1:30" ht="16.5" hidden="1" customHeight="1" x14ac:dyDescent="0.45">
      <c r="A410" s="6" t="s">
        <v>375</v>
      </c>
      <c r="B410" s="7">
        <v>0</v>
      </c>
      <c r="C410" s="8" t="str">
        <f>IFERROR(B410/B445, "NA")</f>
        <v>NA</v>
      </c>
      <c r="D410" s="9"/>
      <c r="E410" s="7">
        <v>0</v>
      </c>
      <c r="F410" s="8" t="str">
        <f>IFERROR(E410/E445, "NA")</f>
        <v>NA</v>
      </c>
      <c r="G410" s="9"/>
      <c r="H410" s="10">
        <f t="shared" si="100"/>
        <v>0</v>
      </c>
      <c r="I410" s="8" t="str">
        <f>IFERROR(H410/H445, "NA")</f>
        <v>NA</v>
      </c>
      <c r="J410" s="9"/>
      <c r="K410" s="7">
        <v>0</v>
      </c>
      <c r="L410" s="8" t="str">
        <f>IFERROR(K410/K445, "NA")</f>
        <v>NA</v>
      </c>
      <c r="M410" s="9"/>
      <c r="N410" s="10">
        <f t="shared" si="101"/>
        <v>0</v>
      </c>
      <c r="O410" s="8" t="str">
        <f>IFERROR(N410/N445, "NA")</f>
        <v>NA</v>
      </c>
      <c r="P410" s="9"/>
      <c r="Q410" s="7">
        <v>0</v>
      </c>
      <c r="R410" s="8" t="str">
        <f>IFERROR(Q410/Q445, "NA")</f>
        <v>NA</v>
      </c>
      <c r="S410" s="9"/>
      <c r="T410" s="7">
        <v>0</v>
      </c>
      <c r="U410" s="8" t="str">
        <f>IFERROR(T410/T445, "NA")</f>
        <v>NA</v>
      </c>
      <c r="V410" s="9"/>
      <c r="W410" s="10">
        <f t="shared" si="102"/>
        <v>0</v>
      </c>
      <c r="X410" s="8" t="str">
        <f>IFERROR(W410/W445, "NA")</f>
        <v>NA</v>
      </c>
      <c r="Y410" s="9"/>
      <c r="Z410" s="7">
        <v>0</v>
      </c>
      <c r="AA410" s="8" t="str">
        <f>IFERROR(Z410/Z445, "NA")</f>
        <v>NA</v>
      </c>
      <c r="AB410" s="9"/>
      <c r="AC410" s="10">
        <f t="shared" si="103"/>
        <v>0</v>
      </c>
      <c r="AD410" s="8" t="str">
        <f>IFERROR(AC410/AC445, "NA")</f>
        <v>NA</v>
      </c>
    </row>
    <row r="411" spans="1:30" ht="16.5" customHeight="1" x14ac:dyDescent="0.45">
      <c r="A411" s="6" t="s">
        <v>376</v>
      </c>
      <c r="B411" s="7">
        <v>59.7</v>
      </c>
      <c r="C411" s="8" t="str">
        <f>IFERROR(B411/B445, "NA")</f>
        <v>NA</v>
      </c>
      <c r="D411" s="9"/>
      <c r="E411" s="7">
        <v>0</v>
      </c>
      <c r="F411" s="8" t="str">
        <f>IFERROR(E411/E445, "NA")</f>
        <v>NA</v>
      </c>
      <c r="G411" s="9"/>
      <c r="H411" s="10">
        <f t="shared" si="100"/>
        <v>-59.7</v>
      </c>
      <c r="I411" s="8" t="str">
        <f>IFERROR(H411/H445, "NA")</f>
        <v>NA</v>
      </c>
      <c r="J411" s="9"/>
      <c r="K411" s="7">
        <v>59.7</v>
      </c>
      <c r="L411" s="8" t="str">
        <f>IFERROR(K411/K445, "NA")</f>
        <v>NA</v>
      </c>
      <c r="M411" s="9"/>
      <c r="N411" s="10">
        <f t="shared" si="101"/>
        <v>0</v>
      </c>
      <c r="O411" s="8" t="str">
        <f>IFERROR(N411/N445, "NA")</f>
        <v>NA</v>
      </c>
      <c r="P411" s="9"/>
      <c r="Q411" s="7">
        <v>298.5</v>
      </c>
      <c r="R411" s="8" t="str">
        <f>IFERROR(Q411/Q445, "NA")</f>
        <v>NA</v>
      </c>
      <c r="S411" s="9"/>
      <c r="T411" s="7">
        <v>0</v>
      </c>
      <c r="U411" s="8" t="str">
        <f>IFERROR(T411/T445, "NA")</f>
        <v>NA</v>
      </c>
      <c r="V411" s="9"/>
      <c r="W411" s="10">
        <f t="shared" si="102"/>
        <v>-298.5</v>
      </c>
      <c r="X411" s="8" t="str">
        <f>IFERROR(W411/W445, "NA")</f>
        <v>NA</v>
      </c>
      <c r="Y411" s="9"/>
      <c r="Z411" s="7">
        <v>423.69</v>
      </c>
      <c r="AA411" s="8" t="str">
        <f>IFERROR(Z411/Z445, "NA")</f>
        <v>NA</v>
      </c>
      <c r="AB411" s="9"/>
      <c r="AC411" s="10">
        <f t="shared" si="103"/>
        <v>125.19</v>
      </c>
      <c r="AD411" s="8" t="str">
        <f>IFERROR(AC411/AC445, "NA")</f>
        <v>NA</v>
      </c>
    </row>
    <row r="412" spans="1:30" ht="16.5" customHeight="1" x14ac:dyDescent="0.45">
      <c r="A412" s="6" t="s">
        <v>377</v>
      </c>
      <c r="B412" s="7">
        <v>268.37</v>
      </c>
      <c r="C412" s="8" t="str">
        <f>IFERROR(B412/B445, "NA")</f>
        <v>NA</v>
      </c>
      <c r="D412" s="9"/>
      <c r="E412" s="7">
        <v>0</v>
      </c>
      <c r="F412" s="8" t="str">
        <f>IFERROR(E412/E445, "NA")</f>
        <v>NA</v>
      </c>
      <c r="G412" s="9"/>
      <c r="H412" s="10">
        <f t="shared" si="100"/>
        <v>-268.37</v>
      </c>
      <c r="I412" s="8" t="str">
        <f>IFERROR(H412/H445, "NA")</f>
        <v>NA</v>
      </c>
      <c r="J412" s="9"/>
      <c r="K412" s="7">
        <v>268.37</v>
      </c>
      <c r="L412" s="8" t="str">
        <f>IFERROR(K412/K445, "NA")</f>
        <v>NA</v>
      </c>
      <c r="M412" s="9"/>
      <c r="N412" s="10">
        <f t="shared" si="101"/>
        <v>0</v>
      </c>
      <c r="O412" s="8" t="str">
        <f>IFERROR(N412/N445, "NA")</f>
        <v>NA</v>
      </c>
      <c r="P412" s="9"/>
      <c r="Q412" s="7">
        <v>1341.86</v>
      </c>
      <c r="R412" s="8" t="str">
        <f>IFERROR(Q412/Q445, "NA")</f>
        <v>NA</v>
      </c>
      <c r="S412" s="9"/>
      <c r="T412" s="7">
        <v>0</v>
      </c>
      <c r="U412" s="8" t="str">
        <f>IFERROR(T412/T445, "NA")</f>
        <v>NA</v>
      </c>
      <c r="V412" s="9"/>
      <c r="W412" s="10">
        <f t="shared" si="102"/>
        <v>-1341.86</v>
      </c>
      <c r="X412" s="8" t="str">
        <f>IFERROR(W412/W445, "NA")</f>
        <v>NA</v>
      </c>
      <c r="Y412" s="9"/>
      <c r="Z412" s="7">
        <v>1073.48</v>
      </c>
      <c r="AA412" s="8" t="str">
        <f>IFERROR(Z412/Z445, "NA")</f>
        <v>NA</v>
      </c>
      <c r="AB412" s="9"/>
      <c r="AC412" s="10">
        <f t="shared" si="103"/>
        <v>-268.37999999999988</v>
      </c>
      <c r="AD412" s="8" t="str">
        <f>IFERROR(AC412/AC445,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IFERROR(B413/B445, "NA")</f>
        <v>NA</v>
      </c>
      <c r="D413" s="9"/>
      <c r="E413" s="7">
        <v>0</v>
      </c>
      <c r="F413" s="8" t="str">
        <f>IFERROR(E413/E445, "NA")</f>
        <v>NA</v>
      </c>
      <c r="G413" s="9"/>
      <c r="H413" s="10">
        <f t="shared" si="100"/>
        <v>0</v>
      </c>
      <c r="I413" s="8" t="str">
        <f>IFERROR(H413/H445, "NA")</f>
        <v>NA</v>
      </c>
      <c r="J413" s="9"/>
      <c r="K413" s="7">
        <v>0</v>
      </c>
      <c r="L413" s="8" t="str">
        <f>IFERROR(K413/K445, "NA")</f>
        <v>NA</v>
      </c>
      <c r="M413" s="9"/>
      <c r="N413" s="10">
        <f t="shared" si="101"/>
        <v>0</v>
      </c>
      <c r="O413" s="8" t="str">
        <f>IFERROR(N413/N445, "NA")</f>
        <v>NA</v>
      </c>
      <c r="P413" s="9"/>
      <c r="Q413" s="7">
        <v>0</v>
      </c>
      <c r="R413" s="8" t="str">
        <f>IFERROR(Q413/Q445, "NA")</f>
        <v>NA</v>
      </c>
      <c r="S413" s="9"/>
      <c r="T413" s="7">
        <v>0</v>
      </c>
      <c r="U413" s="8" t="str">
        <f>IFERROR(T413/T445, "NA")</f>
        <v>NA</v>
      </c>
      <c r="V413" s="9"/>
      <c r="W413" s="10">
        <f t="shared" si="102"/>
        <v>0</v>
      </c>
      <c r="X413" s="8" t="str">
        <f>IFERROR(W413/W445, "NA")</f>
        <v>NA</v>
      </c>
      <c r="Y413" s="9"/>
      <c r="Z413" s="7">
        <v>0</v>
      </c>
      <c r="AA413" s="8" t="str">
        <f>IFERROR(Z413/Z445, "NA")</f>
        <v>NA</v>
      </c>
      <c r="AB413" s="9"/>
      <c r="AC413" s="10">
        <f t="shared" si="103"/>
        <v>0</v>
      </c>
      <c r="AD413" s="8" t="str">
        <f>IFERROR(AC413/AC445,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IFERROR(B414/B445, "NA")</f>
        <v>NA</v>
      </c>
      <c r="D414" s="9"/>
      <c r="E414" s="7">
        <v>0</v>
      </c>
      <c r="F414" s="8" t="str">
        <f>IFERROR(E414/E445, "NA")</f>
        <v>NA</v>
      </c>
      <c r="G414" s="9"/>
      <c r="H414" s="10">
        <f t="shared" si="100"/>
        <v>0</v>
      </c>
      <c r="I414" s="8" t="str">
        <f>IFERROR(H414/H445, "NA")</f>
        <v>NA</v>
      </c>
      <c r="J414" s="9"/>
      <c r="K414" s="7">
        <v>0</v>
      </c>
      <c r="L414" s="8" t="str">
        <f>IFERROR(K414/K445, "NA")</f>
        <v>NA</v>
      </c>
      <c r="M414" s="9"/>
      <c r="N414" s="10">
        <f t="shared" si="101"/>
        <v>0</v>
      </c>
      <c r="O414" s="8" t="str">
        <f>IFERROR(N414/N445, "NA")</f>
        <v>NA</v>
      </c>
      <c r="P414" s="9"/>
      <c r="Q414" s="7">
        <v>0</v>
      </c>
      <c r="R414" s="8" t="str">
        <f>IFERROR(Q414/Q445, "NA")</f>
        <v>NA</v>
      </c>
      <c r="S414" s="9"/>
      <c r="T414" s="7">
        <v>0</v>
      </c>
      <c r="U414" s="8" t="str">
        <f>IFERROR(T414/T445, "NA")</f>
        <v>NA</v>
      </c>
      <c r="V414" s="9"/>
      <c r="W414" s="10">
        <f t="shared" si="102"/>
        <v>0</v>
      </c>
      <c r="X414" s="8" t="str">
        <f>IFERROR(W414/W445, "NA")</f>
        <v>NA</v>
      </c>
      <c r="Y414" s="9"/>
      <c r="Z414" s="7">
        <v>0</v>
      </c>
      <c r="AA414" s="8" t="str">
        <f>IFERROR(Z414/Z445, "NA")</f>
        <v>NA</v>
      </c>
      <c r="AB414" s="9"/>
      <c r="AC414" s="10">
        <f t="shared" si="103"/>
        <v>0</v>
      </c>
      <c r="AD414" s="8" t="str">
        <f>IFERROR(AC414/AC445,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IFERROR(B415/B445, "NA")</f>
        <v>NA</v>
      </c>
      <c r="D415" s="9"/>
      <c r="E415" s="7">
        <v>0</v>
      </c>
      <c r="F415" s="8" t="str">
        <f>IFERROR(E415/E445, "NA")</f>
        <v>NA</v>
      </c>
      <c r="G415" s="9"/>
      <c r="H415" s="10">
        <f t="shared" si="100"/>
        <v>0</v>
      </c>
      <c r="I415" s="8" t="str">
        <f>IFERROR(H415/H445, "NA")</f>
        <v>NA</v>
      </c>
      <c r="J415" s="9"/>
      <c r="K415" s="7">
        <v>0</v>
      </c>
      <c r="L415" s="8" t="str">
        <f>IFERROR(K415/K445, "NA")</f>
        <v>NA</v>
      </c>
      <c r="M415" s="9"/>
      <c r="N415" s="10">
        <f t="shared" si="101"/>
        <v>0</v>
      </c>
      <c r="O415" s="8" t="str">
        <f>IFERROR(N415/N445, "NA")</f>
        <v>NA</v>
      </c>
      <c r="P415" s="9"/>
      <c r="Q415" s="7">
        <v>0</v>
      </c>
      <c r="R415" s="8" t="str">
        <f>IFERROR(Q415/Q445, "NA")</f>
        <v>NA</v>
      </c>
      <c r="S415" s="9"/>
      <c r="T415" s="7">
        <v>0</v>
      </c>
      <c r="U415" s="8" t="str">
        <f>IFERROR(T415/T445, "NA")</f>
        <v>NA</v>
      </c>
      <c r="V415" s="9"/>
      <c r="W415" s="10">
        <f t="shared" si="102"/>
        <v>0</v>
      </c>
      <c r="X415" s="8" t="str">
        <f>IFERROR(W415/W445, "NA")</f>
        <v>NA</v>
      </c>
      <c r="Y415" s="9"/>
      <c r="Z415" s="7">
        <v>0</v>
      </c>
      <c r="AA415" s="8" t="str">
        <f>IFERROR(Z415/Z445, "NA")</f>
        <v>NA</v>
      </c>
      <c r="AB415" s="9"/>
      <c r="AC415" s="10">
        <f t="shared" si="103"/>
        <v>0</v>
      </c>
      <c r="AD415" s="8" t="str">
        <f>IFERROR(AC415/AC445,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IFERROR(B416/B445, "NA")</f>
        <v>NA</v>
      </c>
      <c r="D416" s="9"/>
      <c r="E416" s="7">
        <v>0</v>
      </c>
      <c r="F416" s="8" t="str">
        <f>IFERROR(E416/E445, "NA")</f>
        <v>NA</v>
      </c>
      <c r="G416" s="9"/>
      <c r="H416" s="10">
        <f t="shared" si="100"/>
        <v>0</v>
      </c>
      <c r="I416" s="8" t="str">
        <f>IFERROR(H416/H445, "NA")</f>
        <v>NA</v>
      </c>
      <c r="J416" s="9"/>
      <c r="K416" s="7">
        <v>0</v>
      </c>
      <c r="L416" s="8" t="str">
        <f>IFERROR(K416/K445, "NA")</f>
        <v>NA</v>
      </c>
      <c r="M416" s="9"/>
      <c r="N416" s="10">
        <f t="shared" si="101"/>
        <v>0</v>
      </c>
      <c r="O416" s="8" t="str">
        <f>IFERROR(N416/N445, "NA")</f>
        <v>NA</v>
      </c>
      <c r="P416" s="9"/>
      <c r="Q416" s="7">
        <v>0</v>
      </c>
      <c r="R416" s="8" t="str">
        <f>IFERROR(Q416/Q445, "NA")</f>
        <v>NA</v>
      </c>
      <c r="S416" s="9"/>
      <c r="T416" s="7">
        <v>0</v>
      </c>
      <c r="U416" s="8" t="str">
        <f>IFERROR(T416/T445, "NA")</f>
        <v>NA</v>
      </c>
      <c r="V416" s="9"/>
      <c r="W416" s="10">
        <f t="shared" si="102"/>
        <v>0</v>
      </c>
      <c r="X416" s="8" t="str">
        <f>IFERROR(W416/W445, "NA")</f>
        <v>NA</v>
      </c>
      <c r="Y416" s="9"/>
      <c r="Z416" s="7">
        <v>0</v>
      </c>
      <c r="AA416" s="8" t="str">
        <f>IFERROR(Z416/Z445, "NA")</f>
        <v>NA</v>
      </c>
      <c r="AB416" s="9"/>
      <c r="AC416" s="10">
        <f t="shared" si="103"/>
        <v>0</v>
      </c>
      <c r="AD416" s="8" t="str">
        <f>IFERROR(AC416/AC445,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IFERROR(B417/B445, "NA")</f>
        <v>NA</v>
      </c>
      <c r="D417" s="9"/>
      <c r="E417" s="7">
        <v>0</v>
      </c>
      <c r="F417" s="8" t="str">
        <f>IFERROR(E417/E445, "NA")</f>
        <v>NA</v>
      </c>
      <c r="G417" s="9"/>
      <c r="H417" s="10">
        <f t="shared" si="100"/>
        <v>0</v>
      </c>
      <c r="I417" s="8" t="str">
        <f>IFERROR(H417/H445, "NA")</f>
        <v>NA</v>
      </c>
      <c r="J417" s="9"/>
      <c r="K417" s="7">
        <v>0</v>
      </c>
      <c r="L417" s="8" t="str">
        <f>IFERROR(K417/K445, "NA")</f>
        <v>NA</v>
      </c>
      <c r="M417" s="9"/>
      <c r="N417" s="10">
        <f t="shared" si="101"/>
        <v>0</v>
      </c>
      <c r="O417" s="8" t="str">
        <f>IFERROR(N417/N445, "NA")</f>
        <v>NA</v>
      </c>
      <c r="P417" s="9"/>
      <c r="Q417" s="7">
        <v>0</v>
      </c>
      <c r="R417" s="8" t="str">
        <f>IFERROR(Q417/Q445, "NA")</f>
        <v>NA</v>
      </c>
      <c r="S417" s="9"/>
      <c r="T417" s="7">
        <v>0</v>
      </c>
      <c r="U417" s="8" t="str">
        <f>IFERROR(T417/T445, "NA")</f>
        <v>NA</v>
      </c>
      <c r="V417" s="9"/>
      <c r="W417" s="10">
        <f t="shared" si="102"/>
        <v>0</v>
      </c>
      <c r="X417" s="8" t="str">
        <f>IFERROR(W417/W445, "NA")</f>
        <v>NA</v>
      </c>
      <c r="Y417" s="9"/>
      <c r="Z417" s="7">
        <v>0</v>
      </c>
      <c r="AA417" s="8" t="str">
        <f>IFERROR(Z417/Z445, "NA")</f>
        <v>NA</v>
      </c>
      <c r="AB417" s="9"/>
      <c r="AC417" s="10">
        <f t="shared" si="103"/>
        <v>0</v>
      </c>
      <c r="AD417" s="8" t="str">
        <f>IFERROR(AC417/AC445, "NA")</f>
        <v>NA</v>
      </c>
    </row>
    <row r="418" spans="1:30" ht="16.5" hidden="1" customHeight="1" x14ac:dyDescent="0.45">
      <c r="A418" s="6" t="s">
        <v>383</v>
      </c>
      <c r="B418" s="7">
        <v>0</v>
      </c>
      <c r="C418" s="8" t="str">
        <f>IFERROR(B418/B445, "NA")</f>
        <v>NA</v>
      </c>
      <c r="D418" s="9"/>
      <c r="E418" s="7">
        <v>0</v>
      </c>
      <c r="F418" s="8" t="str">
        <f>IFERROR(E418/E445, "NA")</f>
        <v>NA</v>
      </c>
      <c r="G418" s="9"/>
      <c r="H418" s="10">
        <f t="shared" si="100"/>
        <v>0</v>
      </c>
      <c r="I418" s="8" t="str">
        <f>IFERROR(H418/H445, "NA")</f>
        <v>NA</v>
      </c>
      <c r="J418" s="9"/>
      <c r="K418" s="7">
        <v>0</v>
      </c>
      <c r="L418" s="8" t="str">
        <f>IFERROR(K418/K445, "NA")</f>
        <v>NA</v>
      </c>
      <c r="M418" s="9"/>
      <c r="N418" s="10">
        <f t="shared" si="101"/>
        <v>0</v>
      </c>
      <c r="O418" s="8" t="str">
        <f>IFERROR(N418/N445, "NA")</f>
        <v>NA</v>
      </c>
      <c r="P418" s="9"/>
      <c r="Q418" s="7">
        <v>0</v>
      </c>
      <c r="R418" s="8" t="str">
        <f>IFERROR(Q418/Q445, "NA")</f>
        <v>NA</v>
      </c>
      <c r="S418" s="9"/>
      <c r="T418" s="7">
        <v>0</v>
      </c>
      <c r="U418" s="8" t="str">
        <f>IFERROR(T418/T445, "NA")</f>
        <v>NA</v>
      </c>
      <c r="V418" s="9"/>
      <c r="W418" s="10">
        <f t="shared" si="102"/>
        <v>0</v>
      </c>
      <c r="X418" s="8" t="str">
        <f>IFERROR(W418/W445, "NA")</f>
        <v>NA</v>
      </c>
      <c r="Y418" s="9"/>
      <c r="Z418" s="7">
        <v>0</v>
      </c>
      <c r="AA418" s="8" t="str">
        <f>IFERROR(Z418/Z445, "NA")</f>
        <v>NA</v>
      </c>
      <c r="AB418" s="9"/>
      <c r="AC418" s="10">
        <f t="shared" si="103"/>
        <v>0</v>
      </c>
      <c r="AD418" s="8" t="str">
        <f>IFERROR(AC418/AC445, "NA")</f>
        <v>NA</v>
      </c>
    </row>
    <row r="419" spans="1:30" ht="16.5" customHeight="1" x14ac:dyDescent="0.45">
      <c r="A419" s="6" t="s">
        <v>384</v>
      </c>
      <c r="B419" s="7">
        <v>0</v>
      </c>
      <c r="C419" s="8" t="str">
        <f>IFERROR(B419/B445, "NA")</f>
        <v>NA</v>
      </c>
      <c r="D419" s="9"/>
      <c r="E419" s="7">
        <v>0</v>
      </c>
      <c r="F419" s="8" t="str">
        <f>IFERROR(E419/E445, "NA")</f>
        <v>NA</v>
      </c>
      <c r="G419" s="9"/>
      <c r="H419" s="10">
        <f t="shared" si="100"/>
        <v>0</v>
      </c>
      <c r="I419" s="8" t="str">
        <f>IFERROR(H419/H445, "NA")</f>
        <v>NA</v>
      </c>
      <c r="J419" s="9"/>
      <c r="K419" s="7">
        <v>-2000</v>
      </c>
      <c r="L419" s="8" t="str">
        <f>IFERROR(K419/K445, "NA")</f>
        <v>NA</v>
      </c>
      <c r="M419" s="9"/>
      <c r="N419" s="10">
        <f t="shared" si="101"/>
        <v>-2000</v>
      </c>
      <c r="O419" s="8" t="str">
        <f>IFERROR(N419/N445, "NA")</f>
        <v>NA</v>
      </c>
      <c r="P419" s="9"/>
      <c r="Q419" s="7">
        <v>0</v>
      </c>
      <c r="R419" s="8" t="str">
        <f>IFERROR(Q419/Q445, "NA")</f>
        <v>NA</v>
      </c>
      <c r="S419" s="9"/>
      <c r="T419" s="7">
        <v>0</v>
      </c>
      <c r="U419" s="8" t="str">
        <f>IFERROR(T419/T445, "NA")</f>
        <v>NA</v>
      </c>
      <c r="V419" s="9"/>
      <c r="W419" s="10">
        <f t="shared" si="102"/>
        <v>0</v>
      </c>
      <c r="X419" s="8" t="str">
        <f>IFERROR(W419/W445, "NA")</f>
        <v>NA</v>
      </c>
      <c r="Y419" s="9"/>
      <c r="Z419" s="7">
        <v>-3725.69</v>
      </c>
      <c r="AA419" s="8" t="str">
        <f>IFERROR(Z419/Z445, "NA")</f>
        <v>NA</v>
      </c>
      <c r="AB419" s="9"/>
      <c r="AC419" s="10">
        <f t="shared" si="103"/>
        <v>-3725.69</v>
      </c>
      <c r="AD419" s="8" t="str">
        <f>IFERROR(AC419/AC445,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IFERROR(B420/B445, "NA")</f>
        <v>NA</v>
      </c>
      <c r="D420" s="9"/>
      <c r="E420" s="7">
        <v>0</v>
      </c>
      <c r="F420" s="8" t="str">
        <f>IFERROR(E420/E445, "NA")</f>
        <v>NA</v>
      </c>
      <c r="G420" s="9"/>
      <c r="H420" s="10">
        <f t="shared" si="100"/>
        <v>0</v>
      </c>
      <c r="I420" s="8" t="str">
        <f>IFERROR(H420/H445, "NA")</f>
        <v>NA</v>
      </c>
      <c r="J420" s="9"/>
      <c r="K420" s="7">
        <v>0</v>
      </c>
      <c r="L420" s="8" t="str">
        <f>IFERROR(K420/K445, "NA")</f>
        <v>NA</v>
      </c>
      <c r="M420" s="9"/>
      <c r="N420" s="10">
        <f t="shared" si="101"/>
        <v>0</v>
      </c>
      <c r="O420" s="8" t="str">
        <f>IFERROR(N420/N445, "NA")</f>
        <v>NA</v>
      </c>
      <c r="P420" s="9"/>
      <c r="Q420" s="7">
        <v>0</v>
      </c>
      <c r="R420" s="8" t="str">
        <f>IFERROR(Q420/Q445, "NA")</f>
        <v>NA</v>
      </c>
      <c r="S420" s="9"/>
      <c r="T420" s="7">
        <v>0</v>
      </c>
      <c r="U420" s="8" t="str">
        <f>IFERROR(T420/T445, "NA")</f>
        <v>NA</v>
      </c>
      <c r="V420" s="9"/>
      <c r="W420" s="10">
        <f t="shared" si="102"/>
        <v>0</v>
      </c>
      <c r="X420" s="8" t="str">
        <f>IFERROR(W420/W445, "NA")</f>
        <v>NA</v>
      </c>
      <c r="Y420" s="9"/>
      <c r="Z420" s="7">
        <v>0</v>
      </c>
      <c r="AA420" s="8" t="str">
        <f>IFERROR(Z420/Z445, "NA")</f>
        <v>NA</v>
      </c>
      <c r="AB420" s="9"/>
      <c r="AC420" s="10">
        <f t="shared" si="103"/>
        <v>0</v>
      </c>
      <c r="AD420" s="8" t="str">
        <f>IFERROR(AC420/AC445,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IFERROR(B421/B445, "NA")</f>
        <v>NA</v>
      </c>
      <c r="D421" s="9"/>
      <c r="E421" s="7">
        <v>0</v>
      </c>
      <c r="F421" s="8" t="str">
        <f>IFERROR(E421/E445, "NA")</f>
        <v>NA</v>
      </c>
      <c r="G421" s="9"/>
      <c r="H421" s="10">
        <f t="shared" si="100"/>
        <v>0</v>
      </c>
      <c r="I421" s="8" t="str">
        <f>IFERROR(H421/H445, "NA")</f>
        <v>NA</v>
      </c>
      <c r="J421" s="9"/>
      <c r="K421" s="7">
        <v>0</v>
      </c>
      <c r="L421" s="8" t="str">
        <f>IFERROR(K421/K445, "NA")</f>
        <v>NA</v>
      </c>
      <c r="M421" s="9"/>
      <c r="N421" s="10">
        <f t="shared" si="101"/>
        <v>0</v>
      </c>
      <c r="O421" s="8" t="str">
        <f>IFERROR(N421/N445, "NA")</f>
        <v>NA</v>
      </c>
      <c r="P421" s="9"/>
      <c r="Q421" s="7">
        <v>0</v>
      </c>
      <c r="R421" s="8" t="str">
        <f>IFERROR(Q421/Q445, "NA")</f>
        <v>NA</v>
      </c>
      <c r="S421" s="9"/>
      <c r="T421" s="7">
        <v>0</v>
      </c>
      <c r="U421" s="8" t="str">
        <f>IFERROR(T421/T445, "NA")</f>
        <v>NA</v>
      </c>
      <c r="V421" s="9"/>
      <c r="W421" s="10">
        <f t="shared" si="102"/>
        <v>0</v>
      </c>
      <c r="X421" s="8" t="str">
        <f>IFERROR(W421/W445, "NA")</f>
        <v>NA</v>
      </c>
      <c r="Y421" s="9"/>
      <c r="Z421" s="7">
        <v>0</v>
      </c>
      <c r="AA421" s="8" t="str">
        <f>IFERROR(Z421/Z445, "NA")</f>
        <v>NA</v>
      </c>
      <c r="AB421" s="9"/>
      <c r="AC421" s="10">
        <f t="shared" si="103"/>
        <v>0</v>
      </c>
      <c r="AD421" s="8" t="str">
        <f>IFERROR(AC421/AC445,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IFERROR(B422/B445, "NA")</f>
        <v>NA</v>
      </c>
      <c r="D422" s="9"/>
      <c r="E422" s="7">
        <v>0</v>
      </c>
      <c r="F422" s="8" t="str">
        <f>IFERROR(E422/E445, "NA")</f>
        <v>NA</v>
      </c>
      <c r="G422" s="9"/>
      <c r="H422" s="10">
        <f t="shared" si="100"/>
        <v>0</v>
      </c>
      <c r="I422" s="8" t="str">
        <f>IFERROR(H422/H445, "NA")</f>
        <v>NA</v>
      </c>
      <c r="J422" s="9"/>
      <c r="K422" s="7">
        <v>0</v>
      </c>
      <c r="L422" s="8" t="str">
        <f>IFERROR(K422/K445, "NA")</f>
        <v>NA</v>
      </c>
      <c r="M422" s="9"/>
      <c r="N422" s="10">
        <f t="shared" si="101"/>
        <v>0</v>
      </c>
      <c r="O422" s="8" t="str">
        <f>IFERROR(N422/N445, "NA")</f>
        <v>NA</v>
      </c>
      <c r="P422" s="9"/>
      <c r="Q422" s="7">
        <v>0</v>
      </c>
      <c r="R422" s="8" t="str">
        <f>IFERROR(Q422/Q445, "NA")</f>
        <v>NA</v>
      </c>
      <c r="S422" s="9"/>
      <c r="T422" s="7">
        <v>0</v>
      </c>
      <c r="U422" s="8" t="str">
        <f>IFERROR(T422/T445, "NA")</f>
        <v>NA</v>
      </c>
      <c r="V422" s="9"/>
      <c r="W422" s="10">
        <f t="shared" si="102"/>
        <v>0</v>
      </c>
      <c r="X422" s="8" t="str">
        <f>IFERROR(W422/W445, "NA")</f>
        <v>NA</v>
      </c>
      <c r="Y422" s="9"/>
      <c r="Z422" s="7">
        <v>0</v>
      </c>
      <c r="AA422" s="8" t="str">
        <f>IFERROR(Z422/Z445, "NA")</f>
        <v>NA</v>
      </c>
      <c r="AB422" s="9"/>
      <c r="AC422" s="10">
        <f t="shared" si="103"/>
        <v>0</v>
      </c>
      <c r="AD422" s="8" t="str">
        <f>IFERROR(AC422/AC445, "NA")</f>
        <v>NA</v>
      </c>
    </row>
    <row r="423" spans="1:30" ht="16.5" customHeight="1" x14ac:dyDescent="0.45">
      <c r="A423" s="6" t="s">
        <v>388</v>
      </c>
      <c r="B423" s="7">
        <v>-512.16999999999996</v>
      </c>
      <c r="C423" s="8" t="str">
        <f>IFERROR(B423/B445, "NA")</f>
        <v>NA</v>
      </c>
      <c r="D423" s="9"/>
      <c r="E423" s="7">
        <v>0</v>
      </c>
      <c r="F423" s="8" t="str">
        <f>IFERROR(E423/E445, "NA")</f>
        <v>NA</v>
      </c>
      <c r="G423" s="9"/>
      <c r="H423" s="10">
        <f t="shared" si="100"/>
        <v>512.16999999999996</v>
      </c>
      <c r="I423" s="8" t="str">
        <f>IFERROR(H423/H445, "NA")</f>
        <v>NA</v>
      </c>
      <c r="J423" s="9"/>
      <c r="K423" s="7">
        <v>0</v>
      </c>
      <c r="L423" s="8" t="str">
        <f>IFERROR(K423/K445, "NA")</f>
        <v>NA</v>
      </c>
      <c r="M423" s="9"/>
      <c r="N423" s="10">
        <f t="shared" si="101"/>
        <v>512.16999999999996</v>
      </c>
      <c r="O423" s="8" t="str">
        <f>IFERROR(N423/N445, "NA")</f>
        <v>NA</v>
      </c>
      <c r="P423" s="9"/>
      <c r="Q423" s="7">
        <v>5.21</v>
      </c>
      <c r="R423" s="8" t="str">
        <f>IFERROR(Q423/Q445, "NA")</f>
        <v>NA</v>
      </c>
      <c r="S423" s="9"/>
      <c r="T423" s="7">
        <v>0</v>
      </c>
      <c r="U423" s="8" t="str">
        <f>IFERROR(T423/T445, "NA")</f>
        <v>NA</v>
      </c>
      <c r="V423" s="9"/>
      <c r="W423" s="10">
        <f t="shared" si="102"/>
        <v>-5.21</v>
      </c>
      <c r="X423" s="8" t="str">
        <f>IFERROR(W423/W445, "NA")</f>
        <v>NA</v>
      </c>
      <c r="Y423" s="9"/>
      <c r="Z423" s="7">
        <v>0</v>
      </c>
      <c r="AA423" s="8" t="str">
        <f>IFERROR(Z423/Z445, "NA")</f>
        <v>NA</v>
      </c>
      <c r="AB423" s="9"/>
      <c r="AC423" s="10">
        <f t="shared" si="103"/>
        <v>-5.21</v>
      </c>
      <c r="AD423" s="8" t="str">
        <f>IFERROR(AC423/AC445, "NA")</f>
        <v>NA</v>
      </c>
    </row>
    <row r="424" spans="1:30" ht="16.5" customHeight="1" x14ac:dyDescent="0.45">
      <c r="A424" s="6" t="s">
        <v>389</v>
      </c>
      <c r="B424" s="7">
        <v>-15118.23</v>
      </c>
      <c r="C424" s="8" t="str">
        <f>IFERROR(B424/B445, "NA")</f>
        <v>NA</v>
      </c>
      <c r="D424" s="9"/>
      <c r="E424" s="7">
        <v>0</v>
      </c>
      <c r="F424" s="8" t="str">
        <f>IFERROR(E424/E445, "NA")</f>
        <v>NA</v>
      </c>
      <c r="G424" s="9"/>
      <c r="H424" s="10">
        <f t="shared" si="100"/>
        <v>15118.23</v>
      </c>
      <c r="I424" s="8" t="str">
        <f>IFERROR(H424/H445, "NA")</f>
        <v>NA</v>
      </c>
      <c r="J424" s="9"/>
      <c r="K424" s="7">
        <v>0</v>
      </c>
      <c r="L424" s="8" t="str">
        <f>IFERROR(K424/K445, "NA")</f>
        <v>NA</v>
      </c>
      <c r="M424" s="9"/>
      <c r="N424" s="10">
        <f t="shared" si="101"/>
        <v>15118.23</v>
      </c>
      <c r="O424" s="8" t="str">
        <f>IFERROR(N424/N445, "NA")</f>
        <v>NA</v>
      </c>
      <c r="P424" s="9"/>
      <c r="Q424" s="7">
        <v>-75661.8</v>
      </c>
      <c r="R424" s="8" t="str">
        <f>IFERROR(Q424/Q445, "NA")</f>
        <v>NA</v>
      </c>
      <c r="S424" s="9"/>
      <c r="T424" s="7">
        <v>0</v>
      </c>
      <c r="U424" s="8" t="str">
        <f>IFERROR(T424/T445, "NA")</f>
        <v>NA</v>
      </c>
      <c r="V424" s="9"/>
      <c r="W424" s="10">
        <f t="shared" si="102"/>
        <v>75661.8</v>
      </c>
      <c r="X424" s="8" t="str">
        <f>IFERROR(W424/W445, "NA")</f>
        <v>NA</v>
      </c>
      <c r="Y424" s="9"/>
      <c r="Z424" s="7">
        <v>-3.84</v>
      </c>
      <c r="AA424" s="8" t="str">
        <f>IFERROR(Z424/Z445, "NA")</f>
        <v>NA</v>
      </c>
      <c r="AB424" s="9"/>
      <c r="AC424" s="10">
        <f t="shared" si="103"/>
        <v>75657.960000000006</v>
      </c>
      <c r="AD424" s="8" t="str">
        <f>IFERROR(AC424/AC445,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IFERROR(B425/B445, "NA")</f>
        <v>NA</v>
      </c>
      <c r="D425" s="9"/>
      <c r="E425" s="7">
        <v>0</v>
      </c>
      <c r="F425" s="8" t="str">
        <f>IFERROR(E425/E445, "NA")</f>
        <v>NA</v>
      </c>
      <c r="G425" s="9"/>
      <c r="H425" s="10">
        <f t="shared" si="100"/>
        <v>0</v>
      </c>
      <c r="I425" s="8" t="str">
        <f>IFERROR(H425/H445, "NA")</f>
        <v>NA</v>
      </c>
      <c r="J425" s="9"/>
      <c r="K425" s="7">
        <v>0</v>
      </c>
      <c r="L425" s="8" t="str">
        <f>IFERROR(K425/K445, "NA")</f>
        <v>NA</v>
      </c>
      <c r="M425" s="9"/>
      <c r="N425" s="10">
        <f t="shared" si="101"/>
        <v>0</v>
      </c>
      <c r="O425" s="8" t="str">
        <f>IFERROR(N425/N445, "NA")</f>
        <v>NA</v>
      </c>
      <c r="P425" s="9"/>
      <c r="Q425" s="7">
        <v>0</v>
      </c>
      <c r="R425" s="8" t="str">
        <f>IFERROR(Q425/Q445, "NA")</f>
        <v>NA</v>
      </c>
      <c r="S425" s="9"/>
      <c r="T425" s="7">
        <v>0</v>
      </c>
      <c r="U425" s="8" t="str">
        <f>IFERROR(T425/T445, "NA")</f>
        <v>NA</v>
      </c>
      <c r="V425" s="9"/>
      <c r="W425" s="10">
        <f t="shared" si="102"/>
        <v>0</v>
      </c>
      <c r="X425" s="8" t="str">
        <f>IFERROR(W425/W445, "NA")</f>
        <v>NA</v>
      </c>
      <c r="Y425" s="9"/>
      <c r="Z425" s="7">
        <v>0</v>
      </c>
      <c r="AA425" s="8" t="str">
        <f>IFERROR(Z425/Z445, "NA")</f>
        <v>NA</v>
      </c>
      <c r="AB425" s="9"/>
      <c r="AC425" s="10">
        <f t="shared" si="103"/>
        <v>0</v>
      </c>
      <c r="AD425" s="8" t="str">
        <f>IFERROR(AC425/AC445, "NA")</f>
        <v>NA</v>
      </c>
    </row>
    <row r="426" spans="1:30" ht="16.5" hidden="1" customHeight="1" x14ac:dyDescent="0.45">
      <c r="A426" s="6" t="s">
        <v>391</v>
      </c>
      <c r="B426" s="7">
        <v>0</v>
      </c>
      <c r="C426" s="8" t="str">
        <f>IFERROR(B426/B445, "NA")</f>
        <v>NA</v>
      </c>
      <c r="D426" s="9"/>
      <c r="E426" s="7">
        <v>0</v>
      </c>
      <c r="F426" s="8" t="str">
        <f>IFERROR(E426/E445, "NA")</f>
        <v>NA</v>
      </c>
      <c r="G426" s="9"/>
      <c r="H426" s="10">
        <f t="shared" si="100"/>
        <v>0</v>
      </c>
      <c r="I426" s="8" t="str">
        <f>IFERROR(H426/H445, "NA")</f>
        <v>NA</v>
      </c>
      <c r="J426" s="9"/>
      <c r="K426" s="7">
        <v>0</v>
      </c>
      <c r="L426" s="8" t="str">
        <f>IFERROR(K426/K445, "NA")</f>
        <v>NA</v>
      </c>
      <c r="M426" s="9"/>
      <c r="N426" s="10">
        <f t="shared" si="101"/>
        <v>0</v>
      </c>
      <c r="O426" s="8" t="str">
        <f>IFERROR(N426/N445, "NA")</f>
        <v>NA</v>
      </c>
      <c r="P426" s="9"/>
      <c r="Q426" s="7">
        <v>0</v>
      </c>
      <c r="R426" s="8" t="str">
        <f>IFERROR(Q426/Q445, "NA")</f>
        <v>NA</v>
      </c>
      <c r="S426" s="9"/>
      <c r="T426" s="7">
        <v>0</v>
      </c>
      <c r="U426" s="8" t="str">
        <f>IFERROR(T426/T445, "NA")</f>
        <v>NA</v>
      </c>
      <c r="V426" s="9"/>
      <c r="W426" s="10">
        <f t="shared" si="102"/>
        <v>0</v>
      </c>
      <c r="X426" s="8" t="str">
        <f>IFERROR(W426/W445, "NA")</f>
        <v>NA</v>
      </c>
      <c r="Y426" s="9"/>
      <c r="Z426" s="7">
        <v>0</v>
      </c>
      <c r="AA426" s="8" t="str">
        <f>IFERROR(Z426/Z445, "NA")</f>
        <v>NA</v>
      </c>
      <c r="AB426" s="9"/>
      <c r="AC426" s="10">
        <f t="shared" si="103"/>
        <v>0</v>
      </c>
      <c r="AD426" s="8" t="str">
        <f>IFERROR(AC426/AC445, "NA")</f>
        <v>NA</v>
      </c>
    </row>
    <row r="427" spans="1:30" ht="16.5" customHeight="1" x14ac:dyDescent="0.45">
      <c r="A427" s="6" t="s">
        <v>392</v>
      </c>
      <c r="B427" s="7">
        <v>-1055.52</v>
      </c>
      <c r="C427" s="8" t="str">
        <f>IFERROR(B427/B445, "NA")</f>
        <v>NA</v>
      </c>
      <c r="D427" s="9"/>
      <c r="E427" s="7">
        <v>0</v>
      </c>
      <c r="F427" s="8" t="str">
        <f>IFERROR(E427/E445, "NA")</f>
        <v>NA</v>
      </c>
      <c r="G427" s="9"/>
      <c r="H427" s="10">
        <f t="shared" si="100"/>
        <v>1055.52</v>
      </c>
      <c r="I427" s="8" t="str">
        <f>IFERROR(H427/H445, "NA")</f>
        <v>NA</v>
      </c>
      <c r="J427" s="9"/>
      <c r="K427" s="7">
        <v>-16428.3</v>
      </c>
      <c r="L427" s="8" t="str">
        <f>IFERROR(K427/K445, "NA")</f>
        <v>NA</v>
      </c>
      <c r="M427" s="9"/>
      <c r="N427" s="10">
        <f t="shared" si="101"/>
        <v>-15372.779999999999</v>
      </c>
      <c r="O427" s="8" t="str">
        <f>IFERROR(N427/N445, "NA")</f>
        <v>NA</v>
      </c>
      <c r="P427" s="9"/>
      <c r="Q427" s="7">
        <v>-7409.08</v>
      </c>
      <c r="R427" s="8" t="str">
        <f>IFERROR(Q427/Q445, "NA")</f>
        <v>NA</v>
      </c>
      <c r="S427" s="9"/>
      <c r="T427" s="7">
        <v>0</v>
      </c>
      <c r="U427" s="8" t="str">
        <f>IFERROR(T427/T445, "NA")</f>
        <v>NA</v>
      </c>
      <c r="V427" s="9"/>
      <c r="W427" s="10">
        <f t="shared" si="102"/>
        <v>7409.08</v>
      </c>
      <c r="X427" s="8" t="str">
        <f>IFERROR(W427/W445, "NA")</f>
        <v>NA</v>
      </c>
      <c r="Y427" s="9"/>
      <c r="Z427" s="7">
        <v>-45843.37</v>
      </c>
      <c r="AA427" s="8" t="str">
        <f>IFERROR(Z427/Z445, "NA")</f>
        <v>NA</v>
      </c>
      <c r="AB427" s="9"/>
      <c r="AC427" s="10">
        <f t="shared" si="103"/>
        <v>-38434.29</v>
      </c>
      <c r="AD427" s="8" t="str">
        <f>IFERROR(AC427/AC445, "NA")</f>
        <v>NA</v>
      </c>
    </row>
    <row r="428" spans="1:30" ht="16.5" hidden="1" customHeight="1" x14ac:dyDescent="0.45">
      <c r="A428" s="6" t="s">
        <v>393</v>
      </c>
      <c r="B428" s="7">
        <v>0</v>
      </c>
      <c r="C428" s="8" t="str">
        <f>IFERROR(B428/B445, "NA")</f>
        <v>NA</v>
      </c>
      <c r="D428" s="9"/>
      <c r="E428" s="7">
        <v>0</v>
      </c>
      <c r="F428" s="8" t="str">
        <f>IFERROR(E428/E445, "NA")</f>
        <v>NA</v>
      </c>
      <c r="G428" s="9"/>
      <c r="H428" s="10">
        <f t="shared" si="100"/>
        <v>0</v>
      </c>
      <c r="I428" s="8" t="str">
        <f>IFERROR(H428/H445, "NA")</f>
        <v>NA</v>
      </c>
      <c r="J428" s="9"/>
      <c r="K428" s="7">
        <v>0</v>
      </c>
      <c r="L428" s="8" t="str">
        <f>IFERROR(K428/K445, "NA")</f>
        <v>NA</v>
      </c>
      <c r="M428" s="9"/>
      <c r="N428" s="10">
        <f t="shared" si="101"/>
        <v>0</v>
      </c>
      <c r="O428" s="8" t="str">
        <f>IFERROR(N428/N445, "NA")</f>
        <v>NA</v>
      </c>
      <c r="P428" s="9"/>
      <c r="Q428" s="7">
        <v>0</v>
      </c>
      <c r="R428" s="8" t="str">
        <f>IFERROR(Q428/Q445, "NA")</f>
        <v>NA</v>
      </c>
      <c r="S428" s="9"/>
      <c r="T428" s="7">
        <v>0</v>
      </c>
      <c r="U428" s="8" t="str">
        <f>IFERROR(T428/T445, "NA")</f>
        <v>NA</v>
      </c>
      <c r="V428" s="9"/>
      <c r="W428" s="10">
        <f t="shared" si="102"/>
        <v>0</v>
      </c>
      <c r="X428" s="8" t="str">
        <f>IFERROR(W428/W445, "NA")</f>
        <v>NA</v>
      </c>
      <c r="Y428" s="9"/>
      <c r="Z428" s="7">
        <v>0</v>
      </c>
      <c r="AA428" s="8" t="str">
        <f>IFERROR(Z428/Z445, "NA")</f>
        <v>NA</v>
      </c>
      <c r="AB428" s="9"/>
      <c r="AC428" s="10">
        <f t="shared" si="103"/>
        <v>0</v>
      </c>
      <c r="AD428" s="8" t="str">
        <f>IFERROR(AC428/AC445, "NA")</f>
        <v>NA</v>
      </c>
    </row>
    <row r="429" spans="1:30" ht="16.5" customHeight="1" x14ac:dyDescent="0.45">
      <c r="A429" s="19" t="s">
        <v>394</v>
      </c>
      <c r="B429" s="14">
        <f>IFERROR(B408+B409+B410+B411+B412+B413+B414+B415+B416+B417+B418+B419+B420+B421+B422+B423+B424+B425+B426+B427+B428, "NA")</f>
        <v>-16357.85</v>
      </c>
      <c r="C429" s="15" t="str">
        <f>IFERROR(B429/B445, "NA")</f>
        <v>NA</v>
      </c>
      <c r="D429" s="2"/>
      <c r="E429" s="14">
        <f>IFERROR(E408+E409+E410+E411+E412+E413+E414+E415+E416+E417+E418+E419+E420+E421+E422+E423+E424+E425+E426+E427+E428, "NA")</f>
        <v>-13500</v>
      </c>
      <c r="F429" s="15" t="str">
        <f>IFERROR(E429/E445, "NA")</f>
        <v>NA</v>
      </c>
      <c r="G429" s="2"/>
      <c r="H429" s="14">
        <f t="shared" si="100"/>
        <v>2857.8500000000004</v>
      </c>
      <c r="I429" s="15" t="str">
        <f>IFERROR(H429/H445, "NA")</f>
        <v>NA</v>
      </c>
      <c r="J429" s="2"/>
      <c r="K429" s="14">
        <f>IFERROR(K408+K409+K410+K411+K412+K413+K414+K415+K416+K417+K418+K419+K420+K421+K422+K423+K424+K425+K426+K427+K428, "NA")</f>
        <v>-18100.23</v>
      </c>
      <c r="L429" s="15" t="str">
        <f>IFERROR(K429/K445, "NA")</f>
        <v>NA</v>
      </c>
      <c r="M429" s="2"/>
      <c r="N429" s="14">
        <f t="shared" si="101"/>
        <v>-1742.3799999999992</v>
      </c>
      <c r="O429" s="15" t="str">
        <f>IFERROR(N429/N445, "NA")</f>
        <v>NA</v>
      </c>
      <c r="P429" s="2"/>
      <c r="Q429" s="14">
        <f>IFERROR(Q408+Q409+Q410+Q411+Q412+Q413+Q414+Q415+Q416+Q417+Q418+Q419+Q420+Q421+Q422+Q423+Q424+Q425+Q426+Q427+Q428, "NA")</f>
        <v>-81425.31</v>
      </c>
      <c r="R429" s="15" t="str">
        <f>IFERROR(Q429/Q445, "NA")</f>
        <v>NA</v>
      </c>
      <c r="S429" s="2"/>
      <c r="T429" s="14">
        <f>IFERROR(T408+T409+T410+T411+T412+T413+T414+T415+T416+T417+T418+T419+T420+T421+T422+T423+T424+T425+T426+T427+T428, "NA")</f>
        <v>-67500</v>
      </c>
      <c r="U429" s="15" t="str">
        <f>IFERROR(T429/T445, "NA")</f>
        <v>NA</v>
      </c>
      <c r="V429" s="2"/>
      <c r="W429" s="14">
        <f t="shared" si="102"/>
        <v>13925.309999999998</v>
      </c>
      <c r="X429" s="15" t="str">
        <f>IFERROR(W429/W445, "NA")</f>
        <v>NA</v>
      </c>
      <c r="Y429" s="2"/>
      <c r="Z429" s="14">
        <f>IFERROR(Z408+Z409+Z410+Z411+Z412+Z413+Z414+Z415+Z416+Z417+Z418+Z419+Z420+Z421+Z422+Z423+Z424+Z425+Z426+Z427+Z428, "NA")</f>
        <v>-48075.73</v>
      </c>
      <c r="AA429" s="15" t="str">
        <f>IFERROR(Z429/Z445, "NA")</f>
        <v>NA</v>
      </c>
      <c r="AB429" s="2"/>
      <c r="AC429" s="14">
        <f t="shared" si="103"/>
        <v>33349.579999999994</v>
      </c>
      <c r="AD429" s="15" t="str">
        <f>IFERROR(AC429/AC445, "NA")</f>
        <v>NA</v>
      </c>
    </row>
    <row r="430" spans="1:30" ht="16.5" customHeight="1" x14ac:dyDescent="0.45">
      <c r="A430" s="21" t="s">
        <v>395</v>
      </c>
      <c r="B430" s="14">
        <f>IFERROR(B408+B409+B410+B411+B412+B413+B414+B415+B416+B417+B418+B419+B420+B421+B422+B423+B424+B425+B426+B427+B428, "NA")</f>
        <v>-16357.85</v>
      </c>
      <c r="C430" s="15" t="str">
        <f>IFERROR(B430/B445, "NA")</f>
        <v>NA</v>
      </c>
      <c r="D430" s="2"/>
      <c r="E430" s="14">
        <f>IFERROR(E408+E409+E410+E411+E412+E413+E414+E415+E416+E417+E418+E419+E420+E421+E422+E423+E424+E425+E426+E427+E428, "NA")</f>
        <v>-13500</v>
      </c>
      <c r="F430" s="15" t="str">
        <f>IFERROR(E430/E445, "NA")</f>
        <v>NA</v>
      </c>
      <c r="G430" s="2"/>
      <c r="H430" s="14">
        <f t="shared" si="100"/>
        <v>2857.8500000000004</v>
      </c>
      <c r="I430" s="15" t="str">
        <f>IFERROR(H430/H445, "NA")</f>
        <v>NA</v>
      </c>
      <c r="J430" s="2"/>
      <c r="K430" s="14">
        <f>IFERROR(K408+K409+K410+K411+K412+K413+K414+K415+K416+K417+K418+K419+K420+K421+K422+K423+K424+K425+K426+K427+K428, "NA")</f>
        <v>-18100.23</v>
      </c>
      <c r="L430" s="15" t="str">
        <f>IFERROR(K430/K445, "NA")</f>
        <v>NA</v>
      </c>
      <c r="M430" s="2"/>
      <c r="N430" s="14">
        <f t="shared" si="101"/>
        <v>-1742.3799999999992</v>
      </c>
      <c r="O430" s="15" t="str">
        <f>IFERROR(N430/N445, "NA")</f>
        <v>NA</v>
      </c>
      <c r="P430" s="2"/>
      <c r="Q430" s="14">
        <f>IFERROR(Q408+Q409+Q410+Q411+Q412+Q413+Q414+Q415+Q416+Q417+Q418+Q419+Q420+Q421+Q422+Q423+Q424+Q425+Q426+Q427+Q428, "NA")</f>
        <v>-81425.31</v>
      </c>
      <c r="R430" s="15" t="str">
        <f>IFERROR(Q430/Q445, "NA")</f>
        <v>NA</v>
      </c>
      <c r="S430" s="2"/>
      <c r="T430" s="14">
        <f>IFERROR(T408+T409+T410+T411+T412+T413+T414+T415+T416+T417+T418+T419+T420+T421+T422+T423+T424+T425+T426+T427+T428, "NA")</f>
        <v>-67500</v>
      </c>
      <c r="U430" s="15" t="str">
        <f>IFERROR(T430/T445, "NA")</f>
        <v>NA</v>
      </c>
      <c r="V430" s="2"/>
      <c r="W430" s="14">
        <f t="shared" si="102"/>
        <v>13925.309999999998</v>
      </c>
      <c r="X430" s="15" t="str">
        <f>IFERROR(W430/W445, "NA")</f>
        <v>NA</v>
      </c>
      <c r="Y430" s="2"/>
      <c r="Z430" s="14">
        <f>IFERROR(Z408+Z409+Z410+Z411+Z412+Z413+Z414+Z415+Z416+Z417+Z418+Z419+Z420+Z421+Z422+Z423+Z424+Z425+Z426+Z427+Z428, "NA")</f>
        <v>-48075.73</v>
      </c>
      <c r="AA430" s="15" t="str">
        <f>IFERROR(Z430/Z445, "NA")</f>
        <v>NA</v>
      </c>
      <c r="AB430" s="2"/>
      <c r="AC430" s="14">
        <f t="shared" si="103"/>
        <v>33349.579999999994</v>
      </c>
      <c r="AD430" s="15" t="str">
        <f>IFERROR(AC430/AC445, "NA")</f>
        <v>NA</v>
      </c>
    </row>
    <row r="431" spans="1:30" ht="16.5" customHeight="1" x14ac:dyDescent="0.45">
      <c r="A431" s="1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customHeight="1" x14ac:dyDescent="0.45">
      <c r="A432" s="5" t="s">
        <v>397</v>
      </c>
      <c r="B432" s="2"/>
      <c r="C432" s="3"/>
      <c r="D432" s="4"/>
      <c r="E432" s="2"/>
      <c r="F432" s="3"/>
      <c r="G432" s="4"/>
      <c r="H432" s="2"/>
      <c r="I432" s="3"/>
      <c r="J432" s="4"/>
      <c r="K432" s="2"/>
      <c r="L432" s="3"/>
      <c r="M432" s="4"/>
      <c r="N432" s="2"/>
      <c r="O432" s="3"/>
      <c r="P432" s="4"/>
      <c r="Q432" s="2"/>
      <c r="R432" s="3"/>
      <c r="S432" s="4"/>
      <c r="T432" s="2"/>
      <c r="U432" s="3"/>
      <c r="V432" s="4"/>
      <c r="W432" s="2"/>
      <c r="X432" s="3"/>
      <c r="Y432" s="4"/>
      <c r="Z432" s="2"/>
      <c r="AA432" s="3"/>
      <c r="AB432" s="4"/>
      <c r="AC432" s="2"/>
      <c r="AD432" s="3"/>
    </row>
    <row r="433" spans="1:30" ht="16.5" hidden="1" customHeight="1" x14ac:dyDescent="0.45">
      <c r="A433" s="6" t="s">
        <v>397</v>
      </c>
      <c r="B433" s="7">
        <v>0</v>
      </c>
      <c r="C433" s="8" t="str">
        <f>IFERROR(B433/B445, "NA")</f>
        <v>NA</v>
      </c>
      <c r="D433" s="9"/>
      <c r="E433" s="7">
        <v>0</v>
      </c>
      <c r="F433" s="8" t="str">
        <f>IFERROR(E433/E445, "NA")</f>
        <v>NA</v>
      </c>
      <c r="G433" s="9"/>
      <c r="H433" s="10">
        <f t="shared" ref="H433:H443" si="104">IFERROR(-(B433-E433), "NA")</f>
        <v>0</v>
      </c>
      <c r="I433" s="8" t="str">
        <f>IFERROR(H433/H445, "NA")</f>
        <v>NA</v>
      </c>
      <c r="J433" s="9"/>
      <c r="K433" s="7">
        <v>0</v>
      </c>
      <c r="L433" s="8" t="str">
        <f>IFERROR(K433/K445, "NA")</f>
        <v>NA</v>
      </c>
      <c r="M433" s="9"/>
      <c r="N433" s="10">
        <f t="shared" ref="N433:N443" si="105">IFERROR(-(B433-K433), "NA")</f>
        <v>0</v>
      </c>
      <c r="O433" s="8" t="str">
        <f>IFERROR(N433/N445, "NA")</f>
        <v>NA</v>
      </c>
      <c r="P433" s="9"/>
      <c r="Q433" s="7">
        <v>0</v>
      </c>
      <c r="R433" s="8" t="str">
        <f>IFERROR(Q433/Q445, "NA")</f>
        <v>NA</v>
      </c>
      <c r="S433" s="9"/>
      <c r="T433" s="7">
        <v>0</v>
      </c>
      <c r="U433" s="8" t="str">
        <f>IFERROR(T433/T445, "NA")</f>
        <v>NA</v>
      </c>
      <c r="V433" s="9"/>
      <c r="W433" s="10">
        <f t="shared" ref="W433:W443" si="106">IFERROR(-(Q433-T433), "NA")</f>
        <v>0</v>
      </c>
      <c r="X433" s="8" t="str">
        <f>IFERROR(W433/W445, "NA")</f>
        <v>NA</v>
      </c>
      <c r="Y433" s="9"/>
      <c r="Z433" s="7">
        <v>0</v>
      </c>
      <c r="AA433" s="8" t="str">
        <f>IFERROR(Z433/Z445, "NA")</f>
        <v>NA</v>
      </c>
      <c r="AB433" s="9"/>
      <c r="AC433" s="10">
        <f t="shared" ref="AC433:AC443" si="107">IFERROR(-(Q433-Z433), "NA")</f>
        <v>0</v>
      </c>
      <c r="AD433" s="8" t="str">
        <f>IFERROR(AC433/AC445,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IFERROR(B434/B445, "NA")</f>
        <v>NA</v>
      </c>
      <c r="D434" s="9"/>
      <c r="E434" s="7">
        <v>0</v>
      </c>
      <c r="F434" s="8" t="str">
        <f>IFERROR(E434/E445, "NA")</f>
        <v>NA</v>
      </c>
      <c r="G434" s="9"/>
      <c r="H434" s="10">
        <f t="shared" si="104"/>
        <v>0</v>
      </c>
      <c r="I434" s="8" t="str">
        <f>IFERROR(H434/H445, "NA")</f>
        <v>NA</v>
      </c>
      <c r="J434" s="9"/>
      <c r="K434" s="7">
        <v>0</v>
      </c>
      <c r="L434" s="8" t="str">
        <f>IFERROR(K434/K445, "NA")</f>
        <v>NA</v>
      </c>
      <c r="M434" s="9"/>
      <c r="N434" s="10">
        <f t="shared" si="105"/>
        <v>0</v>
      </c>
      <c r="O434" s="8" t="str">
        <f>IFERROR(N434/N445, "NA")</f>
        <v>NA</v>
      </c>
      <c r="P434" s="9"/>
      <c r="Q434" s="7">
        <v>0</v>
      </c>
      <c r="R434" s="8" t="str">
        <f>IFERROR(Q434/Q445, "NA")</f>
        <v>NA</v>
      </c>
      <c r="S434" s="9"/>
      <c r="T434" s="7">
        <v>0</v>
      </c>
      <c r="U434" s="8" t="str">
        <f>IFERROR(T434/T445, "NA")</f>
        <v>NA</v>
      </c>
      <c r="V434" s="9"/>
      <c r="W434" s="10">
        <f t="shared" si="106"/>
        <v>0</v>
      </c>
      <c r="X434" s="8" t="str">
        <f>IFERROR(W434/W445, "NA")</f>
        <v>NA</v>
      </c>
      <c r="Y434" s="9"/>
      <c r="Z434" s="7">
        <v>0</v>
      </c>
      <c r="AA434" s="8" t="str">
        <f>IFERROR(Z434/Z445, "NA")</f>
        <v>NA</v>
      </c>
      <c r="AB434" s="9"/>
      <c r="AC434" s="10">
        <f t="shared" si="107"/>
        <v>0</v>
      </c>
      <c r="AD434" s="8" t="str">
        <f>IFERROR(AC434/AC445,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IFERROR(B435/B445, "NA")</f>
        <v>NA</v>
      </c>
      <c r="D435" s="9"/>
      <c r="E435" s="7">
        <v>0</v>
      </c>
      <c r="F435" s="8" t="str">
        <f>IFERROR(E435/E445, "NA")</f>
        <v>NA</v>
      </c>
      <c r="G435" s="9"/>
      <c r="H435" s="10">
        <f t="shared" si="104"/>
        <v>0</v>
      </c>
      <c r="I435" s="8" t="str">
        <f>IFERROR(H435/H445, "NA")</f>
        <v>NA</v>
      </c>
      <c r="J435" s="9"/>
      <c r="K435" s="7">
        <v>0</v>
      </c>
      <c r="L435" s="8" t="str">
        <f>IFERROR(K435/K445, "NA")</f>
        <v>NA</v>
      </c>
      <c r="M435" s="9"/>
      <c r="N435" s="10">
        <f t="shared" si="105"/>
        <v>0</v>
      </c>
      <c r="O435" s="8" t="str">
        <f>IFERROR(N435/N445, "NA")</f>
        <v>NA</v>
      </c>
      <c r="P435" s="9"/>
      <c r="Q435" s="7">
        <v>0</v>
      </c>
      <c r="R435" s="8" t="str">
        <f>IFERROR(Q435/Q445, "NA")</f>
        <v>NA</v>
      </c>
      <c r="S435" s="9"/>
      <c r="T435" s="7">
        <v>0</v>
      </c>
      <c r="U435" s="8" t="str">
        <f>IFERROR(T435/T445, "NA")</f>
        <v>NA</v>
      </c>
      <c r="V435" s="9"/>
      <c r="W435" s="10">
        <f t="shared" si="106"/>
        <v>0</v>
      </c>
      <c r="X435" s="8" t="str">
        <f>IFERROR(W435/W445, "NA")</f>
        <v>NA</v>
      </c>
      <c r="Y435" s="9"/>
      <c r="Z435" s="7">
        <v>0</v>
      </c>
      <c r="AA435" s="8" t="str">
        <f>IFERROR(Z435/Z445, "NA")</f>
        <v>NA</v>
      </c>
      <c r="AB435" s="9"/>
      <c r="AC435" s="10">
        <f t="shared" si="107"/>
        <v>0</v>
      </c>
      <c r="AD435" s="8" t="str">
        <f>IFERROR(AC435/AC445,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IFERROR(B436/B445, "NA")</f>
        <v>NA</v>
      </c>
      <c r="D436" s="9"/>
      <c r="E436" s="7">
        <v>0</v>
      </c>
      <c r="F436" s="8" t="str">
        <f>IFERROR(E436/E445, "NA")</f>
        <v>NA</v>
      </c>
      <c r="G436" s="9"/>
      <c r="H436" s="10">
        <f t="shared" si="104"/>
        <v>0</v>
      </c>
      <c r="I436" s="8" t="str">
        <f>IFERROR(H436/H445, "NA")</f>
        <v>NA</v>
      </c>
      <c r="J436" s="9"/>
      <c r="K436" s="7">
        <v>0</v>
      </c>
      <c r="L436" s="8" t="str">
        <f>IFERROR(K436/K445, "NA")</f>
        <v>NA</v>
      </c>
      <c r="M436" s="9"/>
      <c r="N436" s="10">
        <f t="shared" si="105"/>
        <v>0</v>
      </c>
      <c r="O436" s="8" t="str">
        <f>IFERROR(N436/N445, "NA")</f>
        <v>NA</v>
      </c>
      <c r="P436" s="9"/>
      <c r="Q436" s="7">
        <v>0</v>
      </c>
      <c r="R436" s="8" t="str">
        <f>IFERROR(Q436/Q445, "NA")</f>
        <v>NA</v>
      </c>
      <c r="S436" s="9"/>
      <c r="T436" s="7">
        <v>0</v>
      </c>
      <c r="U436" s="8" t="str">
        <f>IFERROR(T436/T445, "NA")</f>
        <v>NA</v>
      </c>
      <c r="V436" s="9"/>
      <c r="W436" s="10">
        <f t="shared" si="106"/>
        <v>0</v>
      </c>
      <c r="X436" s="8" t="str">
        <f>IFERROR(W436/W445, "NA")</f>
        <v>NA</v>
      </c>
      <c r="Y436" s="9"/>
      <c r="Z436" s="7">
        <v>0</v>
      </c>
      <c r="AA436" s="8" t="str">
        <f>IFERROR(Z436/Z445, "NA")</f>
        <v>NA</v>
      </c>
      <c r="AB436" s="9"/>
      <c r="AC436" s="10">
        <f t="shared" si="107"/>
        <v>0</v>
      </c>
      <c r="AD436" s="8" t="str">
        <f>IFERROR(AC436/AC445,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IFERROR(B437/B445, "NA")</f>
        <v>NA</v>
      </c>
      <c r="D437" s="9"/>
      <c r="E437" s="7">
        <v>0</v>
      </c>
      <c r="F437" s="8" t="str">
        <f>IFERROR(E437/E445, "NA")</f>
        <v>NA</v>
      </c>
      <c r="G437" s="9"/>
      <c r="H437" s="10">
        <f t="shared" si="104"/>
        <v>0</v>
      </c>
      <c r="I437" s="8" t="str">
        <f>IFERROR(H437/H445, "NA")</f>
        <v>NA</v>
      </c>
      <c r="J437" s="9"/>
      <c r="K437" s="7">
        <v>0</v>
      </c>
      <c r="L437" s="8" t="str">
        <f>IFERROR(K437/K445, "NA")</f>
        <v>NA</v>
      </c>
      <c r="M437" s="9"/>
      <c r="N437" s="10">
        <f t="shared" si="105"/>
        <v>0</v>
      </c>
      <c r="O437" s="8" t="str">
        <f>IFERROR(N437/N445, "NA")</f>
        <v>NA</v>
      </c>
      <c r="P437" s="9"/>
      <c r="Q437" s="7">
        <v>0</v>
      </c>
      <c r="R437" s="8" t="str">
        <f>IFERROR(Q437/Q445, "NA")</f>
        <v>NA</v>
      </c>
      <c r="S437" s="9"/>
      <c r="T437" s="7">
        <v>0</v>
      </c>
      <c r="U437" s="8" t="str">
        <f>IFERROR(T437/T445, "NA")</f>
        <v>NA</v>
      </c>
      <c r="V437" s="9"/>
      <c r="W437" s="10">
        <f t="shared" si="106"/>
        <v>0</v>
      </c>
      <c r="X437" s="8" t="str">
        <f>IFERROR(W437/W445, "NA")</f>
        <v>NA</v>
      </c>
      <c r="Y437" s="9"/>
      <c r="Z437" s="7">
        <v>0</v>
      </c>
      <c r="AA437" s="8" t="str">
        <f>IFERROR(Z437/Z445, "NA")</f>
        <v>NA</v>
      </c>
      <c r="AB437" s="9"/>
      <c r="AC437" s="10">
        <f t="shared" si="107"/>
        <v>0</v>
      </c>
      <c r="AD437" s="8" t="str">
        <f>IFERROR(AC437/AC445, "NA")</f>
        <v>NA</v>
      </c>
    </row>
    <row r="438" spans="1:30" ht="16.5" hidden="1" customHeight="1" x14ac:dyDescent="0.45">
      <c r="A438" s="6" t="s">
        <v>402</v>
      </c>
      <c r="B438" s="7">
        <v>0</v>
      </c>
      <c r="C438" s="8" t="str">
        <f>IFERROR(B438/B445, "NA")</f>
        <v>NA</v>
      </c>
      <c r="D438" s="9"/>
      <c r="E438" s="7">
        <v>0</v>
      </c>
      <c r="F438" s="8" t="str">
        <f>IFERROR(E438/E445, "NA")</f>
        <v>NA</v>
      </c>
      <c r="G438" s="9"/>
      <c r="H438" s="10">
        <f t="shared" si="104"/>
        <v>0</v>
      </c>
      <c r="I438" s="8" t="str">
        <f>IFERROR(H438/H445, "NA")</f>
        <v>NA</v>
      </c>
      <c r="J438" s="9"/>
      <c r="K438" s="7">
        <v>0</v>
      </c>
      <c r="L438" s="8" t="str">
        <f>IFERROR(K438/K445, "NA")</f>
        <v>NA</v>
      </c>
      <c r="M438" s="9"/>
      <c r="N438" s="10">
        <f t="shared" si="105"/>
        <v>0</v>
      </c>
      <c r="O438" s="8" t="str">
        <f>IFERROR(N438/N445, "NA")</f>
        <v>NA</v>
      </c>
      <c r="P438" s="9"/>
      <c r="Q438" s="7">
        <v>0</v>
      </c>
      <c r="R438" s="8" t="str">
        <f>IFERROR(Q438/Q445, "NA")</f>
        <v>NA</v>
      </c>
      <c r="S438" s="9"/>
      <c r="T438" s="7">
        <v>0</v>
      </c>
      <c r="U438" s="8" t="str">
        <f>IFERROR(T438/T445, "NA")</f>
        <v>NA</v>
      </c>
      <c r="V438" s="9"/>
      <c r="W438" s="10">
        <f t="shared" si="106"/>
        <v>0</v>
      </c>
      <c r="X438" s="8" t="str">
        <f>IFERROR(W438/W445, "NA")</f>
        <v>NA</v>
      </c>
      <c r="Y438" s="9"/>
      <c r="Z438" s="7">
        <v>0</v>
      </c>
      <c r="AA438" s="8" t="str">
        <f>IFERROR(Z438/Z445, "NA")</f>
        <v>NA</v>
      </c>
      <c r="AB438" s="9"/>
      <c r="AC438" s="10">
        <f t="shared" si="107"/>
        <v>0</v>
      </c>
      <c r="AD438" s="8" t="str">
        <f>IFERROR(AC438/AC445, "NA")</f>
        <v>NA</v>
      </c>
    </row>
    <row r="439" spans="1:30" ht="30.75" hidden="1" customHeight="1" x14ac:dyDescent="0.45">
      <c r="A439" s="6" t="s">
        <v>403</v>
      </c>
      <c r="B439" s="7">
        <v>0</v>
      </c>
      <c r="C439" s="8" t="str">
        <f>IFERROR(B439/B445, "NA")</f>
        <v>NA</v>
      </c>
      <c r="D439" s="9"/>
      <c r="E439" s="7">
        <v>0</v>
      </c>
      <c r="F439" s="8" t="str">
        <f>IFERROR(E439/E445, "NA")</f>
        <v>NA</v>
      </c>
      <c r="G439" s="9"/>
      <c r="H439" s="10">
        <f t="shared" si="104"/>
        <v>0</v>
      </c>
      <c r="I439" s="8" t="str">
        <f>IFERROR(H439/H445, "NA")</f>
        <v>NA</v>
      </c>
      <c r="J439" s="9"/>
      <c r="K439" s="7">
        <v>0</v>
      </c>
      <c r="L439" s="8" t="str">
        <f>IFERROR(K439/K445, "NA")</f>
        <v>NA</v>
      </c>
      <c r="M439" s="9"/>
      <c r="N439" s="10">
        <f t="shared" si="105"/>
        <v>0</v>
      </c>
      <c r="O439" s="8" t="str">
        <f>IFERROR(N439/N445, "NA")</f>
        <v>NA</v>
      </c>
      <c r="P439" s="9"/>
      <c r="Q439" s="7">
        <v>0</v>
      </c>
      <c r="R439" s="8" t="str">
        <f>IFERROR(Q439/Q445, "NA")</f>
        <v>NA</v>
      </c>
      <c r="S439" s="9"/>
      <c r="T439" s="7">
        <v>0</v>
      </c>
      <c r="U439" s="8" t="str">
        <f>IFERROR(T439/T445, "NA")</f>
        <v>NA</v>
      </c>
      <c r="V439" s="9"/>
      <c r="W439" s="10">
        <f t="shared" si="106"/>
        <v>0</v>
      </c>
      <c r="X439" s="8" t="str">
        <f>IFERROR(W439/W445, "NA")</f>
        <v>NA</v>
      </c>
      <c r="Y439" s="9"/>
      <c r="Z439" s="7">
        <v>0</v>
      </c>
      <c r="AA439" s="8" t="str">
        <f>IFERROR(Z439/Z445, "NA")</f>
        <v>NA</v>
      </c>
      <c r="AB439" s="9"/>
      <c r="AC439" s="10">
        <f t="shared" si="107"/>
        <v>0</v>
      </c>
      <c r="AD439" s="8" t="str">
        <f>IFERROR(AC439/AC445, "NA")</f>
        <v>NA</v>
      </c>
    </row>
    <row r="440" spans="1:30" ht="16.5" hidden="1" customHeight="1" x14ac:dyDescent="0.45">
      <c r="A440" s="6" t="s">
        <v>404</v>
      </c>
      <c r="B440" s="7">
        <v>0</v>
      </c>
      <c r="C440" s="8" t="str">
        <f>IFERROR(B440/B445, "NA")</f>
        <v>NA</v>
      </c>
      <c r="D440" s="9"/>
      <c r="E440" s="7">
        <v>0</v>
      </c>
      <c r="F440" s="8" t="str">
        <f>IFERROR(E440/E445, "NA")</f>
        <v>NA</v>
      </c>
      <c r="G440" s="9"/>
      <c r="H440" s="10">
        <f t="shared" si="104"/>
        <v>0</v>
      </c>
      <c r="I440" s="8" t="str">
        <f>IFERROR(H440/H445, "NA")</f>
        <v>NA</v>
      </c>
      <c r="J440" s="9"/>
      <c r="K440" s="7">
        <v>0</v>
      </c>
      <c r="L440" s="8" t="str">
        <f>IFERROR(K440/K445, "NA")</f>
        <v>NA</v>
      </c>
      <c r="M440" s="9"/>
      <c r="N440" s="10">
        <f t="shared" si="105"/>
        <v>0</v>
      </c>
      <c r="O440" s="8" t="str">
        <f>IFERROR(N440/N445, "NA")</f>
        <v>NA</v>
      </c>
      <c r="P440" s="9"/>
      <c r="Q440" s="7">
        <v>0</v>
      </c>
      <c r="R440" s="8" t="str">
        <f>IFERROR(Q440/Q445, "NA")</f>
        <v>NA</v>
      </c>
      <c r="S440" s="9"/>
      <c r="T440" s="7">
        <v>0</v>
      </c>
      <c r="U440" s="8" t="str">
        <f>IFERROR(T440/T445, "NA")</f>
        <v>NA</v>
      </c>
      <c r="V440" s="9"/>
      <c r="W440" s="10">
        <f t="shared" si="106"/>
        <v>0</v>
      </c>
      <c r="X440" s="8" t="str">
        <f>IFERROR(W440/W445, "NA")</f>
        <v>NA</v>
      </c>
      <c r="Y440" s="9"/>
      <c r="Z440" s="7">
        <v>0</v>
      </c>
      <c r="AA440" s="8" t="str">
        <f>IFERROR(Z440/Z445, "NA")</f>
        <v>NA</v>
      </c>
      <c r="AB440" s="9"/>
      <c r="AC440" s="10">
        <f t="shared" si="107"/>
        <v>0</v>
      </c>
      <c r="AD440" s="8" t="str">
        <f>IFERROR(AC440/AC445, "NA")</f>
        <v>NA</v>
      </c>
    </row>
    <row r="441" spans="1:30" ht="30.75" hidden="1" customHeight="1" x14ac:dyDescent="0.45">
      <c r="A441" s="6" t="s">
        <v>405</v>
      </c>
      <c r="B441" s="7">
        <v>0</v>
      </c>
      <c r="C441" s="8" t="str">
        <f>IFERROR(B441/B445, "NA")</f>
        <v>NA</v>
      </c>
      <c r="D441" s="9"/>
      <c r="E441" s="7">
        <v>0</v>
      </c>
      <c r="F441" s="8" t="str">
        <f>IFERROR(E441/E445, "NA")</f>
        <v>NA</v>
      </c>
      <c r="G441" s="9"/>
      <c r="H441" s="10">
        <f t="shared" si="104"/>
        <v>0</v>
      </c>
      <c r="I441" s="8" t="str">
        <f>IFERROR(H441/H445, "NA")</f>
        <v>NA</v>
      </c>
      <c r="J441" s="9"/>
      <c r="K441" s="7">
        <v>0</v>
      </c>
      <c r="L441" s="8" t="str">
        <f>IFERROR(K441/K445, "NA")</f>
        <v>NA</v>
      </c>
      <c r="M441" s="9"/>
      <c r="N441" s="10">
        <f t="shared" si="105"/>
        <v>0</v>
      </c>
      <c r="O441" s="8" t="str">
        <f>IFERROR(N441/N445, "NA")</f>
        <v>NA</v>
      </c>
      <c r="P441" s="9"/>
      <c r="Q441" s="7">
        <v>0</v>
      </c>
      <c r="R441" s="8" t="str">
        <f>IFERROR(Q441/Q445, "NA")</f>
        <v>NA</v>
      </c>
      <c r="S441" s="9"/>
      <c r="T441" s="7">
        <v>0</v>
      </c>
      <c r="U441" s="8" t="str">
        <f>IFERROR(T441/T445, "NA")</f>
        <v>NA</v>
      </c>
      <c r="V441" s="9"/>
      <c r="W441" s="10">
        <f t="shared" si="106"/>
        <v>0</v>
      </c>
      <c r="X441" s="8" t="str">
        <f>IFERROR(W441/W445, "NA")</f>
        <v>NA</v>
      </c>
      <c r="Y441" s="9"/>
      <c r="Z441" s="7">
        <v>0</v>
      </c>
      <c r="AA441" s="8" t="str">
        <f>IFERROR(Z441/Z445, "NA")</f>
        <v>NA</v>
      </c>
      <c r="AB441" s="9"/>
      <c r="AC441" s="10">
        <f t="shared" si="107"/>
        <v>0</v>
      </c>
      <c r="AD441" s="8" t="str">
        <f>IFERROR(AC441/AC445, "NA")</f>
        <v>NA</v>
      </c>
    </row>
    <row r="442" spans="1:30" ht="16.5" customHeight="1" x14ac:dyDescent="0.45">
      <c r="A442" s="19" t="s">
        <v>406</v>
      </c>
      <c r="B442" s="14">
        <f>IFERROR(B433+B434+B435+B436+B437+B438+B439+B440+B441, "NA")</f>
        <v>0</v>
      </c>
      <c r="C442" s="15" t="str">
        <f>IFERROR(B442/B445, "NA")</f>
        <v>NA</v>
      </c>
      <c r="D442" s="2"/>
      <c r="E442" s="14">
        <f>IFERROR(E433+E434+E435+E436+E437+E438+E439+E440+E441, "NA")</f>
        <v>0</v>
      </c>
      <c r="F442" s="15" t="str">
        <f>IFERROR(E442/E445, "NA")</f>
        <v>NA</v>
      </c>
      <c r="G442" s="2"/>
      <c r="H442" s="14">
        <f t="shared" si="104"/>
        <v>0</v>
      </c>
      <c r="I442" s="15" t="str">
        <f>IFERROR(H442/H445, "NA")</f>
        <v>NA</v>
      </c>
      <c r="J442" s="2"/>
      <c r="K442" s="14">
        <f>IFERROR(K433+K434+K435+K436+K437+K438+K439+K440+K441, "NA")</f>
        <v>0</v>
      </c>
      <c r="L442" s="15" t="str">
        <f>IFERROR(K442/K445, "NA")</f>
        <v>NA</v>
      </c>
      <c r="M442" s="2"/>
      <c r="N442" s="14">
        <f t="shared" si="105"/>
        <v>0</v>
      </c>
      <c r="O442" s="15" t="str">
        <f>IFERROR(N442/N445, "NA")</f>
        <v>NA</v>
      </c>
      <c r="P442" s="2"/>
      <c r="Q442" s="14">
        <f>IFERROR(Q433+Q434+Q435+Q436+Q437+Q438+Q439+Q440+Q441, "NA")</f>
        <v>0</v>
      </c>
      <c r="R442" s="15" t="str">
        <f>IFERROR(Q442/Q445, "NA")</f>
        <v>NA</v>
      </c>
      <c r="S442" s="2"/>
      <c r="T442" s="14">
        <f>IFERROR(T433+T434+T435+T436+T437+T438+T439+T440+T441, "NA")</f>
        <v>0</v>
      </c>
      <c r="U442" s="15" t="str">
        <f>IFERROR(T442/T445, "NA")</f>
        <v>NA</v>
      </c>
      <c r="V442" s="2"/>
      <c r="W442" s="14">
        <f t="shared" si="106"/>
        <v>0</v>
      </c>
      <c r="X442" s="15" t="str">
        <f>IFERROR(W442/W445, "NA")</f>
        <v>NA</v>
      </c>
      <c r="Y442" s="2"/>
      <c r="Z442" s="14">
        <f>IFERROR(Z433+Z434+Z435+Z436+Z437+Z438+Z439+Z440+Z441, "NA")</f>
        <v>0</v>
      </c>
      <c r="AA442" s="15" t="str">
        <f>IFERROR(Z442/Z445, "NA")</f>
        <v>NA</v>
      </c>
      <c r="AB442" s="2"/>
      <c r="AC442" s="14">
        <f t="shared" si="107"/>
        <v>0</v>
      </c>
      <c r="AD442" s="15" t="str">
        <f>IFERROR(AC442/AC445, "NA")</f>
        <v>NA</v>
      </c>
    </row>
    <row r="443" spans="1:30" ht="16.5" customHeight="1" x14ac:dyDescent="0.45">
      <c r="A443" s="21" t="s">
        <v>407</v>
      </c>
      <c r="B443" s="14">
        <f>IFERROR(B433+B434+B435+B436+B437+B438+B439+B440+B441, "NA")</f>
        <v>0</v>
      </c>
      <c r="C443" s="15" t="str">
        <f>IFERROR(B443/B445, "NA")</f>
        <v>NA</v>
      </c>
      <c r="D443" s="2"/>
      <c r="E443" s="14">
        <f>IFERROR(E433+E434+E435+E436+E437+E438+E439+E440+E441, "NA")</f>
        <v>0</v>
      </c>
      <c r="F443" s="15" t="str">
        <f>IFERROR(E443/E445, "NA")</f>
        <v>NA</v>
      </c>
      <c r="G443" s="2"/>
      <c r="H443" s="14">
        <f t="shared" si="104"/>
        <v>0</v>
      </c>
      <c r="I443" s="15" t="str">
        <f>IFERROR(H443/H445, "NA")</f>
        <v>NA</v>
      </c>
      <c r="J443" s="2"/>
      <c r="K443" s="14">
        <f>IFERROR(K433+K434+K435+K436+K437+K438+K439+K440+K441, "NA")</f>
        <v>0</v>
      </c>
      <c r="L443" s="15" t="str">
        <f>IFERROR(K443/K445, "NA")</f>
        <v>NA</v>
      </c>
      <c r="M443" s="2"/>
      <c r="N443" s="14">
        <f t="shared" si="105"/>
        <v>0</v>
      </c>
      <c r="O443" s="15" t="str">
        <f>IFERROR(N443/N445, "NA")</f>
        <v>NA</v>
      </c>
      <c r="P443" s="2"/>
      <c r="Q443" s="14">
        <f>IFERROR(Q433+Q434+Q435+Q436+Q437+Q438+Q439+Q440+Q441, "NA")</f>
        <v>0</v>
      </c>
      <c r="R443" s="15" t="str">
        <f>IFERROR(Q443/Q445, "NA")</f>
        <v>NA</v>
      </c>
      <c r="S443" s="2"/>
      <c r="T443" s="14">
        <f>IFERROR(T433+T434+T435+T436+T437+T438+T439+T440+T441, "NA")</f>
        <v>0</v>
      </c>
      <c r="U443" s="15" t="str">
        <f>IFERROR(T443/T445, "NA")</f>
        <v>NA</v>
      </c>
      <c r="V443" s="2"/>
      <c r="W443" s="14">
        <f t="shared" si="106"/>
        <v>0</v>
      </c>
      <c r="X443" s="15" t="str">
        <f>IFERROR(W443/W445, "NA")</f>
        <v>NA</v>
      </c>
      <c r="Y443" s="2"/>
      <c r="Z443" s="14">
        <f>IFERROR(Z433+Z434+Z435+Z436+Z437+Z438+Z439+Z440+Z441, "NA")</f>
        <v>0</v>
      </c>
      <c r="AA443" s="15" t="str">
        <f>IFERROR(Z443/Z445, "NA")</f>
        <v>NA</v>
      </c>
      <c r="AB443" s="2"/>
      <c r="AC443" s="14">
        <f t="shared" si="107"/>
        <v>0</v>
      </c>
      <c r="AD443" s="15" t="str">
        <f>IFERROR(AC443/AC445, "NA")</f>
        <v>NA</v>
      </c>
    </row>
    <row r="444" spans="1:30" ht="16.5" customHeight="1" x14ac:dyDescent="0.45">
      <c r="A444" s="22" t="s">
        <v>408</v>
      </c>
      <c r="B444" s="23">
        <f>IFERROR(B405-B430-B443, "NA")</f>
        <v>-97304.309999999969</v>
      </c>
      <c r="C444" s="24" t="str">
        <f>IFERROR(B444/B445, "NA")</f>
        <v>NA</v>
      </c>
      <c r="D444" s="25"/>
      <c r="E444" s="23">
        <f>IFERROR(E405-E430-E443, "NA")</f>
        <v>-99827.56</v>
      </c>
      <c r="F444" s="24" t="str">
        <f>IFERROR(E444/E445, "NA")</f>
        <v>NA</v>
      </c>
      <c r="G444" s="25"/>
      <c r="H444" s="23">
        <f>IFERROR(B444-E444, "NA")</f>
        <v>2523.2500000000291</v>
      </c>
      <c r="I444" s="24" t="str">
        <f>IFERROR(H444/H445, "NA")</f>
        <v>NA</v>
      </c>
      <c r="J444" s="25"/>
      <c r="K444" s="23">
        <f>IFERROR(K405-K430-K443, "NA")</f>
        <v>-103278.79999999997</v>
      </c>
      <c r="L444" s="24" t="str">
        <f>IFERROR(K444/K445, "NA")</f>
        <v>NA</v>
      </c>
      <c r="M444" s="25"/>
      <c r="N444" s="23">
        <f>IFERROR(B444-K444, "NA")</f>
        <v>5974.4900000000052</v>
      </c>
      <c r="O444" s="24" t="str">
        <f>IFERROR(N444/N445, "NA")</f>
        <v>NA</v>
      </c>
      <c r="P444" s="25"/>
      <c r="Q444" s="23">
        <f>IFERROR(Q405-Q430-Q443, "NA")</f>
        <v>-477650.69</v>
      </c>
      <c r="R444" s="24" t="str">
        <f>IFERROR(Q444/Q445, "NA")</f>
        <v>NA</v>
      </c>
      <c r="S444" s="25"/>
      <c r="T444" s="23">
        <f>IFERROR(T405-T430-T443, "NA")</f>
        <v>-488373.66000000003</v>
      </c>
      <c r="U444" s="24" t="str">
        <f>IFERROR(T444/T445, "NA")</f>
        <v>NA</v>
      </c>
      <c r="V444" s="25"/>
      <c r="W444" s="23">
        <f>IFERROR(Q444-T444, "NA")</f>
        <v>10722.97000000003</v>
      </c>
      <c r="X444" s="24" t="str">
        <f>IFERROR(W444/W445, "NA")</f>
        <v>NA</v>
      </c>
      <c r="Y444" s="25"/>
      <c r="Z444" s="23">
        <f>IFERROR(Z405-Z430-Z443, "NA")</f>
        <v>-626295.64000000013</v>
      </c>
      <c r="AA444" s="24" t="str">
        <f>IFERROR(Z444/Z445, "NA")</f>
        <v>NA</v>
      </c>
      <c r="AB444" s="25"/>
      <c r="AC444" s="23">
        <f>IFERROR(Q444-Z444, "NA")</f>
        <v>148644.95000000013</v>
      </c>
      <c r="AD444" s="24" t="str">
        <f>IFERROR(AC444/AC445, "NA")</f>
        <v>NA</v>
      </c>
    </row>
    <row r="445" spans="1:30" ht="15.75" hidden="1" x14ac:dyDescent="0.45">
      <c r="A445" s="26" t="s">
        <v>117</v>
      </c>
      <c r="B445" s="7">
        <v>0</v>
      </c>
      <c r="C445" s="27"/>
      <c r="D445" s="9"/>
      <c r="E445" s="7">
        <v>0</v>
      </c>
      <c r="F445" s="27"/>
      <c r="G445" s="9"/>
      <c r="H445" s="10">
        <f>IFERROR(B445-E445, "NA")</f>
        <v>0</v>
      </c>
      <c r="I445" s="27"/>
      <c r="J445" s="9"/>
      <c r="K445" s="7">
        <v>0</v>
      </c>
      <c r="L445" s="27"/>
      <c r="M445" s="9"/>
      <c r="N445" s="10">
        <f>IFERROR(B445-K445, "NA")</f>
        <v>0</v>
      </c>
      <c r="O445" s="27"/>
      <c r="P445" s="9"/>
      <c r="Q445" s="7">
        <v>0</v>
      </c>
      <c r="R445" s="27"/>
      <c r="S445" s="9"/>
      <c r="T445" s="7">
        <v>0</v>
      </c>
      <c r="U445" s="27"/>
      <c r="V445" s="9"/>
      <c r="W445" s="10">
        <f>IFERROR(Q445-T445, "NA")</f>
        <v>0</v>
      </c>
      <c r="X445" s="27"/>
      <c r="Y445" s="9"/>
      <c r="Z445" s="7">
        <v>0</v>
      </c>
      <c r="AA445" s="27"/>
      <c r="AB445" s="9"/>
      <c r="AC445" s="10">
        <f>IFERROR(Q445-Z445, "NA")</f>
        <v>0</v>
      </c>
      <c r="AD445" s="27"/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  <row r="450" spans="1:1" ht="15.75" x14ac:dyDescent="0.5">
      <c r="A450" s="28" t="s">
        <v>411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IFERROR(B8/B445, "NA")</f>
        <v>0</v>
      </c>
      <c r="D8" s="9"/>
      <c r="E8" s="7">
        <v>0</v>
      </c>
      <c r="F8" s="8">
        <f>IFERROR(E8/E445, "NA")</f>
        <v>0</v>
      </c>
      <c r="G8" s="9"/>
      <c r="H8" s="10">
        <f>IFERROR(B8-E8, "NA")</f>
        <v>0</v>
      </c>
      <c r="I8" s="8">
        <f>IFERROR(H8/H445, "NA")</f>
        <v>0</v>
      </c>
      <c r="J8" s="9"/>
      <c r="K8" s="7">
        <v>0</v>
      </c>
      <c r="L8" s="8">
        <f>IFERROR(K8/K445, "NA")</f>
        <v>0</v>
      </c>
      <c r="M8" s="9"/>
      <c r="N8" s="10">
        <f>IFERROR(B8-K8, "NA")</f>
        <v>0</v>
      </c>
      <c r="O8" s="8">
        <f>IFERROR(N8/N445, "NA")</f>
        <v>0</v>
      </c>
      <c r="P8" s="9"/>
      <c r="Q8" s="7">
        <v>0</v>
      </c>
      <c r="R8" s="8">
        <f>IFERROR(Q8/Q445, "NA")</f>
        <v>0</v>
      </c>
      <c r="S8" s="9"/>
      <c r="T8" s="7">
        <v>0</v>
      </c>
      <c r="U8" s="8">
        <f>IFERROR(T8/T445, "NA")</f>
        <v>0</v>
      </c>
      <c r="V8" s="9"/>
      <c r="W8" s="10">
        <f>IFERROR(Q8-T8, "NA")</f>
        <v>0</v>
      </c>
      <c r="X8" s="8">
        <f>IFERROR(W8/W445, "NA")</f>
        <v>0</v>
      </c>
      <c r="Y8" s="9"/>
      <c r="Z8" s="7">
        <v>0</v>
      </c>
      <c r="AA8" s="8">
        <f>IFERROR(Z8/Z445, "NA")</f>
        <v>0</v>
      </c>
      <c r="AB8" s="9"/>
      <c r="AC8" s="10">
        <f>IFERROR(Q8-Z8, "NA")</f>
        <v>0</v>
      </c>
      <c r="AD8" s="8">
        <f>IFERROR(AC8/AC445,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IFERROR(B10/B445, "NA")</f>
        <v>0</v>
      </c>
      <c r="D10" s="9"/>
      <c r="E10" s="7">
        <v>42826.14</v>
      </c>
      <c r="F10" s="8">
        <f>IFERROR(E10/E445, "NA")</f>
        <v>0.45899998649563134</v>
      </c>
      <c r="G10" s="9"/>
      <c r="H10" s="10">
        <f t="shared" ref="H10:H19" si="0">IFERROR(B10-E10, "NA")</f>
        <v>-42826.14</v>
      </c>
      <c r="I10" s="8">
        <f>IFERROR(H10/H445, "NA")</f>
        <v>7.1112007771052754</v>
      </c>
      <c r="J10" s="9"/>
      <c r="K10" s="7">
        <v>0</v>
      </c>
      <c r="L10" s="8">
        <f>IFERROR(K10/K445, "NA")</f>
        <v>0</v>
      </c>
      <c r="M10" s="9"/>
      <c r="N10" s="10">
        <f t="shared" ref="N10:N19" si="1">IFERROR(B10-K10, "NA")</f>
        <v>0</v>
      </c>
      <c r="O10" s="8">
        <f>IFERROR(N10/N445, "NA")</f>
        <v>0</v>
      </c>
      <c r="P10" s="9"/>
      <c r="Q10" s="7">
        <v>0</v>
      </c>
      <c r="R10" s="8">
        <f>IFERROR(Q10/Q445, "NA")</f>
        <v>0</v>
      </c>
      <c r="S10" s="9"/>
      <c r="T10" s="7">
        <v>202428.98</v>
      </c>
      <c r="U10" s="8">
        <f>IFERROR(T10/T445, "NA")</f>
        <v>0.45900001344604952</v>
      </c>
      <c r="V10" s="9"/>
      <c r="W10" s="10">
        <f t="shared" ref="W10:W19" si="2">IFERROR(Q10-T10, "NA")</f>
        <v>-202428.98</v>
      </c>
      <c r="X10" s="8">
        <f>IFERROR(W10/W445, "NA")</f>
        <v>-32.024480032652669</v>
      </c>
      <c r="Y10" s="9"/>
      <c r="Z10" s="7">
        <v>0</v>
      </c>
      <c r="AA10" s="8">
        <f>IFERROR(Z10/Z445, "NA")</f>
        <v>0</v>
      </c>
      <c r="AB10" s="9"/>
      <c r="AC10" s="10">
        <f t="shared" ref="AC10:AC19" si="3">IFERROR(Q10-Z10, "NA")</f>
        <v>0</v>
      </c>
      <c r="AD10" s="8">
        <f>IFERROR(AC10/AC445, "NA")</f>
        <v>0</v>
      </c>
    </row>
    <row r="11" spans="1:30" ht="16.5" customHeight="1" x14ac:dyDescent="0.45">
      <c r="A11" s="12" t="s">
        <v>13</v>
      </c>
      <c r="B11" s="7">
        <v>38915.94</v>
      </c>
      <c r="C11" s="8">
        <f>IFERROR(B11/B445, "NA")</f>
        <v>0.44587062055694049</v>
      </c>
      <c r="D11" s="9"/>
      <c r="E11" s="7">
        <v>0</v>
      </c>
      <c r="F11" s="8">
        <f>IFERROR(E11/E445, "NA")</f>
        <v>0</v>
      </c>
      <c r="G11" s="9"/>
      <c r="H11" s="10">
        <f t="shared" si="0"/>
        <v>38915.94</v>
      </c>
      <c r="I11" s="8">
        <f>IFERROR(H11/H445, "NA")</f>
        <v>-6.4619193504196808</v>
      </c>
      <c r="J11" s="9"/>
      <c r="K11" s="7">
        <v>40108.67</v>
      </c>
      <c r="L11" s="8">
        <f>IFERROR(K11/K445, "NA")</f>
        <v>0.47017556733879423</v>
      </c>
      <c r="M11" s="9"/>
      <c r="N11" s="10">
        <f t="shared" si="1"/>
        <v>-1192.7299999999959</v>
      </c>
      <c r="O11" s="8">
        <f>IFERROR(N11/N445, "NA")</f>
        <v>-0.60389557785586123</v>
      </c>
      <c r="P11" s="9"/>
      <c r="Q11" s="7">
        <v>177442.91</v>
      </c>
      <c r="R11" s="8">
        <f>IFERROR(Q11/Q445, "NA")</f>
        <v>0.3966598098818177</v>
      </c>
      <c r="S11" s="9"/>
      <c r="T11" s="7">
        <v>0</v>
      </c>
      <c r="U11" s="8">
        <f>IFERROR(T11/T445, "NA")</f>
        <v>0</v>
      </c>
      <c r="V11" s="9"/>
      <c r="W11" s="10">
        <f t="shared" si="2"/>
        <v>177442.91</v>
      </c>
      <c r="X11" s="8">
        <f>IFERROR(W11/W445, "NA")</f>
        <v>28.071657171966109</v>
      </c>
      <c r="Y11" s="9"/>
      <c r="Z11" s="7">
        <v>188503.08</v>
      </c>
      <c r="AA11" s="8">
        <f>IFERROR(Z11/Z445, "NA")</f>
        <v>0.4591936384523298</v>
      </c>
      <c r="AB11" s="9"/>
      <c r="AC11" s="10">
        <f t="shared" si="3"/>
        <v>-11060.169999999984</v>
      </c>
      <c r="AD11" s="8">
        <f>IFERROR(AC11/AC445, "NA")</f>
        <v>-0.30027157055635395</v>
      </c>
    </row>
    <row r="12" spans="1:30" ht="16.5" customHeight="1" x14ac:dyDescent="0.45">
      <c r="A12" s="12" t="s">
        <v>14</v>
      </c>
      <c r="B12" s="7">
        <v>4536.8500000000004</v>
      </c>
      <c r="C12" s="8">
        <f>IFERROR(B12/B445, "NA")</f>
        <v>5.1979937395158785E-2</v>
      </c>
      <c r="D12" s="9"/>
      <c r="E12" s="7">
        <v>0</v>
      </c>
      <c r="F12" s="8">
        <f>IFERROR(E12/E445, "NA")</f>
        <v>0</v>
      </c>
      <c r="G12" s="9"/>
      <c r="H12" s="10">
        <f t="shared" si="0"/>
        <v>4536.8500000000004</v>
      </c>
      <c r="I12" s="8">
        <f>IFERROR(H12/H445, "NA")</f>
        <v>-0.75333549195911831</v>
      </c>
      <c r="J12" s="9"/>
      <c r="K12" s="7">
        <v>4432.1000000000004</v>
      </c>
      <c r="L12" s="8">
        <f>IFERROR(K12/K445, "NA")</f>
        <v>5.1955478254508816E-2</v>
      </c>
      <c r="M12" s="9"/>
      <c r="N12" s="10">
        <f t="shared" si="1"/>
        <v>104.75</v>
      </c>
      <c r="O12" s="8">
        <f>IFERROR(N12/N445, "NA")</f>
        <v>5.3036363452249616E-2</v>
      </c>
      <c r="P12" s="9"/>
      <c r="Q12" s="7">
        <v>18362.75</v>
      </c>
      <c r="R12" s="8">
        <f>IFERROR(Q12/Q445, "NA")</f>
        <v>4.1048497930446182E-2</v>
      </c>
      <c r="S12" s="9"/>
      <c r="T12" s="7">
        <v>0</v>
      </c>
      <c r="U12" s="8">
        <f>IFERROR(T12/T445, "NA")</f>
        <v>0</v>
      </c>
      <c r="V12" s="9"/>
      <c r="W12" s="10">
        <f t="shared" si="2"/>
        <v>18362.75</v>
      </c>
      <c r="X12" s="8">
        <f>IFERROR(W12/W445, "NA")</f>
        <v>2.9050065890743149</v>
      </c>
      <c r="Y12" s="9"/>
      <c r="Z12" s="7">
        <v>19815.400000000001</v>
      </c>
      <c r="AA12" s="8">
        <f>IFERROR(Z12/Z445, "NA")</f>
        <v>4.8270328651331837E-2</v>
      </c>
      <c r="AB12" s="9"/>
      <c r="AC12" s="10">
        <f t="shared" si="3"/>
        <v>-1452.6500000000015</v>
      </c>
      <c r="AD12" s="8">
        <f>IFERROR(AC12/AC445, "NA")</f>
        <v>-3.9437865509181921E-2</v>
      </c>
    </row>
    <row r="13" spans="1:30" ht="16.5" customHeight="1" x14ac:dyDescent="0.45">
      <c r="A13" s="12" t="s">
        <v>15</v>
      </c>
      <c r="B13" s="7">
        <v>151</v>
      </c>
      <c r="C13" s="8">
        <f>IFERROR(B13/B445, "NA")</f>
        <v>1.7300485020816151E-3</v>
      </c>
      <c r="D13" s="9"/>
      <c r="E13" s="7">
        <v>0</v>
      </c>
      <c r="F13" s="8">
        <f>IFERROR(E13/E445, "NA")</f>
        <v>0</v>
      </c>
      <c r="G13" s="9"/>
      <c r="H13" s="10">
        <f t="shared" si="0"/>
        <v>151</v>
      </c>
      <c r="I13" s="8">
        <f>IFERROR(H13/H445, "NA")</f>
        <v>-2.5073268740607876E-2</v>
      </c>
      <c r="J13" s="9"/>
      <c r="K13" s="7">
        <v>363</v>
      </c>
      <c r="L13" s="8">
        <f>IFERROR(K13/K445, "NA")</f>
        <v>4.2552827342313346E-3</v>
      </c>
      <c r="M13" s="9"/>
      <c r="N13" s="10">
        <f t="shared" si="1"/>
        <v>-212</v>
      </c>
      <c r="O13" s="8">
        <f>IFERROR(N13/N445, "NA")</f>
        <v>-0.10733851123510184</v>
      </c>
      <c r="P13" s="9"/>
      <c r="Q13" s="7">
        <v>901</v>
      </c>
      <c r="R13" s="8">
        <f>IFERROR(Q13/Q445, "NA")</f>
        <v>2.0141153495708435E-3</v>
      </c>
      <c r="S13" s="9"/>
      <c r="T13" s="7">
        <v>0</v>
      </c>
      <c r="U13" s="8">
        <f>IFERROR(T13/T445, "NA")</f>
        <v>0</v>
      </c>
      <c r="V13" s="9"/>
      <c r="W13" s="10">
        <f t="shared" si="2"/>
        <v>901</v>
      </c>
      <c r="X13" s="8">
        <f>IFERROR(W13/W445, "NA")</f>
        <v>0.14253915871838138</v>
      </c>
      <c r="Y13" s="9"/>
      <c r="Z13" s="7">
        <v>1039.5</v>
      </c>
      <c r="AA13" s="8">
        <f>IFERROR(Z13/Z445, "NA")</f>
        <v>2.532222747613444E-3</v>
      </c>
      <c r="AB13" s="9"/>
      <c r="AC13" s="10">
        <f t="shared" si="3"/>
        <v>-138.5</v>
      </c>
      <c r="AD13" s="8">
        <f>IFERROR(AC13/AC445, "NA")</f>
        <v>-3.7601241682591749E-3</v>
      </c>
    </row>
    <row r="14" spans="1:30" ht="16.5" customHeight="1" x14ac:dyDescent="0.45">
      <c r="A14" s="12" t="s">
        <v>16</v>
      </c>
      <c r="B14" s="7">
        <v>10</v>
      </c>
      <c r="C14" s="8">
        <f>IFERROR(B14/B445, "NA")</f>
        <v>1.1457274848222616E-4</v>
      </c>
      <c r="D14" s="9"/>
      <c r="E14" s="7">
        <v>0</v>
      </c>
      <c r="F14" s="8">
        <f>IFERROR(E14/E445, "NA")</f>
        <v>0</v>
      </c>
      <c r="G14" s="9"/>
      <c r="H14" s="10">
        <f t="shared" si="0"/>
        <v>10</v>
      </c>
      <c r="I14" s="8">
        <f>IFERROR(H14/H445, "NA")</f>
        <v>-1.6604813735501907E-3</v>
      </c>
      <c r="J14" s="9"/>
      <c r="K14" s="7">
        <v>320</v>
      </c>
      <c r="L14" s="8">
        <f>IFERROR(K14/K445, "NA")</f>
        <v>3.7512134296254192E-3</v>
      </c>
      <c r="M14" s="9"/>
      <c r="N14" s="10">
        <f t="shared" si="1"/>
        <v>-310</v>
      </c>
      <c r="O14" s="8">
        <f>IFERROR(N14/N445, "NA")</f>
        <v>-0.1569572569947244</v>
      </c>
      <c r="P14" s="9"/>
      <c r="Q14" s="7">
        <v>256</v>
      </c>
      <c r="R14" s="8">
        <f>IFERROR(Q14/Q445, "NA")</f>
        <v>5.7226806824654385E-4</v>
      </c>
      <c r="S14" s="9"/>
      <c r="T14" s="7">
        <v>0</v>
      </c>
      <c r="U14" s="8">
        <f>IFERROR(T14/T445, "NA")</f>
        <v>0</v>
      </c>
      <c r="V14" s="9"/>
      <c r="W14" s="10">
        <f t="shared" si="2"/>
        <v>256</v>
      </c>
      <c r="X14" s="8">
        <f>IFERROR(W14/W445, "NA")</f>
        <v>4.0499472399451314E-2</v>
      </c>
      <c r="Y14" s="9"/>
      <c r="Z14" s="7">
        <v>1565</v>
      </c>
      <c r="AA14" s="8">
        <f>IFERROR(Z14/Z445, "NA")</f>
        <v>3.812341125555594E-3</v>
      </c>
      <c r="AB14" s="9"/>
      <c r="AC14" s="10">
        <f t="shared" si="3"/>
        <v>-1309</v>
      </c>
      <c r="AD14" s="8">
        <f>IFERROR(AC14/AC445, "NA")</f>
        <v>-3.553792444946758E-2</v>
      </c>
    </row>
    <row r="15" spans="1:30" ht="16.5" customHeight="1" x14ac:dyDescent="0.45">
      <c r="A15" s="12" t="s">
        <v>17</v>
      </c>
      <c r="B15" s="7">
        <v>5</v>
      </c>
      <c r="C15" s="8">
        <f>IFERROR(B15/B445, "NA")</f>
        <v>5.7286374241113082E-5</v>
      </c>
      <c r="D15" s="9"/>
      <c r="E15" s="7">
        <v>0</v>
      </c>
      <c r="F15" s="8">
        <f>IFERROR(E15/E445, "NA")</f>
        <v>0</v>
      </c>
      <c r="G15" s="9"/>
      <c r="H15" s="10">
        <f t="shared" si="0"/>
        <v>5</v>
      </c>
      <c r="I15" s="8">
        <f>IFERROR(H15/H445, "NA")</f>
        <v>-8.3024068677509534E-4</v>
      </c>
      <c r="J15" s="9"/>
      <c r="K15" s="7">
        <v>29</v>
      </c>
      <c r="L15" s="8">
        <f>IFERROR(K15/K445, "NA")</f>
        <v>3.3995371705980361E-4</v>
      </c>
      <c r="M15" s="9"/>
      <c r="N15" s="10">
        <f t="shared" si="1"/>
        <v>-24</v>
      </c>
      <c r="O15" s="8">
        <f>IFERROR(N15/N445, "NA")</f>
        <v>-1.2151529573785114E-2</v>
      </c>
      <c r="P15" s="9"/>
      <c r="Q15" s="7">
        <v>262</v>
      </c>
      <c r="R15" s="8">
        <f>IFERROR(Q15/Q445, "NA")</f>
        <v>5.8568060109607221E-4</v>
      </c>
      <c r="S15" s="9"/>
      <c r="T15" s="7">
        <v>0</v>
      </c>
      <c r="U15" s="8">
        <f>IFERROR(T15/T445, "NA")</f>
        <v>0</v>
      </c>
      <c r="V15" s="9"/>
      <c r="W15" s="10">
        <f t="shared" si="2"/>
        <v>262</v>
      </c>
      <c r="X15" s="8">
        <f>IFERROR(W15/W445, "NA")</f>
        <v>4.1448678783813454E-2</v>
      </c>
      <c r="Y15" s="9"/>
      <c r="Z15" s="7">
        <v>187</v>
      </c>
      <c r="AA15" s="8">
        <f>IFERROR(Z15/Z445, "NA")</f>
        <v>4.5553213449130744E-4</v>
      </c>
      <c r="AB15" s="9"/>
      <c r="AC15" s="10">
        <f t="shared" si="3"/>
        <v>75</v>
      </c>
      <c r="AD15" s="8">
        <f>IFERROR(AC15/AC445, "NA")</f>
        <v>2.0361683221620081E-3</v>
      </c>
    </row>
    <row r="16" spans="1:30" ht="16.5" customHeight="1" x14ac:dyDescent="0.45">
      <c r="A16" s="12" t="s">
        <v>18</v>
      </c>
      <c r="B16" s="7">
        <v>0.31</v>
      </c>
      <c r="C16" s="8">
        <f>IFERROR(B16/B445, "NA")</f>
        <v>3.551755202949011E-6</v>
      </c>
      <c r="D16" s="9"/>
      <c r="E16" s="7">
        <v>0</v>
      </c>
      <c r="F16" s="8">
        <f>IFERROR(E16/E445, "NA")</f>
        <v>0</v>
      </c>
      <c r="G16" s="9"/>
      <c r="H16" s="10">
        <f t="shared" si="0"/>
        <v>0.31</v>
      </c>
      <c r="I16" s="8">
        <f>IFERROR(H16/H445, "NA")</f>
        <v>-5.1474922580055905E-5</v>
      </c>
      <c r="J16" s="9"/>
      <c r="K16" s="7">
        <v>0</v>
      </c>
      <c r="L16" s="8">
        <f>IFERROR(K16/K445, "NA")</f>
        <v>0</v>
      </c>
      <c r="M16" s="9"/>
      <c r="N16" s="10">
        <f t="shared" si="1"/>
        <v>0.31</v>
      </c>
      <c r="O16" s="8">
        <f>IFERROR(N16/N445, "NA")</f>
        <v>1.5695725699472441E-4</v>
      </c>
      <c r="P16" s="9"/>
      <c r="Q16" s="7">
        <v>3.61</v>
      </c>
      <c r="R16" s="8">
        <f>IFERROR(Q16/Q445, "NA")</f>
        <v>8.0698739311329037E-6</v>
      </c>
      <c r="S16" s="9"/>
      <c r="T16" s="7">
        <v>0</v>
      </c>
      <c r="U16" s="8">
        <f>IFERROR(T16/T445, "NA")</f>
        <v>0</v>
      </c>
      <c r="V16" s="9"/>
      <c r="W16" s="10">
        <f t="shared" si="2"/>
        <v>3.61</v>
      </c>
      <c r="X16" s="8">
        <f>IFERROR(W16/W445, "NA")</f>
        <v>5.711058412578876E-4</v>
      </c>
      <c r="Y16" s="9"/>
      <c r="Z16" s="7">
        <v>1.35</v>
      </c>
      <c r="AA16" s="8">
        <f>IFERROR(Z16/Z445, "NA")</f>
        <v>3.2886009709265512E-6</v>
      </c>
      <c r="AB16" s="9"/>
      <c r="AC16" s="10">
        <f t="shared" si="3"/>
        <v>2.2599999999999998</v>
      </c>
      <c r="AD16" s="8">
        <f>IFERROR(AC16/AC445, "NA")</f>
        <v>6.1356538774481843E-5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IFERROR(B17/B445, "NA")</f>
        <v>0</v>
      </c>
      <c r="D17" s="9"/>
      <c r="E17" s="7">
        <v>0</v>
      </c>
      <c r="F17" s="8">
        <f>IFERROR(E17/E445, "NA")</f>
        <v>0</v>
      </c>
      <c r="G17" s="9"/>
      <c r="H17" s="10">
        <f t="shared" si="0"/>
        <v>0</v>
      </c>
      <c r="I17" s="8">
        <f>IFERROR(H17/H445, "NA")</f>
        <v>0</v>
      </c>
      <c r="J17" s="9"/>
      <c r="K17" s="7">
        <v>0</v>
      </c>
      <c r="L17" s="8">
        <f>IFERROR(K17/K445, "NA")</f>
        <v>0</v>
      </c>
      <c r="M17" s="9"/>
      <c r="N17" s="10">
        <f t="shared" si="1"/>
        <v>0</v>
      </c>
      <c r="O17" s="8">
        <f>IFERROR(N17/N445, "NA")</f>
        <v>0</v>
      </c>
      <c r="P17" s="9"/>
      <c r="Q17" s="7">
        <v>0</v>
      </c>
      <c r="R17" s="8">
        <f>IFERROR(Q17/Q445, "NA")</f>
        <v>0</v>
      </c>
      <c r="S17" s="9"/>
      <c r="T17" s="7">
        <v>0</v>
      </c>
      <c r="U17" s="8">
        <f>IFERROR(T17/T445, "NA")</f>
        <v>0</v>
      </c>
      <c r="V17" s="9"/>
      <c r="W17" s="10">
        <f t="shared" si="2"/>
        <v>0</v>
      </c>
      <c r="X17" s="8">
        <f>IFERROR(W17/W445, "NA")</f>
        <v>0</v>
      </c>
      <c r="Y17" s="9"/>
      <c r="Z17" s="7">
        <v>0</v>
      </c>
      <c r="AA17" s="8">
        <f>IFERROR(Z17/Z445, "NA")</f>
        <v>0</v>
      </c>
      <c r="AB17" s="9"/>
      <c r="AC17" s="10">
        <f t="shared" si="3"/>
        <v>0</v>
      </c>
      <c r="AD17" s="8">
        <f>IFERROR(AC17/AC445,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43619.1</v>
      </c>
      <c r="C18" s="15">
        <f>IFERROR(B18/B445, "NA")</f>
        <v>0.49975601733210712</v>
      </c>
      <c r="D18" s="2"/>
      <c r="E18" s="14">
        <f>IFERROR(E10+E11+E12+E13+E14+E15+E16+E17, "NA")</f>
        <v>42826.14</v>
      </c>
      <c r="F18" s="15">
        <f>IFERROR(E18/E445, "NA")</f>
        <v>0.45899998649563134</v>
      </c>
      <c r="G18" s="2"/>
      <c r="H18" s="14">
        <f t="shared" si="0"/>
        <v>792.95999999999913</v>
      </c>
      <c r="I18" s="15">
        <f>IFERROR(H18/H445, "NA")</f>
        <v>-0.13166953099703577</v>
      </c>
      <c r="J18" s="2"/>
      <c r="K18" s="14">
        <f>IFERROR(K10+K11+K12+K13+K14+K15+K16+K17, "NA")</f>
        <v>45252.77</v>
      </c>
      <c r="L18" s="15">
        <f>IFERROR(K18/K445, "NA")</f>
        <v>0.53047749547421963</v>
      </c>
      <c r="M18" s="2"/>
      <c r="N18" s="14">
        <f t="shared" si="1"/>
        <v>-1633.6699999999983</v>
      </c>
      <c r="O18" s="15">
        <f>IFERROR(N18/N445, "NA")</f>
        <v>-0.82714955495022946</v>
      </c>
      <c r="P18" s="2"/>
      <c r="Q18" s="14">
        <f>IFERROR(Q10+Q11+Q12+Q13+Q14+Q15+Q16+Q17, "NA")</f>
        <v>197228.27</v>
      </c>
      <c r="R18" s="15">
        <f>IFERROR(Q18/Q445, "NA")</f>
        <v>0.44088844170510849</v>
      </c>
      <c r="S18" s="2"/>
      <c r="T18" s="14">
        <f>IFERROR(T10+T11+T12+T13+T14+T15+T16+T17, "NA")</f>
        <v>202428.98</v>
      </c>
      <c r="U18" s="15">
        <f>IFERROR(T18/T445, "NA")</f>
        <v>0.45900001344604952</v>
      </c>
      <c r="V18" s="2"/>
      <c r="W18" s="14">
        <f t="shared" si="2"/>
        <v>-5200.710000000021</v>
      </c>
      <c r="X18" s="15">
        <f>IFERROR(W18/W445, "NA")</f>
        <v>-0.82275785586934103</v>
      </c>
      <c r="Y18" s="2"/>
      <c r="Z18" s="14">
        <f>IFERROR(Z10+Z11+Z12+Z13+Z14+Z15+Z16+Z17, "NA")</f>
        <v>211111.33</v>
      </c>
      <c r="AA18" s="15">
        <f>IFERROR(Z18/Z445, "NA")</f>
        <v>0.51426735171229288</v>
      </c>
      <c r="AB18" s="2"/>
      <c r="AC18" s="14">
        <f t="shared" si="3"/>
        <v>-13883.059999999998</v>
      </c>
      <c r="AD18" s="15">
        <f>IFERROR(AC18/AC445, "NA")</f>
        <v>-0.37690995982232645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IFERROR(B19/B445, "NA")</f>
        <v>0</v>
      </c>
      <c r="D19" s="9"/>
      <c r="E19" s="7">
        <v>0</v>
      </c>
      <c r="F19" s="8">
        <f>IFERROR(E19/E445, "NA")</f>
        <v>0</v>
      </c>
      <c r="G19" s="9"/>
      <c r="H19" s="10">
        <f t="shared" si="0"/>
        <v>0</v>
      </c>
      <c r="I19" s="8">
        <f>IFERROR(H19/H445, "NA")</f>
        <v>0</v>
      </c>
      <c r="J19" s="9"/>
      <c r="K19" s="7">
        <v>0</v>
      </c>
      <c r="L19" s="8">
        <f>IFERROR(K19/K445, "NA")</f>
        <v>0</v>
      </c>
      <c r="M19" s="9"/>
      <c r="N19" s="10">
        <f t="shared" si="1"/>
        <v>0</v>
      </c>
      <c r="O19" s="8">
        <f>IFERROR(N19/N445, "NA")</f>
        <v>0</v>
      </c>
      <c r="P19" s="9"/>
      <c r="Q19" s="7">
        <v>0</v>
      </c>
      <c r="R19" s="8">
        <f>IFERROR(Q19/Q445, "NA")</f>
        <v>0</v>
      </c>
      <c r="S19" s="9"/>
      <c r="T19" s="7">
        <v>0</v>
      </c>
      <c r="U19" s="8">
        <f>IFERROR(T19/T445, "NA")</f>
        <v>0</v>
      </c>
      <c r="V19" s="9"/>
      <c r="W19" s="10">
        <f t="shared" si="2"/>
        <v>0</v>
      </c>
      <c r="X19" s="8">
        <f>IFERROR(W19/W445, "NA")</f>
        <v>0</v>
      </c>
      <c r="Y19" s="9"/>
      <c r="Z19" s="7">
        <v>0</v>
      </c>
      <c r="AA19" s="8">
        <f>IFERROR(Z19/Z445, "NA")</f>
        <v>0</v>
      </c>
      <c r="AB19" s="9"/>
      <c r="AC19" s="10">
        <f t="shared" si="3"/>
        <v>0</v>
      </c>
      <c r="AD19" s="8">
        <f>IFERROR(AC19/AC445,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IFERROR(B21/B445, "NA")</f>
        <v>0</v>
      </c>
      <c r="D21" s="9"/>
      <c r="E21" s="7">
        <v>9330.31</v>
      </c>
      <c r="F21" s="8">
        <f>IFERROR(E21/E445, "NA")</f>
        <v>9.9999957128988362E-2</v>
      </c>
      <c r="G21" s="9"/>
      <c r="H21" s="10">
        <f t="shared" ref="H21:H29" si="4">IFERROR(B21-E21, "NA")</f>
        <v>-9330.31</v>
      </c>
      <c r="I21" s="8">
        <f>IFERROR(H21/H445, "NA")</f>
        <v>1.5492805964449079</v>
      </c>
      <c r="J21" s="9"/>
      <c r="K21" s="7">
        <v>0</v>
      </c>
      <c r="L21" s="8">
        <f>IFERROR(K21/K445, "NA")</f>
        <v>0</v>
      </c>
      <c r="M21" s="9"/>
      <c r="N21" s="10">
        <f t="shared" ref="N21:N29" si="5">IFERROR(B21-K21, "NA")</f>
        <v>0</v>
      </c>
      <c r="O21" s="8">
        <f>IFERROR(N21/N445, "NA")</f>
        <v>0</v>
      </c>
      <c r="P21" s="9"/>
      <c r="Q21" s="7">
        <v>0</v>
      </c>
      <c r="R21" s="8">
        <f>IFERROR(Q21/Q445, "NA")</f>
        <v>0</v>
      </c>
      <c r="S21" s="9"/>
      <c r="T21" s="7">
        <v>44102.17</v>
      </c>
      <c r="U21" s="8">
        <f>IFERROR(T21/T445, "NA")</f>
        <v>9.9999993197614101E-2</v>
      </c>
      <c r="V21" s="9"/>
      <c r="W21" s="10">
        <f t="shared" ref="W21:W29" si="6">IFERROR(Q21-T21, "NA")</f>
        <v>-44102.17</v>
      </c>
      <c r="X21" s="8">
        <f>IFERROR(W21/W445, "NA")</f>
        <v>-6.9770102213707412</v>
      </c>
      <c r="Y21" s="9"/>
      <c r="Z21" s="7">
        <v>0</v>
      </c>
      <c r="AA21" s="8">
        <f>IFERROR(Z21/Z445, "NA")</f>
        <v>0</v>
      </c>
      <c r="AB21" s="9"/>
      <c r="AC21" s="10">
        <f t="shared" ref="AC21:AC29" si="7">IFERROR(Q21-Z21, "NA")</f>
        <v>0</v>
      </c>
      <c r="AD21" s="8">
        <f>IFERROR(AC21/AC445,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IFERROR(B22/B445, "NA")</f>
        <v>0</v>
      </c>
      <c r="D22" s="9"/>
      <c r="E22" s="7">
        <v>0</v>
      </c>
      <c r="F22" s="8">
        <f>IFERROR(E22/E445, "NA")</f>
        <v>0</v>
      </c>
      <c r="G22" s="9"/>
      <c r="H22" s="10">
        <f t="shared" si="4"/>
        <v>0</v>
      </c>
      <c r="I22" s="8">
        <f>IFERROR(H22/H445, "NA")</f>
        <v>0</v>
      </c>
      <c r="J22" s="9"/>
      <c r="K22" s="7">
        <v>6218.3</v>
      </c>
      <c r="L22" s="8">
        <f>IFERROR(K22/K445, "NA")</f>
        <v>7.2894282716999201E-2</v>
      </c>
      <c r="M22" s="9"/>
      <c r="N22" s="10">
        <f t="shared" si="5"/>
        <v>-6218.3</v>
      </c>
      <c r="O22" s="8">
        <f>IFERROR(N22/N445, "NA")</f>
        <v>-3.1484106811944992</v>
      </c>
      <c r="P22" s="9"/>
      <c r="Q22" s="7">
        <v>1956.45</v>
      </c>
      <c r="R22" s="8">
        <f>IFERROR(Q22/Q445, "NA")</f>
        <v>4.3734916489099633E-3</v>
      </c>
      <c r="S22" s="9"/>
      <c r="T22" s="7">
        <v>0</v>
      </c>
      <c r="U22" s="8">
        <f>IFERROR(T22/T445, "NA")</f>
        <v>0</v>
      </c>
      <c r="V22" s="9"/>
      <c r="W22" s="10">
        <f t="shared" si="6"/>
        <v>1956.45</v>
      </c>
      <c r="X22" s="8">
        <f>IFERROR(W22/W445, "NA")</f>
        <v>0.30951247178088487</v>
      </c>
      <c r="Y22" s="9"/>
      <c r="Z22" s="7">
        <v>32706.15</v>
      </c>
      <c r="AA22" s="8">
        <f>IFERROR(Z22/Z445, "NA")</f>
        <v>7.9672204922421788E-2</v>
      </c>
      <c r="AB22" s="9"/>
      <c r="AC22" s="10">
        <f t="shared" si="7"/>
        <v>-30749.7</v>
      </c>
      <c r="AD22" s="8">
        <f>IFERROR(AC22/AC445, "NA")</f>
        <v>-0.83482086741313477</v>
      </c>
    </row>
    <row r="23" spans="1:30" ht="16.5" customHeight="1" x14ac:dyDescent="0.45">
      <c r="A23" s="12" t="s">
        <v>24</v>
      </c>
      <c r="B23" s="7">
        <v>5978.35</v>
      </c>
      <c r="C23" s="8">
        <f>IFERROR(B23/B445, "NA")</f>
        <v>6.8495599088871678E-2</v>
      </c>
      <c r="D23" s="9"/>
      <c r="E23" s="7">
        <v>0</v>
      </c>
      <c r="F23" s="8">
        <f>IFERROR(E23/E445, "NA")</f>
        <v>0</v>
      </c>
      <c r="G23" s="9"/>
      <c r="H23" s="10">
        <f t="shared" si="4"/>
        <v>5978.35</v>
      </c>
      <c r="I23" s="8">
        <f>IFERROR(H23/H445, "NA")</f>
        <v>-0.99269388195637831</v>
      </c>
      <c r="J23" s="9"/>
      <c r="K23" s="7">
        <v>0</v>
      </c>
      <c r="L23" s="8">
        <f>IFERROR(K23/K445, "NA")</f>
        <v>0</v>
      </c>
      <c r="M23" s="9"/>
      <c r="N23" s="10">
        <f t="shared" si="5"/>
        <v>5978.35</v>
      </c>
      <c r="O23" s="8">
        <f>IFERROR(N23/N445, "NA")</f>
        <v>3.02692070114326</v>
      </c>
      <c r="P23" s="9"/>
      <c r="Q23" s="7">
        <v>25033.32</v>
      </c>
      <c r="R23" s="8">
        <f>IFERROR(Q23/Q445, "NA")</f>
        <v>5.5960037805459259E-2</v>
      </c>
      <c r="S23" s="9"/>
      <c r="T23" s="7">
        <v>0</v>
      </c>
      <c r="U23" s="8">
        <f>IFERROR(T23/T445, "NA")</f>
        <v>0</v>
      </c>
      <c r="V23" s="9"/>
      <c r="W23" s="10">
        <f t="shared" si="6"/>
        <v>25033.32</v>
      </c>
      <c r="X23" s="8">
        <f>IFERROR(W23/W445, "NA")</f>
        <v>3.9602978609634083</v>
      </c>
      <c r="Y23" s="9"/>
      <c r="Z23" s="7">
        <v>0</v>
      </c>
      <c r="AA23" s="8">
        <f>IFERROR(Z23/Z445, "NA")</f>
        <v>0</v>
      </c>
      <c r="AB23" s="9"/>
      <c r="AC23" s="10">
        <f t="shared" si="7"/>
        <v>25033.32</v>
      </c>
      <c r="AD23" s="8">
        <f>IFERROR(AC23/AC445, "NA")</f>
        <v>0.67962737576726184</v>
      </c>
    </row>
    <row r="24" spans="1:30" ht="16.5" customHeight="1" x14ac:dyDescent="0.45">
      <c r="A24" s="12" t="s">
        <v>25</v>
      </c>
      <c r="B24" s="7">
        <v>726.97</v>
      </c>
      <c r="C24" s="8">
        <f>IFERROR(B24/B445, "NA")</f>
        <v>8.3290950964123953E-3</v>
      </c>
      <c r="D24" s="9"/>
      <c r="E24" s="7">
        <v>0</v>
      </c>
      <c r="F24" s="8">
        <f>IFERROR(E24/E445, "NA")</f>
        <v>0</v>
      </c>
      <c r="G24" s="9"/>
      <c r="H24" s="10">
        <f t="shared" si="4"/>
        <v>726.97</v>
      </c>
      <c r="I24" s="8">
        <f>IFERROR(H24/H445, "NA")</f>
        <v>-0.12071201441297821</v>
      </c>
      <c r="J24" s="9"/>
      <c r="K24" s="7">
        <v>396.93</v>
      </c>
      <c r="L24" s="8">
        <f>IFERROR(K24/K445, "NA")</f>
        <v>4.6530285831913052E-3</v>
      </c>
      <c r="M24" s="9"/>
      <c r="N24" s="10">
        <f t="shared" si="5"/>
        <v>330.04</v>
      </c>
      <c r="O24" s="8">
        <f>IFERROR(N24/N445, "NA")</f>
        <v>0.16710378418883498</v>
      </c>
      <c r="P24" s="9"/>
      <c r="Q24" s="7">
        <v>3460.87</v>
      </c>
      <c r="R24" s="8">
        <f>IFERROR(Q24/Q445, "NA")</f>
        <v>7.7365054271578753E-3</v>
      </c>
      <c r="S24" s="9"/>
      <c r="T24" s="7">
        <v>0</v>
      </c>
      <c r="U24" s="8">
        <f>IFERROR(T24/T445, "NA")</f>
        <v>0</v>
      </c>
      <c r="V24" s="9"/>
      <c r="W24" s="10">
        <f t="shared" si="6"/>
        <v>3460.87</v>
      </c>
      <c r="X24" s="8">
        <f>IFERROR(W24/W445, "NA")</f>
        <v>0.5475133165745667</v>
      </c>
      <c r="Y24" s="9"/>
      <c r="Z24" s="7">
        <v>3059.13</v>
      </c>
      <c r="AA24" s="8">
        <f>IFERROR(Z24/Z445, "NA")</f>
        <v>7.4520428801411404E-3</v>
      </c>
      <c r="AB24" s="9"/>
      <c r="AC24" s="10">
        <f t="shared" si="7"/>
        <v>401.73999999999978</v>
      </c>
      <c r="AD24" s="8">
        <f>IFERROR(AC24/AC445, "NA")</f>
        <v>1.0906803489938196E-2</v>
      </c>
    </row>
    <row r="25" spans="1:30" ht="16.5" customHeight="1" x14ac:dyDescent="0.45">
      <c r="A25" s="12" t="s">
        <v>26</v>
      </c>
      <c r="B25" s="7">
        <v>104.08</v>
      </c>
      <c r="C25" s="8">
        <f>IFERROR(B25/B445, "NA")</f>
        <v>1.19247316620301E-3</v>
      </c>
      <c r="D25" s="9"/>
      <c r="E25" s="7">
        <v>0</v>
      </c>
      <c r="F25" s="8">
        <f>IFERROR(E25/E445, "NA")</f>
        <v>0</v>
      </c>
      <c r="G25" s="9"/>
      <c r="H25" s="10">
        <f t="shared" si="4"/>
        <v>104.08</v>
      </c>
      <c r="I25" s="8">
        <f>IFERROR(H25/H445, "NA")</f>
        <v>-1.7282290135910382E-2</v>
      </c>
      <c r="J25" s="9"/>
      <c r="K25" s="7">
        <v>0</v>
      </c>
      <c r="L25" s="8">
        <f>IFERROR(K25/K445, "NA")</f>
        <v>0</v>
      </c>
      <c r="M25" s="9"/>
      <c r="N25" s="10">
        <f t="shared" si="5"/>
        <v>104.08</v>
      </c>
      <c r="O25" s="8">
        <f>IFERROR(N25/N445, "NA")</f>
        <v>5.2697133251648112E-2</v>
      </c>
      <c r="P25" s="9"/>
      <c r="Q25" s="7">
        <v>951.06</v>
      </c>
      <c r="R25" s="8">
        <f>IFERROR(Q25/Q445, "NA")</f>
        <v>2.1260205819787418E-3</v>
      </c>
      <c r="S25" s="9"/>
      <c r="T25" s="7">
        <v>0</v>
      </c>
      <c r="U25" s="8">
        <f>IFERROR(T25/T445, "NA")</f>
        <v>0</v>
      </c>
      <c r="V25" s="9"/>
      <c r="W25" s="10">
        <f t="shared" si="6"/>
        <v>951.06</v>
      </c>
      <c r="X25" s="8">
        <f>IFERROR(W25/W445, "NA")</f>
        <v>0.15045870398524283</v>
      </c>
      <c r="Y25" s="9"/>
      <c r="Z25" s="7">
        <v>0</v>
      </c>
      <c r="AA25" s="8">
        <f>IFERROR(Z25/Z445, "NA")</f>
        <v>0</v>
      </c>
      <c r="AB25" s="9"/>
      <c r="AC25" s="10">
        <f t="shared" si="7"/>
        <v>951.06</v>
      </c>
      <c r="AD25" s="8">
        <f>IFERROR(AC25/AC445, "NA")</f>
        <v>2.5820243259671992E-2</v>
      </c>
    </row>
    <row r="26" spans="1:30" ht="16.5" customHeight="1" x14ac:dyDescent="0.45">
      <c r="A26" s="12" t="s">
        <v>27</v>
      </c>
      <c r="B26" s="7">
        <v>1655.24</v>
      </c>
      <c r="C26" s="8">
        <f>IFERROR(B26/B445, "NA")</f>
        <v>1.8964539619772004E-2</v>
      </c>
      <c r="D26" s="9"/>
      <c r="E26" s="7">
        <v>0</v>
      </c>
      <c r="F26" s="8">
        <f>IFERROR(E26/E445, "NA")</f>
        <v>0</v>
      </c>
      <c r="G26" s="9"/>
      <c r="H26" s="10">
        <f t="shared" si="4"/>
        <v>1655.24</v>
      </c>
      <c r="I26" s="8">
        <f>IFERROR(H26/H445, "NA")</f>
        <v>-0.27484951887552173</v>
      </c>
      <c r="J26" s="9"/>
      <c r="K26" s="7">
        <v>0</v>
      </c>
      <c r="L26" s="8">
        <f>IFERROR(K26/K445, "NA")</f>
        <v>0</v>
      </c>
      <c r="M26" s="9"/>
      <c r="N26" s="10">
        <f t="shared" si="5"/>
        <v>1655.24</v>
      </c>
      <c r="O26" s="8">
        <f>IFERROR(N26/N445, "NA")</f>
        <v>0.8380707421546697</v>
      </c>
      <c r="P26" s="9"/>
      <c r="Q26" s="7">
        <v>8008.7</v>
      </c>
      <c r="R26" s="8">
        <f>IFERROR(Q26/Q445, "NA")</f>
        <v>1.7902825305336309E-2</v>
      </c>
      <c r="S26" s="9"/>
      <c r="T26" s="7">
        <v>0</v>
      </c>
      <c r="U26" s="8">
        <f>IFERROR(T26/T445, "NA")</f>
        <v>0</v>
      </c>
      <c r="V26" s="9"/>
      <c r="W26" s="10">
        <f t="shared" si="6"/>
        <v>8008.7</v>
      </c>
      <c r="X26" s="8">
        <f>IFERROR(W26/W445, "NA")</f>
        <v>1.2669848617401787</v>
      </c>
      <c r="Y26" s="9"/>
      <c r="Z26" s="7">
        <v>0</v>
      </c>
      <c r="AA26" s="8">
        <f>IFERROR(Z26/Z445, "NA")</f>
        <v>0</v>
      </c>
      <c r="AB26" s="9"/>
      <c r="AC26" s="10">
        <f t="shared" si="7"/>
        <v>8008.7</v>
      </c>
      <c r="AD26" s="8">
        <f>IFERROR(AC26/AC445, "NA")</f>
        <v>0.21742748322265165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IFERROR(B27/B445, "NA")</f>
        <v>0</v>
      </c>
      <c r="D27" s="9"/>
      <c r="E27" s="7">
        <v>0</v>
      </c>
      <c r="F27" s="8">
        <f>IFERROR(E27/E445, "NA")</f>
        <v>0</v>
      </c>
      <c r="G27" s="9"/>
      <c r="H27" s="10">
        <f t="shared" si="4"/>
        <v>0</v>
      </c>
      <c r="I27" s="8">
        <f>IFERROR(H27/H445, "NA")</f>
        <v>0</v>
      </c>
      <c r="J27" s="9"/>
      <c r="K27" s="7">
        <v>0</v>
      </c>
      <c r="L27" s="8">
        <f>IFERROR(K27/K445, "NA")</f>
        <v>0</v>
      </c>
      <c r="M27" s="9"/>
      <c r="N27" s="10">
        <f t="shared" si="5"/>
        <v>0</v>
      </c>
      <c r="O27" s="8">
        <f>IFERROR(N27/N445, "NA")</f>
        <v>0</v>
      </c>
      <c r="P27" s="9"/>
      <c r="Q27" s="7">
        <v>0</v>
      </c>
      <c r="R27" s="8">
        <f>IFERROR(Q27/Q445, "NA")</f>
        <v>0</v>
      </c>
      <c r="S27" s="9"/>
      <c r="T27" s="7">
        <v>0</v>
      </c>
      <c r="U27" s="8">
        <f>IFERROR(T27/T445, "NA")</f>
        <v>0</v>
      </c>
      <c r="V27" s="9"/>
      <c r="W27" s="10">
        <f t="shared" si="6"/>
        <v>0</v>
      </c>
      <c r="X27" s="8">
        <f>IFERROR(W27/W445, "NA")</f>
        <v>0</v>
      </c>
      <c r="Y27" s="9"/>
      <c r="Z27" s="7">
        <v>0</v>
      </c>
      <c r="AA27" s="8">
        <f>IFERROR(Z27/Z445, "NA")</f>
        <v>0</v>
      </c>
      <c r="AB27" s="9"/>
      <c r="AC27" s="10">
        <f t="shared" si="7"/>
        <v>0</v>
      </c>
      <c r="AD27" s="8">
        <f>IFERROR(AC27/AC445, "NA")</f>
        <v>0</v>
      </c>
    </row>
    <row r="28" spans="1:30" ht="16.5" customHeight="1" x14ac:dyDescent="0.45">
      <c r="A28" s="12" t="s">
        <v>29</v>
      </c>
      <c r="B28" s="7">
        <v>886.52</v>
      </c>
      <c r="C28" s="8">
        <f>IFERROR(B28/B445, "NA")</f>
        <v>1.0157103298446313E-2</v>
      </c>
      <c r="D28" s="9"/>
      <c r="E28" s="7">
        <v>0</v>
      </c>
      <c r="F28" s="8">
        <f>IFERROR(E28/E445, "NA")</f>
        <v>0</v>
      </c>
      <c r="G28" s="9"/>
      <c r="H28" s="10">
        <f t="shared" si="4"/>
        <v>886.52</v>
      </c>
      <c r="I28" s="8">
        <f>IFERROR(H28/H445, "NA")</f>
        <v>-0.14720499472797149</v>
      </c>
      <c r="J28" s="9"/>
      <c r="K28" s="7">
        <v>910.48</v>
      </c>
      <c r="L28" s="8">
        <f>IFERROR(K28/K445, "NA")</f>
        <v>1.0673140010641725E-2</v>
      </c>
      <c r="M28" s="9"/>
      <c r="N28" s="10">
        <f t="shared" si="5"/>
        <v>-23.960000000000036</v>
      </c>
      <c r="O28" s="8">
        <f>IFERROR(N28/N445, "NA")</f>
        <v>-1.2131277024495492E-2</v>
      </c>
      <c r="P28" s="9"/>
      <c r="Q28" s="7">
        <v>4133.1000000000004</v>
      </c>
      <c r="R28" s="8">
        <f>IFERROR(Q28/Q445, "NA")</f>
        <v>9.2392232533976184E-3</v>
      </c>
      <c r="S28" s="9"/>
      <c r="T28" s="7">
        <v>0</v>
      </c>
      <c r="U28" s="8">
        <f>IFERROR(T28/T445, "NA")</f>
        <v>0</v>
      </c>
      <c r="V28" s="9"/>
      <c r="W28" s="10">
        <f t="shared" si="6"/>
        <v>4133.1000000000004</v>
      </c>
      <c r="X28" s="8">
        <f>IFERROR(W28/W445, "NA")</f>
        <v>0.65386081786786032</v>
      </c>
      <c r="Y28" s="9"/>
      <c r="Z28" s="7">
        <v>4127.1099999999997</v>
      </c>
      <c r="AA28" s="8">
        <f>IFERROR(Z28/Z445, "NA")</f>
        <v>1.0053642928237539E-2</v>
      </c>
      <c r="AB28" s="9"/>
      <c r="AC28" s="10">
        <f t="shared" si="7"/>
        <v>5.9900000000006912</v>
      </c>
      <c r="AD28" s="8">
        <f>IFERROR(AC28/AC445, "NA")</f>
        <v>1.6262197666335783E-4</v>
      </c>
    </row>
    <row r="29" spans="1:30" ht="16.5" customHeight="1" x14ac:dyDescent="0.45">
      <c r="A29" s="13" t="s">
        <v>30</v>
      </c>
      <c r="B29" s="14">
        <f>IFERROR(B21+B22+B23+B24+B25+B26+B27+B28, "NA")</f>
        <v>9351.1600000000017</v>
      </c>
      <c r="C29" s="15">
        <f>IFERROR(B29/B445, "NA")</f>
        <v>0.10713881026970543</v>
      </c>
      <c r="D29" s="2"/>
      <c r="E29" s="14">
        <f>IFERROR(E21+E22+E23+E24+E25+E26+E27+E28, "NA")</f>
        <v>9330.31</v>
      </c>
      <c r="F29" s="15">
        <f>IFERROR(E29/E445, "NA")</f>
        <v>9.9999957128988362E-2</v>
      </c>
      <c r="G29" s="2"/>
      <c r="H29" s="14">
        <f t="shared" si="4"/>
        <v>20.850000000002183</v>
      </c>
      <c r="I29" s="15">
        <f>IFERROR(H29/H445, "NA")</f>
        <v>-3.4621036638525097E-3</v>
      </c>
      <c r="J29" s="2"/>
      <c r="K29" s="14">
        <f>IFERROR(K21+K22+K23+K24+K25+K26+K27+K28, "NA")</f>
        <v>7525.7100000000009</v>
      </c>
      <c r="L29" s="15">
        <f>IFERROR(K29/K445, "NA")</f>
        <v>8.822045131083224E-2</v>
      </c>
      <c r="M29" s="2"/>
      <c r="N29" s="14">
        <f t="shared" si="5"/>
        <v>1825.4500000000007</v>
      </c>
      <c r="O29" s="15">
        <f>IFERROR(N29/N445, "NA")</f>
        <v>0.92425040251941859</v>
      </c>
      <c r="P29" s="2"/>
      <c r="Q29" s="14">
        <f>IFERROR(Q21+Q22+Q23+Q24+Q25+Q26+Q27+Q28, "NA")</f>
        <v>43543.5</v>
      </c>
      <c r="R29" s="15">
        <f>IFERROR(Q29/Q445, "NA")</f>
        <v>9.7338104022239774E-2</v>
      </c>
      <c r="S29" s="2"/>
      <c r="T29" s="14">
        <f>IFERROR(T21+T22+T23+T24+T25+T26+T27+T28, "NA")</f>
        <v>44102.17</v>
      </c>
      <c r="U29" s="15">
        <f>IFERROR(T29/T445, "NA")</f>
        <v>9.9999993197614101E-2</v>
      </c>
      <c r="V29" s="2"/>
      <c r="W29" s="14">
        <f t="shared" si="6"/>
        <v>-558.66999999999825</v>
      </c>
      <c r="X29" s="15">
        <f>IFERROR(W29/W445, "NA")</f>
        <v>-8.8382188458599201E-2</v>
      </c>
      <c r="Y29" s="2"/>
      <c r="Z29" s="14">
        <f>IFERROR(Z21+Z22+Z23+Z24+Z25+Z26+Z27+Z28, "NA")</f>
        <v>39892.39</v>
      </c>
      <c r="AA29" s="15">
        <f>IFERROR(Z29/Z445, "NA")</f>
        <v>9.7177890730800465E-2</v>
      </c>
      <c r="AB29" s="2"/>
      <c r="AC29" s="14">
        <f t="shared" si="7"/>
        <v>3651.1100000000006</v>
      </c>
      <c r="AD29" s="15">
        <f>IFERROR(AC29/AC445, "NA")</f>
        <v>9.9123660303052405E-2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IFERROR(B31/B445, "NA")</f>
        <v>0</v>
      </c>
      <c r="D31" s="9"/>
      <c r="E31" s="7">
        <v>17727.599999999999</v>
      </c>
      <c r="F31" s="8">
        <f>IFERROR(E31/E445, "NA")</f>
        <v>0.19000003644035987</v>
      </c>
      <c r="G31" s="9"/>
      <c r="H31" s="10">
        <f t="shared" ref="H31:H40" si="8">IFERROR(B31-E31, "NA")</f>
        <v>-17727.599999999999</v>
      </c>
      <c r="I31" s="8">
        <f>IFERROR(H31/H445, "NA")</f>
        <v>2.9436349597748355</v>
      </c>
      <c r="J31" s="9"/>
      <c r="K31" s="7">
        <v>0</v>
      </c>
      <c r="L31" s="8">
        <f>IFERROR(K31/K445, "NA")</f>
        <v>0</v>
      </c>
      <c r="M31" s="9"/>
      <c r="N31" s="10">
        <f t="shared" ref="N31:N40" si="9">IFERROR(B31-K31, "NA")</f>
        <v>0</v>
      </c>
      <c r="O31" s="8">
        <f>IFERROR(N31/N445, "NA")</f>
        <v>0</v>
      </c>
      <c r="P31" s="9"/>
      <c r="Q31" s="7">
        <v>0</v>
      </c>
      <c r="R31" s="8">
        <f>IFERROR(Q31/Q445, "NA")</f>
        <v>0</v>
      </c>
      <c r="S31" s="9"/>
      <c r="T31" s="7">
        <v>83794.13</v>
      </c>
      <c r="U31" s="8">
        <f>IFERROR(T31/T445, "NA")</f>
        <v>0.19000000294770059</v>
      </c>
      <c r="V31" s="9"/>
      <c r="W31" s="10">
        <f t="shared" ref="W31:W40" si="10">IFERROR(Q31-T31, "NA")</f>
        <v>-83794.13</v>
      </c>
      <c r="X31" s="8">
        <f>IFERROR(W31/W445, "NA")</f>
        <v>-13.256320528011857</v>
      </c>
      <c r="Y31" s="9"/>
      <c r="Z31" s="7">
        <v>0</v>
      </c>
      <c r="AA31" s="8">
        <f>IFERROR(Z31/Z445, "NA")</f>
        <v>0</v>
      </c>
      <c r="AB31" s="9"/>
      <c r="AC31" s="10">
        <f t="shared" ref="AC31:AC40" si="11">IFERROR(Q31-Z31, "NA")</f>
        <v>0</v>
      </c>
      <c r="AD31" s="8">
        <f>IFERROR(AC31/AC445,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IFERROR(B32/B445, "NA")</f>
        <v>0</v>
      </c>
      <c r="D32" s="9"/>
      <c r="E32" s="7">
        <v>0</v>
      </c>
      <c r="F32" s="8">
        <f>IFERROR(E32/E445, "NA")</f>
        <v>0</v>
      </c>
      <c r="G32" s="9"/>
      <c r="H32" s="10">
        <f t="shared" si="8"/>
        <v>0</v>
      </c>
      <c r="I32" s="8">
        <f>IFERROR(H32/H445, "NA")</f>
        <v>0</v>
      </c>
      <c r="J32" s="9"/>
      <c r="K32" s="7">
        <v>0</v>
      </c>
      <c r="L32" s="8">
        <f>IFERROR(K32/K445, "NA")</f>
        <v>0</v>
      </c>
      <c r="M32" s="9"/>
      <c r="N32" s="10">
        <f t="shared" si="9"/>
        <v>0</v>
      </c>
      <c r="O32" s="8">
        <f>IFERROR(N32/N445, "NA")</f>
        <v>0</v>
      </c>
      <c r="P32" s="9"/>
      <c r="Q32" s="7">
        <v>0</v>
      </c>
      <c r="R32" s="8">
        <f>IFERROR(Q32/Q445, "NA")</f>
        <v>0</v>
      </c>
      <c r="S32" s="9"/>
      <c r="T32" s="7">
        <v>0</v>
      </c>
      <c r="U32" s="8">
        <f>IFERROR(T32/T445, "NA")</f>
        <v>0</v>
      </c>
      <c r="V32" s="9"/>
      <c r="W32" s="10">
        <f t="shared" si="10"/>
        <v>0</v>
      </c>
      <c r="X32" s="8">
        <f>IFERROR(W32/W445, "NA")</f>
        <v>0</v>
      </c>
      <c r="Y32" s="9"/>
      <c r="Z32" s="7">
        <v>0</v>
      </c>
      <c r="AA32" s="8">
        <f>IFERROR(Z32/Z445, "NA")</f>
        <v>0</v>
      </c>
      <c r="AB32" s="9"/>
      <c r="AC32" s="10">
        <f t="shared" si="11"/>
        <v>0</v>
      </c>
      <c r="AD32" s="8">
        <f>IFERROR(AC32/AC445, "NA")</f>
        <v>0</v>
      </c>
    </row>
    <row r="33" spans="1:30" ht="16.5" customHeight="1" x14ac:dyDescent="0.45">
      <c r="A33" s="12" t="s">
        <v>33</v>
      </c>
      <c r="B33" s="7">
        <v>4981.07</v>
      </c>
      <c r="C33" s="8">
        <f>IFERROR(B33/B445, "NA")</f>
        <v>5.7069488028236227E-2</v>
      </c>
      <c r="D33" s="9"/>
      <c r="E33" s="7">
        <v>0</v>
      </c>
      <c r="F33" s="8">
        <f>IFERROR(E33/E445, "NA")</f>
        <v>0</v>
      </c>
      <c r="G33" s="9"/>
      <c r="H33" s="10">
        <f t="shared" si="8"/>
        <v>4981.07</v>
      </c>
      <c r="I33" s="8">
        <f>IFERROR(H33/H445, "NA")</f>
        <v>-0.82709739553496475</v>
      </c>
      <c r="J33" s="9"/>
      <c r="K33" s="7">
        <v>3001.93</v>
      </c>
      <c r="L33" s="8">
        <f>IFERROR(K33/K445, "NA")</f>
        <v>3.5190250408735732E-2</v>
      </c>
      <c r="M33" s="9"/>
      <c r="N33" s="10">
        <f t="shared" si="9"/>
        <v>1979.1399999999999</v>
      </c>
      <c r="O33" s="8">
        <f>IFERROR(N33/N445, "NA")</f>
        <v>1.0020657600275447</v>
      </c>
      <c r="P33" s="9"/>
      <c r="Q33" s="7">
        <v>27691.26</v>
      </c>
      <c r="R33" s="8">
        <f>IFERROR(Q33/Q445, "NA")</f>
        <v>6.1901655732471826E-2</v>
      </c>
      <c r="S33" s="9"/>
      <c r="T33" s="7">
        <v>0</v>
      </c>
      <c r="U33" s="8">
        <f>IFERROR(T33/T445, "NA")</f>
        <v>0</v>
      </c>
      <c r="V33" s="9"/>
      <c r="W33" s="10">
        <f t="shared" si="10"/>
        <v>27691.26</v>
      </c>
      <c r="X33" s="8">
        <f>IFERROR(W33/W445, "NA")</f>
        <v>4.3807867971719929</v>
      </c>
      <c r="Y33" s="9"/>
      <c r="Z33" s="7">
        <v>26394.31</v>
      </c>
      <c r="AA33" s="8">
        <f>IFERROR(Z33/Z445, "NA")</f>
        <v>6.4296558142915836E-2</v>
      </c>
      <c r="AB33" s="9"/>
      <c r="AC33" s="10">
        <f t="shared" si="11"/>
        <v>1296.9499999999971</v>
      </c>
      <c r="AD33" s="8">
        <f>IFERROR(AC33/AC445, "NA")</f>
        <v>3.5210780072373472E-2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IFERROR(B34/B445, "NA")</f>
        <v>0</v>
      </c>
      <c r="D34" s="9"/>
      <c r="E34" s="7">
        <v>0</v>
      </c>
      <c r="F34" s="8">
        <f>IFERROR(E34/E445, "NA")</f>
        <v>0</v>
      </c>
      <c r="G34" s="9"/>
      <c r="H34" s="10">
        <f t="shared" si="8"/>
        <v>0</v>
      </c>
      <c r="I34" s="8">
        <f>IFERROR(H34/H445, "NA")</f>
        <v>0</v>
      </c>
      <c r="J34" s="9"/>
      <c r="K34" s="7">
        <v>0</v>
      </c>
      <c r="L34" s="8">
        <f>IFERROR(K34/K445, "NA")</f>
        <v>0</v>
      </c>
      <c r="M34" s="9"/>
      <c r="N34" s="10">
        <f t="shared" si="9"/>
        <v>0</v>
      </c>
      <c r="O34" s="8">
        <f>IFERROR(N34/N445, "NA")</f>
        <v>0</v>
      </c>
      <c r="P34" s="9"/>
      <c r="Q34" s="7">
        <v>0</v>
      </c>
      <c r="R34" s="8">
        <f>IFERROR(Q34/Q445, "NA")</f>
        <v>0</v>
      </c>
      <c r="S34" s="9"/>
      <c r="T34" s="7">
        <v>0</v>
      </c>
      <c r="U34" s="8">
        <f>IFERROR(T34/T445, "NA")</f>
        <v>0</v>
      </c>
      <c r="V34" s="9"/>
      <c r="W34" s="10">
        <f t="shared" si="10"/>
        <v>0</v>
      </c>
      <c r="X34" s="8">
        <f>IFERROR(W34/W445, "NA")</f>
        <v>0</v>
      </c>
      <c r="Y34" s="9"/>
      <c r="Z34" s="7">
        <v>0</v>
      </c>
      <c r="AA34" s="8">
        <f>IFERROR(Z34/Z445, "NA")</f>
        <v>0</v>
      </c>
      <c r="AB34" s="9"/>
      <c r="AC34" s="10">
        <f t="shared" si="11"/>
        <v>0</v>
      </c>
      <c r="AD34" s="8">
        <f>IFERROR(AC34/AC445, "NA")</f>
        <v>0</v>
      </c>
    </row>
    <row r="35" spans="1:30" ht="16.5" customHeight="1" x14ac:dyDescent="0.45">
      <c r="A35" s="12" t="s">
        <v>35</v>
      </c>
      <c r="B35" s="7">
        <v>317.83999999999997</v>
      </c>
      <c r="C35" s="8">
        <f>IFERROR(B35/B445, "NA")</f>
        <v>3.641580237759076E-3</v>
      </c>
      <c r="D35" s="9"/>
      <c r="E35" s="7">
        <v>0</v>
      </c>
      <c r="F35" s="8">
        <f>IFERROR(E35/E445, "NA")</f>
        <v>0</v>
      </c>
      <c r="G35" s="9"/>
      <c r="H35" s="10">
        <f t="shared" si="8"/>
        <v>317.83999999999997</v>
      </c>
      <c r="I35" s="8">
        <f>IFERROR(H35/H445, "NA")</f>
        <v>-5.2776739976919257E-2</v>
      </c>
      <c r="J35" s="9"/>
      <c r="K35" s="7">
        <v>395.5</v>
      </c>
      <c r="L35" s="8">
        <f>IFERROR(K35/K445, "NA")</f>
        <v>4.6362653481776669E-3</v>
      </c>
      <c r="M35" s="9"/>
      <c r="N35" s="10">
        <f t="shared" si="9"/>
        <v>-77.660000000000025</v>
      </c>
      <c r="O35" s="8">
        <f>IFERROR(N35/N445, "NA")</f>
        <v>-3.9320324445839681E-2</v>
      </c>
      <c r="P35" s="9"/>
      <c r="Q35" s="7">
        <v>2167.9499999999998</v>
      </c>
      <c r="R35" s="8">
        <f>IFERROR(Q35/Q445, "NA")</f>
        <v>4.8462834318558383E-3</v>
      </c>
      <c r="S35" s="9"/>
      <c r="T35" s="7">
        <v>0</v>
      </c>
      <c r="U35" s="8">
        <f>IFERROR(T35/T445, "NA")</f>
        <v>0</v>
      </c>
      <c r="V35" s="9"/>
      <c r="W35" s="10">
        <f t="shared" si="10"/>
        <v>2167.9499999999998</v>
      </c>
      <c r="X35" s="8">
        <f>IFERROR(W35/W445, "NA")</f>
        <v>0.34297199682965029</v>
      </c>
      <c r="Y35" s="9"/>
      <c r="Z35" s="7">
        <v>2688.16</v>
      </c>
      <c r="AA35" s="8">
        <f>IFERROR(Z35/Z445, "NA")</f>
        <v>6.5483596933377155E-3</v>
      </c>
      <c r="AB35" s="9"/>
      <c r="AC35" s="10">
        <f t="shared" si="11"/>
        <v>-520.21</v>
      </c>
      <c r="AD35" s="8">
        <f>IFERROR(AC35/AC445, "NA")</f>
        <v>-1.4123134971625312E-2</v>
      </c>
    </row>
    <row r="36" spans="1:30" ht="16.5" customHeight="1" x14ac:dyDescent="0.45">
      <c r="A36" s="12" t="s">
        <v>36</v>
      </c>
      <c r="B36" s="7">
        <v>9046.89</v>
      </c>
      <c r="C36" s="8">
        <f>IFERROR(B36/B445, "NA")</f>
        <v>0.1036527052516367</v>
      </c>
      <c r="D36" s="9"/>
      <c r="E36" s="7">
        <v>0</v>
      </c>
      <c r="F36" s="8">
        <f>IFERROR(E36/E445, "NA")</f>
        <v>0</v>
      </c>
      <c r="G36" s="9"/>
      <c r="H36" s="10">
        <f t="shared" si="8"/>
        <v>9046.89</v>
      </c>
      <c r="I36" s="8">
        <f>IFERROR(H36/H445, "NA")</f>
        <v>-1.5022192333557483</v>
      </c>
      <c r="J36" s="9"/>
      <c r="K36" s="7">
        <v>7704.16</v>
      </c>
      <c r="L36" s="8">
        <f>IFERROR(K36/K445, "NA")</f>
        <v>9.0312338924946778E-2</v>
      </c>
      <c r="M36" s="9"/>
      <c r="N36" s="10">
        <f t="shared" si="9"/>
        <v>1342.7299999999996</v>
      </c>
      <c r="O36" s="8">
        <f>IFERROR(N36/N445, "NA")</f>
        <v>0.67984263769202002</v>
      </c>
      <c r="P36" s="9"/>
      <c r="Q36" s="7">
        <v>53510.98</v>
      </c>
      <c r="R36" s="8">
        <f>IFERROR(Q36/Q445, "NA")</f>
        <v>0.11961962951007596</v>
      </c>
      <c r="S36" s="9"/>
      <c r="T36" s="7">
        <v>0</v>
      </c>
      <c r="U36" s="8">
        <f>IFERROR(T36/T445, "NA")</f>
        <v>0</v>
      </c>
      <c r="V36" s="9"/>
      <c r="W36" s="10">
        <f t="shared" si="10"/>
        <v>53510.98</v>
      </c>
      <c r="X36" s="8">
        <f>IFERROR(W36/W445, "NA")</f>
        <v>8.4654939749124658</v>
      </c>
      <c r="Y36" s="9"/>
      <c r="Z36" s="7">
        <v>52835.75</v>
      </c>
      <c r="AA36" s="8">
        <f>IFERROR(Z36/Z445, "NA")</f>
        <v>0.12870792499972777</v>
      </c>
      <c r="AB36" s="9"/>
      <c r="AC36" s="10">
        <f t="shared" si="11"/>
        <v>675.2300000000032</v>
      </c>
      <c r="AD36" s="8">
        <f>IFERROR(AC36/AC445, "NA")</f>
        <v>1.8331759148979457E-2</v>
      </c>
    </row>
    <row r="37" spans="1:30" ht="16.5" customHeight="1" x14ac:dyDescent="0.45">
      <c r="A37" s="12" t="s">
        <v>37</v>
      </c>
      <c r="B37" s="7">
        <v>407.45</v>
      </c>
      <c r="C37" s="8">
        <f>IFERROR(B37/B445, "NA")</f>
        <v>4.6682666369083047E-3</v>
      </c>
      <c r="D37" s="9"/>
      <c r="E37" s="7">
        <v>0</v>
      </c>
      <c r="F37" s="8">
        <f>IFERROR(E37/E445, "NA")</f>
        <v>0</v>
      </c>
      <c r="G37" s="9"/>
      <c r="H37" s="10">
        <f t="shared" si="8"/>
        <v>407.45</v>
      </c>
      <c r="I37" s="8">
        <f>IFERROR(H37/H445, "NA")</f>
        <v>-6.7656313565302509E-2</v>
      </c>
      <c r="J37" s="9"/>
      <c r="K37" s="7">
        <v>0</v>
      </c>
      <c r="L37" s="8">
        <f>IFERROR(K37/K445, "NA")</f>
        <v>0</v>
      </c>
      <c r="M37" s="9"/>
      <c r="N37" s="10">
        <f t="shared" si="9"/>
        <v>407.45</v>
      </c>
      <c r="O37" s="8">
        <f>IFERROR(N37/N445, "NA")</f>
        <v>0.20629753020161437</v>
      </c>
      <c r="P37" s="9"/>
      <c r="Q37" s="7">
        <v>2227.48</v>
      </c>
      <c r="R37" s="8">
        <f>IFERROR(Q37/Q445, "NA")</f>
        <v>4.9793581119445757E-3</v>
      </c>
      <c r="S37" s="9"/>
      <c r="T37" s="7">
        <v>0</v>
      </c>
      <c r="U37" s="8">
        <f>IFERROR(T37/T445, "NA")</f>
        <v>0</v>
      </c>
      <c r="V37" s="9"/>
      <c r="W37" s="10">
        <f t="shared" si="10"/>
        <v>2227.48</v>
      </c>
      <c r="X37" s="8">
        <f>IFERROR(W37/W445, "NA")</f>
        <v>0.35238970617316334</v>
      </c>
      <c r="Y37" s="9"/>
      <c r="Z37" s="7">
        <v>0</v>
      </c>
      <c r="AA37" s="8">
        <f>IFERROR(Z37/Z445, "NA")</f>
        <v>0</v>
      </c>
      <c r="AB37" s="9"/>
      <c r="AC37" s="10">
        <f t="shared" si="11"/>
        <v>2227.48</v>
      </c>
      <c r="AD37" s="8">
        <f>IFERROR(AC37/AC445, "NA")</f>
        <v>6.0473656189992397E-2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IFERROR(B38/B445, "NA")</f>
        <v>0</v>
      </c>
      <c r="D38" s="9"/>
      <c r="E38" s="7">
        <v>0</v>
      </c>
      <c r="F38" s="8">
        <f>IFERROR(E38/E445, "NA")</f>
        <v>0</v>
      </c>
      <c r="G38" s="9"/>
      <c r="H38" s="10">
        <f t="shared" si="8"/>
        <v>0</v>
      </c>
      <c r="I38" s="8">
        <f>IFERROR(H38/H445, "NA")</f>
        <v>0</v>
      </c>
      <c r="J38" s="9"/>
      <c r="K38" s="7">
        <v>0</v>
      </c>
      <c r="L38" s="8">
        <f>IFERROR(K38/K445, "NA")</f>
        <v>0</v>
      </c>
      <c r="M38" s="9"/>
      <c r="N38" s="10">
        <f t="shared" si="9"/>
        <v>0</v>
      </c>
      <c r="O38" s="8">
        <f>IFERROR(N38/N445, "NA")</f>
        <v>0</v>
      </c>
      <c r="P38" s="9"/>
      <c r="Q38" s="7">
        <v>0</v>
      </c>
      <c r="R38" s="8">
        <f>IFERROR(Q38/Q445, "NA")</f>
        <v>0</v>
      </c>
      <c r="S38" s="9"/>
      <c r="T38" s="7">
        <v>0</v>
      </c>
      <c r="U38" s="8">
        <f>IFERROR(T38/T445, "NA")</f>
        <v>0</v>
      </c>
      <c r="V38" s="9"/>
      <c r="W38" s="10">
        <f t="shared" si="10"/>
        <v>0</v>
      </c>
      <c r="X38" s="8">
        <f>IFERROR(W38/W445, "NA")</f>
        <v>0</v>
      </c>
      <c r="Y38" s="9"/>
      <c r="Z38" s="7">
        <v>0</v>
      </c>
      <c r="AA38" s="8">
        <f>IFERROR(Z38/Z445, "NA")</f>
        <v>0</v>
      </c>
      <c r="AB38" s="9"/>
      <c r="AC38" s="10">
        <f t="shared" si="11"/>
        <v>0</v>
      </c>
      <c r="AD38" s="8">
        <f>IFERROR(AC38/AC445,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IFERROR(B39/B445, "NA")</f>
        <v>0</v>
      </c>
      <c r="D39" s="9"/>
      <c r="E39" s="7">
        <v>0</v>
      </c>
      <c r="F39" s="8">
        <f>IFERROR(E39/E445, "NA")</f>
        <v>0</v>
      </c>
      <c r="G39" s="9"/>
      <c r="H39" s="10">
        <f t="shared" si="8"/>
        <v>0</v>
      </c>
      <c r="I39" s="8">
        <f>IFERROR(H39/H445, "NA")</f>
        <v>0</v>
      </c>
      <c r="J39" s="9"/>
      <c r="K39" s="7">
        <v>527.20000000000005</v>
      </c>
      <c r="L39" s="8">
        <f>IFERROR(K39/K445, "NA")</f>
        <v>6.180124125307879E-3</v>
      </c>
      <c r="M39" s="9"/>
      <c r="N39" s="10">
        <f t="shared" si="9"/>
        <v>-527.20000000000005</v>
      </c>
      <c r="O39" s="8">
        <f>IFERROR(N39/N445, "NA")</f>
        <v>-0.26692859963747972</v>
      </c>
      <c r="P39" s="9"/>
      <c r="Q39" s="7">
        <v>116.35</v>
      </c>
      <c r="R39" s="8">
        <f>IFERROR(Q39/Q445, "NA")</f>
        <v>2.6009136617377099E-4</v>
      </c>
      <c r="S39" s="9"/>
      <c r="T39" s="7">
        <v>0</v>
      </c>
      <c r="U39" s="8">
        <f>IFERROR(T39/T445, "NA")</f>
        <v>0</v>
      </c>
      <c r="V39" s="9"/>
      <c r="W39" s="10">
        <f t="shared" si="10"/>
        <v>116.35</v>
      </c>
      <c r="X39" s="8">
        <f>IFERROR(W39/W445, "NA")</f>
        <v>1.84066938034225E-2</v>
      </c>
      <c r="Y39" s="9"/>
      <c r="Z39" s="7">
        <v>3090.8</v>
      </c>
      <c r="AA39" s="8">
        <f>IFERROR(Z39/Z445, "NA")</f>
        <v>7.5291910229183584E-3</v>
      </c>
      <c r="AB39" s="9"/>
      <c r="AC39" s="10">
        <f t="shared" si="11"/>
        <v>-2974.4500000000003</v>
      </c>
      <c r="AD39" s="8">
        <f>IFERROR(AC39/AC445, "NA")</f>
        <v>-8.0753078211397142E-2</v>
      </c>
    </row>
    <row r="40" spans="1:30" ht="16.5" customHeight="1" x14ac:dyDescent="0.45">
      <c r="A40" s="13" t="s">
        <v>40</v>
      </c>
      <c r="B40" s="14">
        <f>IFERROR(B31+B32+B33+B34+B35+B36+B37+B38+B39, "NA")</f>
        <v>14753.25</v>
      </c>
      <c r="C40" s="15">
        <f>IFERROR(B40/B445, "NA")</f>
        <v>0.16903204015454032</v>
      </c>
      <c r="D40" s="2"/>
      <c r="E40" s="14">
        <f>IFERROR(E31+E32+E33+E34+E35+E36+E37+E38+E39, "NA")</f>
        <v>17727.599999999999</v>
      </c>
      <c r="F40" s="15">
        <f>IFERROR(E40/E445, "NA")</f>
        <v>0.19000003644035987</v>
      </c>
      <c r="G40" s="2"/>
      <c r="H40" s="14">
        <f t="shared" si="8"/>
        <v>-2974.3499999999985</v>
      </c>
      <c r="I40" s="15">
        <f>IFERROR(H40/H445, "NA")</f>
        <v>0.49388527734190069</v>
      </c>
      <c r="J40" s="2"/>
      <c r="K40" s="14">
        <f>IFERROR(K31+K32+K33+K34+K35+K36+K37+K38+K39, "NA")</f>
        <v>11628.79</v>
      </c>
      <c r="L40" s="15">
        <f>IFERROR(K40/K445, "NA")</f>
        <v>0.13631897880716806</v>
      </c>
      <c r="M40" s="2"/>
      <c r="N40" s="14">
        <f t="shared" si="9"/>
        <v>3124.4599999999991</v>
      </c>
      <c r="O40" s="15">
        <f>IFERROR(N40/N445, "NA")</f>
        <v>1.5819570038378594</v>
      </c>
      <c r="P40" s="2"/>
      <c r="Q40" s="14">
        <f>IFERROR(Q31+Q32+Q33+Q34+Q35+Q36+Q37+Q38+Q39, "NA")</f>
        <v>85714.02</v>
      </c>
      <c r="R40" s="15">
        <f>IFERROR(Q40/Q445, "NA")</f>
        <v>0.19160701815252199</v>
      </c>
      <c r="S40" s="2"/>
      <c r="T40" s="14">
        <f>IFERROR(T31+T32+T33+T34+T35+T36+T37+T38+T39, "NA")</f>
        <v>83794.13</v>
      </c>
      <c r="U40" s="15">
        <f>IFERROR(T40/T445, "NA")</f>
        <v>0.19000000294770059</v>
      </c>
      <c r="V40" s="2"/>
      <c r="W40" s="14">
        <f t="shared" si="10"/>
        <v>1919.8899999999994</v>
      </c>
      <c r="X40" s="15">
        <f>IFERROR(W40/W445, "NA")</f>
        <v>0.30372864087883811</v>
      </c>
      <c r="Y40" s="2"/>
      <c r="Z40" s="14">
        <f>IFERROR(Z31+Z32+Z33+Z34+Z35+Z36+Z37+Z38+Z39, "NA")</f>
        <v>85009.02</v>
      </c>
      <c r="AA40" s="15">
        <f>IFERROR(Z40/Z445, "NA")</f>
        <v>0.2070820338588997</v>
      </c>
      <c r="AB40" s="2"/>
      <c r="AC40" s="14">
        <f t="shared" si="11"/>
        <v>705</v>
      </c>
      <c r="AD40" s="15">
        <f>IFERROR(AC40/AC445, "NA")</f>
        <v>1.9139982228322878E-2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IFERROR(B42/B445, "NA")</f>
        <v>0</v>
      </c>
      <c r="D42" s="9"/>
      <c r="E42" s="7">
        <v>18660.63</v>
      </c>
      <c r="F42" s="8">
        <f>IFERROR(E42/E445, "NA")</f>
        <v>0.20000002143550583</v>
      </c>
      <c r="G42" s="9"/>
      <c r="H42" s="10">
        <f>IFERROR(B42-E42, "NA")</f>
        <v>-18660.63</v>
      </c>
      <c r="I42" s="8">
        <f>IFERROR(H42/H445, "NA")</f>
        <v>3.0985628533711895</v>
      </c>
      <c r="J42" s="9"/>
      <c r="K42" s="7">
        <v>0</v>
      </c>
      <c r="L42" s="8">
        <f>IFERROR(K42/K445, "NA")</f>
        <v>0</v>
      </c>
      <c r="M42" s="9"/>
      <c r="N42" s="10">
        <f>IFERROR(B42-K42, "NA")</f>
        <v>0</v>
      </c>
      <c r="O42" s="8">
        <f>IFERROR(N42/N445, "NA")</f>
        <v>0</v>
      </c>
      <c r="P42" s="9"/>
      <c r="Q42" s="7">
        <v>0</v>
      </c>
      <c r="R42" s="8">
        <f>IFERROR(Q42/Q445, "NA")</f>
        <v>0</v>
      </c>
      <c r="S42" s="9"/>
      <c r="T42" s="7">
        <v>88204.35</v>
      </c>
      <c r="U42" s="8">
        <f>IFERROR(T42/T445, "NA")</f>
        <v>0.20000000906984788</v>
      </c>
      <c r="V42" s="9"/>
      <c r="W42" s="10">
        <f>IFERROR(Q42-T42, "NA")</f>
        <v>-88204.35</v>
      </c>
      <c r="X42" s="8">
        <f>IFERROR(W42/W445, "NA")</f>
        <v>-13.954022024752124</v>
      </c>
      <c r="Y42" s="9"/>
      <c r="Z42" s="7">
        <v>0</v>
      </c>
      <c r="AA42" s="8">
        <f>IFERROR(Z42/Z445, "NA")</f>
        <v>0</v>
      </c>
      <c r="AB42" s="9"/>
      <c r="AC42" s="10">
        <f>IFERROR(Q42-Z42, "NA")</f>
        <v>0</v>
      </c>
      <c r="AD42" s="8">
        <f>IFERROR(AC42/AC445, "NA")</f>
        <v>0</v>
      </c>
    </row>
    <row r="43" spans="1:30" ht="16.5" customHeight="1" x14ac:dyDescent="0.45">
      <c r="A43" s="12" t="s">
        <v>42</v>
      </c>
      <c r="B43" s="7">
        <v>5148.3</v>
      </c>
      <c r="C43" s="8">
        <f>IFERROR(B43/B445, "NA")</f>
        <v>5.8985488101104502E-2</v>
      </c>
      <c r="D43" s="9"/>
      <c r="E43" s="7">
        <v>0</v>
      </c>
      <c r="F43" s="8">
        <f>IFERROR(E43/E445, "NA")</f>
        <v>0</v>
      </c>
      <c r="G43" s="9"/>
      <c r="H43" s="10">
        <f>IFERROR(B43-E43, "NA")</f>
        <v>5148.3</v>
      </c>
      <c r="I43" s="8">
        <f>IFERROR(H43/H445, "NA")</f>
        <v>-0.85486562554484469</v>
      </c>
      <c r="J43" s="9"/>
      <c r="K43" s="7">
        <v>5601.7</v>
      </c>
      <c r="L43" s="8">
        <f>IFERROR(K43/K445, "NA")</f>
        <v>6.5666163339789724E-2</v>
      </c>
      <c r="M43" s="9"/>
      <c r="N43" s="10">
        <f>IFERROR(B43-K43, "NA")</f>
        <v>-453.39999999999964</v>
      </c>
      <c r="O43" s="8">
        <f>IFERROR(N43/N445, "NA")</f>
        <v>-0.22956264619809028</v>
      </c>
      <c r="P43" s="9"/>
      <c r="Q43" s="7">
        <v>22770.21</v>
      </c>
      <c r="R43" s="8">
        <f>IFERROR(Q43/Q445, "NA")</f>
        <v>5.0901031602609899E-2</v>
      </c>
      <c r="S43" s="9"/>
      <c r="T43" s="7">
        <v>0</v>
      </c>
      <c r="U43" s="8">
        <f>IFERROR(T43/T445, "NA")</f>
        <v>0</v>
      </c>
      <c r="V43" s="9"/>
      <c r="W43" s="10">
        <f>IFERROR(Q43-T43, "NA")</f>
        <v>22770.21</v>
      </c>
      <c r="X43" s="8">
        <f>IFERROR(W43/W445, "NA")</f>
        <v>3.6022714508777747</v>
      </c>
      <c r="Y43" s="9"/>
      <c r="Z43" s="7">
        <v>28282.560000000001</v>
      </c>
      <c r="AA43" s="8">
        <f>IFERROR(Z43/Z445, "NA")</f>
        <v>6.8896336500954392E-2</v>
      </c>
      <c r="AB43" s="9"/>
      <c r="AC43" s="10">
        <f>IFERROR(Q43-Z43, "NA")</f>
        <v>-5512.3500000000022</v>
      </c>
      <c r="AD43" s="8">
        <f>IFERROR(AC43/AC445, "NA")</f>
        <v>-0.14965429934226335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IFERROR(B44/B445, "NA")</f>
        <v>0</v>
      </c>
      <c r="D44" s="9"/>
      <c r="E44" s="7">
        <v>0</v>
      </c>
      <c r="F44" s="8">
        <f>IFERROR(E44/E445, "NA")</f>
        <v>0</v>
      </c>
      <c r="G44" s="9"/>
      <c r="H44" s="10">
        <f>IFERROR(B44-E44, "NA")</f>
        <v>0</v>
      </c>
      <c r="I44" s="8">
        <f>IFERROR(H44/H445, "NA")</f>
        <v>0</v>
      </c>
      <c r="J44" s="9"/>
      <c r="K44" s="7">
        <v>0</v>
      </c>
      <c r="L44" s="8">
        <f>IFERROR(K44/K445, "NA")</f>
        <v>0</v>
      </c>
      <c r="M44" s="9"/>
      <c r="N44" s="10">
        <f>IFERROR(B44-K44, "NA")</f>
        <v>0</v>
      </c>
      <c r="O44" s="8">
        <f>IFERROR(N44/N445, "NA")</f>
        <v>0</v>
      </c>
      <c r="P44" s="9"/>
      <c r="Q44" s="7">
        <v>0</v>
      </c>
      <c r="R44" s="8">
        <f>IFERROR(Q44/Q445, "NA")</f>
        <v>0</v>
      </c>
      <c r="S44" s="9"/>
      <c r="T44" s="7">
        <v>0</v>
      </c>
      <c r="U44" s="8">
        <f>IFERROR(T44/T445, "NA")</f>
        <v>0</v>
      </c>
      <c r="V44" s="9"/>
      <c r="W44" s="10">
        <f>IFERROR(Q44-T44, "NA")</f>
        <v>0</v>
      </c>
      <c r="X44" s="8">
        <f>IFERROR(W44/W445, "NA")</f>
        <v>0</v>
      </c>
      <c r="Y44" s="9"/>
      <c r="Z44" s="7">
        <v>0</v>
      </c>
      <c r="AA44" s="8">
        <f>IFERROR(Z44/Z445, "NA")</f>
        <v>0</v>
      </c>
      <c r="AB44" s="9"/>
      <c r="AC44" s="10">
        <f>IFERROR(Q44-Z44, "NA")</f>
        <v>0</v>
      </c>
      <c r="AD44" s="8">
        <f>IFERROR(AC44/AC445,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IFERROR(B46/B445, "NA")</f>
        <v>0</v>
      </c>
      <c r="D46" s="9"/>
      <c r="E46" s="7">
        <v>0</v>
      </c>
      <c r="F46" s="8">
        <f>IFERROR(E46/E445, "NA")</f>
        <v>0</v>
      </c>
      <c r="G46" s="9"/>
      <c r="H46" s="10">
        <f t="shared" ref="H46:H62" si="12">IFERROR(B46-E46, "NA")</f>
        <v>0</v>
      </c>
      <c r="I46" s="8">
        <f>IFERROR(H46/H445, "NA")</f>
        <v>0</v>
      </c>
      <c r="J46" s="9"/>
      <c r="K46" s="7">
        <v>0</v>
      </c>
      <c r="L46" s="8">
        <f>IFERROR(K46/K445, "NA")</f>
        <v>0</v>
      </c>
      <c r="M46" s="9"/>
      <c r="N46" s="10">
        <f t="shared" ref="N46:N62" si="13">IFERROR(B46-K46, "NA")</f>
        <v>0</v>
      </c>
      <c r="O46" s="8">
        <f>IFERROR(N46/N445, "NA")</f>
        <v>0</v>
      </c>
      <c r="P46" s="9"/>
      <c r="Q46" s="7">
        <v>0</v>
      </c>
      <c r="R46" s="8">
        <f>IFERROR(Q46/Q445, "NA")</f>
        <v>0</v>
      </c>
      <c r="S46" s="9"/>
      <c r="T46" s="7">
        <v>0</v>
      </c>
      <c r="U46" s="8">
        <f>IFERROR(T46/T445, "NA")</f>
        <v>0</v>
      </c>
      <c r="V46" s="9"/>
      <c r="W46" s="10">
        <f t="shared" ref="W46:W62" si="14">IFERROR(Q46-T46, "NA")</f>
        <v>0</v>
      </c>
      <c r="X46" s="8">
        <f>IFERROR(W46/W445, "NA")</f>
        <v>0</v>
      </c>
      <c r="Y46" s="9"/>
      <c r="Z46" s="7">
        <v>0</v>
      </c>
      <c r="AA46" s="8">
        <f>IFERROR(Z46/Z445, "NA")</f>
        <v>0</v>
      </c>
      <c r="AB46" s="9"/>
      <c r="AC46" s="10">
        <f t="shared" ref="AC46:AC62" si="15">IFERROR(Q46-Z46, "NA")</f>
        <v>0</v>
      </c>
      <c r="AD46" s="8">
        <f>IFERROR(AC46/AC445, "NA")</f>
        <v>0</v>
      </c>
    </row>
    <row r="47" spans="1:30" ht="16.5" customHeight="1" x14ac:dyDescent="0.45">
      <c r="A47" s="17" t="s">
        <v>45</v>
      </c>
      <c r="B47" s="7">
        <v>669.66</v>
      </c>
      <c r="C47" s="8">
        <f>IFERROR(B47/B445, "NA")</f>
        <v>7.6724786748607575E-3</v>
      </c>
      <c r="D47" s="9"/>
      <c r="E47" s="7">
        <v>0</v>
      </c>
      <c r="F47" s="8">
        <f>IFERROR(E47/E445, "NA")</f>
        <v>0</v>
      </c>
      <c r="G47" s="9"/>
      <c r="H47" s="10">
        <f t="shared" si="12"/>
        <v>669.66</v>
      </c>
      <c r="I47" s="8">
        <f>IFERROR(H47/H445, "NA")</f>
        <v>-0.11119579566116206</v>
      </c>
      <c r="J47" s="9"/>
      <c r="K47" s="7">
        <v>860.07</v>
      </c>
      <c r="L47" s="8">
        <f>IFERROR(K47/K445, "NA")</f>
        <v>1.0082206670056045E-2</v>
      </c>
      <c r="M47" s="9"/>
      <c r="N47" s="10">
        <f t="shared" si="13"/>
        <v>-190.41000000000008</v>
      </c>
      <c r="O47" s="8">
        <f>IFERROR(N47/N445, "NA")</f>
        <v>-9.6407197756017693E-2</v>
      </c>
      <c r="P47" s="9"/>
      <c r="Q47" s="7">
        <v>1769.86</v>
      </c>
      <c r="R47" s="8">
        <f>IFERROR(Q47/Q445, "NA")</f>
        <v>3.9563842315110467E-3</v>
      </c>
      <c r="S47" s="9"/>
      <c r="T47" s="7">
        <v>0</v>
      </c>
      <c r="U47" s="8">
        <f>IFERROR(T47/T445, "NA")</f>
        <v>0</v>
      </c>
      <c r="V47" s="9"/>
      <c r="W47" s="10">
        <f t="shared" si="14"/>
        <v>1769.86</v>
      </c>
      <c r="X47" s="8">
        <f>IFERROR(W47/W445, "NA")</f>
        <v>0.27999373523786286</v>
      </c>
      <c r="Y47" s="9"/>
      <c r="Z47" s="7">
        <v>5411.31</v>
      </c>
      <c r="AA47" s="8">
        <f>IFERROR(Z47/Z445, "NA")</f>
        <v>1.3181955051840411E-2</v>
      </c>
      <c r="AB47" s="9"/>
      <c r="AC47" s="10">
        <f t="shared" si="15"/>
        <v>-3641.4500000000007</v>
      </c>
      <c r="AD47" s="8">
        <f>IFERROR(AC47/AC445, "NA")</f>
        <v>-9.8861401823157946E-2</v>
      </c>
    </row>
    <row r="48" spans="1:30" ht="16.5" customHeight="1" x14ac:dyDescent="0.45">
      <c r="A48" s="17" t="s">
        <v>46</v>
      </c>
      <c r="B48" s="7">
        <v>2533.15</v>
      </c>
      <c r="C48" s="8">
        <f>IFERROR(B48/B445, "NA")</f>
        <v>2.9022995781775123E-2</v>
      </c>
      <c r="D48" s="9"/>
      <c r="E48" s="7">
        <v>0</v>
      </c>
      <c r="F48" s="8">
        <f>IFERROR(E48/E445, "NA")</f>
        <v>0</v>
      </c>
      <c r="G48" s="9"/>
      <c r="H48" s="10">
        <f t="shared" si="12"/>
        <v>2533.15</v>
      </c>
      <c r="I48" s="8">
        <f>IFERROR(H48/H445, "NA")</f>
        <v>-0.42062483914086657</v>
      </c>
      <c r="J48" s="9"/>
      <c r="K48" s="7">
        <v>2874.85</v>
      </c>
      <c r="L48" s="8">
        <f>IFERROR(K48/K445, "NA")</f>
        <v>3.370054977549574E-2</v>
      </c>
      <c r="M48" s="9"/>
      <c r="N48" s="10">
        <f t="shared" si="13"/>
        <v>-341.69999999999982</v>
      </c>
      <c r="O48" s="8">
        <f>IFERROR(N48/N445, "NA")</f>
        <v>-0.17300740230676548</v>
      </c>
      <c r="P48" s="9"/>
      <c r="Q48" s="7">
        <v>8337.74</v>
      </c>
      <c r="R48" s="8">
        <f>IFERROR(Q48/Q445, "NA")</f>
        <v>1.8638368606804446E-2</v>
      </c>
      <c r="S48" s="9"/>
      <c r="T48" s="7">
        <v>0</v>
      </c>
      <c r="U48" s="8">
        <f>IFERROR(T48/T445, "NA")</f>
        <v>0</v>
      </c>
      <c r="V48" s="9"/>
      <c r="W48" s="10">
        <f t="shared" si="14"/>
        <v>8337.74</v>
      </c>
      <c r="X48" s="8">
        <f>IFERROR(W48/W445, "NA")</f>
        <v>1.3190393398585984</v>
      </c>
      <c r="Y48" s="9"/>
      <c r="Z48" s="7">
        <v>30309.95</v>
      </c>
      <c r="AA48" s="8">
        <f>IFERROR(Z48/Z445, "NA")</f>
        <v>7.3835059999063118E-2</v>
      </c>
      <c r="AB48" s="9"/>
      <c r="AC48" s="10">
        <f t="shared" si="15"/>
        <v>-21972.21</v>
      </c>
      <c r="AD48" s="8">
        <f>IFERROR(AC48/AC445, "NA")</f>
        <v>-0.5965215729318839</v>
      </c>
    </row>
    <row r="49" spans="1:30" ht="16.5" customHeight="1" x14ac:dyDescent="0.45">
      <c r="A49" s="17" t="s">
        <v>47</v>
      </c>
      <c r="B49" s="7">
        <v>0</v>
      </c>
      <c r="C49" s="8">
        <f>IFERROR(B49/B445, "NA")</f>
        <v>0</v>
      </c>
      <c r="D49" s="9"/>
      <c r="E49" s="7">
        <v>0</v>
      </c>
      <c r="F49" s="8">
        <f>IFERROR(E49/E445, "NA")</f>
        <v>0</v>
      </c>
      <c r="G49" s="9"/>
      <c r="H49" s="10">
        <f t="shared" si="12"/>
        <v>0</v>
      </c>
      <c r="I49" s="8">
        <f>IFERROR(H49/H445, "NA")</f>
        <v>0</v>
      </c>
      <c r="J49" s="9"/>
      <c r="K49" s="7">
        <v>27.5</v>
      </c>
      <c r="L49" s="8">
        <f>IFERROR(K49/K445, "NA")</f>
        <v>3.2236990410843447E-4</v>
      </c>
      <c r="M49" s="9"/>
      <c r="N49" s="10">
        <f t="shared" si="13"/>
        <v>-27.5</v>
      </c>
      <c r="O49" s="8">
        <f>IFERROR(N49/N445, "NA")</f>
        <v>-1.3923627636628777E-2</v>
      </c>
      <c r="P49" s="9"/>
      <c r="Q49" s="7">
        <v>0</v>
      </c>
      <c r="R49" s="8">
        <f>IFERROR(Q49/Q445, "NA")</f>
        <v>0</v>
      </c>
      <c r="S49" s="9"/>
      <c r="T49" s="7">
        <v>0</v>
      </c>
      <c r="U49" s="8">
        <f>IFERROR(T49/T445, "NA")</f>
        <v>0</v>
      </c>
      <c r="V49" s="9"/>
      <c r="W49" s="10">
        <f t="shared" si="14"/>
        <v>0</v>
      </c>
      <c r="X49" s="8">
        <f>IFERROR(W49/W445, "NA")</f>
        <v>0</v>
      </c>
      <c r="Y49" s="9"/>
      <c r="Z49" s="7">
        <v>27.5</v>
      </c>
      <c r="AA49" s="8">
        <f>IFERROR(Z49/Z445, "NA")</f>
        <v>6.6990019778133443E-5</v>
      </c>
      <c r="AB49" s="9"/>
      <c r="AC49" s="10">
        <f t="shared" si="15"/>
        <v>-27.5</v>
      </c>
      <c r="AD49" s="8">
        <f>IFERROR(AC49/AC445, "NA")</f>
        <v>-7.46595051459403E-4</v>
      </c>
    </row>
    <row r="50" spans="1:30" ht="16.5" customHeight="1" x14ac:dyDescent="0.45">
      <c r="A50" s="17" t="s">
        <v>48</v>
      </c>
      <c r="B50" s="7">
        <v>397.66</v>
      </c>
      <c r="C50" s="8">
        <f>IFERROR(B50/B445, "NA")</f>
        <v>4.5560999161442057E-3</v>
      </c>
      <c r="D50" s="9"/>
      <c r="E50" s="7">
        <v>0</v>
      </c>
      <c r="F50" s="8">
        <f>IFERROR(E50/E445, "NA")</f>
        <v>0</v>
      </c>
      <c r="G50" s="9"/>
      <c r="H50" s="10">
        <f t="shared" si="12"/>
        <v>397.66</v>
      </c>
      <c r="I50" s="8">
        <f>IFERROR(H50/H445, "NA")</f>
        <v>-6.6030702300596877E-2</v>
      </c>
      <c r="J50" s="9"/>
      <c r="K50" s="7">
        <v>1340.65</v>
      </c>
      <c r="L50" s="8">
        <f>IFERROR(K50/K445, "NA")</f>
        <v>1.5715825888835369E-2</v>
      </c>
      <c r="M50" s="9"/>
      <c r="N50" s="10">
        <f t="shared" si="13"/>
        <v>-942.99</v>
      </c>
      <c r="O50" s="8">
        <f>IFERROR(N50/N445, "NA")</f>
        <v>-0.47744878636598437</v>
      </c>
      <c r="P50" s="9"/>
      <c r="Q50" s="7">
        <v>12315.16</v>
      </c>
      <c r="R50" s="8">
        <f>IFERROR(Q50/Q445, "NA")</f>
        <v>2.7529581341199635E-2</v>
      </c>
      <c r="S50" s="9"/>
      <c r="T50" s="7">
        <v>0</v>
      </c>
      <c r="U50" s="8">
        <f>IFERROR(T50/T445, "NA")</f>
        <v>0</v>
      </c>
      <c r="V50" s="9"/>
      <c r="W50" s="10">
        <f t="shared" si="14"/>
        <v>12315.16</v>
      </c>
      <c r="X50" s="8">
        <f>IFERROR(W50/W445, "NA")</f>
        <v>1.9482714160735424</v>
      </c>
      <c r="Y50" s="9"/>
      <c r="Z50" s="7">
        <v>7890.57</v>
      </c>
      <c r="AA50" s="8">
        <f>IFERROR(Z50/Z445, "NA")</f>
        <v>1.9221434194936233E-2</v>
      </c>
      <c r="AB50" s="9"/>
      <c r="AC50" s="10">
        <f t="shared" si="15"/>
        <v>4424.59</v>
      </c>
      <c r="AD50" s="8">
        <f>IFERROR(AC50/AC445, "NA")</f>
        <v>0.120122799954064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IFERROR(B51/B445, "NA")</f>
        <v>0</v>
      </c>
      <c r="D51" s="9"/>
      <c r="E51" s="7">
        <v>0</v>
      </c>
      <c r="F51" s="8">
        <f>IFERROR(E51/E445, "NA")</f>
        <v>0</v>
      </c>
      <c r="G51" s="9"/>
      <c r="H51" s="10">
        <f t="shared" si="12"/>
        <v>0</v>
      </c>
      <c r="I51" s="8">
        <f>IFERROR(H51/H445, "NA")</f>
        <v>0</v>
      </c>
      <c r="J51" s="9"/>
      <c r="K51" s="7">
        <v>0</v>
      </c>
      <c r="L51" s="8">
        <f>IFERROR(K51/K445, "NA")</f>
        <v>0</v>
      </c>
      <c r="M51" s="9"/>
      <c r="N51" s="10">
        <f t="shared" si="13"/>
        <v>0</v>
      </c>
      <c r="O51" s="8">
        <f>IFERROR(N51/N445, "NA")</f>
        <v>0</v>
      </c>
      <c r="P51" s="9"/>
      <c r="Q51" s="7">
        <v>0</v>
      </c>
      <c r="R51" s="8">
        <f>IFERROR(Q51/Q445, "NA")</f>
        <v>0</v>
      </c>
      <c r="S51" s="9"/>
      <c r="T51" s="7">
        <v>0</v>
      </c>
      <c r="U51" s="8">
        <f>IFERROR(T51/T445, "NA")</f>
        <v>0</v>
      </c>
      <c r="V51" s="9"/>
      <c r="W51" s="10">
        <f t="shared" si="14"/>
        <v>0</v>
      </c>
      <c r="X51" s="8">
        <f>IFERROR(W51/W445, "NA")</f>
        <v>0</v>
      </c>
      <c r="Y51" s="9"/>
      <c r="Z51" s="7">
        <v>0</v>
      </c>
      <c r="AA51" s="8">
        <f>IFERROR(Z51/Z445, "NA")</f>
        <v>0</v>
      </c>
      <c r="AB51" s="9"/>
      <c r="AC51" s="10">
        <f t="shared" si="15"/>
        <v>0</v>
      </c>
      <c r="AD51" s="8">
        <f>IFERROR(AC51/AC445,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IFERROR(B52/B445, "NA")</f>
        <v>0</v>
      </c>
      <c r="D52" s="9"/>
      <c r="E52" s="7">
        <v>0</v>
      </c>
      <c r="F52" s="8">
        <f>IFERROR(E52/E445, "NA")</f>
        <v>0</v>
      </c>
      <c r="G52" s="9"/>
      <c r="H52" s="10">
        <f t="shared" si="12"/>
        <v>0</v>
      </c>
      <c r="I52" s="8">
        <f>IFERROR(H52/H445, "NA")</f>
        <v>0</v>
      </c>
      <c r="J52" s="9"/>
      <c r="K52" s="7">
        <v>0</v>
      </c>
      <c r="L52" s="8">
        <f>IFERROR(K52/K445, "NA")</f>
        <v>0</v>
      </c>
      <c r="M52" s="9"/>
      <c r="N52" s="10">
        <f t="shared" si="13"/>
        <v>0</v>
      </c>
      <c r="O52" s="8">
        <f>IFERROR(N52/N445, "NA")</f>
        <v>0</v>
      </c>
      <c r="P52" s="9"/>
      <c r="Q52" s="7">
        <v>0</v>
      </c>
      <c r="R52" s="8">
        <f>IFERROR(Q52/Q445, "NA")</f>
        <v>0</v>
      </c>
      <c r="S52" s="9"/>
      <c r="T52" s="7">
        <v>0</v>
      </c>
      <c r="U52" s="8">
        <f>IFERROR(T52/T445, "NA")</f>
        <v>0</v>
      </c>
      <c r="V52" s="9"/>
      <c r="W52" s="10">
        <f t="shared" si="14"/>
        <v>0</v>
      </c>
      <c r="X52" s="8">
        <f>IFERROR(W52/W445, "NA")</f>
        <v>0</v>
      </c>
      <c r="Y52" s="9"/>
      <c r="Z52" s="7">
        <v>0</v>
      </c>
      <c r="AA52" s="8">
        <f>IFERROR(Z52/Z445, "NA")</f>
        <v>0</v>
      </c>
      <c r="AB52" s="9"/>
      <c r="AC52" s="10">
        <f t="shared" si="15"/>
        <v>0</v>
      </c>
      <c r="AD52" s="8">
        <f>IFERROR(AC52/AC445,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IFERROR(B53/B445, "NA")</f>
        <v>0</v>
      </c>
      <c r="D53" s="9"/>
      <c r="E53" s="7">
        <v>0</v>
      </c>
      <c r="F53" s="8">
        <f>IFERROR(E53/E445, "NA")</f>
        <v>0</v>
      </c>
      <c r="G53" s="9"/>
      <c r="H53" s="10">
        <f t="shared" si="12"/>
        <v>0</v>
      </c>
      <c r="I53" s="8">
        <f>IFERROR(H53/H445, "NA")</f>
        <v>0</v>
      </c>
      <c r="J53" s="9"/>
      <c r="K53" s="7">
        <v>0</v>
      </c>
      <c r="L53" s="8">
        <f>IFERROR(K53/K445, "NA")</f>
        <v>0</v>
      </c>
      <c r="M53" s="9"/>
      <c r="N53" s="10">
        <f t="shared" si="13"/>
        <v>0</v>
      </c>
      <c r="O53" s="8">
        <f>IFERROR(N53/N445, "NA")</f>
        <v>0</v>
      </c>
      <c r="P53" s="9"/>
      <c r="Q53" s="7">
        <v>0</v>
      </c>
      <c r="R53" s="8">
        <f>IFERROR(Q53/Q445, "NA")</f>
        <v>0</v>
      </c>
      <c r="S53" s="9"/>
      <c r="T53" s="7">
        <v>0</v>
      </c>
      <c r="U53" s="8">
        <f>IFERROR(T53/T445, "NA")</f>
        <v>0</v>
      </c>
      <c r="V53" s="9"/>
      <c r="W53" s="10">
        <f t="shared" si="14"/>
        <v>0</v>
      </c>
      <c r="X53" s="8">
        <f>IFERROR(W53/W445, "NA")</f>
        <v>0</v>
      </c>
      <c r="Y53" s="9"/>
      <c r="Z53" s="7">
        <v>0</v>
      </c>
      <c r="AA53" s="8">
        <f>IFERROR(Z53/Z445, "NA")</f>
        <v>0</v>
      </c>
      <c r="AB53" s="9"/>
      <c r="AC53" s="10">
        <f t="shared" si="15"/>
        <v>0</v>
      </c>
      <c r="AD53" s="8">
        <f>IFERROR(AC53/AC445,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IFERROR(B54/B445, "NA")</f>
        <v>0</v>
      </c>
      <c r="D54" s="9"/>
      <c r="E54" s="7">
        <v>0</v>
      </c>
      <c r="F54" s="8">
        <f>IFERROR(E54/E445, "NA")</f>
        <v>0</v>
      </c>
      <c r="G54" s="9"/>
      <c r="H54" s="10">
        <f t="shared" si="12"/>
        <v>0</v>
      </c>
      <c r="I54" s="8">
        <f>IFERROR(H54/H445, "NA")</f>
        <v>0</v>
      </c>
      <c r="J54" s="9"/>
      <c r="K54" s="7">
        <v>0</v>
      </c>
      <c r="L54" s="8">
        <f>IFERROR(K54/K445, "NA")</f>
        <v>0</v>
      </c>
      <c r="M54" s="9"/>
      <c r="N54" s="10">
        <f t="shared" si="13"/>
        <v>0</v>
      </c>
      <c r="O54" s="8">
        <f>IFERROR(N54/N445, "NA")</f>
        <v>0</v>
      </c>
      <c r="P54" s="9"/>
      <c r="Q54" s="7">
        <v>0</v>
      </c>
      <c r="R54" s="8">
        <f>IFERROR(Q54/Q445, "NA")</f>
        <v>0</v>
      </c>
      <c r="S54" s="9"/>
      <c r="T54" s="7">
        <v>0</v>
      </c>
      <c r="U54" s="8">
        <f>IFERROR(T54/T445, "NA")</f>
        <v>0</v>
      </c>
      <c r="V54" s="9"/>
      <c r="W54" s="10">
        <f t="shared" si="14"/>
        <v>0</v>
      </c>
      <c r="X54" s="8">
        <f>IFERROR(W54/W445, "NA")</f>
        <v>0</v>
      </c>
      <c r="Y54" s="9"/>
      <c r="Z54" s="7">
        <v>0</v>
      </c>
      <c r="AA54" s="8">
        <f>IFERROR(Z54/Z445, "NA")</f>
        <v>0</v>
      </c>
      <c r="AB54" s="9"/>
      <c r="AC54" s="10">
        <f t="shared" si="15"/>
        <v>0</v>
      </c>
      <c r="AD54" s="8">
        <f>IFERROR(AC54/AC445, "NA")</f>
        <v>0</v>
      </c>
    </row>
    <row r="55" spans="1:30" ht="16.5" customHeight="1" x14ac:dyDescent="0.45">
      <c r="A55" s="17" t="s">
        <v>53</v>
      </c>
      <c r="B55" s="7">
        <v>0</v>
      </c>
      <c r="C55" s="8">
        <f>IFERROR(B55/B445, "NA")</f>
        <v>0</v>
      </c>
      <c r="D55" s="9"/>
      <c r="E55" s="7">
        <v>0</v>
      </c>
      <c r="F55" s="8">
        <f>IFERROR(E55/E445, "NA")</f>
        <v>0</v>
      </c>
      <c r="G55" s="9"/>
      <c r="H55" s="10">
        <f t="shared" si="12"/>
        <v>0</v>
      </c>
      <c r="I55" s="8">
        <f>IFERROR(H55/H445, "NA")</f>
        <v>0</v>
      </c>
      <c r="J55" s="9"/>
      <c r="K55" s="7">
        <v>0</v>
      </c>
      <c r="L55" s="8">
        <f>IFERROR(K55/K445, "NA")</f>
        <v>0</v>
      </c>
      <c r="M55" s="9"/>
      <c r="N55" s="10">
        <f t="shared" si="13"/>
        <v>0</v>
      </c>
      <c r="O55" s="8">
        <f>IFERROR(N55/N445, "NA")</f>
        <v>0</v>
      </c>
      <c r="P55" s="9"/>
      <c r="Q55" s="7">
        <v>5331.93</v>
      </c>
      <c r="R55" s="8">
        <f>IFERROR(Q55/Q445, "NA")</f>
        <v>1.1919114379397635E-2</v>
      </c>
      <c r="S55" s="9"/>
      <c r="T55" s="7">
        <v>0</v>
      </c>
      <c r="U55" s="8">
        <f>IFERROR(T55/T445, "NA")</f>
        <v>0</v>
      </c>
      <c r="V55" s="9"/>
      <c r="W55" s="10">
        <f t="shared" si="14"/>
        <v>5331.93</v>
      </c>
      <c r="X55" s="8">
        <f>IFERROR(W55/W445, "NA")</f>
        <v>0.84351699949533776</v>
      </c>
      <c r="Y55" s="9"/>
      <c r="Z55" s="7">
        <v>334.29</v>
      </c>
      <c r="AA55" s="8">
        <f>IFERROR(Z55/Z445, "NA")</f>
        <v>8.1433068042299024E-4</v>
      </c>
      <c r="AB55" s="9"/>
      <c r="AC55" s="10">
        <f t="shared" si="15"/>
        <v>4997.6400000000003</v>
      </c>
      <c r="AD55" s="8">
        <f>IFERROR(AC55/AC445, "NA")</f>
        <v>0.13568048338092986</v>
      </c>
    </row>
    <row r="56" spans="1:30" ht="16.5" customHeight="1" x14ac:dyDescent="0.45">
      <c r="A56" s="17" t="s">
        <v>54</v>
      </c>
      <c r="B56" s="7">
        <v>0</v>
      </c>
      <c r="C56" s="8">
        <f>IFERROR(B56/B445, "NA")</f>
        <v>0</v>
      </c>
      <c r="D56" s="9"/>
      <c r="E56" s="7">
        <v>0</v>
      </c>
      <c r="F56" s="8">
        <f>IFERROR(E56/E445, "NA")</f>
        <v>0</v>
      </c>
      <c r="G56" s="9"/>
      <c r="H56" s="10">
        <f t="shared" si="12"/>
        <v>0</v>
      </c>
      <c r="I56" s="8">
        <f>IFERROR(H56/H445, "NA")</f>
        <v>0</v>
      </c>
      <c r="J56" s="9"/>
      <c r="K56" s="7">
        <v>0</v>
      </c>
      <c r="L56" s="8">
        <f>IFERROR(K56/K445, "NA")</f>
        <v>0</v>
      </c>
      <c r="M56" s="9"/>
      <c r="N56" s="10">
        <f t="shared" si="13"/>
        <v>0</v>
      </c>
      <c r="O56" s="8">
        <f>IFERROR(N56/N445, "NA")</f>
        <v>0</v>
      </c>
      <c r="P56" s="9"/>
      <c r="Q56" s="7">
        <v>0</v>
      </c>
      <c r="R56" s="8">
        <f>IFERROR(Q56/Q445, "NA")</f>
        <v>0</v>
      </c>
      <c r="S56" s="9"/>
      <c r="T56" s="7">
        <v>0</v>
      </c>
      <c r="U56" s="8">
        <f>IFERROR(T56/T445, "NA")</f>
        <v>0</v>
      </c>
      <c r="V56" s="9"/>
      <c r="W56" s="10">
        <f t="shared" si="14"/>
        <v>0</v>
      </c>
      <c r="X56" s="8">
        <f>IFERROR(W56/W445, "NA")</f>
        <v>0</v>
      </c>
      <c r="Y56" s="9"/>
      <c r="Z56" s="7">
        <v>54.95</v>
      </c>
      <c r="AA56" s="8">
        <f>IFERROR(Z56/Z445, "NA")</f>
        <v>1.3385823952030666E-4</v>
      </c>
      <c r="AB56" s="9"/>
      <c r="AC56" s="10">
        <f t="shared" si="15"/>
        <v>-54.95</v>
      </c>
      <c r="AD56" s="8">
        <f>IFERROR(AC56/AC445, "NA")</f>
        <v>-1.491832657370698E-3</v>
      </c>
    </row>
    <row r="57" spans="1:30" ht="16.5" customHeight="1" x14ac:dyDescent="0.45">
      <c r="A57" s="17" t="s">
        <v>55</v>
      </c>
      <c r="B57" s="7">
        <v>0</v>
      </c>
      <c r="C57" s="8">
        <f>IFERROR(B57/B445, "NA")</f>
        <v>0</v>
      </c>
      <c r="D57" s="9"/>
      <c r="E57" s="7">
        <v>0</v>
      </c>
      <c r="F57" s="8">
        <f>IFERROR(E57/E445, "NA")</f>
        <v>0</v>
      </c>
      <c r="G57" s="9"/>
      <c r="H57" s="10">
        <f t="shared" si="12"/>
        <v>0</v>
      </c>
      <c r="I57" s="8">
        <f>IFERROR(H57/H445, "NA")</f>
        <v>0</v>
      </c>
      <c r="J57" s="9"/>
      <c r="K57" s="7">
        <v>0</v>
      </c>
      <c r="L57" s="8">
        <f>IFERROR(K57/K445, "NA")</f>
        <v>0</v>
      </c>
      <c r="M57" s="9"/>
      <c r="N57" s="10">
        <f t="shared" si="13"/>
        <v>0</v>
      </c>
      <c r="O57" s="8">
        <f>IFERROR(N57/N445, "NA")</f>
        <v>0</v>
      </c>
      <c r="P57" s="9"/>
      <c r="Q57" s="7">
        <v>3735.79</v>
      </c>
      <c r="R57" s="8">
        <f>IFERROR(Q57/Q445, "NA")</f>
        <v>8.3510676823232658E-3</v>
      </c>
      <c r="S57" s="9"/>
      <c r="T57" s="7">
        <v>0</v>
      </c>
      <c r="U57" s="8">
        <f>IFERROR(T57/T445, "NA")</f>
        <v>0</v>
      </c>
      <c r="V57" s="9"/>
      <c r="W57" s="10">
        <f t="shared" si="14"/>
        <v>3735.79</v>
      </c>
      <c r="X57" s="8">
        <f>IFERROR(W57/W445, "NA")</f>
        <v>0.59100595310603998</v>
      </c>
      <c r="Y57" s="9"/>
      <c r="Z57" s="7">
        <v>3139.49</v>
      </c>
      <c r="AA57" s="8">
        <f>IFERROR(Z57/Z445, "NA")</f>
        <v>7.6477998979364416E-3</v>
      </c>
      <c r="AB57" s="9"/>
      <c r="AC57" s="10">
        <f t="shared" si="15"/>
        <v>596.30000000000018</v>
      </c>
      <c r="AD57" s="8">
        <f>IFERROR(AC57/AC445, "NA")</f>
        <v>1.6188895606736076E-2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IFERROR(B58/B445, "NA")</f>
        <v>0</v>
      </c>
      <c r="D58" s="9"/>
      <c r="E58" s="7">
        <v>0</v>
      </c>
      <c r="F58" s="8">
        <f>IFERROR(E58/E445, "NA")</f>
        <v>0</v>
      </c>
      <c r="G58" s="9"/>
      <c r="H58" s="10">
        <f t="shared" si="12"/>
        <v>0</v>
      </c>
      <c r="I58" s="8">
        <f>IFERROR(H58/H445, "NA")</f>
        <v>0</v>
      </c>
      <c r="J58" s="9"/>
      <c r="K58" s="7">
        <v>0</v>
      </c>
      <c r="L58" s="8">
        <f>IFERROR(K58/K445, "NA")</f>
        <v>0</v>
      </c>
      <c r="M58" s="9"/>
      <c r="N58" s="10">
        <f t="shared" si="13"/>
        <v>0</v>
      </c>
      <c r="O58" s="8">
        <f>IFERROR(N58/N445, "NA")</f>
        <v>0</v>
      </c>
      <c r="P58" s="9"/>
      <c r="Q58" s="7">
        <v>0</v>
      </c>
      <c r="R58" s="8">
        <f>IFERROR(Q58/Q445, "NA")</f>
        <v>0</v>
      </c>
      <c r="S58" s="9"/>
      <c r="T58" s="7">
        <v>0</v>
      </c>
      <c r="U58" s="8">
        <f>IFERROR(T58/T445, "NA")</f>
        <v>0</v>
      </c>
      <c r="V58" s="9"/>
      <c r="W58" s="10">
        <f t="shared" si="14"/>
        <v>0</v>
      </c>
      <c r="X58" s="8">
        <f>IFERROR(W58/W445, "NA")</f>
        <v>0</v>
      </c>
      <c r="Y58" s="9"/>
      <c r="Z58" s="7">
        <v>0</v>
      </c>
      <c r="AA58" s="8">
        <f>IFERROR(Z58/Z445, "NA")</f>
        <v>0</v>
      </c>
      <c r="AB58" s="9"/>
      <c r="AC58" s="10">
        <f t="shared" si="15"/>
        <v>0</v>
      </c>
      <c r="AD58" s="8">
        <f>IFERROR(AC58/AC445,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IFERROR(B59/B445, "NA")</f>
        <v>0</v>
      </c>
      <c r="D59" s="9"/>
      <c r="E59" s="7">
        <v>0</v>
      </c>
      <c r="F59" s="8">
        <f>IFERROR(E59/E445, "NA")</f>
        <v>0</v>
      </c>
      <c r="G59" s="9"/>
      <c r="H59" s="10">
        <f t="shared" si="12"/>
        <v>0</v>
      </c>
      <c r="I59" s="8">
        <f>IFERROR(H59/H445, "NA")</f>
        <v>0</v>
      </c>
      <c r="J59" s="9"/>
      <c r="K59" s="7">
        <v>0</v>
      </c>
      <c r="L59" s="8">
        <f>IFERROR(K59/K445, "NA")</f>
        <v>0</v>
      </c>
      <c r="M59" s="9"/>
      <c r="N59" s="10">
        <f t="shared" si="13"/>
        <v>0</v>
      </c>
      <c r="O59" s="8">
        <f>IFERROR(N59/N445, "NA")</f>
        <v>0</v>
      </c>
      <c r="P59" s="9"/>
      <c r="Q59" s="7">
        <v>0</v>
      </c>
      <c r="R59" s="8">
        <f>IFERROR(Q59/Q445, "NA")</f>
        <v>0</v>
      </c>
      <c r="S59" s="9"/>
      <c r="T59" s="7">
        <v>0</v>
      </c>
      <c r="U59" s="8">
        <f>IFERROR(T59/T445, "NA")</f>
        <v>0</v>
      </c>
      <c r="V59" s="9"/>
      <c r="W59" s="10">
        <f t="shared" si="14"/>
        <v>0</v>
      </c>
      <c r="X59" s="8">
        <f>IFERROR(W59/W445, "NA")</f>
        <v>0</v>
      </c>
      <c r="Y59" s="9"/>
      <c r="Z59" s="7">
        <v>0</v>
      </c>
      <c r="AA59" s="8">
        <f>IFERROR(Z59/Z445, "NA")</f>
        <v>0</v>
      </c>
      <c r="AB59" s="9"/>
      <c r="AC59" s="10">
        <f t="shared" si="15"/>
        <v>0</v>
      </c>
      <c r="AD59" s="8">
        <f>IFERROR(AC59/AC445,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IFERROR(B60/B445, "NA")</f>
        <v>0</v>
      </c>
      <c r="D60" s="9"/>
      <c r="E60" s="7">
        <v>0</v>
      </c>
      <c r="F60" s="8">
        <f>IFERROR(E60/E445, "NA")</f>
        <v>0</v>
      </c>
      <c r="G60" s="9"/>
      <c r="H60" s="10">
        <f t="shared" si="12"/>
        <v>0</v>
      </c>
      <c r="I60" s="8">
        <f>IFERROR(H60/H445, "NA")</f>
        <v>0</v>
      </c>
      <c r="J60" s="9"/>
      <c r="K60" s="7">
        <v>0</v>
      </c>
      <c r="L60" s="8">
        <f>IFERROR(K60/K445, "NA")</f>
        <v>0</v>
      </c>
      <c r="M60" s="9"/>
      <c r="N60" s="10">
        <f t="shared" si="13"/>
        <v>0</v>
      </c>
      <c r="O60" s="8">
        <f>IFERROR(N60/N445, "NA")</f>
        <v>0</v>
      </c>
      <c r="P60" s="9"/>
      <c r="Q60" s="7">
        <v>0</v>
      </c>
      <c r="R60" s="8">
        <f>IFERROR(Q60/Q445, "NA")</f>
        <v>0</v>
      </c>
      <c r="S60" s="9"/>
      <c r="T60" s="7">
        <v>0</v>
      </c>
      <c r="U60" s="8">
        <f>IFERROR(T60/T445, "NA")</f>
        <v>0</v>
      </c>
      <c r="V60" s="9"/>
      <c r="W60" s="10">
        <f t="shared" si="14"/>
        <v>0</v>
      </c>
      <c r="X60" s="8">
        <f>IFERROR(W60/W445, "NA")</f>
        <v>0</v>
      </c>
      <c r="Y60" s="9"/>
      <c r="Z60" s="7">
        <v>0</v>
      </c>
      <c r="AA60" s="8">
        <f>IFERROR(Z60/Z445, "NA")</f>
        <v>0</v>
      </c>
      <c r="AB60" s="9"/>
      <c r="AC60" s="10">
        <f t="shared" si="15"/>
        <v>0</v>
      </c>
      <c r="AD60" s="8">
        <f>IFERROR(AC60/AC445,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3600.47</v>
      </c>
      <c r="C61" s="15">
        <f>IFERROR(B61/B445, "NA")</f>
        <v>4.1251574372780084E-2</v>
      </c>
      <c r="D61" s="2"/>
      <c r="E61" s="14">
        <f>IFERROR(E46+E47+E48+E49+E50+E51+E52+E53+E54+E55+E56+E57+E58+E59+E60, "NA")</f>
        <v>0</v>
      </c>
      <c r="F61" s="15">
        <f>IFERROR(E61/E445, "NA")</f>
        <v>0</v>
      </c>
      <c r="G61" s="2"/>
      <c r="H61" s="14">
        <f t="shared" si="12"/>
        <v>3600.47</v>
      </c>
      <c r="I61" s="15">
        <f>IFERROR(H61/H445, "NA")</f>
        <v>-0.59785133710262539</v>
      </c>
      <c r="J61" s="2"/>
      <c r="K61" s="14">
        <f>IFERROR(K46+K47+K48+K49+K50+K51+K52+K53+K54+K55+K56+K57+K58+K59+K60, "NA")</f>
        <v>5103.07</v>
      </c>
      <c r="L61" s="15">
        <f>IFERROR(K61/K445, "NA")</f>
        <v>5.9820952238495588E-2</v>
      </c>
      <c r="M61" s="2"/>
      <c r="N61" s="14">
        <f t="shared" si="13"/>
        <v>-1502.6</v>
      </c>
      <c r="O61" s="15">
        <f>IFERROR(N61/N445, "NA")</f>
        <v>-0.76078701406539628</v>
      </c>
      <c r="P61" s="2"/>
      <c r="Q61" s="14">
        <f>IFERROR(Q46+Q47+Q48+Q49+Q50+Q51+Q52+Q53+Q54+Q55+Q56+Q57+Q58+Q59+Q60, "NA")</f>
        <v>31490.480000000003</v>
      </c>
      <c r="R61" s="15">
        <f>IFERROR(Q61/Q445, "NA")</f>
        <v>7.0394516241236035E-2</v>
      </c>
      <c r="S61" s="2"/>
      <c r="T61" s="14">
        <f>IFERROR(T46+T47+T48+T49+T50+T51+T52+T53+T54+T55+T56+T57+T58+T59+T60, "NA")</f>
        <v>0</v>
      </c>
      <c r="U61" s="15">
        <f>IFERROR(T61/T445, "NA")</f>
        <v>0</v>
      </c>
      <c r="V61" s="2"/>
      <c r="W61" s="14">
        <f t="shared" si="14"/>
        <v>31490.480000000003</v>
      </c>
      <c r="X61" s="15">
        <f>IFERROR(W61/W445, "NA")</f>
        <v>4.9818274437713814</v>
      </c>
      <c r="Y61" s="2"/>
      <c r="Z61" s="14">
        <f>IFERROR(Z46+Z47+Z48+Z49+Z50+Z51+Z52+Z53+Z54+Z55+Z56+Z57+Z58+Z59+Z60, "NA")</f>
        <v>47168.06</v>
      </c>
      <c r="AA61" s="15">
        <f>IFERROR(Z61/Z445, "NA")</f>
        <v>0.11490142808349763</v>
      </c>
      <c r="AB61" s="2"/>
      <c r="AC61" s="14">
        <f t="shared" si="15"/>
        <v>-15677.579999999994</v>
      </c>
      <c r="AD61" s="15">
        <f>IFERROR(AC61/AC445, "NA")</f>
        <v>-0.42562922352214194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8748.77</v>
      </c>
      <c r="C62" s="15">
        <f>IFERROR(B62/B445, "NA")</f>
        <v>0.10023706247388459</v>
      </c>
      <c r="D62" s="2"/>
      <c r="E62" s="14">
        <f>IFERROR(E42+E43+E44+E46+E47+E48+E49+E50+E51+E52+E53+E54+E55+E56+E57+E58+E59+E60, "NA")</f>
        <v>18660.63</v>
      </c>
      <c r="F62" s="15">
        <f>IFERROR(E62/E445, "NA")</f>
        <v>0.20000002143550583</v>
      </c>
      <c r="G62" s="2"/>
      <c r="H62" s="14">
        <f t="shared" si="12"/>
        <v>-9911.86</v>
      </c>
      <c r="I62" s="15">
        <f>IFERROR(H62/H445, "NA")</f>
        <v>1.6458458907237192</v>
      </c>
      <c r="J62" s="2"/>
      <c r="K62" s="14">
        <f>IFERROR(K42+K43+K44+K46+K47+K48+K49+K50+K51+K52+K53+K54+K55+K56+K57+K58+K59+K60, "NA")</f>
        <v>10704.769999999999</v>
      </c>
      <c r="L62" s="15">
        <f>IFERROR(K62/K445, "NA")</f>
        <v>0.12548711557828529</v>
      </c>
      <c r="M62" s="2"/>
      <c r="N62" s="14">
        <f t="shared" si="13"/>
        <v>-1955.9999999999982</v>
      </c>
      <c r="O62" s="15">
        <f>IFERROR(N62/N445, "NA")</f>
        <v>-0.99034966026348592</v>
      </c>
      <c r="P62" s="2"/>
      <c r="Q62" s="14">
        <f>IFERROR(Q42+Q43+Q44+Q46+Q47+Q48+Q49+Q50+Q51+Q52+Q53+Q54+Q55+Q56+Q57+Q58+Q59+Q60, "NA")</f>
        <v>54260.69</v>
      </c>
      <c r="R62" s="15">
        <f>IFERROR(Q62/Q445, "NA")</f>
        <v>0.12129554784384594</v>
      </c>
      <c r="S62" s="2"/>
      <c r="T62" s="14">
        <f>IFERROR(T42+T43+T44+T46+T47+T48+T49+T50+T51+T52+T53+T54+T55+T56+T57+T58+T59+T60, "NA")</f>
        <v>88204.35</v>
      </c>
      <c r="U62" s="15">
        <f>IFERROR(T62/T445, "NA")</f>
        <v>0.20000000906984788</v>
      </c>
      <c r="V62" s="2"/>
      <c r="W62" s="14">
        <f t="shared" si="14"/>
        <v>-33943.660000000003</v>
      </c>
      <c r="X62" s="15">
        <f>IFERROR(W62/W445, "NA")</f>
        <v>-5.3699231301029675</v>
      </c>
      <c r="Y62" s="2"/>
      <c r="Z62" s="14">
        <f>IFERROR(Z42+Z43+Z44+Z46+Z47+Z48+Z49+Z50+Z51+Z52+Z53+Z54+Z55+Z56+Z57+Z58+Z59+Z60, "NA")</f>
        <v>75450.62000000001</v>
      </c>
      <c r="AA62" s="15">
        <f>IFERROR(Z62/Z445, "NA")</f>
        <v>0.18379776458445204</v>
      </c>
      <c r="AB62" s="2"/>
      <c r="AC62" s="14">
        <f t="shared" si="15"/>
        <v>-21189.930000000008</v>
      </c>
      <c r="AD62" s="15">
        <f>IFERROR(AC62/AC445, "NA")</f>
        <v>-0.57528352286440554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IFERROR(B64/B445, "NA")</f>
        <v>0</v>
      </c>
      <c r="D64" s="9"/>
      <c r="E64" s="7">
        <v>9516.92</v>
      </c>
      <c r="F64" s="8">
        <f>IFERROR(E64/E445, "NA")</f>
        <v>0.10199999699902919</v>
      </c>
      <c r="G64" s="9"/>
      <c r="H64" s="10">
        <f t="shared" ref="H64:H73" si="16">IFERROR(B64-E64, "NA")</f>
        <v>-9516.92</v>
      </c>
      <c r="I64" s="8">
        <f>IFERROR(H64/H445, "NA")</f>
        <v>1.5802668393567281</v>
      </c>
      <c r="J64" s="9"/>
      <c r="K64" s="7">
        <v>0</v>
      </c>
      <c r="L64" s="8">
        <f>IFERROR(K64/K445, "NA")</f>
        <v>0</v>
      </c>
      <c r="M64" s="9"/>
      <c r="N64" s="10">
        <f t="shared" ref="N64:N73" si="17">IFERROR(B64-K64, "NA")</f>
        <v>0</v>
      </c>
      <c r="O64" s="8">
        <f>IFERROR(N64/N445, "NA")</f>
        <v>0</v>
      </c>
      <c r="P64" s="9"/>
      <c r="Q64" s="7">
        <v>0</v>
      </c>
      <c r="R64" s="8">
        <f>IFERROR(Q64/Q445, "NA")</f>
        <v>0</v>
      </c>
      <c r="S64" s="9"/>
      <c r="T64" s="7">
        <v>44984.22</v>
      </c>
      <c r="U64" s="8">
        <f>IFERROR(T64/T445, "NA")</f>
        <v>0.10200000802681537</v>
      </c>
      <c r="V64" s="9"/>
      <c r="W64" s="10">
        <f t="shared" ref="W64:W73" si="18">IFERROR(Q64-T64, "NA")</f>
        <v>-44984.22</v>
      </c>
      <c r="X64" s="8">
        <f>IFERROR(W64/W445, "NA")</f>
        <v>-7.1165514699251791</v>
      </c>
      <c r="Y64" s="9"/>
      <c r="Z64" s="7">
        <v>0</v>
      </c>
      <c r="AA64" s="8">
        <f>IFERROR(Z64/Z445, "NA")</f>
        <v>0</v>
      </c>
      <c r="AB64" s="9"/>
      <c r="AC64" s="10">
        <f t="shared" ref="AC64:AC73" si="19">IFERROR(Q64-Z64, "NA")</f>
        <v>0</v>
      </c>
      <c r="AD64" s="8">
        <f>IFERROR(AC64/AC445, "NA")</f>
        <v>0</v>
      </c>
    </row>
    <row r="65" spans="1:30" ht="16.5" customHeight="1" x14ac:dyDescent="0.45">
      <c r="A65" s="12" t="s">
        <v>62</v>
      </c>
      <c r="B65" s="7">
        <v>7793.57</v>
      </c>
      <c r="C65" s="8">
        <f>IFERROR(B65/B445, "NA")</f>
        <v>8.929307353886233E-2</v>
      </c>
      <c r="D65" s="9"/>
      <c r="E65" s="7">
        <v>0</v>
      </c>
      <c r="F65" s="8">
        <f>IFERROR(E65/E445, "NA")</f>
        <v>0</v>
      </c>
      <c r="G65" s="9"/>
      <c r="H65" s="10">
        <f t="shared" si="16"/>
        <v>7793.57</v>
      </c>
      <c r="I65" s="8">
        <f>IFERROR(H65/H445, "NA")</f>
        <v>-1.2941077818459559</v>
      </c>
      <c r="J65" s="9"/>
      <c r="K65" s="7">
        <v>8552.24</v>
      </c>
      <c r="L65" s="8">
        <f>IFERROR(K65/K445, "NA")</f>
        <v>0.10025399231681155</v>
      </c>
      <c r="M65" s="9"/>
      <c r="N65" s="10">
        <f t="shared" si="17"/>
        <v>-758.67000000000007</v>
      </c>
      <c r="O65" s="8">
        <f>IFERROR(N65/N445, "NA")</f>
        <v>-0.38412503923931474</v>
      </c>
      <c r="P65" s="9"/>
      <c r="Q65" s="7">
        <v>39057.31</v>
      </c>
      <c r="R65" s="8">
        <f>IFERROR(Q65/Q445, "NA")</f>
        <v>8.7309575564868819E-2</v>
      </c>
      <c r="S65" s="9"/>
      <c r="T65" s="7">
        <v>0</v>
      </c>
      <c r="U65" s="8">
        <f>IFERROR(T65/T445, "NA")</f>
        <v>0</v>
      </c>
      <c r="V65" s="9"/>
      <c r="W65" s="10">
        <f t="shared" si="18"/>
        <v>39057.31</v>
      </c>
      <c r="X65" s="8">
        <f>IFERROR(W65/W445, "NA")</f>
        <v>6.17890800133521</v>
      </c>
      <c r="Y65" s="9"/>
      <c r="Z65" s="7">
        <v>10630.63</v>
      </c>
      <c r="AA65" s="8">
        <f>IFERROR(Z65/Z445, "NA")</f>
        <v>2.5896222325600678E-2</v>
      </c>
      <c r="AB65" s="9"/>
      <c r="AC65" s="10">
        <f t="shared" si="19"/>
        <v>28426.68</v>
      </c>
      <c r="AD65" s="8">
        <f>IFERROR(AC65/AC445, "NA")</f>
        <v>0.77175340426981753</v>
      </c>
    </row>
    <row r="66" spans="1:30" ht="16.5" customHeight="1" x14ac:dyDescent="0.45">
      <c r="A66" s="12" t="s">
        <v>63</v>
      </c>
      <c r="B66" s="7">
        <v>0</v>
      </c>
      <c r="C66" s="8">
        <f>IFERROR(B66/B445, "NA")</f>
        <v>0</v>
      </c>
      <c r="D66" s="9"/>
      <c r="E66" s="7">
        <v>0</v>
      </c>
      <c r="F66" s="8">
        <f>IFERROR(E66/E445, "NA")</f>
        <v>0</v>
      </c>
      <c r="G66" s="9"/>
      <c r="H66" s="10">
        <f t="shared" si="16"/>
        <v>0</v>
      </c>
      <c r="I66" s="8">
        <f>IFERROR(H66/H445, "NA")</f>
        <v>0</v>
      </c>
      <c r="J66" s="9"/>
      <c r="K66" s="7">
        <v>2790.36</v>
      </c>
      <c r="L66" s="8">
        <f>IFERROR(K66/K445, "NA")</f>
        <v>3.2710112204654952E-2</v>
      </c>
      <c r="M66" s="9"/>
      <c r="N66" s="10">
        <f t="shared" si="17"/>
        <v>-2790.36</v>
      </c>
      <c r="O66" s="8">
        <f>IFERROR(N66/N445, "NA")</f>
        <v>-1.4127975858961264</v>
      </c>
      <c r="P66" s="9"/>
      <c r="Q66" s="7">
        <v>0</v>
      </c>
      <c r="R66" s="8">
        <f>IFERROR(Q66/Q445, "NA")</f>
        <v>0</v>
      </c>
      <c r="S66" s="9"/>
      <c r="T66" s="7">
        <v>0</v>
      </c>
      <c r="U66" s="8">
        <f>IFERROR(T66/T445, "NA")</f>
        <v>0</v>
      </c>
      <c r="V66" s="9"/>
      <c r="W66" s="10">
        <f t="shared" si="18"/>
        <v>0</v>
      </c>
      <c r="X66" s="8">
        <f>IFERROR(W66/W445, "NA")</f>
        <v>0</v>
      </c>
      <c r="Y66" s="9"/>
      <c r="Z66" s="7">
        <v>6091.68</v>
      </c>
      <c r="AA66" s="8">
        <f>IFERROR(Z66/Z445, "NA")</f>
        <v>1.4839336861165817E-2</v>
      </c>
      <c r="AB66" s="9"/>
      <c r="AC66" s="10">
        <f t="shared" si="19"/>
        <v>-6091.68</v>
      </c>
      <c r="AD66" s="8">
        <f>IFERROR(AC66/AC445, "NA")</f>
        <v>-0.16538247792997149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IFERROR(B67/B445, "NA")</f>
        <v>0</v>
      </c>
      <c r="D67" s="9"/>
      <c r="E67" s="7">
        <v>0</v>
      </c>
      <c r="F67" s="8">
        <f>IFERROR(E67/E445, "NA")</f>
        <v>0</v>
      </c>
      <c r="G67" s="9"/>
      <c r="H67" s="10">
        <f t="shared" si="16"/>
        <v>0</v>
      </c>
      <c r="I67" s="8">
        <f>IFERROR(H67/H445, "NA")</f>
        <v>0</v>
      </c>
      <c r="J67" s="9"/>
      <c r="K67" s="7">
        <v>0</v>
      </c>
      <c r="L67" s="8">
        <f>IFERROR(K67/K445, "NA")</f>
        <v>0</v>
      </c>
      <c r="M67" s="9"/>
      <c r="N67" s="10">
        <f t="shared" si="17"/>
        <v>0</v>
      </c>
      <c r="O67" s="8">
        <f>IFERROR(N67/N445, "NA")</f>
        <v>0</v>
      </c>
      <c r="P67" s="9"/>
      <c r="Q67" s="7">
        <v>0</v>
      </c>
      <c r="R67" s="8">
        <f>IFERROR(Q67/Q445, "NA")</f>
        <v>0</v>
      </c>
      <c r="S67" s="9"/>
      <c r="T67" s="7">
        <v>0</v>
      </c>
      <c r="U67" s="8">
        <f>IFERROR(T67/T445, "NA")</f>
        <v>0</v>
      </c>
      <c r="V67" s="9"/>
      <c r="W67" s="10">
        <f t="shared" si="18"/>
        <v>0</v>
      </c>
      <c r="X67" s="8">
        <f>IFERROR(W67/W445, "NA")</f>
        <v>0</v>
      </c>
      <c r="Y67" s="9"/>
      <c r="Z67" s="7">
        <v>0</v>
      </c>
      <c r="AA67" s="8">
        <f>IFERROR(Z67/Z445, "NA")</f>
        <v>0</v>
      </c>
      <c r="AB67" s="9"/>
      <c r="AC67" s="10">
        <f t="shared" si="19"/>
        <v>0</v>
      </c>
      <c r="AD67" s="8">
        <f>IFERROR(AC67/AC445, "NA")</f>
        <v>0</v>
      </c>
    </row>
    <row r="68" spans="1:30" ht="16.5" customHeight="1" x14ac:dyDescent="0.45">
      <c r="A68" s="12" t="s">
        <v>65</v>
      </c>
      <c r="B68" s="7">
        <v>1338.05</v>
      </c>
      <c r="C68" s="8">
        <f>IFERROR(B68/B445, "NA")</f>
        <v>1.5330406610664272E-2</v>
      </c>
      <c r="D68" s="9"/>
      <c r="E68" s="7">
        <v>0</v>
      </c>
      <c r="F68" s="8">
        <f>IFERROR(E68/E445, "NA")</f>
        <v>0</v>
      </c>
      <c r="G68" s="9"/>
      <c r="H68" s="10">
        <f t="shared" si="16"/>
        <v>1338.05</v>
      </c>
      <c r="I68" s="8">
        <f>IFERROR(H68/H445, "NA")</f>
        <v>-0.22218071018788324</v>
      </c>
      <c r="J68" s="9"/>
      <c r="K68" s="7">
        <v>2177.6999999999998</v>
      </c>
      <c r="L68" s="8">
        <f>IFERROR(K68/K445, "NA")</f>
        <v>2.5528179642797733E-2</v>
      </c>
      <c r="M68" s="9"/>
      <c r="N68" s="10">
        <f t="shared" si="17"/>
        <v>-839.64999999999986</v>
      </c>
      <c r="O68" s="8">
        <f>IFERROR(N68/N445, "NA")</f>
        <v>-0.42512632527619459</v>
      </c>
      <c r="P68" s="9"/>
      <c r="Q68" s="7">
        <v>4884.82</v>
      </c>
      <c r="R68" s="8">
        <f>IFERROR(Q68/Q445, "NA")</f>
        <v>1.0919634785672195E-2</v>
      </c>
      <c r="S68" s="9"/>
      <c r="T68" s="7">
        <v>0</v>
      </c>
      <c r="U68" s="8">
        <f>IFERROR(T68/T445, "NA")</f>
        <v>0</v>
      </c>
      <c r="V68" s="9"/>
      <c r="W68" s="10">
        <f t="shared" si="18"/>
        <v>4884.82</v>
      </c>
      <c r="X68" s="8">
        <f>IFERROR(W68/W445, "NA")</f>
        <v>0.77278372174331156</v>
      </c>
      <c r="Y68" s="9"/>
      <c r="Z68" s="7">
        <v>2177.6999999999998</v>
      </c>
      <c r="AA68" s="8">
        <f>IFERROR(Z68/Z445, "NA")</f>
        <v>5.3048787662124067E-3</v>
      </c>
      <c r="AB68" s="9"/>
      <c r="AC68" s="10">
        <f t="shared" si="19"/>
        <v>2707.12</v>
      </c>
      <c r="AD68" s="8">
        <f>IFERROR(AC68/AC445, "NA")</f>
        <v>7.3495359843882876E-2</v>
      </c>
    </row>
    <row r="69" spans="1:30" ht="16.5" customHeight="1" x14ac:dyDescent="0.45">
      <c r="A69" s="12" t="s">
        <v>66</v>
      </c>
      <c r="B69" s="7">
        <v>0</v>
      </c>
      <c r="C69" s="8">
        <f>IFERROR(B69/B445, "NA")</f>
        <v>0</v>
      </c>
      <c r="D69" s="9"/>
      <c r="E69" s="7">
        <v>0</v>
      </c>
      <c r="F69" s="8">
        <f>IFERROR(E69/E445, "NA")</f>
        <v>0</v>
      </c>
      <c r="G69" s="9"/>
      <c r="H69" s="10">
        <f t="shared" si="16"/>
        <v>0</v>
      </c>
      <c r="I69" s="8">
        <f>IFERROR(H69/H445, "NA")</f>
        <v>0</v>
      </c>
      <c r="J69" s="9"/>
      <c r="K69" s="7">
        <v>0</v>
      </c>
      <c r="L69" s="8">
        <f>IFERROR(K69/K445, "NA")</f>
        <v>0</v>
      </c>
      <c r="M69" s="9"/>
      <c r="N69" s="10">
        <f t="shared" si="17"/>
        <v>0</v>
      </c>
      <c r="O69" s="8">
        <f>IFERROR(N69/N445, "NA")</f>
        <v>0</v>
      </c>
      <c r="P69" s="9"/>
      <c r="Q69" s="7">
        <v>18980</v>
      </c>
      <c r="R69" s="8">
        <f>IFERROR(Q69/Q445, "NA")</f>
        <v>4.2428312247341414E-2</v>
      </c>
      <c r="S69" s="9"/>
      <c r="T69" s="7">
        <v>0</v>
      </c>
      <c r="U69" s="8">
        <f>IFERROR(T69/T445, "NA")</f>
        <v>0</v>
      </c>
      <c r="V69" s="9"/>
      <c r="W69" s="10">
        <f t="shared" si="18"/>
        <v>18980</v>
      </c>
      <c r="X69" s="8">
        <f>IFERROR(W69/W445, "NA")</f>
        <v>3.00265619586557</v>
      </c>
      <c r="Y69" s="9"/>
      <c r="Z69" s="7">
        <v>0</v>
      </c>
      <c r="AA69" s="8">
        <f>IFERROR(Z69/Z445, "NA")</f>
        <v>0</v>
      </c>
      <c r="AB69" s="9"/>
      <c r="AC69" s="10">
        <f t="shared" si="19"/>
        <v>18980</v>
      </c>
      <c r="AD69" s="8">
        <f>IFERROR(AC69/AC445, "NA")</f>
        <v>0.51528633006179891</v>
      </c>
    </row>
    <row r="70" spans="1:30" ht="16.5" customHeight="1" x14ac:dyDescent="0.45">
      <c r="A70" s="12" t="s">
        <v>67</v>
      </c>
      <c r="B70" s="7">
        <v>4320</v>
      </c>
      <c r="C70" s="8">
        <f>IFERROR(B70/B445, "NA")</f>
        <v>4.9495427344321705E-2</v>
      </c>
      <c r="D70" s="9"/>
      <c r="E70" s="7">
        <v>0</v>
      </c>
      <c r="F70" s="8">
        <f>IFERROR(E70/E445, "NA")</f>
        <v>0</v>
      </c>
      <c r="G70" s="9"/>
      <c r="H70" s="10">
        <f t="shared" si="16"/>
        <v>4320</v>
      </c>
      <c r="I70" s="8">
        <f>IFERROR(H70/H445, "NA")</f>
        <v>-0.71732795337368238</v>
      </c>
      <c r="J70" s="9"/>
      <c r="K70" s="7">
        <v>0</v>
      </c>
      <c r="L70" s="8">
        <f>IFERROR(K70/K445, "NA")</f>
        <v>0</v>
      </c>
      <c r="M70" s="9"/>
      <c r="N70" s="10">
        <f t="shared" si="17"/>
        <v>4320</v>
      </c>
      <c r="O70" s="8">
        <f>IFERROR(N70/N445, "NA")</f>
        <v>2.1872753232813205</v>
      </c>
      <c r="P70" s="9"/>
      <c r="Q70" s="7">
        <v>19829.5</v>
      </c>
      <c r="R70" s="8">
        <f>IFERROR(Q70/Q445, "NA")</f>
        <v>4.4327303356620475E-2</v>
      </c>
      <c r="S70" s="9"/>
      <c r="T70" s="7">
        <v>0</v>
      </c>
      <c r="U70" s="8">
        <f>IFERROR(T70/T445, "NA")</f>
        <v>0</v>
      </c>
      <c r="V70" s="9"/>
      <c r="W70" s="10">
        <f t="shared" si="18"/>
        <v>19829.5</v>
      </c>
      <c r="X70" s="8">
        <f>IFERROR(W70/W445, "NA")</f>
        <v>3.1370479997848433</v>
      </c>
      <c r="Y70" s="9"/>
      <c r="Z70" s="7">
        <v>0</v>
      </c>
      <c r="AA70" s="8">
        <f>IFERROR(Z70/Z445, "NA")</f>
        <v>0</v>
      </c>
      <c r="AB70" s="9"/>
      <c r="AC70" s="10">
        <f t="shared" si="19"/>
        <v>19829.5</v>
      </c>
      <c r="AD70" s="8">
        <f>IFERROR(AC70/AC445, "NA")</f>
        <v>0.53834932992415385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IFERROR(B71/B445, "NA")</f>
        <v>0</v>
      </c>
      <c r="D71" s="9"/>
      <c r="E71" s="7">
        <v>0</v>
      </c>
      <c r="F71" s="8">
        <f>IFERROR(E71/E445, "NA")</f>
        <v>0</v>
      </c>
      <c r="G71" s="9"/>
      <c r="H71" s="10">
        <f t="shared" si="16"/>
        <v>0</v>
      </c>
      <c r="I71" s="8">
        <f>IFERROR(H71/H445, "NA")</f>
        <v>0</v>
      </c>
      <c r="J71" s="9"/>
      <c r="K71" s="7">
        <v>0</v>
      </c>
      <c r="L71" s="8">
        <f>IFERROR(K71/K445, "NA")</f>
        <v>0</v>
      </c>
      <c r="M71" s="9"/>
      <c r="N71" s="10">
        <f t="shared" si="17"/>
        <v>0</v>
      </c>
      <c r="O71" s="8">
        <f>IFERROR(N71/N445, "NA")</f>
        <v>0</v>
      </c>
      <c r="P71" s="9"/>
      <c r="Q71" s="7">
        <v>0</v>
      </c>
      <c r="R71" s="8">
        <f>IFERROR(Q71/Q445, "NA")</f>
        <v>0</v>
      </c>
      <c r="S71" s="9"/>
      <c r="T71" s="7">
        <v>0</v>
      </c>
      <c r="U71" s="8">
        <f>IFERROR(T71/T445, "NA")</f>
        <v>0</v>
      </c>
      <c r="V71" s="9"/>
      <c r="W71" s="10">
        <f t="shared" si="18"/>
        <v>0</v>
      </c>
      <c r="X71" s="8">
        <f>IFERROR(W71/W445, "NA")</f>
        <v>0</v>
      </c>
      <c r="Y71" s="9"/>
      <c r="Z71" s="7">
        <v>0</v>
      </c>
      <c r="AA71" s="8">
        <f>IFERROR(Z71/Z445, "NA")</f>
        <v>0</v>
      </c>
      <c r="AB71" s="9"/>
      <c r="AC71" s="10">
        <f t="shared" si="19"/>
        <v>0</v>
      </c>
      <c r="AD71" s="8">
        <f>IFERROR(AC71/AC445,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IFERROR(B72/B445, "NA")</f>
        <v>0</v>
      </c>
      <c r="D72" s="9"/>
      <c r="E72" s="7">
        <v>0</v>
      </c>
      <c r="F72" s="8">
        <f>IFERROR(E72/E445, "NA")</f>
        <v>0</v>
      </c>
      <c r="G72" s="9"/>
      <c r="H72" s="10">
        <f t="shared" si="16"/>
        <v>0</v>
      </c>
      <c r="I72" s="8">
        <f>IFERROR(H72/H445, "NA")</f>
        <v>0</v>
      </c>
      <c r="J72" s="9"/>
      <c r="K72" s="7">
        <v>0</v>
      </c>
      <c r="L72" s="8">
        <f>IFERROR(K72/K445, "NA")</f>
        <v>0</v>
      </c>
      <c r="M72" s="9"/>
      <c r="N72" s="10">
        <f t="shared" si="17"/>
        <v>0</v>
      </c>
      <c r="O72" s="8">
        <f>IFERROR(N72/N445, "NA")</f>
        <v>0</v>
      </c>
      <c r="P72" s="9"/>
      <c r="Q72" s="7">
        <v>0</v>
      </c>
      <c r="R72" s="8">
        <f>IFERROR(Q72/Q445, "NA")</f>
        <v>0</v>
      </c>
      <c r="S72" s="9"/>
      <c r="T72" s="7">
        <v>0</v>
      </c>
      <c r="U72" s="8">
        <f>IFERROR(T72/T445, "NA")</f>
        <v>0</v>
      </c>
      <c r="V72" s="9"/>
      <c r="W72" s="10">
        <f t="shared" si="18"/>
        <v>0</v>
      </c>
      <c r="X72" s="8">
        <f>IFERROR(W72/W445, "NA")</f>
        <v>0</v>
      </c>
      <c r="Y72" s="9"/>
      <c r="Z72" s="7">
        <v>0</v>
      </c>
      <c r="AA72" s="8">
        <f>IFERROR(Z72/Z445, "NA")</f>
        <v>0</v>
      </c>
      <c r="AB72" s="9"/>
      <c r="AC72" s="10">
        <f t="shared" si="19"/>
        <v>0</v>
      </c>
      <c r="AD72" s="8">
        <f>IFERROR(AC72/AC445,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13451.619999999999</v>
      </c>
      <c r="C73" s="15">
        <f>IFERROR(B73/B445, "NA")</f>
        <v>0.1541189074938483</v>
      </c>
      <c r="D73" s="2"/>
      <c r="E73" s="14">
        <f>IFERROR(E64+E65+E66+E67+E68+E69+E70+E71+E72, "NA")</f>
        <v>9516.92</v>
      </c>
      <c r="F73" s="15">
        <f>IFERROR(E73/E445, "NA")</f>
        <v>0.10199999699902919</v>
      </c>
      <c r="G73" s="2"/>
      <c r="H73" s="14">
        <f t="shared" si="16"/>
        <v>3934.6999999999989</v>
      </c>
      <c r="I73" s="15">
        <f>IFERROR(H73/H445, "NA")</f>
        <v>-0.65334960605079329</v>
      </c>
      <c r="J73" s="2"/>
      <c r="K73" s="14">
        <f>IFERROR(K64+K65+K66+K67+K68+K69+K70+K71+K72, "NA")</f>
        <v>13520.3</v>
      </c>
      <c r="L73" s="15">
        <f>IFERROR(K73/K445, "NA")</f>
        <v>0.15849228416426422</v>
      </c>
      <c r="M73" s="2"/>
      <c r="N73" s="14">
        <f t="shared" si="17"/>
        <v>-68.680000000000291</v>
      </c>
      <c r="O73" s="15">
        <f>IFERROR(N73/N445, "NA")</f>
        <v>-3.4773627130315218E-2</v>
      </c>
      <c r="P73" s="2"/>
      <c r="Q73" s="14">
        <f>IFERROR(Q64+Q65+Q66+Q67+Q68+Q69+Q70+Q71+Q72, "NA")</f>
        <v>82751.63</v>
      </c>
      <c r="R73" s="15">
        <f>IFERROR(Q73/Q445, "NA")</f>
        <v>0.18498482595450291</v>
      </c>
      <c r="S73" s="2"/>
      <c r="T73" s="14">
        <f>IFERROR(T64+T65+T66+T67+T68+T69+T70+T71+T72, "NA")</f>
        <v>44984.22</v>
      </c>
      <c r="U73" s="15">
        <f>IFERROR(T73/T445, "NA")</f>
        <v>0.10200000802681537</v>
      </c>
      <c r="V73" s="2"/>
      <c r="W73" s="14">
        <f t="shared" si="18"/>
        <v>37767.410000000003</v>
      </c>
      <c r="X73" s="15">
        <f>IFERROR(W73/W445, "NA")</f>
        <v>5.9748444488037569</v>
      </c>
      <c r="Y73" s="2"/>
      <c r="Z73" s="14">
        <f>IFERROR(Z64+Z65+Z66+Z67+Z68+Z69+Z70+Z71+Z72, "NA")</f>
        <v>18900.009999999998</v>
      </c>
      <c r="AA73" s="15">
        <f>IFERROR(Z73/Z445, "NA")</f>
        <v>4.6040437952978901E-2</v>
      </c>
      <c r="AB73" s="2"/>
      <c r="AC73" s="14">
        <f t="shared" si="19"/>
        <v>63851.62000000001</v>
      </c>
      <c r="AD73" s="15">
        <f>IFERROR(AC73/AC445, "NA")</f>
        <v>1.7335019461696819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IFERROR(B75/B445, "NA")</f>
        <v>0</v>
      </c>
      <c r="D75" s="9"/>
      <c r="E75" s="7">
        <v>746.43</v>
      </c>
      <c r="F75" s="8">
        <f>IFERROR(E75/E445, "NA")</f>
        <v>8.0000523026341874E-3</v>
      </c>
      <c r="G75" s="9"/>
      <c r="H75" s="10">
        <f t="shared" ref="H75:H92" si="20">IFERROR(B75-E75, "NA")</f>
        <v>-746.43</v>
      </c>
      <c r="I75" s="8">
        <f>IFERROR(H75/H445, "NA")</f>
        <v>0.12394331116590687</v>
      </c>
      <c r="J75" s="9"/>
      <c r="K75" s="7">
        <v>0</v>
      </c>
      <c r="L75" s="8">
        <f>IFERROR(K75/K445, "NA")</f>
        <v>0</v>
      </c>
      <c r="M75" s="9"/>
      <c r="N75" s="10">
        <f t="shared" ref="N75:N92" si="21">IFERROR(B75-K75, "NA")</f>
        <v>0</v>
      </c>
      <c r="O75" s="8">
        <f>IFERROR(N75/N445, "NA")</f>
        <v>0</v>
      </c>
      <c r="P75" s="9"/>
      <c r="Q75" s="7">
        <v>0</v>
      </c>
      <c r="R75" s="8">
        <f>IFERROR(Q75/Q445, "NA")</f>
        <v>0</v>
      </c>
      <c r="S75" s="9"/>
      <c r="T75" s="7">
        <v>3528.17</v>
      </c>
      <c r="U75" s="8">
        <f>IFERROR(T75/T445, "NA")</f>
        <v>7.9999912929460421E-3</v>
      </c>
      <c r="V75" s="9"/>
      <c r="W75" s="10">
        <f t="shared" ref="W75:W92" si="22">IFERROR(Q75-T75, "NA")</f>
        <v>-3528.17</v>
      </c>
      <c r="X75" s="8">
        <f>IFERROR(W75/W445, "NA")</f>
        <v>-0.55816024818582866</v>
      </c>
      <c r="Y75" s="9"/>
      <c r="Z75" s="7">
        <v>0</v>
      </c>
      <c r="AA75" s="8">
        <f>IFERROR(Z75/Z445, "NA")</f>
        <v>0</v>
      </c>
      <c r="AB75" s="9"/>
      <c r="AC75" s="10">
        <f t="shared" ref="AC75:AC92" si="23">IFERROR(Q75-Z75, "NA")</f>
        <v>0</v>
      </c>
      <c r="AD75" s="8">
        <f>IFERROR(AC75/AC445,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IFERROR(B76/B445, "NA")</f>
        <v>0</v>
      </c>
      <c r="D76" s="9"/>
      <c r="E76" s="7">
        <v>0</v>
      </c>
      <c r="F76" s="8">
        <f>IFERROR(E76/E445, "NA")</f>
        <v>0</v>
      </c>
      <c r="G76" s="9"/>
      <c r="H76" s="10">
        <f t="shared" si="20"/>
        <v>0</v>
      </c>
      <c r="I76" s="8">
        <f>IFERROR(H76/H445, "NA")</f>
        <v>0</v>
      </c>
      <c r="J76" s="9"/>
      <c r="K76" s="7">
        <v>0</v>
      </c>
      <c r="L76" s="8">
        <f>IFERROR(K76/K445, "NA")</f>
        <v>0</v>
      </c>
      <c r="M76" s="9"/>
      <c r="N76" s="10">
        <f t="shared" si="21"/>
        <v>0</v>
      </c>
      <c r="O76" s="8">
        <f>IFERROR(N76/N445, "NA")</f>
        <v>0</v>
      </c>
      <c r="P76" s="9"/>
      <c r="Q76" s="7">
        <v>0</v>
      </c>
      <c r="R76" s="8">
        <f>IFERROR(Q76/Q445, "NA")</f>
        <v>0</v>
      </c>
      <c r="S76" s="9"/>
      <c r="T76" s="7">
        <v>0</v>
      </c>
      <c r="U76" s="8">
        <f>IFERROR(T76/T445, "NA")</f>
        <v>0</v>
      </c>
      <c r="V76" s="9"/>
      <c r="W76" s="10">
        <f t="shared" si="22"/>
        <v>0</v>
      </c>
      <c r="X76" s="8">
        <f>IFERROR(W76/W445, "NA")</f>
        <v>0</v>
      </c>
      <c r="Y76" s="9"/>
      <c r="Z76" s="7">
        <v>0</v>
      </c>
      <c r="AA76" s="8">
        <f>IFERROR(Z76/Z445, "NA")</f>
        <v>0</v>
      </c>
      <c r="AB76" s="9"/>
      <c r="AC76" s="10">
        <f t="shared" si="23"/>
        <v>0</v>
      </c>
      <c r="AD76" s="8">
        <f>IFERROR(AC76/AC445, "NA")</f>
        <v>0</v>
      </c>
    </row>
    <row r="77" spans="1:30" ht="16.5" customHeight="1" x14ac:dyDescent="0.45">
      <c r="A77" s="12" t="s">
        <v>73</v>
      </c>
      <c r="B77" s="7">
        <v>197.3</v>
      </c>
      <c r="C77" s="8">
        <f>IFERROR(B77/B445, "NA")</f>
        <v>2.2605203275543224E-3</v>
      </c>
      <c r="D77" s="9"/>
      <c r="E77" s="7">
        <v>0</v>
      </c>
      <c r="F77" s="8">
        <f>IFERROR(E77/E445, "NA")</f>
        <v>0</v>
      </c>
      <c r="G77" s="9"/>
      <c r="H77" s="10">
        <f t="shared" si="20"/>
        <v>197.3</v>
      </c>
      <c r="I77" s="8">
        <f>IFERROR(H77/H445, "NA")</f>
        <v>-3.276129750014526E-2</v>
      </c>
      <c r="J77" s="9"/>
      <c r="K77" s="7">
        <v>343.08</v>
      </c>
      <c r="L77" s="8">
        <f>IFERROR(K77/K445, "NA")</f>
        <v>4.0217696982371527E-3</v>
      </c>
      <c r="M77" s="9"/>
      <c r="N77" s="10">
        <f t="shared" si="21"/>
        <v>-145.77999999999997</v>
      </c>
      <c r="O77" s="8">
        <f>IFERROR(N77/N445, "NA")</f>
        <v>-7.3810415886099739E-2</v>
      </c>
      <c r="P77" s="9"/>
      <c r="Q77" s="7">
        <v>1337.74</v>
      </c>
      <c r="R77" s="8">
        <f>IFERROR(Q77/Q445, "NA")</f>
        <v>2.990413615688014E-3</v>
      </c>
      <c r="S77" s="9"/>
      <c r="T77" s="7">
        <v>0</v>
      </c>
      <c r="U77" s="8">
        <f>IFERROR(T77/T445, "NA")</f>
        <v>0</v>
      </c>
      <c r="V77" s="9"/>
      <c r="W77" s="10">
        <f t="shared" si="22"/>
        <v>1337.74</v>
      </c>
      <c r="X77" s="8">
        <f>IFERROR(W77/W445, "NA")</f>
        <v>0.21163189143610156</v>
      </c>
      <c r="Y77" s="9"/>
      <c r="Z77" s="7">
        <v>1014.9</v>
      </c>
      <c r="AA77" s="8">
        <f>IFERROR(Z77/Z445, "NA")</f>
        <v>2.4722971299210045E-3</v>
      </c>
      <c r="AB77" s="9"/>
      <c r="AC77" s="10">
        <f t="shared" si="23"/>
        <v>322.84000000000003</v>
      </c>
      <c r="AD77" s="8">
        <f>IFERROR(AC77/AC445, "NA")</f>
        <v>8.7647544150237702E-3</v>
      </c>
    </row>
    <row r="78" spans="1:30" ht="16.5" customHeight="1" x14ac:dyDescent="0.45">
      <c r="A78" s="12" t="s">
        <v>74</v>
      </c>
      <c r="B78" s="7">
        <v>25</v>
      </c>
      <c r="C78" s="8">
        <f>IFERROR(B78/B445, "NA")</f>
        <v>2.8643187120556539E-4</v>
      </c>
      <c r="D78" s="9"/>
      <c r="E78" s="7">
        <v>0</v>
      </c>
      <c r="F78" s="8">
        <f>IFERROR(E78/E445, "NA")</f>
        <v>0</v>
      </c>
      <c r="G78" s="9"/>
      <c r="H78" s="10">
        <f t="shared" si="20"/>
        <v>25</v>
      </c>
      <c r="I78" s="8">
        <f>IFERROR(H78/H445, "NA")</f>
        <v>-4.1512034338754764E-3</v>
      </c>
      <c r="J78" s="9"/>
      <c r="K78" s="7">
        <v>50</v>
      </c>
      <c r="L78" s="8">
        <f>IFERROR(K78/K445, "NA")</f>
        <v>5.8612709837897172E-4</v>
      </c>
      <c r="M78" s="9"/>
      <c r="N78" s="10">
        <f t="shared" si="21"/>
        <v>-25</v>
      </c>
      <c r="O78" s="8">
        <f>IFERROR(N78/N445, "NA")</f>
        <v>-1.2657843306026161E-2</v>
      </c>
      <c r="P78" s="9"/>
      <c r="Q78" s="7">
        <v>75</v>
      </c>
      <c r="R78" s="8">
        <f>IFERROR(Q78/Q445, "NA")</f>
        <v>1.6765666061910464E-4</v>
      </c>
      <c r="S78" s="9"/>
      <c r="T78" s="7">
        <v>0</v>
      </c>
      <c r="U78" s="8">
        <f>IFERROR(T78/T445, "NA")</f>
        <v>0</v>
      </c>
      <c r="V78" s="9"/>
      <c r="W78" s="10">
        <f t="shared" si="22"/>
        <v>75</v>
      </c>
      <c r="X78" s="8">
        <f>IFERROR(W78/W445, "NA")</f>
        <v>1.1865079804526751E-2</v>
      </c>
      <c r="Y78" s="9"/>
      <c r="Z78" s="7">
        <v>275</v>
      </c>
      <c r="AA78" s="8">
        <f>IFERROR(Z78/Z445, "NA")</f>
        <v>6.6990019778133446E-4</v>
      </c>
      <c r="AB78" s="9"/>
      <c r="AC78" s="10">
        <f t="shared" si="23"/>
        <v>-200</v>
      </c>
      <c r="AD78" s="8">
        <f>IFERROR(AC78/AC445, "NA")</f>
        <v>-5.4297821924320219E-3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IFERROR(B79/B445, "NA")</f>
        <v>0</v>
      </c>
      <c r="D79" s="9"/>
      <c r="E79" s="7">
        <v>0</v>
      </c>
      <c r="F79" s="8">
        <f>IFERROR(E79/E445, "NA")</f>
        <v>0</v>
      </c>
      <c r="G79" s="9"/>
      <c r="H79" s="10">
        <f t="shared" si="20"/>
        <v>0</v>
      </c>
      <c r="I79" s="8">
        <f>IFERROR(H79/H445, "NA")</f>
        <v>0</v>
      </c>
      <c r="J79" s="9"/>
      <c r="K79" s="7">
        <v>0</v>
      </c>
      <c r="L79" s="8">
        <f>IFERROR(K79/K445, "NA")</f>
        <v>0</v>
      </c>
      <c r="M79" s="9"/>
      <c r="N79" s="10">
        <f t="shared" si="21"/>
        <v>0</v>
      </c>
      <c r="O79" s="8">
        <f>IFERROR(N79/N445, "NA")</f>
        <v>0</v>
      </c>
      <c r="P79" s="9"/>
      <c r="Q79" s="7">
        <v>0</v>
      </c>
      <c r="R79" s="8">
        <f>IFERROR(Q79/Q445, "NA")</f>
        <v>0</v>
      </c>
      <c r="S79" s="9"/>
      <c r="T79" s="7">
        <v>0</v>
      </c>
      <c r="U79" s="8">
        <f>IFERROR(T79/T445, "NA")</f>
        <v>0</v>
      </c>
      <c r="V79" s="9"/>
      <c r="W79" s="10">
        <f t="shared" si="22"/>
        <v>0</v>
      </c>
      <c r="X79" s="8">
        <f>IFERROR(W79/W445, "NA")</f>
        <v>0</v>
      </c>
      <c r="Y79" s="9"/>
      <c r="Z79" s="7">
        <v>0</v>
      </c>
      <c r="AA79" s="8">
        <f>IFERROR(Z79/Z445, "NA")</f>
        <v>0</v>
      </c>
      <c r="AB79" s="9"/>
      <c r="AC79" s="10">
        <f t="shared" si="23"/>
        <v>0</v>
      </c>
      <c r="AD79" s="8">
        <f>IFERROR(AC79/AC445, "NA")</f>
        <v>0</v>
      </c>
    </row>
    <row r="80" spans="1:30" ht="16.5" customHeight="1" x14ac:dyDescent="0.45">
      <c r="A80" s="12" t="s">
        <v>76</v>
      </c>
      <c r="B80" s="7">
        <v>233.98</v>
      </c>
      <c r="C80" s="8">
        <f>IFERROR(B80/B445, "NA")</f>
        <v>2.6807731689871277E-3</v>
      </c>
      <c r="D80" s="9"/>
      <c r="E80" s="7">
        <v>0</v>
      </c>
      <c r="F80" s="8">
        <f>IFERROR(E80/E445, "NA")</f>
        <v>0</v>
      </c>
      <c r="G80" s="9"/>
      <c r="H80" s="10">
        <f t="shared" si="20"/>
        <v>233.98</v>
      </c>
      <c r="I80" s="8">
        <f>IFERROR(H80/H445, "NA")</f>
        <v>-3.885194317832736E-2</v>
      </c>
      <c r="J80" s="9"/>
      <c r="K80" s="7">
        <v>257.87</v>
      </c>
      <c r="L80" s="8">
        <f>IFERROR(K80/K445, "NA")</f>
        <v>3.0228918971797092E-3</v>
      </c>
      <c r="M80" s="9"/>
      <c r="N80" s="10">
        <f t="shared" si="21"/>
        <v>-23.890000000000015</v>
      </c>
      <c r="O80" s="8">
        <f>IFERROR(N80/N445, "NA")</f>
        <v>-1.2095835063238606E-2</v>
      </c>
      <c r="P80" s="9"/>
      <c r="Q80" s="7">
        <v>817.38</v>
      </c>
      <c r="R80" s="8">
        <f>IFERROR(Q80/Q445, "NA")</f>
        <v>1.8271893500912499E-3</v>
      </c>
      <c r="S80" s="9"/>
      <c r="T80" s="7">
        <v>0</v>
      </c>
      <c r="U80" s="8">
        <f>IFERROR(T80/T445, "NA")</f>
        <v>0</v>
      </c>
      <c r="V80" s="9"/>
      <c r="W80" s="10">
        <f t="shared" si="22"/>
        <v>817.38</v>
      </c>
      <c r="X80" s="8">
        <f>IFERROR(W80/W445, "NA")</f>
        <v>0.12931038574165435</v>
      </c>
      <c r="Y80" s="9"/>
      <c r="Z80" s="7">
        <v>2792.04</v>
      </c>
      <c r="AA80" s="8">
        <f>IFERROR(Z80/Z445, "NA")</f>
        <v>6.8014114480487164E-3</v>
      </c>
      <c r="AB80" s="9"/>
      <c r="AC80" s="10">
        <f t="shared" si="23"/>
        <v>-1974.6599999999999</v>
      </c>
      <c r="AD80" s="8">
        <f>IFERROR(AC80/AC445, "NA")</f>
        <v>-5.3609868520539075E-2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IFERROR(B81/B445, "NA")</f>
        <v>0</v>
      </c>
      <c r="D81" s="9"/>
      <c r="E81" s="7">
        <v>0</v>
      </c>
      <c r="F81" s="8">
        <f>IFERROR(E81/E445, "NA")</f>
        <v>0</v>
      </c>
      <c r="G81" s="9"/>
      <c r="H81" s="10">
        <f t="shared" si="20"/>
        <v>0</v>
      </c>
      <c r="I81" s="8">
        <f>IFERROR(H81/H445, "NA")</f>
        <v>0</v>
      </c>
      <c r="J81" s="9"/>
      <c r="K81" s="7">
        <v>0</v>
      </c>
      <c r="L81" s="8">
        <f>IFERROR(K81/K445, "NA")</f>
        <v>0</v>
      </c>
      <c r="M81" s="9"/>
      <c r="N81" s="10">
        <f t="shared" si="21"/>
        <v>0</v>
      </c>
      <c r="O81" s="8">
        <f>IFERROR(N81/N445, "NA")</f>
        <v>0</v>
      </c>
      <c r="P81" s="9"/>
      <c r="Q81" s="7">
        <v>0</v>
      </c>
      <c r="R81" s="8">
        <f>IFERROR(Q81/Q445, "NA")</f>
        <v>0</v>
      </c>
      <c r="S81" s="9"/>
      <c r="T81" s="7">
        <v>0</v>
      </c>
      <c r="U81" s="8">
        <f>IFERROR(T81/T445, "NA")</f>
        <v>0</v>
      </c>
      <c r="V81" s="9"/>
      <c r="W81" s="10">
        <f t="shared" si="22"/>
        <v>0</v>
      </c>
      <c r="X81" s="8">
        <f>IFERROR(W81/W445, "NA")</f>
        <v>0</v>
      </c>
      <c r="Y81" s="9"/>
      <c r="Z81" s="7">
        <v>0</v>
      </c>
      <c r="AA81" s="8">
        <f>IFERROR(Z81/Z445, "NA")</f>
        <v>0</v>
      </c>
      <c r="AB81" s="9"/>
      <c r="AC81" s="10">
        <f t="shared" si="23"/>
        <v>0</v>
      </c>
      <c r="AD81" s="8">
        <f>IFERROR(AC81/AC445,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IFERROR(B82/B445, "NA")</f>
        <v>0</v>
      </c>
      <c r="D82" s="9"/>
      <c r="E82" s="7">
        <v>0</v>
      </c>
      <c r="F82" s="8">
        <f>IFERROR(E82/E445, "NA")</f>
        <v>0</v>
      </c>
      <c r="G82" s="9"/>
      <c r="H82" s="10">
        <f t="shared" si="20"/>
        <v>0</v>
      </c>
      <c r="I82" s="8">
        <f>IFERROR(H82/H445, "NA")</f>
        <v>0</v>
      </c>
      <c r="J82" s="9"/>
      <c r="K82" s="7">
        <v>0</v>
      </c>
      <c r="L82" s="8">
        <f>IFERROR(K82/K445, "NA")</f>
        <v>0</v>
      </c>
      <c r="M82" s="9"/>
      <c r="N82" s="10">
        <f t="shared" si="21"/>
        <v>0</v>
      </c>
      <c r="O82" s="8">
        <f>IFERROR(N82/N445, "NA")</f>
        <v>0</v>
      </c>
      <c r="P82" s="9"/>
      <c r="Q82" s="7">
        <v>0</v>
      </c>
      <c r="R82" s="8">
        <f>IFERROR(Q82/Q445, "NA")</f>
        <v>0</v>
      </c>
      <c r="S82" s="9"/>
      <c r="T82" s="7">
        <v>0</v>
      </c>
      <c r="U82" s="8">
        <f>IFERROR(T82/T445, "NA")</f>
        <v>0</v>
      </c>
      <c r="V82" s="9"/>
      <c r="W82" s="10">
        <f t="shared" si="22"/>
        <v>0</v>
      </c>
      <c r="X82" s="8">
        <f>IFERROR(W82/W445, "NA")</f>
        <v>0</v>
      </c>
      <c r="Y82" s="9"/>
      <c r="Z82" s="7">
        <v>25</v>
      </c>
      <c r="AA82" s="8">
        <f>IFERROR(Z82/Z445, "NA")</f>
        <v>6.0900017980121315E-5</v>
      </c>
      <c r="AB82" s="9"/>
      <c r="AC82" s="10">
        <f t="shared" si="23"/>
        <v>-25</v>
      </c>
      <c r="AD82" s="8">
        <f>IFERROR(AC82/AC445, "NA")</f>
        <v>-6.7872277405400274E-4</v>
      </c>
    </row>
    <row r="83" spans="1:30" ht="16.5" customHeight="1" x14ac:dyDescent="0.45">
      <c r="A83" s="12" t="s">
        <v>79</v>
      </c>
      <c r="B83" s="7">
        <v>0</v>
      </c>
      <c r="C83" s="8">
        <f>IFERROR(B83/B445, "NA")</f>
        <v>0</v>
      </c>
      <c r="D83" s="9"/>
      <c r="E83" s="7">
        <v>0</v>
      </c>
      <c r="F83" s="8">
        <f>IFERROR(E83/E445, "NA")</f>
        <v>0</v>
      </c>
      <c r="G83" s="9"/>
      <c r="H83" s="10">
        <f t="shared" si="20"/>
        <v>0</v>
      </c>
      <c r="I83" s="8">
        <f>IFERROR(H83/H445, "NA")</f>
        <v>0</v>
      </c>
      <c r="J83" s="9"/>
      <c r="K83" s="7">
        <v>0</v>
      </c>
      <c r="L83" s="8">
        <f>IFERROR(K83/K445, "NA")</f>
        <v>0</v>
      </c>
      <c r="M83" s="9"/>
      <c r="N83" s="10">
        <f t="shared" si="21"/>
        <v>0</v>
      </c>
      <c r="O83" s="8">
        <f>IFERROR(N83/N445, "NA")</f>
        <v>0</v>
      </c>
      <c r="P83" s="9"/>
      <c r="Q83" s="7">
        <v>35</v>
      </c>
      <c r="R83" s="8">
        <f>IFERROR(Q83/Q445, "NA")</f>
        <v>7.8239774955582162E-5</v>
      </c>
      <c r="S83" s="9"/>
      <c r="T83" s="7">
        <v>0</v>
      </c>
      <c r="U83" s="8">
        <f>IFERROR(T83/T445, "NA")</f>
        <v>0</v>
      </c>
      <c r="V83" s="9"/>
      <c r="W83" s="10">
        <f t="shared" si="22"/>
        <v>35</v>
      </c>
      <c r="X83" s="8">
        <f>IFERROR(W83/W445, "NA")</f>
        <v>5.5370372421124844E-3</v>
      </c>
      <c r="Y83" s="9"/>
      <c r="Z83" s="7">
        <v>0</v>
      </c>
      <c r="AA83" s="8">
        <f>IFERROR(Z83/Z445, "NA")</f>
        <v>0</v>
      </c>
      <c r="AB83" s="9"/>
      <c r="AC83" s="10">
        <f t="shared" si="23"/>
        <v>35</v>
      </c>
      <c r="AD83" s="8">
        <f>IFERROR(AC83/AC445, "NA")</f>
        <v>9.5021188367560379E-4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IFERROR(B84/B445, "NA")</f>
        <v>0</v>
      </c>
      <c r="D84" s="9"/>
      <c r="E84" s="7">
        <v>0</v>
      </c>
      <c r="F84" s="8">
        <f>IFERROR(E84/E445, "NA")</f>
        <v>0</v>
      </c>
      <c r="G84" s="9"/>
      <c r="H84" s="10">
        <f t="shared" si="20"/>
        <v>0</v>
      </c>
      <c r="I84" s="8">
        <f>IFERROR(H84/H445, "NA")</f>
        <v>0</v>
      </c>
      <c r="J84" s="9"/>
      <c r="K84" s="7">
        <v>0</v>
      </c>
      <c r="L84" s="8">
        <f>IFERROR(K84/K445, "NA")</f>
        <v>0</v>
      </c>
      <c r="M84" s="9"/>
      <c r="N84" s="10">
        <f t="shared" si="21"/>
        <v>0</v>
      </c>
      <c r="O84" s="8">
        <f>IFERROR(N84/N445, "NA")</f>
        <v>0</v>
      </c>
      <c r="P84" s="9"/>
      <c r="Q84" s="7">
        <v>0</v>
      </c>
      <c r="R84" s="8">
        <f>IFERROR(Q84/Q445, "NA")</f>
        <v>0</v>
      </c>
      <c r="S84" s="9"/>
      <c r="T84" s="7">
        <v>0</v>
      </c>
      <c r="U84" s="8">
        <f>IFERROR(T84/T445, "NA")</f>
        <v>0</v>
      </c>
      <c r="V84" s="9"/>
      <c r="W84" s="10">
        <f t="shared" si="22"/>
        <v>0</v>
      </c>
      <c r="X84" s="8">
        <f>IFERROR(W84/W445, "NA")</f>
        <v>0</v>
      </c>
      <c r="Y84" s="9"/>
      <c r="Z84" s="7">
        <v>0</v>
      </c>
      <c r="AA84" s="8">
        <f>IFERROR(Z84/Z445, "NA")</f>
        <v>0</v>
      </c>
      <c r="AB84" s="9"/>
      <c r="AC84" s="10">
        <f t="shared" si="23"/>
        <v>0</v>
      </c>
      <c r="AD84" s="8">
        <f>IFERROR(AC84/AC445,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IFERROR(B85/B445, "NA")</f>
        <v>0</v>
      </c>
      <c r="D85" s="9"/>
      <c r="E85" s="7">
        <v>0</v>
      </c>
      <c r="F85" s="8">
        <f>IFERROR(E85/E445, "NA")</f>
        <v>0</v>
      </c>
      <c r="G85" s="9"/>
      <c r="H85" s="10">
        <f t="shared" si="20"/>
        <v>0</v>
      </c>
      <c r="I85" s="8">
        <f>IFERROR(H85/H445, "NA")</f>
        <v>0</v>
      </c>
      <c r="J85" s="9"/>
      <c r="K85" s="7">
        <v>0</v>
      </c>
      <c r="L85" s="8">
        <f>IFERROR(K85/K445, "NA")</f>
        <v>0</v>
      </c>
      <c r="M85" s="9"/>
      <c r="N85" s="10">
        <f t="shared" si="21"/>
        <v>0</v>
      </c>
      <c r="O85" s="8">
        <f>IFERROR(N85/N445, "NA")</f>
        <v>0</v>
      </c>
      <c r="P85" s="9"/>
      <c r="Q85" s="7">
        <v>0</v>
      </c>
      <c r="R85" s="8">
        <f>IFERROR(Q85/Q445, "NA")</f>
        <v>0</v>
      </c>
      <c r="S85" s="9"/>
      <c r="T85" s="7">
        <v>0</v>
      </c>
      <c r="U85" s="8">
        <f>IFERROR(T85/T445, "NA")</f>
        <v>0</v>
      </c>
      <c r="V85" s="9"/>
      <c r="W85" s="10">
        <f t="shared" si="22"/>
        <v>0</v>
      </c>
      <c r="X85" s="8">
        <f>IFERROR(W85/W445, "NA")</f>
        <v>0</v>
      </c>
      <c r="Y85" s="9"/>
      <c r="Z85" s="7">
        <v>0</v>
      </c>
      <c r="AA85" s="8">
        <f>IFERROR(Z85/Z445, "NA")</f>
        <v>0</v>
      </c>
      <c r="AB85" s="9"/>
      <c r="AC85" s="10">
        <f t="shared" si="23"/>
        <v>0</v>
      </c>
      <c r="AD85" s="8">
        <f>IFERROR(AC85/AC445,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IFERROR(B86/B445, "NA")</f>
        <v>0</v>
      </c>
      <c r="D86" s="9"/>
      <c r="E86" s="7">
        <v>0</v>
      </c>
      <c r="F86" s="8">
        <f>IFERROR(E86/E445, "NA")</f>
        <v>0</v>
      </c>
      <c r="G86" s="9"/>
      <c r="H86" s="10">
        <f t="shared" si="20"/>
        <v>0</v>
      </c>
      <c r="I86" s="8">
        <f>IFERROR(H86/H445, "NA")</f>
        <v>0</v>
      </c>
      <c r="J86" s="9"/>
      <c r="K86" s="7">
        <v>0</v>
      </c>
      <c r="L86" s="8">
        <f>IFERROR(K86/K445, "NA")</f>
        <v>0</v>
      </c>
      <c r="M86" s="9"/>
      <c r="N86" s="10">
        <f t="shared" si="21"/>
        <v>0</v>
      </c>
      <c r="O86" s="8">
        <f>IFERROR(N86/N445, "NA")</f>
        <v>0</v>
      </c>
      <c r="P86" s="9"/>
      <c r="Q86" s="7">
        <v>50</v>
      </c>
      <c r="R86" s="8">
        <f>IFERROR(Q86/Q445, "NA")</f>
        <v>1.1177110707940309E-4</v>
      </c>
      <c r="S86" s="9"/>
      <c r="T86" s="7">
        <v>0</v>
      </c>
      <c r="U86" s="8">
        <f>IFERROR(T86/T445, "NA")</f>
        <v>0</v>
      </c>
      <c r="V86" s="9"/>
      <c r="W86" s="10">
        <f t="shared" si="22"/>
        <v>50</v>
      </c>
      <c r="X86" s="8">
        <f>IFERROR(W86/W445, "NA")</f>
        <v>7.9100532030178354E-3</v>
      </c>
      <c r="Y86" s="9"/>
      <c r="Z86" s="7">
        <v>50</v>
      </c>
      <c r="AA86" s="8">
        <f>IFERROR(Z86/Z445, "NA")</f>
        <v>1.2180003596024263E-4</v>
      </c>
      <c r="AB86" s="9"/>
      <c r="AC86" s="10">
        <f t="shared" si="23"/>
        <v>0</v>
      </c>
      <c r="AD86" s="8">
        <f>IFERROR(AC86/AC445,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IFERROR(B87/B445, "NA")</f>
        <v>0</v>
      </c>
      <c r="D87" s="9"/>
      <c r="E87" s="7">
        <v>0</v>
      </c>
      <c r="F87" s="8">
        <f>IFERROR(E87/E445, "NA")</f>
        <v>0</v>
      </c>
      <c r="G87" s="9"/>
      <c r="H87" s="10">
        <f t="shared" si="20"/>
        <v>0</v>
      </c>
      <c r="I87" s="8">
        <f>IFERROR(H87/H445, "NA")</f>
        <v>0</v>
      </c>
      <c r="J87" s="9"/>
      <c r="K87" s="7">
        <v>0</v>
      </c>
      <c r="L87" s="8">
        <f>IFERROR(K87/K445, "NA")</f>
        <v>0</v>
      </c>
      <c r="M87" s="9"/>
      <c r="N87" s="10">
        <f t="shared" si="21"/>
        <v>0</v>
      </c>
      <c r="O87" s="8">
        <f>IFERROR(N87/N445, "NA")</f>
        <v>0</v>
      </c>
      <c r="P87" s="9"/>
      <c r="Q87" s="7">
        <v>0</v>
      </c>
      <c r="R87" s="8">
        <f>IFERROR(Q87/Q445, "NA")</f>
        <v>0</v>
      </c>
      <c r="S87" s="9"/>
      <c r="T87" s="7">
        <v>0</v>
      </c>
      <c r="U87" s="8">
        <f>IFERROR(T87/T445, "NA")</f>
        <v>0</v>
      </c>
      <c r="V87" s="9"/>
      <c r="W87" s="10">
        <f t="shared" si="22"/>
        <v>0</v>
      </c>
      <c r="X87" s="8">
        <f>IFERROR(W87/W445, "NA")</f>
        <v>0</v>
      </c>
      <c r="Y87" s="9"/>
      <c r="Z87" s="7">
        <v>0</v>
      </c>
      <c r="AA87" s="8">
        <f>IFERROR(Z87/Z445, "NA")</f>
        <v>0</v>
      </c>
      <c r="AB87" s="9"/>
      <c r="AC87" s="10">
        <f t="shared" si="23"/>
        <v>0</v>
      </c>
      <c r="AD87" s="8">
        <f>IFERROR(AC87/AC445,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456.28</v>
      </c>
      <c r="C88" s="15">
        <f>IFERROR(B88/B445, "NA")</f>
        <v>5.227725367747015E-3</v>
      </c>
      <c r="D88" s="2"/>
      <c r="E88" s="14">
        <f>IFERROR(E75+E76+E77+E78+E79+E80+E81+E82+E83+E84+E85+E86+E87, "NA")</f>
        <v>746.43</v>
      </c>
      <c r="F88" s="15">
        <f>IFERROR(E88/E445, "NA")</f>
        <v>8.0000523026341874E-3</v>
      </c>
      <c r="G88" s="2"/>
      <c r="H88" s="14">
        <f t="shared" si="20"/>
        <v>-290.14999999999998</v>
      </c>
      <c r="I88" s="15">
        <f>IFERROR(H88/H445, "NA")</f>
        <v>4.8178867053558776E-2</v>
      </c>
      <c r="J88" s="2"/>
      <c r="K88" s="14">
        <f>IFERROR(K75+K76+K77+K78+K79+K80+K81+K82+K83+K84+K85+K86+K87, "NA")</f>
        <v>650.95000000000005</v>
      </c>
      <c r="L88" s="15">
        <f>IFERROR(K88/K445, "NA")</f>
        <v>7.6307886937958336E-3</v>
      </c>
      <c r="M88" s="2"/>
      <c r="N88" s="14">
        <f t="shared" si="21"/>
        <v>-194.67000000000007</v>
      </c>
      <c r="O88" s="15">
        <f>IFERROR(N88/N445, "NA")</f>
        <v>-9.8564094255364554E-2</v>
      </c>
      <c r="P88" s="2"/>
      <c r="Q88" s="14">
        <f>IFERROR(Q75+Q76+Q77+Q78+Q79+Q80+Q81+Q82+Q83+Q84+Q85+Q86+Q87, "NA")</f>
        <v>2315.12</v>
      </c>
      <c r="R88" s="15">
        <f>IFERROR(Q88/Q445, "NA")</f>
        <v>5.1752705084333536E-3</v>
      </c>
      <c r="S88" s="2"/>
      <c r="T88" s="14">
        <f>IFERROR(T75+T76+T77+T78+T79+T80+T81+T82+T83+T84+T85+T86+T87, "NA")</f>
        <v>3528.17</v>
      </c>
      <c r="U88" s="15">
        <f>IFERROR(T88/T445, "NA")</f>
        <v>7.9999912929460421E-3</v>
      </c>
      <c r="V88" s="2"/>
      <c r="W88" s="14">
        <f t="shared" si="22"/>
        <v>-1213.0500000000002</v>
      </c>
      <c r="X88" s="15">
        <f>IFERROR(W88/W445, "NA")</f>
        <v>-0.19190580075841571</v>
      </c>
      <c r="Y88" s="2"/>
      <c r="Z88" s="14">
        <f>IFERROR(Z75+Z76+Z77+Z78+Z79+Z80+Z81+Z82+Z83+Z84+Z85+Z86+Z87, "NA")</f>
        <v>4156.9400000000005</v>
      </c>
      <c r="AA88" s="15">
        <f>IFERROR(Z88/Z445, "NA")</f>
        <v>1.012630882969142E-2</v>
      </c>
      <c r="AB88" s="2"/>
      <c r="AC88" s="14">
        <f t="shared" si="23"/>
        <v>-1841.8200000000006</v>
      </c>
      <c r="AD88" s="15">
        <f>IFERROR(AC88/AC445, "NA")</f>
        <v>-5.0003407188325751E-2</v>
      </c>
    </row>
    <row r="89" spans="1:30" ht="16.5" customHeight="1" x14ac:dyDescent="0.45">
      <c r="A89" s="6" t="s">
        <v>85</v>
      </c>
      <c r="B89" s="7">
        <v>0</v>
      </c>
      <c r="C89" s="8">
        <f>IFERROR(B89/B445, "NA")</f>
        <v>0</v>
      </c>
      <c r="D89" s="9"/>
      <c r="E89" s="7">
        <v>0</v>
      </c>
      <c r="F89" s="8">
        <f>IFERROR(E89/E445, "NA")</f>
        <v>0</v>
      </c>
      <c r="G89" s="9"/>
      <c r="H89" s="10">
        <f t="shared" si="20"/>
        <v>0</v>
      </c>
      <c r="I89" s="8">
        <f>IFERROR(H89/H445, "NA")</f>
        <v>0</v>
      </c>
      <c r="J89" s="9"/>
      <c r="K89" s="7">
        <v>0</v>
      </c>
      <c r="L89" s="8">
        <f>IFERROR(K89/K445, "NA")</f>
        <v>0</v>
      </c>
      <c r="M89" s="9"/>
      <c r="N89" s="10">
        <f t="shared" si="21"/>
        <v>0</v>
      </c>
      <c r="O89" s="8">
        <f>IFERROR(N89/N445, "NA")</f>
        <v>0</v>
      </c>
      <c r="P89" s="9"/>
      <c r="Q89" s="7">
        <v>49.72</v>
      </c>
      <c r="R89" s="8">
        <f>IFERROR(Q89/Q445, "NA")</f>
        <v>1.1114518887975843E-4</v>
      </c>
      <c r="S89" s="9"/>
      <c r="T89" s="7">
        <v>0</v>
      </c>
      <c r="U89" s="8">
        <f>IFERROR(T89/T445, "NA")</f>
        <v>0</v>
      </c>
      <c r="V89" s="9"/>
      <c r="W89" s="10">
        <f t="shared" si="22"/>
        <v>49.72</v>
      </c>
      <c r="X89" s="8">
        <f>IFERROR(W89/W445, "NA")</f>
        <v>7.8657569050809353E-3</v>
      </c>
      <c r="Y89" s="9"/>
      <c r="Z89" s="7">
        <v>-368.51</v>
      </c>
      <c r="AA89" s="8">
        <f>IFERROR(Z89/Z445, "NA")</f>
        <v>-8.9769062503418015E-4</v>
      </c>
      <c r="AB89" s="9"/>
      <c r="AC89" s="10">
        <f t="shared" si="23"/>
        <v>418.23</v>
      </c>
      <c r="AD89" s="8">
        <f>IFERROR(AC89/AC445, "NA")</f>
        <v>1.1354489031704223E-2</v>
      </c>
    </row>
    <row r="90" spans="1:30" ht="16.5" customHeight="1" x14ac:dyDescent="0.45">
      <c r="A90" s="6" t="s">
        <v>86</v>
      </c>
      <c r="B90" s="7">
        <v>33.71</v>
      </c>
      <c r="C90" s="8">
        <f>IFERROR(B90/B445, "NA")</f>
        <v>3.8622473513358444E-4</v>
      </c>
      <c r="D90" s="9"/>
      <c r="E90" s="7">
        <v>0</v>
      </c>
      <c r="F90" s="8">
        <f>IFERROR(E90/E445, "NA")</f>
        <v>0</v>
      </c>
      <c r="G90" s="9"/>
      <c r="H90" s="10">
        <f t="shared" si="20"/>
        <v>33.71</v>
      </c>
      <c r="I90" s="8">
        <f>IFERROR(H90/H445, "NA")</f>
        <v>-5.5974827102376924E-3</v>
      </c>
      <c r="J90" s="9"/>
      <c r="K90" s="7">
        <v>0</v>
      </c>
      <c r="L90" s="8">
        <f>IFERROR(K90/K445, "NA")</f>
        <v>0</v>
      </c>
      <c r="M90" s="9"/>
      <c r="N90" s="10">
        <f t="shared" si="21"/>
        <v>33.71</v>
      </c>
      <c r="O90" s="8">
        <f>IFERROR(N90/N445, "NA")</f>
        <v>1.7067835913845676E-2</v>
      </c>
      <c r="P90" s="9"/>
      <c r="Q90" s="7">
        <v>-445.67</v>
      </c>
      <c r="R90" s="8">
        <f>IFERROR(Q90/Q445, "NA")</f>
        <v>-9.962605858415516E-4</v>
      </c>
      <c r="S90" s="9"/>
      <c r="T90" s="7">
        <v>0</v>
      </c>
      <c r="U90" s="8">
        <f>IFERROR(T90/T445, "NA")</f>
        <v>0</v>
      </c>
      <c r="V90" s="9"/>
      <c r="W90" s="10">
        <f t="shared" si="22"/>
        <v>-445.67</v>
      </c>
      <c r="X90" s="8">
        <f>IFERROR(W90/W445, "NA")</f>
        <v>-7.0505468219779169E-2</v>
      </c>
      <c r="Y90" s="9"/>
      <c r="Z90" s="7">
        <v>0</v>
      </c>
      <c r="AA90" s="8">
        <f>IFERROR(Z90/Z445, "NA")</f>
        <v>0</v>
      </c>
      <c r="AB90" s="9"/>
      <c r="AC90" s="10">
        <f t="shared" si="23"/>
        <v>-445.67</v>
      </c>
      <c r="AD90" s="8">
        <f>IFERROR(AC90/AC445, "NA")</f>
        <v>-1.2099455148505897E-2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IFERROR(B91/B445, "NA")</f>
        <v>0</v>
      </c>
      <c r="D91" s="9"/>
      <c r="E91" s="7">
        <v>0</v>
      </c>
      <c r="F91" s="8">
        <f>IFERROR(E91/E445, "NA")</f>
        <v>0</v>
      </c>
      <c r="G91" s="9"/>
      <c r="H91" s="10">
        <f t="shared" si="20"/>
        <v>0</v>
      </c>
      <c r="I91" s="8">
        <f>IFERROR(H91/H445, "NA")</f>
        <v>0</v>
      </c>
      <c r="J91" s="9"/>
      <c r="K91" s="7">
        <v>0</v>
      </c>
      <c r="L91" s="8">
        <f>IFERROR(K91/K445, "NA")</f>
        <v>0</v>
      </c>
      <c r="M91" s="9"/>
      <c r="N91" s="10">
        <f t="shared" si="21"/>
        <v>0</v>
      </c>
      <c r="O91" s="8">
        <f>IFERROR(N91/N445, "NA")</f>
        <v>0</v>
      </c>
      <c r="P91" s="9"/>
      <c r="Q91" s="7">
        <v>0</v>
      </c>
      <c r="R91" s="8">
        <f>IFERROR(Q91/Q445, "NA")</f>
        <v>0</v>
      </c>
      <c r="S91" s="9"/>
      <c r="T91" s="7">
        <v>0</v>
      </c>
      <c r="U91" s="8">
        <f>IFERROR(T91/T445, "NA")</f>
        <v>0</v>
      </c>
      <c r="V91" s="9"/>
      <c r="W91" s="10">
        <f t="shared" si="22"/>
        <v>0</v>
      </c>
      <c r="X91" s="8">
        <f>IFERROR(W91/W445, "NA")</f>
        <v>0</v>
      </c>
      <c r="Y91" s="9"/>
      <c r="Z91" s="7">
        <v>0</v>
      </c>
      <c r="AA91" s="8">
        <f>IFERROR(Z91/Z445, "NA")</f>
        <v>0</v>
      </c>
      <c r="AB91" s="9"/>
      <c r="AC91" s="10">
        <f t="shared" si="23"/>
        <v>0</v>
      </c>
      <c r="AD91" s="8">
        <f>IFERROR(AC91/AC445,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IFERROR(B92/B445, "NA")</f>
        <v>0</v>
      </c>
      <c r="D92" s="9"/>
      <c r="E92" s="7">
        <v>0</v>
      </c>
      <c r="F92" s="8">
        <f>IFERROR(E92/E445, "NA")</f>
        <v>0</v>
      </c>
      <c r="G92" s="9"/>
      <c r="H92" s="10">
        <f t="shared" si="20"/>
        <v>0</v>
      </c>
      <c r="I92" s="8">
        <f>IFERROR(H92/H445, "NA")</f>
        <v>0</v>
      </c>
      <c r="J92" s="9"/>
      <c r="K92" s="7">
        <v>0</v>
      </c>
      <c r="L92" s="8">
        <f>IFERROR(K92/K445, "NA")</f>
        <v>0</v>
      </c>
      <c r="M92" s="9"/>
      <c r="N92" s="10">
        <f t="shared" si="21"/>
        <v>0</v>
      </c>
      <c r="O92" s="8">
        <f>IFERROR(N92/N445, "NA")</f>
        <v>0</v>
      </c>
      <c r="P92" s="9"/>
      <c r="Q92" s="7">
        <v>0</v>
      </c>
      <c r="R92" s="8">
        <f>IFERROR(Q92/Q445, "NA")</f>
        <v>0</v>
      </c>
      <c r="S92" s="9"/>
      <c r="T92" s="7">
        <v>0</v>
      </c>
      <c r="U92" s="8">
        <f>IFERROR(T92/T445, "NA")</f>
        <v>0</v>
      </c>
      <c r="V92" s="9"/>
      <c r="W92" s="10">
        <f t="shared" si="22"/>
        <v>0</v>
      </c>
      <c r="X92" s="8">
        <f>IFERROR(W92/W445, "NA")</f>
        <v>0</v>
      </c>
      <c r="Y92" s="9"/>
      <c r="Z92" s="7">
        <v>0</v>
      </c>
      <c r="AA92" s="8">
        <f>IFERROR(Z92/Z445, "NA")</f>
        <v>0</v>
      </c>
      <c r="AB92" s="9"/>
      <c r="AC92" s="10">
        <f t="shared" si="23"/>
        <v>0</v>
      </c>
      <c r="AD92" s="8">
        <f>IFERROR(AC92/AC445,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IFERROR(B94/B445, "NA")</f>
        <v>0</v>
      </c>
      <c r="D94" s="9"/>
      <c r="E94" s="7">
        <v>-5504.89</v>
      </c>
      <c r="F94" s="8">
        <f>IFERROR(E94/E445, "NA")</f>
        <v>-5.9000050802148783E-2</v>
      </c>
      <c r="G94" s="9"/>
      <c r="H94" s="10">
        <f t="shared" ref="H94:H124" si="24">IFERROR(B94-E94, "NA")</f>
        <v>5504.89</v>
      </c>
      <c r="I94" s="8">
        <f>IFERROR(H94/H445, "NA")</f>
        <v>-0.91407673084427088</v>
      </c>
      <c r="J94" s="9"/>
      <c r="K94" s="7">
        <v>0</v>
      </c>
      <c r="L94" s="8">
        <f>IFERROR(K94/K445, "NA")</f>
        <v>0</v>
      </c>
      <c r="M94" s="9"/>
      <c r="N94" s="10">
        <f t="shared" ref="N94:N124" si="25">IFERROR(B94-K94, "NA")</f>
        <v>0</v>
      </c>
      <c r="O94" s="8">
        <f>IFERROR(N94/N445, "NA")</f>
        <v>0</v>
      </c>
      <c r="P94" s="9"/>
      <c r="Q94" s="7">
        <v>0</v>
      </c>
      <c r="R94" s="8">
        <f>IFERROR(Q94/Q445, "NA")</f>
        <v>0</v>
      </c>
      <c r="S94" s="9"/>
      <c r="T94" s="7">
        <v>-26020.29</v>
      </c>
      <c r="U94" s="8">
        <f>IFERROR(T94/T445, "NA")</f>
        <v>-5.9000017980973415E-2</v>
      </c>
      <c r="V94" s="9"/>
      <c r="W94" s="10">
        <f t="shared" ref="W94:W124" si="26">IFERROR(Q94-T94, "NA")</f>
        <v>26020.29</v>
      </c>
      <c r="X94" s="8">
        <f>IFERROR(W94/W445, "NA")</f>
        <v>4.1164375651590586</v>
      </c>
      <c r="Y94" s="9"/>
      <c r="Z94" s="7">
        <v>0</v>
      </c>
      <c r="AA94" s="8">
        <f>IFERROR(Z94/Z445, "NA")</f>
        <v>0</v>
      </c>
      <c r="AB94" s="9"/>
      <c r="AC94" s="10">
        <f t="shared" ref="AC94:AC124" si="27">IFERROR(Q94-Z94, "NA")</f>
        <v>0</v>
      </c>
      <c r="AD94" s="8">
        <f>IFERROR(AC94/AC445,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IFERROR(B95/B445, "NA")</f>
        <v>0</v>
      </c>
      <c r="D95" s="9"/>
      <c r="E95" s="7">
        <v>0</v>
      </c>
      <c r="F95" s="8">
        <f>IFERROR(E95/E445, "NA")</f>
        <v>0</v>
      </c>
      <c r="G95" s="9"/>
      <c r="H95" s="10">
        <f t="shared" si="24"/>
        <v>0</v>
      </c>
      <c r="I95" s="8">
        <f>IFERROR(H95/H445, "NA")</f>
        <v>0</v>
      </c>
      <c r="J95" s="9"/>
      <c r="K95" s="7">
        <v>0</v>
      </c>
      <c r="L95" s="8">
        <f>IFERROR(K95/K445, "NA")</f>
        <v>0</v>
      </c>
      <c r="M95" s="9"/>
      <c r="N95" s="10">
        <f t="shared" si="25"/>
        <v>0</v>
      </c>
      <c r="O95" s="8">
        <f>IFERROR(N95/N445, "NA")</f>
        <v>0</v>
      </c>
      <c r="P95" s="9"/>
      <c r="Q95" s="7">
        <v>0</v>
      </c>
      <c r="R95" s="8">
        <f>IFERROR(Q95/Q445, "NA")</f>
        <v>0</v>
      </c>
      <c r="S95" s="9"/>
      <c r="T95" s="7">
        <v>0</v>
      </c>
      <c r="U95" s="8">
        <f>IFERROR(T95/T445, "NA")</f>
        <v>0</v>
      </c>
      <c r="V95" s="9"/>
      <c r="W95" s="10">
        <f t="shared" si="26"/>
        <v>0</v>
      </c>
      <c r="X95" s="8">
        <f>IFERROR(W95/W445, "NA")</f>
        <v>0</v>
      </c>
      <c r="Y95" s="9"/>
      <c r="Z95" s="7">
        <v>0</v>
      </c>
      <c r="AA95" s="8">
        <f>IFERROR(Z95/Z445, "NA")</f>
        <v>0</v>
      </c>
      <c r="AB95" s="9"/>
      <c r="AC95" s="10">
        <f t="shared" si="27"/>
        <v>0</v>
      </c>
      <c r="AD95" s="8">
        <f>IFERROR(AC95/AC445, "NA")</f>
        <v>0</v>
      </c>
    </row>
    <row r="96" spans="1:30" ht="16.5" customHeight="1" x14ac:dyDescent="0.45">
      <c r="A96" s="12" t="s">
        <v>91</v>
      </c>
      <c r="B96" s="7">
        <v>-567.66</v>
      </c>
      <c r="C96" s="8">
        <f>IFERROR(B96/B445, "NA")</f>
        <v>-6.50383664034205E-3</v>
      </c>
      <c r="D96" s="9"/>
      <c r="E96" s="7">
        <v>0</v>
      </c>
      <c r="F96" s="8">
        <f>IFERROR(E96/E445, "NA")</f>
        <v>0</v>
      </c>
      <c r="G96" s="9"/>
      <c r="H96" s="10">
        <f t="shared" si="24"/>
        <v>-567.66</v>
      </c>
      <c r="I96" s="8">
        <f>IFERROR(H96/H445, "NA")</f>
        <v>9.4258885650950114E-2</v>
      </c>
      <c r="J96" s="9"/>
      <c r="K96" s="7">
        <v>-819.2</v>
      </c>
      <c r="L96" s="8">
        <f>IFERROR(K96/K445, "NA")</f>
        <v>-9.6031063798410737E-3</v>
      </c>
      <c r="M96" s="9"/>
      <c r="N96" s="10">
        <f t="shared" si="25"/>
        <v>251.54000000000008</v>
      </c>
      <c r="O96" s="8">
        <f>IFERROR(N96/N445, "NA")</f>
        <v>0.12735815620791285</v>
      </c>
      <c r="P96" s="9"/>
      <c r="Q96" s="7">
        <v>-4843.83</v>
      </c>
      <c r="R96" s="8">
        <f>IFERROR(Q96/Q445, "NA")</f>
        <v>-1.0828004832088501E-2</v>
      </c>
      <c r="S96" s="9"/>
      <c r="T96" s="7">
        <v>0</v>
      </c>
      <c r="U96" s="8">
        <f>IFERROR(T96/T445, "NA")</f>
        <v>0</v>
      </c>
      <c r="V96" s="9"/>
      <c r="W96" s="10">
        <f t="shared" si="26"/>
        <v>-4843.83</v>
      </c>
      <c r="X96" s="8">
        <f>IFERROR(W96/W445, "NA")</f>
        <v>-0.7662990601274775</v>
      </c>
      <c r="Y96" s="9"/>
      <c r="Z96" s="7">
        <v>-6051.89</v>
      </c>
      <c r="AA96" s="8">
        <f>IFERROR(Z96/Z445, "NA")</f>
        <v>-1.4742408392548655E-2</v>
      </c>
      <c r="AB96" s="9"/>
      <c r="AC96" s="10">
        <f t="shared" si="27"/>
        <v>1208.0600000000004</v>
      </c>
      <c r="AD96" s="8">
        <f>IFERROR(AC96/AC445, "NA")</f>
        <v>3.2797513376947154E-2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IFERROR(B97/B445, "NA")</f>
        <v>0</v>
      </c>
      <c r="D97" s="9"/>
      <c r="E97" s="7">
        <v>0</v>
      </c>
      <c r="F97" s="8">
        <f>IFERROR(E97/E445, "NA")</f>
        <v>0</v>
      </c>
      <c r="G97" s="9"/>
      <c r="H97" s="10">
        <f t="shared" si="24"/>
        <v>0</v>
      </c>
      <c r="I97" s="8">
        <f>IFERROR(H97/H445, "NA")</f>
        <v>0</v>
      </c>
      <c r="J97" s="9"/>
      <c r="K97" s="7">
        <v>0</v>
      </c>
      <c r="L97" s="8">
        <f>IFERROR(K97/K445, "NA")</f>
        <v>0</v>
      </c>
      <c r="M97" s="9"/>
      <c r="N97" s="10">
        <f t="shared" si="25"/>
        <v>0</v>
      </c>
      <c r="O97" s="8">
        <f>IFERROR(N97/N445, "NA")</f>
        <v>0</v>
      </c>
      <c r="P97" s="9"/>
      <c r="Q97" s="7">
        <v>0</v>
      </c>
      <c r="R97" s="8">
        <f>IFERROR(Q97/Q445, "NA")</f>
        <v>0</v>
      </c>
      <c r="S97" s="9"/>
      <c r="T97" s="7">
        <v>0</v>
      </c>
      <c r="U97" s="8">
        <f>IFERROR(T97/T445, "NA")</f>
        <v>0</v>
      </c>
      <c r="V97" s="9"/>
      <c r="W97" s="10">
        <f t="shared" si="26"/>
        <v>0</v>
      </c>
      <c r="X97" s="8">
        <f>IFERROR(W97/W445, "NA")</f>
        <v>0</v>
      </c>
      <c r="Y97" s="9"/>
      <c r="Z97" s="7">
        <v>0</v>
      </c>
      <c r="AA97" s="8">
        <f>IFERROR(Z97/Z445, "NA")</f>
        <v>0</v>
      </c>
      <c r="AB97" s="9"/>
      <c r="AC97" s="10">
        <f t="shared" si="27"/>
        <v>0</v>
      </c>
      <c r="AD97" s="8">
        <f>IFERROR(AC97/AC445, "NA")</f>
        <v>0</v>
      </c>
    </row>
    <row r="98" spans="1:30" ht="16.5" customHeight="1" x14ac:dyDescent="0.45">
      <c r="A98" s="12" t="s">
        <v>93</v>
      </c>
      <c r="B98" s="7">
        <v>-1392.5</v>
      </c>
      <c r="C98" s="8">
        <f>IFERROR(B98/B445, "NA")</f>
        <v>-1.5954255226149995E-2</v>
      </c>
      <c r="D98" s="9"/>
      <c r="E98" s="7">
        <v>0</v>
      </c>
      <c r="F98" s="8">
        <f>IFERROR(E98/E445, "NA")</f>
        <v>0</v>
      </c>
      <c r="G98" s="9"/>
      <c r="H98" s="10">
        <f t="shared" si="24"/>
        <v>-1392.5</v>
      </c>
      <c r="I98" s="8">
        <f>IFERROR(H98/H445, "NA")</f>
        <v>0.23122203126686405</v>
      </c>
      <c r="J98" s="9"/>
      <c r="K98" s="7">
        <v>-1699.86</v>
      </c>
      <c r="L98" s="8">
        <f>IFERROR(K98/K445, "NA")</f>
        <v>-1.9926680189009578E-2</v>
      </c>
      <c r="M98" s="9"/>
      <c r="N98" s="10">
        <f t="shared" si="25"/>
        <v>307.3599999999999</v>
      </c>
      <c r="O98" s="8">
        <f>IFERROR(N98/N445, "NA")</f>
        <v>0.15562058874160797</v>
      </c>
      <c r="P98" s="9"/>
      <c r="Q98" s="7">
        <v>-6328.44</v>
      </c>
      <c r="R98" s="8">
        <f>IFERROR(Q98/Q445, "NA")</f>
        <v>-1.4146734897711554E-2</v>
      </c>
      <c r="S98" s="9"/>
      <c r="T98" s="7">
        <v>0</v>
      </c>
      <c r="U98" s="8">
        <f>IFERROR(T98/T445, "NA")</f>
        <v>0</v>
      </c>
      <c r="V98" s="9"/>
      <c r="W98" s="10">
        <f t="shared" si="26"/>
        <v>-6328.44</v>
      </c>
      <c r="X98" s="8">
        <f>IFERROR(W98/W445, "NA")</f>
        <v>-1.0011659418421237</v>
      </c>
      <c r="Y98" s="9"/>
      <c r="Z98" s="7">
        <v>-8715.4500000000007</v>
      </c>
      <c r="AA98" s="8">
        <f>IFERROR(Z98/Z445, "NA")</f>
        <v>-2.1230842468193935E-2</v>
      </c>
      <c r="AB98" s="9"/>
      <c r="AC98" s="10">
        <f t="shared" si="27"/>
        <v>2387.0100000000011</v>
      </c>
      <c r="AD98" s="8">
        <f>IFERROR(AC98/AC445, "NA")</f>
        <v>6.4804721955785835E-2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IFERROR(B99/B445, "NA")</f>
        <v>0</v>
      </c>
      <c r="D99" s="9"/>
      <c r="E99" s="7">
        <v>0</v>
      </c>
      <c r="F99" s="8">
        <f>IFERROR(E99/E445, "NA")</f>
        <v>0</v>
      </c>
      <c r="G99" s="9"/>
      <c r="H99" s="10">
        <f t="shared" si="24"/>
        <v>0</v>
      </c>
      <c r="I99" s="8">
        <f>IFERROR(H99/H445, "NA")</f>
        <v>0</v>
      </c>
      <c r="J99" s="9"/>
      <c r="K99" s="7">
        <v>0</v>
      </c>
      <c r="L99" s="8">
        <f>IFERROR(K99/K445, "NA")</f>
        <v>0</v>
      </c>
      <c r="M99" s="9"/>
      <c r="N99" s="10">
        <f t="shared" si="25"/>
        <v>0</v>
      </c>
      <c r="O99" s="8">
        <f>IFERROR(N99/N445, "NA")</f>
        <v>0</v>
      </c>
      <c r="P99" s="9"/>
      <c r="Q99" s="7">
        <v>0</v>
      </c>
      <c r="R99" s="8">
        <f>IFERROR(Q99/Q445, "NA")</f>
        <v>0</v>
      </c>
      <c r="S99" s="9"/>
      <c r="T99" s="7">
        <v>0</v>
      </c>
      <c r="U99" s="8">
        <f>IFERROR(T99/T445, "NA")</f>
        <v>0</v>
      </c>
      <c r="V99" s="9"/>
      <c r="W99" s="10">
        <f t="shared" si="26"/>
        <v>0</v>
      </c>
      <c r="X99" s="8">
        <f>IFERROR(W99/W445, "NA")</f>
        <v>0</v>
      </c>
      <c r="Y99" s="9"/>
      <c r="Z99" s="7">
        <v>0</v>
      </c>
      <c r="AA99" s="8">
        <f>IFERROR(Z99/Z445, "NA")</f>
        <v>0</v>
      </c>
      <c r="AB99" s="9"/>
      <c r="AC99" s="10">
        <f t="shared" si="27"/>
        <v>0</v>
      </c>
      <c r="AD99" s="8">
        <f>IFERROR(AC99/AC445, "NA")</f>
        <v>0</v>
      </c>
    </row>
    <row r="100" spans="1:30" ht="16.5" customHeight="1" x14ac:dyDescent="0.45">
      <c r="A100" s="12" t="s">
        <v>95</v>
      </c>
      <c r="B100" s="7">
        <v>-3</v>
      </c>
      <c r="C100" s="8">
        <f>IFERROR(B100/B445, "NA")</f>
        <v>-3.4371824544667848E-5</v>
      </c>
      <c r="D100" s="9"/>
      <c r="E100" s="7">
        <v>0</v>
      </c>
      <c r="F100" s="8">
        <f>IFERROR(E100/E445, "NA")</f>
        <v>0</v>
      </c>
      <c r="G100" s="9"/>
      <c r="H100" s="10">
        <f t="shared" si="24"/>
        <v>-3</v>
      </c>
      <c r="I100" s="8">
        <f>IFERROR(H100/H445, "NA")</f>
        <v>4.9814441206505716E-4</v>
      </c>
      <c r="J100" s="9"/>
      <c r="K100" s="7">
        <v>0</v>
      </c>
      <c r="L100" s="8">
        <f>IFERROR(K100/K445, "NA")</f>
        <v>0</v>
      </c>
      <c r="M100" s="9"/>
      <c r="N100" s="10">
        <f t="shared" si="25"/>
        <v>-3</v>
      </c>
      <c r="O100" s="8">
        <f>IFERROR(N100/N445, "NA")</f>
        <v>-1.5189411967231393E-3</v>
      </c>
      <c r="P100" s="9"/>
      <c r="Q100" s="7">
        <v>-376.39</v>
      </c>
      <c r="R100" s="8">
        <f>IFERROR(Q100/Q445, "NA")</f>
        <v>-8.4139053987233056E-4</v>
      </c>
      <c r="S100" s="9"/>
      <c r="T100" s="7">
        <v>0</v>
      </c>
      <c r="U100" s="8">
        <f>IFERROR(T100/T445, "NA")</f>
        <v>0</v>
      </c>
      <c r="V100" s="9"/>
      <c r="W100" s="10">
        <f t="shared" si="26"/>
        <v>-376.39</v>
      </c>
      <c r="X100" s="8">
        <f>IFERROR(W100/W445, "NA")</f>
        <v>-5.9545298501677654E-2</v>
      </c>
      <c r="Y100" s="9"/>
      <c r="Z100" s="7">
        <v>-1296.1500000000001</v>
      </c>
      <c r="AA100" s="8">
        <f>IFERROR(Z100/Z445, "NA")</f>
        <v>-3.1574223321973699E-3</v>
      </c>
      <c r="AB100" s="9"/>
      <c r="AC100" s="10">
        <f t="shared" si="27"/>
        <v>919.7600000000001</v>
      </c>
      <c r="AD100" s="8">
        <f>IFERROR(AC100/AC445, "NA")</f>
        <v>2.4970482346556386E-2</v>
      </c>
    </row>
    <row r="101" spans="1:30" ht="16.5" customHeight="1" x14ac:dyDescent="0.45">
      <c r="A101" s="12" t="s">
        <v>96</v>
      </c>
      <c r="B101" s="7">
        <v>0</v>
      </c>
      <c r="C101" s="8">
        <f>IFERROR(B101/B445, "NA")</f>
        <v>0</v>
      </c>
      <c r="D101" s="9"/>
      <c r="E101" s="7">
        <v>0</v>
      </c>
      <c r="F101" s="8">
        <f>IFERROR(E101/E445, "NA")</f>
        <v>0</v>
      </c>
      <c r="G101" s="9"/>
      <c r="H101" s="10">
        <f t="shared" si="24"/>
        <v>0</v>
      </c>
      <c r="I101" s="8">
        <f>IFERROR(H101/H445, "NA")</f>
        <v>0</v>
      </c>
      <c r="J101" s="9"/>
      <c r="K101" s="7">
        <v>0</v>
      </c>
      <c r="L101" s="8">
        <f>IFERROR(K101/K445, "NA")</f>
        <v>0</v>
      </c>
      <c r="M101" s="9"/>
      <c r="N101" s="10">
        <f t="shared" si="25"/>
        <v>0</v>
      </c>
      <c r="O101" s="8">
        <f>IFERROR(N101/N445, "NA")</f>
        <v>0</v>
      </c>
      <c r="P101" s="9"/>
      <c r="Q101" s="7">
        <v>-64.44</v>
      </c>
      <c r="R101" s="8">
        <f>IFERROR(Q101/Q445, "NA")</f>
        <v>-1.440506028039347E-4</v>
      </c>
      <c r="S101" s="9"/>
      <c r="T101" s="7">
        <v>0</v>
      </c>
      <c r="U101" s="8">
        <f>IFERROR(T101/T445, "NA")</f>
        <v>0</v>
      </c>
      <c r="V101" s="9"/>
      <c r="W101" s="10">
        <f t="shared" si="26"/>
        <v>-64.44</v>
      </c>
      <c r="X101" s="8">
        <f>IFERROR(W101/W445, "NA")</f>
        <v>-1.0194476568049384E-2</v>
      </c>
      <c r="Y101" s="9"/>
      <c r="Z101" s="7">
        <v>0</v>
      </c>
      <c r="AA101" s="8">
        <f>IFERROR(Z101/Z445, "NA")</f>
        <v>0</v>
      </c>
      <c r="AB101" s="9"/>
      <c r="AC101" s="10">
        <f t="shared" si="27"/>
        <v>-64.44</v>
      </c>
      <c r="AD101" s="8">
        <f>IFERROR(AC101/AC445, "NA")</f>
        <v>-1.7494758224015975E-3</v>
      </c>
    </row>
    <row r="102" spans="1:30" ht="16.5" customHeight="1" x14ac:dyDescent="0.45">
      <c r="A102" s="12" t="s">
        <v>97</v>
      </c>
      <c r="B102" s="7">
        <v>-722.65</v>
      </c>
      <c r="C102" s="8">
        <f>IFERROR(B102/B445, "NA")</f>
        <v>-8.2795996690680738E-3</v>
      </c>
      <c r="D102" s="9"/>
      <c r="E102" s="7">
        <v>0</v>
      </c>
      <c r="F102" s="8">
        <f>IFERROR(E102/E445, "NA")</f>
        <v>0</v>
      </c>
      <c r="G102" s="9"/>
      <c r="H102" s="10">
        <f t="shared" si="24"/>
        <v>-722.65</v>
      </c>
      <c r="I102" s="8">
        <f>IFERROR(H102/H445, "NA")</f>
        <v>0.11999468645960452</v>
      </c>
      <c r="J102" s="9"/>
      <c r="K102" s="7">
        <v>-583.95000000000005</v>
      </c>
      <c r="L102" s="8">
        <f>IFERROR(K102/K445, "NA")</f>
        <v>-6.845378381968012E-3</v>
      </c>
      <c r="M102" s="9"/>
      <c r="N102" s="10">
        <f t="shared" si="25"/>
        <v>-138.69999999999993</v>
      </c>
      <c r="O102" s="8">
        <f>IFERROR(N102/N445, "NA")</f>
        <v>-7.0225714661833111E-2</v>
      </c>
      <c r="P102" s="9"/>
      <c r="Q102" s="7">
        <v>-4380.01</v>
      </c>
      <c r="R102" s="8">
        <f>IFERROR(Q102/Q445, "NA")</f>
        <v>-9.791171334377128E-3</v>
      </c>
      <c r="S102" s="9"/>
      <c r="T102" s="7">
        <v>0</v>
      </c>
      <c r="U102" s="8">
        <f>IFERROR(T102/T445, "NA")</f>
        <v>0</v>
      </c>
      <c r="V102" s="9"/>
      <c r="W102" s="10">
        <f t="shared" si="26"/>
        <v>-4380.01</v>
      </c>
      <c r="X102" s="8">
        <f>IFERROR(W102/W445, "NA")</f>
        <v>-0.69292224259500301</v>
      </c>
      <c r="Y102" s="9"/>
      <c r="Z102" s="7">
        <v>-4512.33</v>
      </c>
      <c r="AA102" s="8">
        <f>IFERROR(Z102/Z445, "NA")</f>
        <v>-1.0992039125289631E-2</v>
      </c>
      <c r="AB102" s="9"/>
      <c r="AC102" s="10">
        <f t="shared" si="27"/>
        <v>132.31999999999971</v>
      </c>
      <c r="AD102" s="8">
        <f>IFERROR(AC102/AC445, "NA")</f>
        <v>3.5923438985130179E-3</v>
      </c>
    </row>
    <row r="103" spans="1:30" ht="16.5" customHeight="1" x14ac:dyDescent="0.45">
      <c r="A103" s="12" t="s">
        <v>98</v>
      </c>
      <c r="B103" s="7">
        <v>0</v>
      </c>
      <c r="C103" s="8">
        <f>IFERROR(B103/B445, "NA")</f>
        <v>0</v>
      </c>
      <c r="D103" s="9"/>
      <c r="E103" s="7">
        <v>0</v>
      </c>
      <c r="F103" s="8">
        <f>IFERROR(E103/E445, "NA")</f>
        <v>0</v>
      </c>
      <c r="G103" s="9"/>
      <c r="H103" s="10">
        <f t="shared" si="24"/>
        <v>0</v>
      </c>
      <c r="I103" s="8">
        <f>IFERROR(H103/H445, "NA")</f>
        <v>0</v>
      </c>
      <c r="J103" s="9"/>
      <c r="K103" s="7">
        <v>0</v>
      </c>
      <c r="L103" s="8">
        <f>IFERROR(K103/K445, "NA")</f>
        <v>0</v>
      </c>
      <c r="M103" s="9"/>
      <c r="N103" s="10">
        <f t="shared" si="25"/>
        <v>0</v>
      </c>
      <c r="O103" s="8">
        <f>IFERROR(N103/N445, "NA")</f>
        <v>0</v>
      </c>
      <c r="P103" s="9"/>
      <c r="Q103" s="7">
        <v>-48</v>
      </c>
      <c r="R103" s="8">
        <f>IFERROR(Q103/Q445, "NA")</f>
        <v>-1.0730026279622697E-4</v>
      </c>
      <c r="S103" s="9"/>
      <c r="T103" s="7">
        <v>0</v>
      </c>
      <c r="U103" s="8">
        <f>IFERROR(T103/T445, "NA")</f>
        <v>0</v>
      </c>
      <c r="V103" s="9"/>
      <c r="W103" s="10">
        <f t="shared" si="26"/>
        <v>-48</v>
      </c>
      <c r="X103" s="8">
        <f>IFERROR(W103/W445, "NA")</f>
        <v>-7.5936510748971214E-3</v>
      </c>
      <c r="Y103" s="9"/>
      <c r="Z103" s="7">
        <v>0</v>
      </c>
      <c r="AA103" s="8">
        <f>IFERROR(Z103/Z445, "NA")</f>
        <v>0</v>
      </c>
      <c r="AB103" s="9"/>
      <c r="AC103" s="10">
        <f t="shared" si="27"/>
        <v>-48</v>
      </c>
      <c r="AD103" s="8">
        <f>IFERROR(AC103/AC445, "NA")</f>
        <v>-1.3031477261836852E-3</v>
      </c>
    </row>
    <row r="104" spans="1:30" ht="16.5" customHeight="1" x14ac:dyDescent="0.45">
      <c r="A104" s="12" t="s">
        <v>99</v>
      </c>
      <c r="B104" s="7">
        <v>-316.57</v>
      </c>
      <c r="C104" s="8">
        <f>IFERROR(B104/B445, "NA")</f>
        <v>-3.6270294987018337E-3</v>
      </c>
      <c r="D104" s="9"/>
      <c r="E104" s="7">
        <v>0</v>
      </c>
      <c r="F104" s="8">
        <f>IFERROR(E104/E445, "NA")</f>
        <v>0</v>
      </c>
      <c r="G104" s="9"/>
      <c r="H104" s="10">
        <f t="shared" si="24"/>
        <v>-316.57</v>
      </c>
      <c r="I104" s="8">
        <f>IFERROR(H104/H445, "NA")</f>
        <v>5.2565858842478386E-2</v>
      </c>
      <c r="J104" s="9"/>
      <c r="K104" s="7">
        <v>-342.33</v>
      </c>
      <c r="L104" s="8">
        <f>IFERROR(K104/K445, "NA")</f>
        <v>-4.0129777917614681E-3</v>
      </c>
      <c r="M104" s="9"/>
      <c r="N104" s="10">
        <f t="shared" si="25"/>
        <v>25.759999999999991</v>
      </c>
      <c r="O104" s="8">
        <f>IFERROR(N104/N445, "NA")</f>
        <v>1.3042641742529351E-2</v>
      </c>
      <c r="P104" s="9"/>
      <c r="Q104" s="7">
        <v>-1611.67</v>
      </c>
      <c r="R104" s="8">
        <f>IFERROR(Q104/Q445, "NA")</f>
        <v>-3.6027628029332319E-3</v>
      </c>
      <c r="S104" s="9"/>
      <c r="T104" s="7">
        <v>0</v>
      </c>
      <c r="U104" s="8">
        <f>IFERROR(T104/T445, "NA")</f>
        <v>0</v>
      </c>
      <c r="V104" s="9"/>
      <c r="W104" s="10">
        <f t="shared" si="26"/>
        <v>-1611.67</v>
      </c>
      <c r="X104" s="8">
        <f>IFERROR(W104/W445, "NA")</f>
        <v>-0.25496790891415511</v>
      </c>
      <c r="Y104" s="9"/>
      <c r="Z104" s="7">
        <v>-2298.98</v>
      </c>
      <c r="AA104" s="8">
        <f>IFERROR(Z104/Z445, "NA")</f>
        <v>-5.6003169334375722E-3</v>
      </c>
      <c r="AB104" s="9"/>
      <c r="AC104" s="10">
        <f t="shared" si="27"/>
        <v>687.31</v>
      </c>
      <c r="AD104" s="8">
        <f>IFERROR(AC104/AC445, "NA")</f>
        <v>1.8659717993402263E-2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IFERROR(B105/B445, "NA")</f>
        <v>0</v>
      </c>
      <c r="D105" s="9"/>
      <c r="E105" s="7">
        <v>0</v>
      </c>
      <c r="F105" s="8">
        <f>IFERROR(E105/E445, "NA")</f>
        <v>0</v>
      </c>
      <c r="G105" s="9"/>
      <c r="H105" s="10">
        <f t="shared" si="24"/>
        <v>0</v>
      </c>
      <c r="I105" s="8">
        <f>IFERROR(H105/H445, "NA")</f>
        <v>0</v>
      </c>
      <c r="J105" s="9"/>
      <c r="K105" s="7">
        <v>0</v>
      </c>
      <c r="L105" s="8">
        <f>IFERROR(K105/K445, "NA")</f>
        <v>0</v>
      </c>
      <c r="M105" s="9"/>
      <c r="N105" s="10">
        <f t="shared" si="25"/>
        <v>0</v>
      </c>
      <c r="O105" s="8">
        <f>IFERROR(N105/N445, "NA")</f>
        <v>0</v>
      </c>
      <c r="P105" s="9"/>
      <c r="Q105" s="7">
        <v>0</v>
      </c>
      <c r="R105" s="8">
        <f>IFERROR(Q105/Q445, "NA")</f>
        <v>0</v>
      </c>
      <c r="S105" s="9"/>
      <c r="T105" s="7">
        <v>0</v>
      </c>
      <c r="U105" s="8">
        <f>IFERROR(T105/T445, "NA")</f>
        <v>0</v>
      </c>
      <c r="V105" s="9"/>
      <c r="W105" s="10">
        <f t="shared" si="26"/>
        <v>0</v>
      </c>
      <c r="X105" s="8">
        <f>IFERROR(W105/W445, "NA")</f>
        <v>0</v>
      </c>
      <c r="Y105" s="9"/>
      <c r="Z105" s="7">
        <v>0</v>
      </c>
      <c r="AA105" s="8">
        <f>IFERROR(Z105/Z445, "NA")</f>
        <v>0</v>
      </c>
      <c r="AB105" s="9"/>
      <c r="AC105" s="10">
        <f t="shared" si="27"/>
        <v>0</v>
      </c>
      <c r="AD105" s="8">
        <f>IFERROR(AC105/AC445, "NA")</f>
        <v>0</v>
      </c>
    </row>
    <row r="106" spans="1:30" ht="16.5" customHeight="1" x14ac:dyDescent="0.45">
      <c r="A106" s="12" t="s">
        <v>101</v>
      </c>
      <c r="B106" s="7">
        <v>-130.72</v>
      </c>
      <c r="C106" s="8">
        <f>IFERROR(B106/B445, "NA")</f>
        <v>-1.4976949681596604E-3</v>
      </c>
      <c r="D106" s="9"/>
      <c r="E106" s="7">
        <v>0</v>
      </c>
      <c r="F106" s="8">
        <f>IFERROR(E106/E445, "NA")</f>
        <v>0</v>
      </c>
      <c r="G106" s="9"/>
      <c r="H106" s="10">
        <f t="shared" si="24"/>
        <v>-130.72</v>
      </c>
      <c r="I106" s="8">
        <f>IFERROR(H106/H445, "NA")</f>
        <v>2.1705812515048092E-2</v>
      </c>
      <c r="J106" s="9"/>
      <c r="K106" s="7">
        <v>-532.22</v>
      </c>
      <c r="L106" s="8">
        <f>IFERROR(K106/K445, "NA")</f>
        <v>-6.2389712859851273E-3</v>
      </c>
      <c r="M106" s="9"/>
      <c r="N106" s="10">
        <f t="shared" si="25"/>
        <v>401.5</v>
      </c>
      <c r="O106" s="8">
        <f>IFERROR(N106/N445, "NA")</f>
        <v>0.20328496349478015</v>
      </c>
      <c r="P106" s="9"/>
      <c r="Q106" s="7">
        <v>-421.7</v>
      </c>
      <c r="R106" s="8">
        <f>IFERROR(Q106/Q445, "NA")</f>
        <v>-9.4267751710768561E-4</v>
      </c>
      <c r="S106" s="9"/>
      <c r="T106" s="7">
        <v>0</v>
      </c>
      <c r="U106" s="8">
        <f>IFERROR(T106/T445, "NA")</f>
        <v>0</v>
      </c>
      <c r="V106" s="9"/>
      <c r="W106" s="10">
        <f t="shared" si="26"/>
        <v>-421.7</v>
      </c>
      <c r="X106" s="8">
        <f>IFERROR(W106/W445, "NA")</f>
        <v>-6.671338871425242E-2</v>
      </c>
      <c r="Y106" s="9"/>
      <c r="Z106" s="7">
        <v>-768.09</v>
      </c>
      <c r="AA106" s="8">
        <f>IFERROR(Z106/Z445, "NA")</f>
        <v>-1.8710677924140553E-3</v>
      </c>
      <c r="AB106" s="9"/>
      <c r="AC106" s="10">
        <f t="shared" si="27"/>
        <v>346.39000000000004</v>
      </c>
      <c r="AD106" s="8">
        <f>IFERROR(AC106/AC445, "NA")</f>
        <v>9.4041112681826407E-3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IFERROR(B107/B445, "NA")</f>
        <v>0</v>
      </c>
      <c r="D107" s="9"/>
      <c r="E107" s="7">
        <v>0</v>
      </c>
      <c r="F107" s="8">
        <f>IFERROR(E107/E445, "NA")</f>
        <v>0</v>
      </c>
      <c r="G107" s="9"/>
      <c r="H107" s="10">
        <f t="shared" si="24"/>
        <v>0</v>
      </c>
      <c r="I107" s="8">
        <f>IFERROR(H107/H445, "NA")</f>
        <v>0</v>
      </c>
      <c r="J107" s="9"/>
      <c r="K107" s="7">
        <v>0</v>
      </c>
      <c r="L107" s="8">
        <f>IFERROR(K107/K445, "NA")</f>
        <v>0</v>
      </c>
      <c r="M107" s="9"/>
      <c r="N107" s="10">
        <f t="shared" si="25"/>
        <v>0</v>
      </c>
      <c r="O107" s="8">
        <f>IFERROR(N107/N445, "NA")</f>
        <v>0</v>
      </c>
      <c r="P107" s="9"/>
      <c r="Q107" s="7">
        <v>0</v>
      </c>
      <c r="R107" s="8">
        <f>IFERROR(Q107/Q445, "NA")</f>
        <v>0</v>
      </c>
      <c r="S107" s="9"/>
      <c r="T107" s="7">
        <v>0</v>
      </c>
      <c r="U107" s="8">
        <f>IFERROR(T107/T445, "NA")</f>
        <v>0</v>
      </c>
      <c r="V107" s="9"/>
      <c r="W107" s="10">
        <f t="shared" si="26"/>
        <v>0</v>
      </c>
      <c r="X107" s="8">
        <f>IFERROR(W107/W445, "NA")</f>
        <v>0</v>
      </c>
      <c r="Y107" s="9"/>
      <c r="Z107" s="7">
        <v>0</v>
      </c>
      <c r="AA107" s="8">
        <f>IFERROR(Z107/Z445, "NA")</f>
        <v>0</v>
      </c>
      <c r="AB107" s="9"/>
      <c r="AC107" s="10">
        <f t="shared" si="27"/>
        <v>0</v>
      </c>
      <c r="AD107" s="8">
        <f>IFERROR(AC107/AC445,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IFERROR(B108/B445, "NA")</f>
        <v>0</v>
      </c>
      <c r="D108" s="9"/>
      <c r="E108" s="7">
        <v>0</v>
      </c>
      <c r="F108" s="8">
        <f>IFERROR(E108/E445, "NA")</f>
        <v>0</v>
      </c>
      <c r="G108" s="9"/>
      <c r="H108" s="10">
        <f t="shared" si="24"/>
        <v>0</v>
      </c>
      <c r="I108" s="8">
        <f>IFERROR(H108/H445, "NA")</f>
        <v>0</v>
      </c>
      <c r="J108" s="9"/>
      <c r="K108" s="7">
        <v>0</v>
      </c>
      <c r="L108" s="8">
        <f>IFERROR(K108/K445, "NA")</f>
        <v>0</v>
      </c>
      <c r="M108" s="9"/>
      <c r="N108" s="10">
        <f t="shared" si="25"/>
        <v>0</v>
      </c>
      <c r="O108" s="8">
        <f>IFERROR(N108/N445, "NA")</f>
        <v>0</v>
      </c>
      <c r="P108" s="9"/>
      <c r="Q108" s="7">
        <v>0</v>
      </c>
      <c r="R108" s="8">
        <f>IFERROR(Q108/Q445, "NA")</f>
        <v>0</v>
      </c>
      <c r="S108" s="9"/>
      <c r="T108" s="7">
        <v>0</v>
      </c>
      <c r="U108" s="8">
        <f>IFERROR(T108/T445, "NA")</f>
        <v>0</v>
      </c>
      <c r="V108" s="9"/>
      <c r="W108" s="10">
        <f t="shared" si="26"/>
        <v>0</v>
      </c>
      <c r="X108" s="8">
        <f>IFERROR(W108/W445, "NA")</f>
        <v>0</v>
      </c>
      <c r="Y108" s="9"/>
      <c r="Z108" s="7">
        <v>0</v>
      </c>
      <c r="AA108" s="8">
        <f>IFERROR(Z108/Z445, "NA")</f>
        <v>0</v>
      </c>
      <c r="AB108" s="9"/>
      <c r="AC108" s="10">
        <f t="shared" si="27"/>
        <v>0</v>
      </c>
      <c r="AD108" s="8">
        <f>IFERROR(AC108/AC445,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IFERROR(B109/B445, "NA")</f>
        <v>0</v>
      </c>
      <c r="D109" s="9"/>
      <c r="E109" s="7">
        <v>0</v>
      </c>
      <c r="F109" s="8">
        <f>IFERROR(E109/E445, "NA")</f>
        <v>0</v>
      </c>
      <c r="G109" s="9"/>
      <c r="H109" s="10">
        <f t="shared" si="24"/>
        <v>0</v>
      </c>
      <c r="I109" s="8">
        <f>IFERROR(H109/H445, "NA")</f>
        <v>0</v>
      </c>
      <c r="J109" s="9"/>
      <c r="K109" s="7">
        <v>0</v>
      </c>
      <c r="L109" s="8">
        <f>IFERROR(K109/K445, "NA")</f>
        <v>0</v>
      </c>
      <c r="M109" s="9"/>
      <c r="N109" s="10">
        <f t="shared" si="25"/>
        <v>0</v>
      </c>
      <c r="O109" s="8">
        <f>IFERROR(N109/N445, "NA")</f>
        <v>0</v>
      </c>
      <c r="P109" s="9"/>
      <c r="Q109" s="7">
        <v>0</v>
      </c>
      <c r="R109" s="8">
        <f>IFERROR(Q109/Q445, "NA")</f>
        <v>0</v>
      </c>
      <c r="S109" s="9"/>
      <c r="T109" s="7">
        <v>0</v>
      </c>
      <c r="U109" s="8">
        <f>IFERROR(T109/T445, "NA")</f>
        <v>0</v>
      </c>
      <c r="V109" s="9"/>
      <c r="W109" s="10">
        <f t="shared" si="26"/>
        <v>0</v>
      </c>
      <c r="X109" s="8">
        <f>IFERROR(W109/W445, "NA")</f>
        <v>0</v>
      </c>
      <c r="Y109" s="9"/>
      <c r="Z109" s="7">
        <v>0</v>
      </c>
      <c r="AA109" s="8">
        <f>IFERROR(Z109/Z445, "NA")</f>
        <v>0</v>
      </c>
      <c r="AB109" s="9"/>
      <c r="AC109" s="10">
        <f t="shared" si="27"/>
        <v>0</v>
      </c>
      <c r="AD109" s="8">
        <f>IFERROR(AC109/AC445,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IFERROR(B110/B445, "NA")</f>
        <v>0</v>
      </c>
      <c r="D110" s="9"/>
      <c r="E110" s="7">
        <v>0</v>
      </c>
      <c r="F110" s="8">
        <f>IFERROR(E110/E445, "NA")</f>
        <v>0</v>
      </c>
      <c r="G110" s="9"/>
      <c r="H110" s="10">
        <f t="shared" si="24"/>
        <v>0</v>
      </c>
      <c r="I110" s="8">
        <f>IFERROR(H110/H445, "NA")</f>
        <v>0</v>
      </c>
      <c r="J110" s="9"/>
      <c r="K110" s="7">
        <v>0</v>
      </c>
      <c r="L110" s="8">
        <f>IFERROR(K110/K445, "NA")</f>
        <v>0</v>
      </c>
      <c r="M110" s="9"/>
      <c r="N110" s="10">
        <f t="shared" si="25"/>
        <v>0</v>
      </c>
      <c r="O110" s="8">
        <f>IFERROR(N110/N445, "NA")</f>
        <v>0</v>
      </c>
      <c r="P110" s="9"/>
      <c r="Q110" s="7">
        <v>0</v>
      </c>
      <c r="R110" s="8">
        <f>IFERROR(Q110/Q445, "NA")</f>
        <v>0</v>
      </c>
      <c r="S110" s="9"/>
      <c r="T110" s="7">
        <v>0</v>
      </c>
      <c r="U110" s="8">
        <f>IFERROR(T110/T445, "NA")</f>
        <v>0</v>
      </c>
      <c r="V110" s="9"/>
      <c r="W110" s="10">
        <f t="shared" si="26"/>
        <v>0</v>
      </c>
      <c r="X110" s="8">
        <f>IFERROR(W110/W445, "NA")</f>
        <v>0</v>
      </c>
      <c r="Y110" s="9"/>
      <c r="Z110" s="7">
        <v>0</v>
      </c>
      <c r="AA110" s="8">
        <f>IFERROR(Z110/Z445, "NA")</f>
        <v>0</v>
      </c>
      <c r="AB110" s="9"/>
      <c r="AC110" s="10">
        <f t="shared" si="27"/>
        <v>0</v>
      </c>
      <c r="AD110" s="8">
        <f>IFERROR(AC110/AC445,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IFERROR(B111/B445, "NA")</f>
        <v>0</v>
      </c>
      <c r="D111" s="9"/>
      <c r="E111" s="7">
        <v>0</v>
      </c>
      <c r="F111" s="8">
        <f>IFERROR(E111/E445, "NA")</f>
        <v>0</v>
      </c>
      <c r="G111" s="9"/>
      <c r="H111" s="10">
        <f t="shared" si="24"/>
        <v>0</v>
      </c>
      <c r="I111" s="8">
        <f>IFERROR(H111/H445, "NA")</f>
        <v>0</v>
      </c>
      <c r="J111" s="9"/>
      <c r="K111" s="7">
        <v>0</v>
      </c>
      <c r="L111" s="8">
        <f>IFERROR(K111/K445, "NA")</f>
        <v>0</v>
      </c>
      <c r="M111" s="9"/>
      <c r="N111" s="10">
        <f t="shared" si="25"/>
        <v>0</v>
      </c>
      <c r="O111" s="8">
        <f>IFERROR(N111/N445, "NA")</f>
        <v>0</v>
      </c>
      <c r="P111" s="9"/>
      <c r="Q111" s="7">
        <v>0</v>
      </c>
      <c r="R111" s="8">
        <f>IFERROR(Q111/Q445, "NA")</f>
        <v>0</v>
      </c>
      <c r="S111" s="9"/>
      <c r="T111" s="7">
        <v>0</v>
      </c>
      <c r="U111" s="8">
        <f>IFERROR(T111/T445, "NA")</f>
        <v>0</v>
      </c>
      <c r="V111" s="9"/>
      <c r="W111" s="10">
        <f t="shared" si="26"/>
        <v>0</v>
      </c>
      <c r="X111" s="8">
        <f>IFERROR(W111/W445, "NA")</f>
        <v>0</v>
      </c>
      <c r="Y111" s="9"/>
      <c r="Z111" s="7">
        <v>0</v>
      </c>
      <c r="AA111" s="8">
        <f>IFERROR(Z111/Z445, "NA")</f>
        <v>0</v>
      </c>
      <c r="AB111" s="9"/>
      <c r="AC111" s="10">
        <f t="shared" si="27"/>
        <v>0</v>
      </c>
      <c r="AD111" s="8">
        <f>IFERROR(AC111/AC445,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IFERROR(B112/B445, "NA")</f>
        <v>0</v>
      </c>
      <c r="D112" s="9"/>
      <c r="E112" s="7">
        <v>0</v>
      </c>
      <c r="F112" s="8">
        <f>IFERROR(E112/E445, "NA")</f>
        <v>0</v>
      </c>
      <c r="G112" s="9"/>
      <c r="H112" s="10">
        <f t="shared" si="24"/>
        <v>0</v>
      </c>
      <c r="I112" s="8">
        <f>IFERROR(H112/H445, "NA")</f>
        <v>0</v>
      </c>
      <c r="J112" s="9"/>
      <c r="K112" s="7">
        <v>0</v>
      </c>
      <c r="L112" s="8">
        <f>IFERROR(K112/K445, "NA")</f>
        <v>0</v>
      </c>
      <c r="M112" s="9"/>
      <c r="N112" s="10">
        <f t="shared" si="25"/>
        <v>0</v>
      </c>
      <c r="O112" s="8">
        <f>IFERROR(N112/N445, "NA")</f>
        <v>0</v>
      </c>
      <c r="P112" s="9"/>
      <c r="Q112" s="7">
        <v>0</v>
      </c>
      <c r="R112" s="8">
        <f>IFERROR(Q112/Q445, "NA")</f>
        <v>0</v>
      </c>
      <c r="S112" s="9"/>
      <c r="T112" s="7">
        <v>0</v>
      </c>
      <c r="U112" s="8">
        <f>IFERROR(T112/T445, "NA")</f>
        <v>0</v>
      </c>
      <c r="V112" s="9"/>
      <c r="W112" s="10">
        <f t="shared" si="26"/>
        <v>0</v>
      </c>
      <c r="X112" s="8">
        <f>IFERROR(W112/W445, "NA")</f>
        <v>0</v>
      </c>
      <c r="Y112" s="9"/>
      <c r="Z112" s="7">
        <v>0</v>
      </c>
      <c r="AA112" s="8">
        <f>IFERROR(Z112/Z445, "NA")</f>
        <v>0</v>
      </c>
      <c r="AB112" s="9"/>
      <c r="AC112" s="10">
        <f t="shared" si="27"/>
        <v>0</v>
      </c>
      <c r="AD112" s="8">
        <f>IFERROR(AC112/AC445,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IFERROR(B113/B445, "NA")</f>
        <v>0</v>
      </c>
      <c r="D113" s="9"/>
      <c r="E113" s="7">
        <v>0</v>
      </c>
      <c r="F113" s="8">
        <f>IFERROR(E113/E445, "NA")</f>
        <v>0</v>
      </c>
      <c r="G113" s="9"/>
      <c r="H113" s="10">
        <f t="shared" si="24"/>
        <v>0</v>
      </c>
      <c r="I113" s="8">
        <f>IFERROR(H113/H445, "NA")</f>
        <v>0</v>
      </c>
      <c r="J113" s="9"/>
      <c r="K113" s="7">
        <v>0</v>
      </c>
      <c r="L113" s="8">
        <f>IFERROR(K113/K445, "NA")</f>
        <v>0</v>
      </c>
      <c r="M113" s="9"/>
      <c r="N113" s="10">
        <f t="shared" si="25"/>
        <v>0</v>
      </c>
      <c r="O113" s="8">
        <f>IFERROR(N113/N445, "NA")</f>
        <v>0</v>
      </c>
      <c r="P113" s="9"/>
      <c r="Q113" s="7">
        <v>0</v>
      </c>
      <c r="R113" s="8">
        <f>IFERROR(Q113/Q445, "NA")</f>
        <v>0</v>
      </c>
      <c r="S113" s="9"/>
      <c r="T113" s="7">
        <v>0</v>
      </c>
      <c r="U113" s="8">
        <f>IFERROR(T113/T445, "NA")</f>
        <v>0</v>
      </c>
      <c r="V113" s="9"/>
      <c r="W113" s="10">
        <f t="shared" si="26"/>
        <v>0</v>
      </c>
      <c r="X113" s="8">
        <f>IFERROR(W113/W445, "NA")</f>
        <v>0</v>
      </c>
      <c r="Y113" s="9"/>
      <c r="Z113" s="7">
        <v>0</v>
      </c>
      <c r="AA113" s="8">
        <f>IFERROR(Z113/Z445, "NA")</f>
        <v>0</v>
      </c>
      <c r="AB113" s="9"/>
      <c r="AC113" s="10">
        <f t="shared" si="27"/>
        <v>0</v>
      </c>
      <c r="AD113" s="8">
        <f>IFERROR(AC113/AC445,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IFERROR(B114/B445, "NA")</f>
        <v>0</v>
      </c>
      <c r="D114" s="9"/>
      <c r="E114" s="7">
        <v>0</v>
      </c>
      <c r="F114" s="8">
        <f>IFERROR(E114/E445, "NA")</f>
        <v>0</v>
      </c>
      <c r="G114" s="9"/>
      <c r="H114" s="10">
        <f t="shared" si="24"/>
        <v>0</v>
      </c>
      <c r="I114" s="8">
        <f>IFERROR(H114/H445, "NA")</f>
        <v>0</v>
      </c>
      <c r="J114" s="9"/>
      <c r="K114" s="7">
        <v>0</v>
      </c>
      <c r="L114" s="8">
        <f>IFERROR(K114/K445, "NA")</f>
        <v>0</v>
      </c>
      <c r="M114" s="9"/>
      <c r="N114" s="10">
        <f t="shared" si="25"/>
        <v>0</v>
      </c>
      <c r="O114" s="8">
        <f>IFERROR(N114/N445, "NA")</f>
        <v>0</v>
      </c>
      <c r="P114" s="9"/>
      <c r="Q114" s="7">
        <v>0</v>
      </c>
      <c r="R114" s="8">
        <f>IFERROR(Q114/Q445, "NA")</f>
        <v>0</v>
      </c>
      <c r="S114" s="9"/>
      <c r="T114" s="7">
        <v>0</v>
      </c>
      <c r="U114" s="8">
        <f>IFERROR(T114/T445, "NA")</f>
        <v>0</v>
      </c>
      <c r="V114" s="9"/>
      <c r="W114" s="10">
        <f t="shared" si="26"/>
        <v>0</v>
      </c>
      <c r="X114" s="8">
        <f>IFERROR(W114/W445, "NA")</f>
        <v>0</v>
      </c>
      <c r="Y114" s="9"/>
      <c r="Z114" s="7">
        <v>0</v>
      </c>
      <c r="AA114" s="8">
        <f>IFERROR(Z114/Z445, "NA")</f>
        <v>0</v>
      </c>
      <c r="AB114" s="9"/>
      <c r="AC114" s="10">
        <f t="shared" si="27"/>
        <v>0</v>
      </c>
      <c r="AD114" s="8">
        <f>IFERROR(AC114/AC445,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IFERROR(B115/B445, "NA")</f>
        <v>0</v>
      </c>
      <c r="D115" s="9"/>
      <c r="E115" s="7">
        <v>0</v>
      </c>
      <c r="F115" s="8">
        <f>IFERROR(E115/E445, "NA")</f>
        <v>0</v>
      </c>
      <c r="G115" s="9"/>
      <c r="H115" s="10">
        <f t="shared" si="24"/>
        <v>0</v>
      </c>
      <c r="I115" s="8">
        <f>IFERROR(H115/H445, "NA")</f>
        <v>0</v>
      </c>
      <c r="J115" s="9"/>
      <c r="K115" s="7">
        <v>0</v>
      </c>
      <c r="L115" s="8">
        <f>IFERROR(K115/K445, "NA")</f>
        <v>0</v>
      </c>
      <c r="M115" s="9"/>
      <c r="N115" s="10">
        <f t="shared" si="25"/>
        <v>0</v>
      </c>
      <c r="O115" s="8">
        <f>IFERROR(N115/N445, "NA")</f>
        <v>0</v>
      </c>
      <c r="P115" s="9"/>
      <c r="Q115" s="7">
        <v>0</v>
      </c>
      <c r="R115" s="8">
        <f>IFERROR(Q115/Q445, "NA")</f>
        <v>0</v>
      </c>
      <c r="S115" s="9"/>
      <c r="T115" s="7">
        <v>0</v>
      </c>
      <c r="U115" s="8">
        <f>IFERROR(T115/T445, "NA")</f>
        <v>0</v>
      </c>
      <c r="V115" s="9"/>
      <c r="W115" s="10">
        <f t="shared" si="26"/>
        <v>0</v>
      </c>
      <c r="X115" s="8">
        <f>IFERROR(W115/W445, "NA")</f>
        <v>0</v>
      </c>
      <c r="Y115" s="9"/>
      <c r="Z115" s="7">
        <v>0</v>
      </c>
      <c r="AA115" s="8">
        <f>IFERROR(Z115/Z445, "NA")</f>
        <v>0</v>
      </c>
      <c r="AB115" s="9"/>
      <c r="AC115" s="10">
        <f t="shared" si="27"/>
        <v>0</v>
      </c>
      <c r="AD115" s="8">
        <f>IFERROR(AC115/AC445,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IFERROR(B116/B445, "NA")</f>
        <v>0</v>
      </c>
      <c r="D116" s="9"/>
      <c r="E116" s="7">
        <v>0</v>
      </c>
      <c r="F116" s="8">
        <f>IFERROR(E116/E445, "NA")</f>
        <v>0</v>
      </c>
      <c r="G116" s="9"/>
      <c r="H116" s="10">
        <f t="shared" si="24"/>
        <v>0</v>
      </c>
      <c r="I116" s="8">
        <f>IFERROR(H116/H445, "NA")</f>
        <v>0</v>
      </c>
      <c r="J116" s="9"/>
      <c r="K116" s="7">
        <v>0</v>
      </c>
      <c r="L116" s="8">
        <f>IFERROR(K116/K445, "NA")</f>
        <v>0</v>
      </c>
      <c r="M116" s="9"/>
      <c r="N116" s="10">
        <f t="shared" si="25"/>
        <v>0</v>
      </c>
      <c r="O116" s="8">
        <f>IFERROR(N116/N445, "NA")</f>
        <v>0</v>
      </c>
      <c r="P116" s="9"/>
      <c r="Q116" s="7">
        <v>0</v>
      </c>
      <c r="R116" s="8">
        <f>IFERROR(Q116/Q445, "NA")</f>
        <v>0</v>
      </c>
      <c r="S116" s="9"/>
      <c r="T116" s="7">
        <v>0</v>
      </c>
      <c r="U116" s="8">
        <f>IFERROR(T116/T445, "NA")</f>
        <v>0</v>
      </c>
      <c r="V116" s="9"/>
      <c r="W116" s="10">
        <f t="shared" si="26"/>
        <v>0</v>
      </c>
      <c r="X116" s="8">
        <f>IFERROR(W116/W445, "NA")</f>
        <v>0</v>
      </c>
      <c r="Y116" s="9"/>
      <c r="Z116" s="7">
        <v>0</v>
      </c>
      <c r="AA116" s="8">
        <f>IFERROR(Z116/Z445, "NA")</f>
        <v>0</v>
      </c>
      <c r="AB116" s="9"/>
      <c r="AC116" s="10">
        <f t="shared" si="27"/>
        <v>0</v>
      </c>
      <c r="AD116" s="8">
        <f>IFERROR(AC116/AC445,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IFERROR(B117/B445, "NA")</f>
        <v>0</v>
      </c>
      <c r="D117" s="9"/>
      <c r="E117" s="7">
        <v>0</v>
      </c>
      <c r="F117" s="8">
        <f>IFERROR(E117/E445, "NA")</f>
        <v>0</v>
      </c>
      <c r="G117" s="9"/>
      <c r="H117" s="10">
        <f t="shared" si="24"/>
        <v>0</v>
      </c>
      <c r="I117" s="8">
        <f>IFERROR(H117/H445, "NA")</f>
        <v>0</v>
      </c>
      <c r="J117" s="9"/>
      <c r="K117" s="7">
        <v>0</v>
      </c>
      <c r="L117" s="8">
        <f>IFERROR(K117/K445, "NA")</f>
        <v>0</v>
      </c>
      <c r="M117" s="9"/>
      <c r="N117" s="10">
        <f t="shared" si="25"/>
        <v>0</v>
      </c>
      <c r="O117" s="8">
        <f>IFERROR(N117/N445, "NA")</f>
        <v>0</v>
      </c>
      <c r="P117" s="9"/>
      <c r="Q117" s="7">
        <v>0</v>
      </c>
      <c r="R117" s="8">
        <f>IFERROR(Q117/Q445, "NA")</f>
        <v>0</v>
      </c>
      <c r="S117" s="9"/>
      <c r="T117" s="7">
        <v>0</v>
      </c>
      <c r="U117" s="8">
        <f>IFERROR(T117/T445, "NA")</f>
        <v>0</v>
      </c>
      <c r="V117" s="9"/>
      <c r="W117" s="10">
        <f t="shared" si="26"/>
        <v>0</v>
      </c>
      <c r="X117" s="8">
        <f>IFERROR(W117/W445, "NA")</f>
        <v>0</v>
      </c>
      <c r="Y117" s="9"/>
      <c r="Z117" s="7">
        <v>0</v>
      </c>
      <c r="AA117" s="8">
        <f>IFERROR(Z117/Z445, "NA")</f>
        <v>0</v>
      </c>
      <c r="AB117" s="9"/>
      <c r="AC117" s="10">
        <f t="shared" si="27"/>
        <v>0</v>
      </c>
      <c r="AD117" s="8">
        <f>IFERROR(AC117/AC445,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-3133.1</v>
      </c>
      <c r="C118" s="15">
        <f>IFERROR(B118/B445, "NA")</f>
        <v>-3.589678782696628E-2</v>
      </c>
      <c r="D118" s="2"/>
      <c r="E118" s="14">
        <f>IFERROR(E94+E95+E96+E97+E98+E99+E100+E101+E102+E103+E104+E105+E106+E107+E108+E109+E110+E111+E112+E113+E114+E115+E116+E117, "NA")</f>
        <v>-5504.89</v>
      </c>
      <c r="F118" s="15">
        <f>IFERROR(E118/E445, "NA")</f>
        <v>-5.9000050802148783E-2</v>
      </c>
      <c r="G118" s="2"/>
      <c r="H118" s="14">
        <f t="shared" si="24"/>
        <v>2371.7900000000004</v>
      </c>
      <c r="I118" s="15">
        <f>IFERROR(H118/H445, "NA")</f>
        <v>-0.39383131169726071</v>
      </c>
      <c r="J118" s="2"/>
      <c r="K118" s="14">
        <f>IFERROR(K94+K95+K96+K97+K98+K99+K100+K101+K102+K103+K104+K105+K106+K107+K108+K109+K110+K111+K112+K113+K114+K115+K116+K117, "NA")</f>
        <v>-3977.5600000000004</v>
      </c>
      <c r="L118" s="15">
        <f>IFERROR(K118/K445, "NA")</f>
        <v>-4.6627114028565265E-2</v>
      </c>
      <c r="M118" s="2"/>
      <c r="N118" s="14">
        <f t="shared" si="25"/>
        <v>844.46000000000049</v>
      </c>
      <c r="O118" s="15">
        <f>IFERROR(N118/N445, "NA")</f>
        <v>0.42756169432827434</v>
      </c>
      <c r="P118" s="2"/>
      <c r="Q118" s="14">
        <f>IFERROR(Q94+Q95+Q96+Q97+Q98+Q99+Q100+Q101+Q102+Q103+Q104+Q105+Q106+Q107+Q108+Q109+Q110+Q111+Q112+Q113+Q114+Q115+Q116+Q117, "NA")</f>
        <v>-18074.48</v>
      </c>
      <c r="R118" s="15">
        <f>IFERROR(Q118/Q445, "NA")</f>
        <v>-4.0404092789690593E-2</v>
      </c>
      <c r="S118" s="2"/>
      <c r="T118" s="14">
        <f>IFERROR(T94+T95+T96+T97+T98+T99+T100+T101+T102+T103+T104+T105+T106+T107+T108+T109+T110+T111+T112+T113+T114+T115+T116+T117, "NA")</f>
        <v>-26020.29</v>
      </c>
      <c r="U118" s="15">
        <f>IFERROR(T118/T445, "NA")</f>
        <v>-5.9000017980973415E-2</v>
      </c>
      <c r="V118" s="2"/>
      <c r="W118" s="14">
        <f t="shared" si="26"/>
        <v>7945.8100000000013</v>
      </c>
      <c r="X118" s="15">
        <f>IFERROR(W118/W445, "NA")</f>
        <v>1.2570355968214231</v>
      </c>
      <c r="Y118" s="2"/>
      <c r="Z118" s="14">
        <f>IFERROR(Z94+Z95+Z96+Z97+Z98+Z99+Z100+Z101+Z102+Z103+Z104+Z105+Z106+Z107+Z108+Z109+Z110+Z111+Z112+Z113+Z114+Z115+Z116+Z117, "NA")</f>
        <v>-23642.89</v>
      </c>
      <c r="AA118" s="15">
        <f>IFERROR(Z118/Z445, "NA")</f>
        <v>-5.7594097044081215E-2</v>
      </c>
      <c r="AB118" s="2"/>
      <c r="AC118" s="14">
        <f t="shared" si="27"/>
        <v>5568.41</v>
      </c>
      <c r="AD118" s="15">
        <f>IFERROR(AC118/AC445, "NA")</f>
        <v>0.15117626729080197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IFERROR(B119/B445, "NA")</f>
        <v>0</v>
      </c>
      <c r="D119" s="9"/>
      <c r="E119" s="7">
        <v>0</v>
      </c>
      <c r="F119" s="8">
        <f>IFERROR(E119/E445, "NA")</f>
        <v>0</v>
      </c>
      <c r="G119" s="9"/>
      <c r="H119" s="10">
        <f t="shared" si="24"/>
        <v>0</v>
      </c>
      <c r="I119" s="8">
        <f>IFERROR(H119/H445, "NA")</f>
        <v>0</v>
      </c>
      <c r="J119" s="9"/>
      <c r="K119" s="7">
        <v>0</v>
      </c>
      <c r="L119" s="8">
        <f>IFERROR(K119/K445, "NA")</f>
        <v>0</v>
      </c>
      <c r="M119" s="9"/>
      <c r="N119" s="10">
        <f t="shared" si="25"/>
        <v>0</v>
      </c>
      <c r="O119" s="8">
        <f>IFERROR(N119/N445, "NA")</f>
        <v>0</v>
      </c>
      <c r="P119" s="9"/>
      <c r="Q119" s="7">
        <v>0</v>
      </c>
      <c r="R119" s="8">
        <f>IFERROR(Q119/Q445, "NA")</f>
        <v>0</v>
      </c>
      <c r="S119" s="9"/>
      <c r="T119" s="7">
        <v>0</v>
      </c>
      <c r="U119" s="8">
        <f>IFERROR(T119/T445, "NA")</f>
        <v>0</v>
      </c>
      <c r="V119" s="9"/>
      <c r="W119" s="10">
        <f t="shared" si="26"/>
        <v>0</v>
      </c>
      <c r="X119" s="8">
        <f>IFERROR(W119/W445, "NA")</f>
        <v>0</v>
      </c>
      <c r="Y119" s="9"/>
      <c r="Z119" s="7">
        <v>0</v>
      </c>
      <c r="AA119" s="8">
        <f>IFERROR(Z119/Z445, "NA")</f>
        <v>0</v>
      </c>
      <c r="AB119" s="9"/>
      <c r="AC119" s="10">
        <f t="shared" si="27"/>
        <v>0</v>
      </c>
      <c r="AD119" s="8">
        <f>IFERROR(AC119/AC445,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IFERROR(B120/B445, "NA")</f>
        <v>0</v>
      </c>
      <c r="D120" s="9"/>
      <c r="E120" s="7">
        <v>0</v>
      </c>
      <c r="F120" s="8">
        <f>IFERROR(E120/E445, "NA")</f>
        <v>0</v>
      </c>
      <c r="G120" s="9"/>
      <c r="H120" s="10">
        <f t="shared" si="24"/>
        <v>0</v>
      </c>
      <c r="I120" s="8">
        <f>IFERROR(H120/H445, "NA")</f>
        <v>0</v>
      </c>
      <c r="J120" s="9"/>
      <c r="K120" s="7">
        <v>0</v>
      </c>
      <c r="L120" s="8">
        <f>IFERROR(K120/K445, "NA")</f>
        <v>0</v>
      </c>
      <c r="M120" s="9"/>
      <c r="N120" s="10">
        <f t="shared" si="25"/>
        <v>0</v>
      </c>
      <c r="O120" s="8">
        <f>IFERROR(N120/N445, "NA")</f>
        <v>0</v>
      </c>
      <c r="P120" s="9"/>
      <c r="Q120" s="7">
        <v>0</v>
      </c>
      <c r="R120" s="8">
        <f>IFERROR(Q120/Q445, "NA")</f>
        <v>0</v>
      </c>
      <c r="S120" s="9"/>
      <c r="T120" s="7">
        <v>0</v>
      </c>
      <c r="U120" s="8">
        <f>IFERROR(T120/T445, "NA")</f>
        <v>0</v>
      </c>
      <c r="V120" s="9"/>
      <c r="W120" s="10">
        <f t="shared" si="26"/>
        <v>0</v>
      </c>
      <c r="X120" s="8">
        <f>IFERROR(W120/W445, "NA")</f>
        <v>0</v>
      </c>
      <c r="Y120" s="9"/>
      <c r="Z120" s="7">
        <v>0</v>
      </c>
      <c r="AA120" s="8">
        <f>IFERROR(Z120/Z445, "NA")</f>
        <v>0</v>
      </c>
      <c r="AB120" s="9"/>
      <c r="AC120" s="10">
        <f t="shared" si="27"/>
        <v>0</v>
      </c>
      <c r="AD120" s="8">
        <f>IFERROR(AC120/AC445,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IFERROR(B121/B445, "NA")</f>
        <v>0</v>
      </c>
      <c r="D121" s="9"/>
      <c r="E121" s="7">
        <v>0</v>
      </c>
      <c r="F121" s="8">
        <f>IFERROR(E121/E445, "NA")</f>
        <v>0</v>
      </c>
      <c r="G121" s="9"/>
      <c r="H121" s="10">
        <f t="shared" si="24"/>
        <v>0</v>
      </c>
      <c r="I121" s="8">
        <f>IFERROR(H121/H445, "NA")</f>
        <v>0</v>
      </c>
      <c r="J121" s="9"/>
      <c r="K121" s="7">
        <v>0</v>
      </c>
      <c r="L121" s="8">
        <f>IFERROR(K121/K445, "NA")</f>
        <v>0</v>
      </c>
      <c r="M121" s="9"/>
      <c r="N121" s="10">
        <f t="shared" si="25"/>
        <v>0</v>
      </c>
      <c r="O121" s="8">
        <f>IFERROR(N121/N445, "NA")</f>
        <v>0</v>
      </c>
      <c r="P121" s="9"/>
      <c r="Q121" s="7">
        <v>0</v>
      </c>
      <c r="R121" s="8">
        <f>IFERROR(Q121/Q445, "NA")</f>
        <v>0</v>
      </c>
      <c r="S121" s="9"/>
      <c r="T121" s="7">
        <v>0</v>
      </c>
      <c r="U121" s="8">
        <f>IFERROR(T121/T445, "NA")</f>
        <v>0</v>
      </c>
      <c r="V121" s="9"/>
      <c r="W121" s="10">
        <f t="shared" si="26"/>
        <v>0</v>
      </c>
      <c r="X121" s="8">
        <f>IFERROR(W121/W445, "NA")</f>
        <v>0</v>
      </c>
      <c r="Y121" s="9"/>
      <c r="Z121" s="7">
        <v>0</v>
      </c>
      <c r="AA121" s="8">
        <f>IFERROR(Z121/Z445, "NA")</f>
        <v>0</v>
      </c>
      <c r="AB121" s="9"/>
      <c r="AC121" s="10">
        <f t="shared" si="27"/>
        <v>0</v>
      </c>
      <c r="AD121" s="8">
        <f>IFERROR(AC121/AC445,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87280.790000000008</v>
      </c>
      <c r="C122" s="15">
        <f>IFERROR(B122/B445,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93303.139999999985</v>
      </c>
      <c r="F122" s="15">
        <f>IFERROR(E122/E445, "NA")</f>
        <v>0.99999999999999989</v>
      </c>
      <c r="G122" s="2"/>
      <c r="H122" s="14">
        <f t="shared" si="24"/>
        <v>-6022.3499999999767</v>
      </c>
      <c r="I122" s="15">
        <f>IFERROR(H122/H445, "NA")</f>
        <v>0.99999999999999512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85305.73000000001</v>
      </c>
      <c r="L122" s="15">
        <f>IFERROR(K122/K445, "NA")</f>
        <v>1.0000000000000002</v>
      </c>
      <c r="M122" s="2"/>
      <c r="N122" s="14">
        <f t="shared" si="25"/>
        <v>1975.0599999999977</v>
      </c>
      <c r="O122" s="15">
        <f>IFERROR(N122/N445,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447342.79999999987</v>
      </c>
      <c r="R122" s="15">
        <f>IFERROR(Q122/Q445, "NA")</f>
        <v>0.99999999999999978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441021.73</v>
      </c>
      <c r="U122" s="15">
        <f>IFERROR(T122/T445, "NA")</f>
        <v>1</v>
      </c>
      <c r="V122" s="2"/>
      <c r="W122" s="14">
        <f t="shared" si="26"/>
        <v>6321.0699999998906</v>
      </c>
      <c r="X122" s="15">
        <f>IFERROR(W122/W445, "NA")</f>
        <v>0.99999999999998157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410508.90999999986</v>
      </c>
      <c r="AA122" s="15">
        <f>IFERROR(Z122/Z445, "NA")</f>
        <v>0.99999999999999967</v>
      </c>
      <c r="AB122" s="2"/>
      <c r="AC122" s="14">
        <f t="shared" si="27"/>
        <v>36833.890000000014</v>
      </c>
      <c r="AD122" s="15">
        <f>IFERROR(AC122/AC445,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IFERROR(B123/B445, "NA")</f>
        <v>0</v>
      </c>
      <c r="D123" s="9"/>
      <c r="E123" s="7">
        <v>0</v>
      </c>
      <c r="F123" s="8">
        <f>IFERROR(E123/E445, "NA")</f>
        <v>0</v>
      </c>
      <c r="G123" s="9"/>
      <c r="H123" s="10">
        <f t="shared" si="24"/>
        <v>0</v>
      </c>
      <c r="I123" s="8">
        <f>IFERROR(H123/H445, "NA")</f>
        <v>0</v>
      </c>
      <c r="J123" s="9"/>
      <c r="K123" s="7">
        <v>0</v>
      </c>
      <c r="L123" s="8">
        <f>IFERROR(K123/K445, "NA")</f>
        <v>0</v>
      </c>
      <c r="M123" s="9"/>
      <c r="N123" s="10">
        <f t="shared" si="25"/>
        <v>0</v>
      </c>
      <c r="O123" s="8">
        <f>IFERROR(N123/N445, "NA")</f>
        <v>0</v>
      </c>
      <c r="P123" s="9"/>
      <c r="Q123" s="7">
        <v>0</v>
      </c>
      <c r="R123" s="8">
        <f>IFERROR(Q123/Q445, "NA")</f>
        <v>0</v>
      </c>
      <c r="S123" s="9"/>
      <c r="T123" s="7">
        <v>0</v>
      </c>
      <c r="U123" s="8">
        <f>IFERROR(T123/T445, "NA")</f>
        <v>0</v>
      </c>
      <c r="V123" s="9"/>
      <c r="W123" s="10">
        <f t="shared" si="26"/>
        <v>0</v>
      </c>
      <c r="X123" s="8">
        <f>IFERROR(W123/W445, "NA")</f>
        <v>0</v>
      </c>
      <c r="Y123" s="9"/>
      <c r="Z123" s="7">
        <v>0</v>
      </c>
      <c r="AA123" s="8">
        <f>IFERROR(Z123/Z445, "NA")</f>
        <v>0</v>
      </c>
      <c r="AB123" s="9"/>
      <c r="AC123" s="10">
        <f t="shared" si="27"/>
        <v>0</v>
      </c>
      <c r="AD123" s="8">
        <f>IFERROR(AC123/AC445,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87280.790000000008</v>
      </c>
      <c r="C124" s="15">
        <f>IFERROR(B124/B445,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93303.139999999985</v>
      </c>
      <c r="F124" s="15">
        <f>IFERROR(E124/E445, "NA")</f>
        <v>0.99999999999999989</v>
      </c>
      <c r="G124" s="2"/>
      <c r="H124" s="14">
        <f t="shared" si="24"/>
        <v>-6022.3499999999767</v>
      </c>
      <c r="I124" s="15">
        <f>IFERROR(H124/H445, "NA")</f>
        <v>0.99999999999999512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85305.73000000001</v>
      </c>
      <c r="L124" s="15">
        <f>IFERROR(K124/K445, "NA")</f>
        <v>1.0000000000000002</v>
      </c>
      <c r="M124" s="2"/>
      <c r="N124" s="14">
        <f t="shared" si="25"/>
        <v>1975.0599999999977</v>
      </c>
      <c r="O124" s="15">
        <f>IFERROR(N124/N445,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447342.79999999987</v>
      </c>
      <c r="R124" s="15">
        <f>IFERROR(Q124/Q445, "NA")</f>
        <v>0.99999999999999978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441021.73</v>
      </c>
      <c r="U124" s="15">
        <f>IFERROR(T124/T445, "NA")</f>
        <v>1</v>
      </c>
      <c r="V124" s="2"/>
      <c r="W124" s="14">
        <f t="shared" si="26"/>
        <v>6321.0699999998906</v>
      </c>
      <c r="X124" s="15">
        <f>IFERROR(W124/W445, "NA")</f>
        <v>0.99999999999998157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410508.90999999986</v>
      </c>
      <c r="AA124" s="15">
        <f>IFERROR(Z124/Z445, "NA")</f>
        <v>0.99999999999999967</v>
      </c>
      <c r="AB124" s="2"/>
      <c r="AC124" s="14">
        <f t="shared" si="27"/>
        <v>36833.890000000014</v>
      </c>
      <c r="AD124" s="15">
        <f>IFERROR(AC124/AC445,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IFERROR(B127/B445, "NA")</f>
        <v>0</v>
      </c>
      <c r="D127" s="9"/>
      <c r="E127" s="7">
        <v>0</v>
      </c>
      <c r="F127" s="8">
        <f>IFERROR(E127/E445, "NA")</f>
        <v>0</v>
      </c>
      <c r="G127" s="9"/>
      <c r="H127" s="10">
        <f>IFERROR(-(B127-E127), "NA")</f>
        <v>0</v>
      </c>
      <c r="I127" s="8">
        <f>IFERROR(H127/H445, "NA")</f>
        <v>0</v>
      </c>
      <c r="J127" s="9"/>
      <c r="K127" s="7">
        <v>0</v>
      </c>
      <c r="L127" s="8">
        <f>IFERROR(K127/K445, "NA")</f>
        <v>0</v>
      </c>
      <c r="M127" s="9"/>
      <c r="N127" s="10">
        <f>IFERROR(-(B127-K127), "NA")</f>
        <v>0</v>
      </c>
      <c r="O127" s="8">
        <f>IFERROR(N127/N445, "NA")</f>
        <v>0</v>
      </c>
      <c r="P127" s="9"/>
      <c r="Q127" s="7">
        <v>0</v>
      </c>
      <c r="R127" s="8">
        <f>IFERROR(Q127/Q445, "NA")</f>
        <v>0</v>
      </c>
      <c r="S127" s="9"/>
      <c r="T127" s="7">
        <v>0</v>
      </c>
      <c r="U127" s="8">
        <f>IFERROR(T127/T445, "NA")</f>
        <v>0</v>
      </c>
      <c r="V127" s="9"/>
      <c r="W127" s="10">
        <f>IFERROR(-(Q127-T127), "NA")</f>
        <v>0</v>
      </c>
      <c r="X127" s="8">
        <f>IFERROR(W127/W445, "NA")</f>
        <v>0</v>
      </c>
      <c r="Y127" s="9"/>
      <c r="Z127" s="7">
        <v>0</v>
      </c>
      <c r="AA127" s="8">
        <f>IFERROR(Z127/Z445, "NA")</f>
        <v>0</v>
      </c>
      <c r="AB127" s="9"/>
      <c r="AC127" s="10">
        <f>IFERROR(-(Q127-Z127), "NA")</f>
        <v>0</v>
      </c>
      <c r="AD127" s="8">
        <f>IFERROR(AC127/AC445,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IFERROR(B129/B445, "NA")</f>
        <v>0</v>
      </c>
      <c r="D129" s="9"/>
      <c r="E129" s="7">
        <v>19780.27</v>
      </c>
      <c r="F129" s="8">
        <f>IFERROR(E129/E445, "NA")</f>
        <v>0.21200004630069258</v>
      </c>
      <c r="G129" s="9"/>
      <c r="H129" s="10">
        <f t="shared" ref="H129:H141" si="28">IFERROR(-(B129-E129), "NA")</f>
        <v>19780.27</v>
      </c>
      <c r="I129" s="8">
        <f>IFERROR(H129/H445, "NA")</f>
        <v>-3.2844769898793631</v>
      </c>
      <c r="J129" s="9"/>
      <c r="K129" s="7">
        <v>0</v>
      </c>
      <c r="L129" s="8">
        <f>IFERROR(K129/K445, "NA")</f>
        <v>0</v>
      </c>
      <c r="M129" s="9"/>
      <c r="N129" s="10">
        <f t="shared" ref="N129:N141" si="29">IFERROR(-(B129-K129), "NA")</f>
        <v>0</v>
      </c>
      <c r="O129" s="8">
        <f>IFERROR(N129/N445, "NA")</f>
        <v>0</v>
      </c>
      <c r="P129" s="9"/>
      <c r="Q129" s="7">
        <v>0</v>
      </c>
      <c r="R129" s="8">
        <f>IFERROR(Q129/Q445, "NA")</f>
        <v>0</v>
      </c>
      <c r="S129" s="9"/>
      <c r="T129" s="7">
        <v>94021.23</v>
      </c>
      <c r="U129" s="8">
        <f>IFERROR(T129/T445, "NA")</f>
        <v>0.21318956324442334</v>
      </c>
      <c r="V129" s="9"/>
      <c r="W129" s="10">
        <f t="shared" ref="W129:W141" si="30">IFERROR(-(Q129-T129), "NA")</f>
        <v>94021.23</v>
      </c>
      <c r="X129" s="8">
        <f>IFERROR(W129/W445, "NA")</f>
        <v>14.87425863026353</v>
      </c>
      <c r="Y129" s="9"/>
      <c r="Z129" s="7">
        <v>0</v>
      </c>
      <c r="AA129" s="8">
        <f>IFERROR(Z129/Z445, "NA")</f>
        <v>0</v>
      </c>
      <c r="AB129" s="9"/>
      <c r="AC129" s="10">
        <f t="shared" ref="AC129:AC141" si="31">IFERROR(-(Q129-Z129), "NA")</f>
        <v>0</v>
      </c>
      <c r="AD129" s="8">
        <f>IFERROR(AC129/AC445, "NA")</f>
        <v>0</v>
      </c>
    </row>
    <row r="130" spans="1:30" ht="16.5" customHeight="1" x14ac:dyDescent="0.45">
      <c r="A130" s="12" t="s">
        <v>122</v>
      </c>
      <c r="B130" s="7">
        <v>4569.49</v>
      </c>
      <c r="C130" s="8">
        <f>IFERROR(B130/B445, "NA")</f>
        <v>5.235390284620476E-2</v>
      </c>
      <c r="D130" s="9"/>
      <c r="E130" s="7">
        <v>0</v>
      </c>
      <c r="F130" s="8">
        <f>IFERROR(E130/E445, "NA")</f>
        <v>0</v>
      </c>
      <c r="G130" s="9"/>
      <c r="H130" s="10">
        <f t="shared" si="28"/>
        <v>-4569.49</v>
      </c>
      <c r="I130" s="8">
        <f>IFERROR(H130/H445, "NA")</f>
        <v>0.75875530316238604</v>
      </c>
      <c r="J130" s="9"/>
      <c r="K130" s="7">
        <v>4579.2</v>
      </c>
      <c r="L130" s="8">
        <f>IFERROR(K130/K445, "NA")</f>
        <v>5.3679864177939747E-2</v>
      </c>
      <c r="M130" s="9"/>
      <c r="N130" s="10">
        <f t="shared" si="29"/>
        <v>9.7100000000000364</v>
      </c>
      <c r="O130" s="8">
        <f>IFERROR(N130/N445, "NA")</f>
        <v>4.9163063400605791E-3</v>
      </c>
      <c r="P130" s="9"/>
      <c r="Q130" s="7">
        <v>21216.98</v>
      </c>
      <c r="R130" s="8">
        <f>IFERROR(Q130/Q445, "NA")</f>
        <v>4.7428906869631075E-2</v>
      </c>
      <c r="S130" s="9"/>
      <c r="T130" s="7">
        <v>0</v>
      </c>
      <c r="U130" s="8">
        <f>IFERROR(T130/T445, "NA")</f>
        <v>0</v>
      </c>
      <c r="V130" s="9"/>
      <c r="W130" s="10">
        <f t="shared" si="30"/>
        <v>-21216.98</v>
      </c>
      <c r="X130" s="8">
        <f>IFERROR(W130/W445, "NA")</f>
        <v>-3.3565488121473068</v>
      </c>
      <c r="Y130" s="9"/>
      <c r="Z130" s="7">
        <v>22940.48</v>
      </c>
      <c r="AA130" s="8">
        <f>IFERROR(Z130/Z445, "NA")</f>
        <v>5.5883025778904534E-2</v>
      </c>
      <c r="AB130" s="9"/>
      <c r="AC130" s="10">
        <f t="shared" si="31"/>
        <v>1723.5</v>
      </c>
      <c r="AD130" s="8">
        <f>IFERROR(AC130/AC445, "NA")</f>
        <v>4.6791148043282951E-2</v>
      </c>
    </row>
    <row r="131" spans="1:30" ht="16.5" customHeight="1" x14ac:dyDescent="0.45">
      <c r="A131" s="12" t="s">
        <v>123</v>
      </c>
      <c r="B131" s="7">
        <v>2333.2199999999998</v>
      </c>
      <c r="C131" s="8">
        <f>IFERROR(B131/B445, "NA")</f>
        <v>2.6732342821369971E-2</v>
      </c>
      <c r="D131" s="9"/>
      <c r="E131" s="7">
        <v>0</v>
      </c>
      <c r="F131" s="8">
        <f>IFERROR(E131/E445, "NA")</f>
        <v>0</v>
      </c>
      <c r="G131" s="9"/>
      <c r="H131" s="10">
        <f t="shared" si="28"/>
        <v>-2333.2199999999998</v>
      </c>
      <c r="I131" s="8">
        <f>IFERROR(H131/H445, "NA")</f>
        <v>0.38742683503947756</v>
      </c>
      <c r="J131" s="9"/>
      <c r="K131" s="7">
        <v>3097.51</v>
      </c>
      <c r="L131" s="8">
        <f>IFERROR(K131/K445, "NA")</f>
        <v>3.6310690969996978E-2</v>
      </c>
      <c r="M131" s="9"/>
      <c r="N131" s="10">
        <f t="shared" si="29"/>
        <v>764.29000000000042</v>
      </c>
      <c r="O131" s="8">
        <f>IFERROR(N131/N445, "NA")</f>
        <v>0.38697052241450958</v>
      </c>
      <c r="P131" s="9"/>
      <c r="Q131" s="7">
        <v>12412.84</v>
      </c>
      <c r="R131" s="8">
        <f>IFERROR(Q131/Q445, "NA")</f>
        <v>2.7747937375989958E-2</v>
      </c>
      <c r="S131" s="9"/>
      <c r="T131" s="7">
        <v>0</v>
      </c>
      <c r="U131" s="8">
        <f>IFERROR(T131/T445, "NA")</f>
        <v>0</v>
      </c>
      <c r="V131" s="9"/>
      <c r="W131" s="10">
        <f t="shared" si="30"/>
        <v>-12412.84</v>
      </c>
      <c r="X131" s="8">
        <f>IFERROR(W131/W445, "NA")</f>
        <v>-1.9637244960109581</v>
      </c>
      <c r="Y131" s="9"/>
      <c r="Z131" s="7">
        <v>12772.95</v>
      </c>
      <c r="AA131" s="8">
        <f>IFERROR(Z131/Z445, "NA")</f>
        <v>3.1114915386367622E-2</v>
      </c>
      <c r="AB131" s="9"/>
      <c r="AC131" s="10">
        <f t="shared" si="31"/>
        <v>360.11000000000058</v>
      </c>
      <c r="AD131" s="8">
        <f>IFERROR(AC131/AC445, "NA")</f>
        <v>9.7765943265834925E-3</v>
      </c>
    </row>
    <row r="132" spans="1:30" ht="16.5" customHeight="1" x14ac:dyDescent="0.45">
      <c r="A132" s="12" t="s">
        <v>124</v>
      </c>
      <c r="B132" s="7">
        <v>4163.62</v>
      </c>
      <c r="C132" s="8">
        <f>IFERROR(B132/B445, "NA")</f>
        <v>4.7703738703556653E-2</v>
      </c>
      <c r="D132" s="9"/>
      <c r="E132" s="7">
        <v>0</v>
      </c>
      <c r="F132" s="8">
        <f>IFERROR(E132/E445, "NA")</f>
        <v>0</v>
      </c>
      <c r="G132" s="9"/>
      <c r="H132" s="10">
        <f t="shared" si="28"/>
        <v>-4163.62</v>
      </c>
      <c r="I132" s="8">
        <f>IFERROR(H132/H445, "NA")</f>
        <v>0.69136134565410445</v>
      </c>
      <c r="J132" s="9"/>
      <c r="K132" s="7">
        <v>4798.97</v>
      </c>
      <c r="L132" s="8">
        <f>IFERROR(K132/K445, "NA")</f>
        <v>5.6256127226154688E-2</v>
      </c>
      <c r="M132" s="9"/>
      <c r="N132" s="10">
        <f t="shared" si="29"/>
        <v>635.35000000000036</v>
      </c>
      <c r="O132" s="8">
        <f>IFERROR(N132/N445, "NA")</f>
        <v>0.32168642977934903</v>
      </c>
      <c r="P132" s="9"/>
      <c r="Q132" s="7">
        <v>18625.37</v>
      </c>
      <c r="R132" s="8">
        <f>IFERROR(Q132/Q445, "NA")</f>
        <v>4.1635564493270036E-2</v>
      </c>
      <c r="S132" s="9"/>
      <c r="T132" s="7">
        <v>0</v>
      </c>
      <c r="U132" s="8">
        <f>IFERROR(T132/T445, "NA")</f>
        <v>0</v>
      </c>
      <c r="V132" s="9"/>
      <c r="W132" s="10">
        <f t="shared" si="30"/>
        <v>-18625.37</v>
      </c>
      <c r="X132" s="8">
        <f>IFERROR(W132/W445, "NA")</f>
        <v>-2.9465533525178458</v>
      </c>
      <c r="Y132" s="9"/>
      <c r="Z132" s="7">
        <v>17838.14</v>
      </c>
      <c r="AA132" s="8">
        <f>IFERROR(Z132/Z445, "NA")</f>
        <v>4.3453721869276846E-2</v>
      </c>
      <c r="AB132" s="9"/>
      <c r="AC132" s="10">
        <f t="shared" si="31"/>
        <v>-787.22999999999956</v>
      </c>
      <c r="AD132" s="8">
        <f>IFERROR(AC132/AC445, "NA")</f>
        <v>-2.1372437176741289E-2</v>
      </c>
    </row>
    <row r="133" spans="1:30" ht="16.5" customHeight="1" x14ac:dyDescent="0.45">
      <c r="A133" s="12" t="s">
        <v>125</v>
      </c>
      <c r="B133" s="7">
        <v>1699.78</v>
      </c>
      <c r="C133" s="8">
        <f>IFERROR(B133/B445, "NA")</f>
        <v>1.9474846641511837E-2</v>
      </c>
      <c r="D133" s="9"/>
      <c r="E133" s="7">
        <v>0</v>
      </c>
      <c r="F133" s="8">
        <f>IFERROR(E133/E445, "NA")</f>
        <v>0</v>
      </c>
      <c r="G133" s="9"/>
      <c r="H133" s="10">
        <f t="shared" si="28"/>
        <v>-1699.78</v>
      </c>
      <c r="I133" s="8">
        <f>IFERROR(H133/H445, "NA")</f>
        <v>0.28224530291331429</v>
      </c>
      <c r="J133" s="9"/>
      <c r="K133" s="7">
        <v>2126.16</v>
      </c>
      <c r="L133" s="8">
        <f>IFERROR(K133/K445, "NA")</f>
        <v>2.4923999829788691E-2</v>
      </c>
      <c r="M133" s="9"/>
      <c r="N133" s="10">
        <f t="shared" si="29"/>
        <v>426.37999999999988</v>
      </c>
      <c r="O133" s="8">
        <f>IFERROR(N133/N445, "NA")</f>
        <v>0.21588204915293732</v>
      </c>
      <c r="P133" s="9"/>
      <c r="Q133" s="7">
        <v>9293.8799999999992</v>
      </c>
      <c r="R133" s="8">
        <f>IFERROR(Q133/Q445, "NA")</f>
        <v>2.0775745133262455E-2</v>
      </c>
      <c r="S133" s="9"/>
      <c r="T133" s="7">
        <v>0</v>
      </c>
      <c r="U133" s="8">
        <f>IFERROR(T133/T445, "NA")</f>
        <v>0</v>
      </c>
      <c r="V133" s="9"/>
      <c r="W133" s="10">
        <f t="shared" si="30"/>
        <v>-9293.8799999999992</v>
      </c>
      <c r="X133" s="8">
        <f>IFERROR(W133/W445, "NA")</f>
        <v>-1.4703017052492677</v>
      </c>
      <c r="Y133" s="9"/>
      <c r="Z133" s="7">
        <v>8587.01</v>
      </c>
      <c r="AA133" s="8">
        <f>IFERROR(Z133/Z445, "NA")</f>
        <v>2.0917962535819262E-2</v>
      </c>
      <c r="AB133" s="9"/>
      <c r="AC133" s="10">
        <f t="shared" si="31"/>
        <v>-706.86999999999898</v>
      </c>
      <c r="AD133" s="8">
        <f>IFERROR(AC133/AC445, "NA")</f>
        <v>-1.9190750691822089E-2</v>
      </c>
    </row>
    <row r="134" spans="1:30" ht="16.5" customHeight="1" x14ac:dyDescent="0.45">
      <c r="A134" s="12" t="s">
        <v>126</v>
      </c>
      <c r="B134" s="7">
        <v>1054.7</v>
      </c>
      <c r="C134" s="8">
        <f>IFERROR(B134/B445, "NA")</f>
        <v>1.2083987782420395E-2</v>
      </c>
      <c r="D134" s="9"/>
      <c r="E134" s="7">
        <v>0</v>
      </c>
      <c r="F134" s="8">
        <f>IFERROR(E134/E445, "NA")</f>
        <v>0</v>
      </c>
      <c r="G134" s="9"/>
      <c r="H134" s="10">
        <f t="shared" si="28"/>
        <v>-1054.7</v>
      </c>
      <c r="I134" s="8">
        <f>IFERROR(H134/H445, "NA")</f>
        <v>0.17513097046833861</v>
      </c>
      <c r="J134" s="9"/>
      <c r="K134" s="7">
        <v>738.52</v>
      </c>
      <c r="L134" s="8">
        <f>IFERROR(K134/K445, "NA")</f>
        <v>8.6573316938967637E-3</v>
      </c>
      <c r="M134" s="9"/>
      <c r="N134" s="10">
        <f t="shared" si="29"/>
        <v>-316.18000000000006</v>
      </c>
      <c r="O134" s="8">
        <f>IFERROR(N134/N445, "NA")</f>
        <v>-0.16008627585997409</v>
      </c>
      <c r="P134" s="9"/>
      <c r="Q134" s="7">
        <v>4688.92</v>
      </c>
      <c r="R134" s="8">
        <f>IFERROR(Q134/Q445, "NA")</f>
        <v>1.0481715588135095E-2</v>
      </c>
      <c r="S134" s="9"/>
      <c r="T134" s="7">
        <v>0</v>
      </c>
      <c r="U134" s="8">
        <f>IFERROR(T134/T445, "NA")</f>
        <v>0</v>
      </c>
      <c r="V134" s="9"/>
      <c r="W134" s="10">
        <f t="shared" si="30"/>
        <v>-4688.92</v>
      </c>
      <c r="X134" s="8">
        <f>IFERROR(W134/W445, "NA")</f>
        <v>-0.74179213329388771</v>
      </c>
      <c r="Y134" s="9"/>
      <c r="Z134" s="7">
        <v>3411.75</v>
      </c>
      <c r="AA134" s="8">
        <f>IFERROR(Z134/Z445, "NA")</f>
        <v>8.3110254537471558E-3</v>
      </c>
      <c r="AB134" s="9"/>
      <c r="AC134" s="10">
        <f t="shared" si="31"/>
        <v>-1277.17</v>
      </c>
      <c r="AD134" s="8">
        <f>IFERROR(AC134/AC445, "NA")</f>
        <v>-3.4673774613542027E-2</v>
      </c>
    </row>
    <row r="135" spans="1:30" ht="16.5" customHeight="1" x14ac:dyDescent="0.45">
      <c r="A135" s="12" t="s">
        <v>127</v>
      </c>
      <c r="B135" s="7">
        <v>578.53</v>
      </c>
      <c r="C135" s="8">
        <f>IFERROR(B135/B445, "NA")</f>
        <v>6.6283772179422298E-3</v>
      </c>
      <c r="D135" s="9"/>
      <c r="E135" s="7">
        <v>0</v>
      </c>
      <c r="F135" s="8">
        <f>IFERROR(E135/E445, "NA")</f>
        <v>0</v>
      </c>
      <c r="G135" s="9"/>
      <c r="H135" s="10">
        <f t="shared" si="28"/>
        <v>-578.53</v>
      </c>
      <c r="I135" s="8">
        <f>IFERROR(H135/H445, "NA")</f>
        <v>9.6063828903999171E-2</v>
      </c>
      <c r="J135" s="9"/>
      <c r="K135" s="7">
        <v>623.79999999999995</v>
      </c>
      <c r="L135" s="8">
        <f>IFERROR(K135/K445, "NA")</f>
        <v>7.3125216793760509E-3</v>
      </c>
      <c r="M135" s="9"/>
      <c r="N135" s="10">
        <f t="shared" si="29"/>
        <v>45.269999999999982</v>
      </c>
      <c r="O135" s="8">
        <f>IFERROR(N135/N445, "NA")</f>
        <v>2.2920822658552165E-2</v>
      </c>
      <c r="P135" s="9"/>
      <c r="Q135" s="7">
        <v>3198.93</v>
      </c>
      <c r="R135" s="8">
        <f>IFERROR(Q135/Q445, "NA")</f>
        <v>7.1509589513902979E-3</v>
      </c>
      <c r="S135" s="9"/>
      <c r="T135" s="7">
        <v>0</v>
      </c>
      <c r="U135" s="8">
        <f>IFERROR(T135/T445, "NA")</f>
        <v>0</v>
      </c>
      <c r="V135" s="9"/>
      <c r="W135" s="10">
        <f t="shared" si="30"/>
        <v>-3198.93</v>
      </c>
      <c r="X135" s="8">
        <f>IFERROR(W135/W445, "NA")</f>
        <v>-0.50607412985459677</v>
      </c>
      <c r="Y135" s="9"/>
      <c r="Z135" s="7">
        <v>3323.8</v>
      </c>
      <c r="AA135" s="8">
        <f>IFERROR(Z135/Z445, "NA")</f>
        <v>8.0967791904930884E-3</v>
      </c>
      <c r="AB135" s="9"/>
      <c r="AC135" s="10">
        <f t="shared" si="31"/>
        <v>124.87000000000035</v>
      </c>
      <c r="AD135" s="8">
        <f>IFERROR(AC135/AC445, "NA")</f>
        <v>3.3900845118449421E-3</v>
      </c>
    </row>
    <row r="136" spans="1:30" ht="16.5" customHeight="1" x14ac:dyDescent="0.45">
      <c r="A136" s="12" t="s">
        <v>128</v>
      </c>
      <c r="B136" s="7">
        <v>0</v>
      </c>
      <c r="C136" s="8">
        <f>IFERROR(B136/B445, "NA")</f>
        <v>0</v>
      </c>
      <c r="D136" s="9"/>
      <c r="E136" s="7">
        <v>0</v>
      </c>
      <c r="F136" s="8">
        <f>IFERROR(E136/E445, "NA")</f>
        <v>0</v>
      </c>
      <c r="G136" s="9"/>
      <c r="H136" s="10">
        <f t="shared" si="28"/>
        <v>0</v>
      </c>
      <c r="I136" s="8">
        <f>IFERROR(H136/H445, "NA")</f>
        <v>0</v>
      </c>
      <c r="J136" s="9"/>
      <c r="K136" s="7">
        <v>647.47</v>
      </c>
      <c r="L136" s="8">
        <f>IFERROR(K136/K445, "NA")</f>
        <v>7.5899942477486576E-3</v>
      </c>
      <c r="M136" s="9"/>
      <c r="N136" s="10">
        <f t="shared" si="29"/>
        <v>647.47</v>
      </c>
      <c r="O136" s="8">
        <f>IFERROR(N136/N445, "NA")</f>
        <v>0.32782295221411034</v>
      </c>
      <c r="P136" s="9"/>
      <c r="Q136" s="7">
        <v>0</v>
      </c>
      <c r="R136" s="8">
        <f>IFERROR(Q136/Q445, "NA")</f>
        <v>0</v>
      </c>
      <c r="S136" s="9"/>
      <c r="T136" s="7">
        <v>0</v>
      </c>
      <c r="U136" s="8">
        <f>IFERROR(T136/T445, "NA")</f>
        <v>0</v>
      </c>
      <c r="V136" s="9"/>
      <c r="W136" s="10">
        <f t="shared" si="30"/>
        <v>0</v>
      </c>
      <c r="X136" s="8">
        <f>IFERROR(W136/W445, "NA")</f>
        <v>0</v>
      </c>
      <c r="Y136" s="9"/>
      <c r="Z136" s="7">
        <v>4803.46</v>
      </c>
      <c r="AA136" s="8">
        <f>IFERROR(Z136/Z445, "NA")</f>
        <v>1.170123201467174E-2</v>
      </c>
      <c r="AB136" s="9"/>
      <c r="AC136" s="10">
        <f t="shared" si="31"/>
        <v>4803.46</v>
      </c>
      <c r="AD136" s="8">
        <f>IFERROR(AC136/AC445, "NA")</f>
        <v>0.13040870785029759</v>
      </c>
    </row>
    <row r="137" spans="1:30" ht="16.5" customHeight="1" x14ac:dyDescent="0.45">
      <c r="A137" s="12" t="s">
        <v>129</v>
      </c>
      <c r="B137" s="7">
        <v>570.92999999999995</v>
      </c>
      <c r="C137" s="8">
        <f>IFERROR(B137/B445, "NA")</f>
        <v>6.5413019290957381E-3</v>
      </c>
      <c r="D137" s="9"/>
      <c r="E137" s="7">
        <v>0</v>
      </c>
      <c r="F137" s="8">
        <f>IFERROR(E137/E445, "NA")</f>
        <v>0</v>
      </c>
      <c r="G137" s="9"/>
      <c r="H137" s="10">
        <f t="shared" si="28"/>
        <v>-570.92999999999995</v>
      </c>
      <c r="I137" s="8">
        <f>IFERROR(H137/H445, "NA")</f>
        <v>9.4801863060101021E-2</v>
      </c>
      <c r="J137" s="9"/>
      <c r="K137" s="7">
        <v>539.45000000000005</v>
      </c>
      <c r="L137" s="8">
        <f>IFERROR(K137/K445, "NA")</f>
        <v>6.3237252644107265E-3</v>
      </c>
      <c r="M137" s="9"/>
      <c r="N137" s="10">
        <f t="shared" si="29"/>
        <v>-31.479999999999905</v>
      </c>
      <c r="O137" s="8">
        <f>IFERROR(N137/N445, "NA")</f>
        <v>-1.5938756290948094E-2</v>
      </c>
      <c r="P137" s="9"/>
      <c r="Q137" s="7">
        <v>2379.1799999999998</v>
      </c>
      <c r="R137" s="8">
        <f>IFERROR(Q137/Q445, "NA")</f>
        <v>5.3184716508234845E-3</v>
      </c>
      <c r="S137" s="9"/>
      <c r="T137" s="7">
        <v>0</v>
      </c>
      <c r="U137" s="8">
        <f>IFERROR(T137/T445, "NA")</f>
        <v>0</v>
      </c>
      <c r="V137" s="9"/>
      <c r="W137" s="10">
        <f t="shared" si="30"/>
        <v>-2379.1799999999998</v>
      </c>
      <c r="X137" s="8">
        <f>IFERROR(W137/W445, "NA")</f>
        <v>-0.37638880759111942</v>
      </c>
      <c r="Y137" s="9"/>
      <c r="Z137" s="7">
        <v>2308.25</v>
      </c>
      <c r="AA137" s="8">
        <f>IFERROR(Z137/Z445, "NA")</f>
        <v>5.6228986601046006E-3</v>
      </c>
      <c r="AB137" s="9"/>
      <c r="AC137" s="10">
        <f t="shared" si="31"/>
        <v>-70.929999999999836</v>
      </c>
      <c r="AD137" s="8">
        <f>IFERROR(AC137/AC445, "NA")</f>
        <v>-1.9256722545460121E-3</v>
      </c>
    </row>
    <row r="138" spans="1:30" ht="16.5" customHeight="1" x14ac:dyDescent="0.45">
      <c r="A138" s="12" t="s">
        <v>130</v>
      </c>
      <c r="B138" s="7">
        <v>5153.4399999999996</v>
      </c>
      <c r="C138" s="8">
        <f>IFERROR(B138/B445, "NA")</f>
        <v>5.9044378493824358E-2</v>
      </c>
      <c r="D138" s="9"/>
      <c r="E138" s="7">
        <v>0</v>
      </c>
      <c r="F138" s="8">
        <f>IFERROR(E138/E445, "NA")</f>
        <v>0</v>
      </c>
      <c r="G138" s="9"/>
      <c r="H138" s="10">
        <f t="shared" si="28"/>
        <v>-5153.4399999999996</v>
      </c>
      <c r="I138" s="8">
        <f>IFERROR(H138/H445, "NA")</f>
        <v>0.85571911297084935</v>
      </c>
      <c r="J138" s="9"/>
      <c r="K138" s="7">
        <v>4519.54</v>
      </c>
      <c r="L138" s="8">
        <f>IFERROR(K138/K445, "NA")</f>
        <v>5.2980497324153962E-2</v>
      </c>
      <c r="M138" s="9"/>
      <c r="N138" s="10">
        <f t="shared" si="29"/>
        <v>-633.89999999999964</v>
      </c>
      <c r="O138" s="8">
        <f>IFERROR(N138/N445, "NA")</f>
        <v>-0.32095227486759914</v>
      </c>
      <c r="P138" s="9"/>
      <c r="Q138" s="7">
        <v>28772.69</v>
      </c>
      <c r="R138" s="8">
        <f>IFERROR(Q138/Q445, "NA")</f>
        <v>6.431910829904941E-2</v>
      </c>
      <c r="S138" s="9"/>
      <c r="T138" s="7">
        <v>0</v>
      </c>
      <c r="U138" s="8">
        <f>IFERROR(T138/T445, "NA")</f>
        <v>0</v>
      </c>
      <c r="V138" s="9"/>
      <c r="W138" s="10">
        <f t="shared" si="30"/>
        <v>-28772.69</v>
      </c>
      <c r="X138" s="8">
        <f>IFERROR(W138/W445, "NA")</f>
        <v>-4.5518701738787843</v>
      </c>
      <c r="Y138" s="9"/>
      <c r="Z138" s="7">
        <v>22756.05</v>
      </c>
      <c r="AA138" s="8">
        <f>IFERROR(Z138/Z445, "NA")</f>
        <v>5.5433754166261583E-2</v>
      </c>
      <c r="AB138" s="9"/>
      <c r="AC138" s="10">
        <f t="shared" si="31"/>
        <v>-6016.6399999999994</v>
      </c>
      <c r="AD138" s="8">
        <f>IFERROR(AC138/AC445, "NA")</f>
        <v>-0.163345223651371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IFERROR(B139/B445, "NA")</f>
        <v>0</v>
      </c>
      <c r="D139" s="9"/>
      <c r="E139" s="7">
        <v>0</v>
      </c>
      <c r="F139" s="8">
        <f>IFERROR(E139/E445, "NA")</f>
        <v>0</v>
      </c>
      <c r="G139" s="9"/>
      <c r="H139" s="10">
        <f t="shared" si="28"/>
        <v>0</v>
      </c>
      <c r="I139" s="8">
        <f>IFERROR(H139/H445, "NA")</f>
        <v>0</v>
      </c>
      <c r="J139" s="9"/>
      <c r="K139" s="7">
        <v>0</v>
      </c>
      <c r="L139" s="8">
        <f>IFERROR(K139/K445, "NA")</f>
        <v>0</v>
      </c>
      <c r="M139" s="9"/>
      <c r="N139" s="10">
        <f t="shared" si="29"/>
        <v>0</v>
      </c>
      <c r="O139" s="8">
        <f>IFERROR(N139/N445, "NA")</f>
        <v>0</v>
      </c>
      <c r="P139" s="9"/>
      <c r="Q139" s="7">
        <v>0</v>
      </c>
      <c r="R139" s="8">
        <f>IFERROR(Q139/Q445, "NA")</f>
        <v>0</v>
      </c>
      <c r="S139" s="9"/>
      <c r="T139" s="7">
        <v>0</v>
      </c>
      <c r="U139" s="8">
        <f>IFERROR(T139/T445, "NA")</f>
        <v>0</v>
      </c>
      <c r="V139" s="9"/>
      <c r="W139" s="10">
        <f t="shared" si="30"/>
        <v>0</v>
      </c>
      <c r="X139" s="8">
        <f>IFERROR(W139/W445, "NA")</f>
        <v>0</v>
      </c>
      <c r="Y139" s="9"/>
      <c r="Z139" s="7">
        <v>0</v>
      </c>
      <c r="AA139" s="8">
        <f>IFERROR(Z139/Z445, "NA")</f>
        <v>0</v>
      </c>
      <c r="AB139" s="9"/>
      <c r="AC139" s="10">
        <f t="shared" si="31"/>
        <v>0</v>
      </c>
      <c r="AD139" s="8">
        <f>IFERROR(AC139/AC445,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IFERROR(B140/B445, "NA")</f>
        <v>0</v>
      </c>
      <c r="D140" s="9"/>
      <c r="E140" s="7">
        <v>0</v>
      </c>
      <c r="F140" s="8">
        <f>IFERROR(E140/E445, "NA")</f>
        <v>0</v>
      </c>
      <c r="G140" s="9"/>
      <c r="H140" s="10">
        <f t="shared" si="28"/>
        <v>0</v>
      </c>
      <c r="I140" s="8">
        <f>IFERROR(H140/H445, "NA")</f>
        <v>0</v>
      </c>
      <c r="J140" s="9"/>
      <c r="K140" s="7">
        <v>0</v>
      </c>
      <c r="L140" s="8">
        <f>IFERROR(K140/K445, "NA")</f>
        <v>0</v>
      </c>
      <c r="M140" s="9"/>
      <c r="N140" s="10">
        <f t="shared" si="29"/>
        <v>0</v>
      </c>
      <c r="O140" s="8">
        <f>IFERROR(N140/N445, "NA")</f>
        <v>0</v>
      </c>
      <c r="P140" s="9"/>
      <c r="Q140" s="7">
        <v>0</v>
      </c>
      <c r="R140" s="8">
        <f>IFERROR(Q140/Q445, "NA")</f>
        <v>0</v>
      </c>
      <c r="S140" s="9"/>
      <c r="T140" s="7">
        <v>0</v>
      </c>
      <c r="U140" s="8">
        <f>IFERROR(T140/T445, "NA")</f>
        <v>0</v>
      </c>
      <c r="V140" s="9"/>
      <c r="W140" s="10">
        <f t="shared" si="30"/>
        <v>0</v>
      </c>
      <c r="X140" s="8">
        <f>IFERROR(W140/W445, "NA")</f>
        <v>0</v>
      </c>
      <c r="Y140" s="9"/>
      <c r="Z140" s="7">
        <v>0</v>
      </c>
      <c r="AA140" s="8">
        <f>IFERROR(Z140/Z445, "NA")</f>
        <v>0</v>
      </c>
      <c r="AB140" s="9"/>
      <c r="AC140" s="10">
        <f t="shared" si="31"/>
        <v>0</v>
      </c>
      <c r="AD140" s="8">
        <f>IFERROR(AC140/AC445,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20123.71</v>
      </c>
      <c r="C141" s="15">
        <f>IFERROR(B141/B445, "NA")</f>
        <v>0.23056287643592593</v>
      </c>
      <c r="D141" s="2"/>
      <c r="E141" s="14">
        <f>IFERROR(E129+E130+E131+E132+E133+E134+E135+E136+E137+E138+E139+E140, "NA")</f>
        <v>19780.27</v>
      </c>
      <c r="F141" s="15">
        <f>IFERROR(E141/E445, "NA")</f>
        <v>0.21200004630069258</v>
      </c>
      <c r="G141" s="2"/>
      <c r="H141" s="14">
        <f t="shared" si="28"/>
        <v>-343.43999999999869</v>
      </c>
      <c r="I141" s="15">
        <f>IFERROR(H141/H445, "NA")</f>
        <v>5.7027572293207526E-2</v>
      </c>
      <c r="J141" s="2"/>
      <c r="K141" s="14">
        <f>IFERROR(K129+K130+K131+K132+K133+K134+K135+K136+K137+K138+K139+K140, "NA")</f>
        <v>21670.620000000003</v>
      </c>
      <c r="L141" s="15">
        <f>IFERROR(K141/K445, "NA")</f>
        <v>0.25403475241346629</v>
      </c>
      <c r="M141" s="2"/>
      <c r="N141" s="14">
        <f t="shared" si="29"/>
        <v>1546.9100000000035</v>
      </c>
      <c r="O141" s="15">
        <f>IFERROR(N141/N445, "NA")</f>
        <v>0.78322177554099892</v>
      </c>
      <c r="P141" s="2"/>
      <c r="Q141" s="14">
        <f>IFERROR(Q129+Q130+Q131+Q132+Q133+Q134+Q135+Q136+Q137+Q138+Q139+Q140, "NA")</f>
        <v>100588.79</v>
      </c>
      <c r="R141" s="15">
        <f>IFERROR(Q141/Q445, "NA")</f>
        <v>0.2248584083615518</v>
      </c>
      <c r="S141" s="2"/>
      <c r="T141" s="14">
        <f>IFERROR(T129+T130+T131+T132+T133+T134+T135+T136+T137+T138+T139+T140, "NA")</f>
        <v>94021.23</v>
      </c>
      <c r="U141" s="15">
        <f>IFERROR(T141/T445, "NA")</f>
        <v>0.21318956324442334</v>
      </c>
      <c r="V141" s="2"/>
      <c r="W141" s="14">
        <f t="shared" si="30"/>
        <v>-6567.5599999999977</v>
      </c>
      <c r="X141" s="15">
        <f>IFERROR(W141/W445, "NA")</f>
        <v>-1.0389949802802358</v>
      </c>
      <c r="Y141" s="2"/>
      <c r="Z141" s="14">
        <f>IFERROR(Z129+Z130+Z131+Z132+Z133+Z134+Z135+Z136+Z137+Z138+Z139+Z140, "NA")</f>
        <v>98741.890000000014</v>
      </c>
      <c r="AA141" s="15">
        <f>IFERROR(Z141/Z445, "NA")</f>
        <v>0.24053531505564646</v>
      </c>
      <c r="AB141" s="2"/>
      <c r="AC141" s="14">
        <f t="shared" si="31"/>
        <v>-1846.8999999999796</v>
      </c>
      <c r="AD141" s="15">
        <f>IFERROR(AC141/AC445, "NA")</f>
        <v>-5.0141323656012954E-2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IFERROR(B143/B445, "NA")</f>
        <v>0</v>
      </c>
      <c r="D143" s="9"/>
      <c r="E143" s="7">
        <v>1119.6400000000001</v>
      </c>
      <c r="F143" s="8">
        <f>IFERROR(E143/E445, "NA")</f>
        <v>1.2000024865186747E-2</v>
      </c>
      <c r="G143" s="9"/>
      <c r="H143" s="10">
        <f t="shared" ref="H143:H149" si="32">IFERROR(-(B143-E143), "NA")</f>
        <v>1119.6400000000001</v>
      </c>
      <c r="I143" s="8">
        <f>IFERROR(H143/H445, "NA")</f>
        <v>-0.18591413650817357</v>
      </c>
      <c r="J143" s="9"/>
      <c r="K143" s="7">
        <v>0</v>
      </c>
      <c r="L143" s="8">
        <f>IFERROR(K143/K445, "NA")</f>
        <v>0</v>
      </c>
      <c r="M143" s="9"/>
      <c r="N143" s="10">
        <f t="shared" ref="N143:N149" si="33">IFERROR(-(B143-K143), "NA")</f>
        <v>0</v>
      </c>
      <c r="O143" s="8">
        <f>IFERROR(N143/N445, "NA")</f>
        <v>0</v>
      </c>
      <c r="P143" s="9"/>
      <c r="Q143" s="7">
        <v>0</v>
      </c>
      <c r="R143" s="8">
        <f>IFERROR(Q143/Q445, "NA")</f>
        <v>0</v>
      </c>
      <c r="S143" s="9"/>
      <c r="T143" s="7">
        <v>5292.27</v>
      </c>
      <c r="U143" s="8">
        <f>IFERROR(T143/T445, "NA")</f>
        <v>1.2000020951348589E-2</v>
      </c>
      <c r="V143" s="9"/>
      <c r="W143" s="10">
        <f t="shared" ref="W143:W149" si="34">IFERROR(-(Q143-T143), "NA")</f>
        <v>5292.27</v>
      </c>
      <c r="X143" s="8">
        <f>IFERROR(W143/W445, "NA")</f>
        <v>0.83724274529470399</v>
      </c>
      <c r="Y143" s="9"/>
      <c r="Z143" s="7">
        <v>0</v>
      </c>
      <c r="AA143" s="8">
        <f>IFERROR(Z143/Z445, "NA")</f>
        <v>0</v>
      </c>
      <c r="AB143" s="9"/>
      <c r="AC143" s="10">
        <f t="shared" ref="AC143:AC149" si="35">IFERROR(-(Q143-Z143), "NA")</f>
        <v>0</v>
      </c>
      <c r="AD143" s="8">
        <f>IFERROR(AC143/AC445, "NA")</f>
        <v>0</v>
      </c>
    </row>
    <row r="144" spans="1:30" ht="16.5" customHeight="1" x14ac:dyDescent="0.45">
      <c r="A144" s="12" t="s">
        <v>135</v>
      </c>
      <c r="B144" s="7">
        <v>799.21</v>
      </c>
      <c r="C144" s="8">
        <f>IFERROR(B144/B445, "NA")</f>
        <v>9.1567686314479972E-3</v>
      </c>
      <c r="D144" s="9"/>
      <c r="E144" s="7">
        <v>0</v>
      </c>
      <c r="F144" s="8">
        <f>IFERROR(E144/E445, "NA")</f>
        <v>0</v>
      </c>
      <c r="G144" s="9"/>
      <c r="H144" s="10">
        <f t="shared" si="32"/>
        <v>-799.21</v>
      </c>
      <c r="I144" s="8">
        <f>IFERROR(H144/H445, "NA")</f>
        <v>0.13270733185550479</v>
      </c>
      <c r="J144" s="9"/>
      <c r="K144" s="7">
        <v>1341.5</v>
      </c>
      <c r="L144" s="8">
        <f>IFERROR(K144/K445, "NA")</f>
        <v>1.5725790049507811E-2</v>
      </c>
      <c r="M144" s="9"/>
      <c r="N144" s="10">
        <f t="shared" si="33"/>
        <v>542.29</v>
      </c>
      <c r="O144" s="8">
        <f>IFERROR(N144/N445, "NA")</f>
        <v>0.27456887385699708</v>
      </c>
      <c r="P144" s="9"/>
      <c r="Q144" s="7">
        <v>5687.58</v>
      </c>
      <c r="R144" s="8">
        <f>IFERROR(Q144/Q445, "NA")</f>
        <v>1.2714142264053428E-2</v>
      </c>
      <c r="S144" s="9"/>
      <c r="T144" s="7">
        <v>0</v>
      </c>
      <c r="U144" s="8">
        <f>IFERROR(T144/T445, "NA")</f>
        <v>0</v>
      </c>
      <c r="V144" s="9"/>
      <c r="W144" s="10">
        <f t="shared" si="34"/>
        <v>-5687.58</v>
      </c>
      <c r="X144" s="8">
        <f>IFERROR(W144/W445, "NA")</f>
        <v>-0.89978120792840355</v>
      </c>
      <c r="Y144" s="9"/>
      <c r="Z144" s="7">
        <v>5602.86</v>
      </c>
      <c r="AA144" s="8">
        <f>IFERROR(Z144/Z445, "NA")</f>
        <v>1.3648570989604099E-2</v>
      </c>
      <c r="AB144" s="9"/>
      <c r="AC144" s="10">
        <f t="shared" si="35"/>
        <v>-84.720000000000255</v>
      </c>
      <c r="AD144" s="8">
        <f>IFERROR(AC144/AC445, "NA")</f>
        <v>-2.3000557367142114E-3</v>
      </c>
    </row>
    <row r="145" spans="1:30" ht="16.5" customHeight="1" x14ac:dyDescent="0.45">
      <c r="A145" s="12" t="s">
        <v>136</v>
      </c>
      <c r="B145" s="7">
        <v>-31.71</v>
      </c>
      <c r="C145" s="8">
        <f>IFERROR(B145/B445, "NA")</f>
        <v>-3.6331018543713916E-4</v>
      </c>
      <c r="D145" s="9"/>
      <c r="E145" s="7">
        <v>0</v>
      </c>
      <c r="F145" s="8">
        <f>IFERROR(E145/E445, "NA")</f>
        <v>0</v>
      </c>
      <c r="G145" s="9"/>
      <c r="H145" s="10">
        <f t="shared" si="32"/>
        <v>31.71</v>
      </c>
      <c r="I145" s="8">
        <f>IFERROR(H145/H445, "NA")</f>
        <v>-5.2653864355276542E-3</v>
      </c>
      <c r="J145" s="9"/>
      <c r="K145" s="7">
        <v>193.3</v>
      </c>
      <c r="L145" s="8">
        <f>IFERROR(K145/K445, "NA")</f>
        <v>2.2659673623331047E-3</v>
      </c>
      <c r="M145" s="9"/>
      <c r="N145" s="10">
        <f t="shared" si="33"/>
        <v>225.01000000000002</v>
      </c>
      <c r="O145" s="8">
        <f>IFERROR(N145/N445, "NA")</f>
        <v>0.11392565289155787</v>
      </c>
      <c r="P145" s="9"/>
      <c r="Q145" s="7">
        <v>394.79</v>
      </c>
      <c r="R145" s="8">
        <f>IFERROR(Q145/Q445, "NA")</f>
        <v>8.8252230727755101E-4</v>
      </c>
      <c r="S145" s="9"/>
      <c r="T145" s="7">
        <v>0</v>
      </c>
      <c r="U145" s="8">
        <f>IFERROR(T145/T445, "NA")</f>
        <v>0</v>
      </c>
      <c r="V145" s="9"/>
      <c r="W145" s="10">
        <f t="shared" si="34"/>
        <v>-394.79</v>
      </c>
      <c r="X145" s="8">
        <f>IFERROR(W145/W445, "NA")</f>
        <v>-6.2456198080388221E-2</v>
      </c>
      <c r="Y145" s="9"/>
      <c r="Z145" s="7">
        <v>660.33</v>
      </c>
      <c r="AA145" s="8">
        <f>IFERROR(Z145/Z445, "NA")</f>
        <v>1.6085643549125404E-3</v>
      </c>
      <c r="AB145" s="9"/>
      <c r="AC145" s="10">
        <f t="shared" si="35"/>
        <v>265.54000000000002</v>
      </c>
      <c r="AD145" s="8">
        <f>IFERROR(AC145/AC445, "NA")</f>
        <v>7.2091218168919956E-3</v>
      </c>
    </row>
    <row r="146" spans="1:30" ht="16.5" customHeight="1" x14ac:dyDescent="0.45">
      <c r="A146" s="12" t="s">
        <v>137</v>
      </c>
      <c r="B146" s="7">
        <v>0</v>
      </c>
      <c r="C146" s="8">
        <f>IFERROR(B146/B445, "NA")</f>
        <v>0</v>
      </c>
      <c r="D146" s="9"/>
      <c r="E146" s="7">
        <v>0</v>
      </c>
      <c r="F146" s="8">
        <f>IFERROR(E146/E445, "NA")</f>
        <v>0</v>
      </c>
      <c r="G146" s="9"/>
      <c r="H146" s="10">
        <f t="shared" si="32"/>
        <v>0</v>
      </c>
      <c r="I146" s="8">
        <f>IFERROR(H146/H445, "NA")</f>
        <v>0</v>
      </c>
      <c r="J146" s="9"/>
      <c r="K146" s="7">
        <v>111.37</v>
      </c>
      <c r="L146" s="8">
        <f>IFERROR(K146/K445, "NA")</f>
        <v>1.3055394989293218E-3</v>
      </c>
      <c r="M146" s="9"/>
      <c r="N146" s="10">
        <f t="shared" si="33"/>
        <v>111.37</v>
      </c>
      <c r="O146" s="8">
        <f>IFERROR(N146/N445, "NA")</f>
        <v>5.6388160359685344E-2</v>
      </c>
      <c r="P146" s="9"/>
      <c r="Q146" s="7">
        <v>33.32</v>
      </c>
      <c r="R146" s="8">
        <f>IFERROR(Q146/Q445, "NA")</f>
        <v>7.4484265757714216E-5</v>
      </c>
      <c r="S146" s="9"/>
      <c r="T146" s="7">
        <v>0</v>
      </c>
      <c r="U146" s="8">
        <f>IFERROR(T146/T445, "NA")</f>
        <v>0</v>
      </c>
      <c r="V146" s="9"/>
      <c r="W146" s="10">
        <f t="shared" si="34"/>
        <v>-33.32</v>
      </c>
      <c r="X146" s="8">
        <f>IFERROR(W146/W445, "NA")</f>
        <v>-5.2712594544910849E-3</v>
      </c>
      <c r="Y146" s="9"/>
      <c r="Z146" s="7">
        <v>499.49</v>
      </c>
      <c r="AA146" s="8">
        <f>IFERROR(Z146/Z445, "NA")</f>
        <v>1.2167579992356317E-3</v>
      </c>
      <c r="AB146" s="9"/>
      <c r="AC146" s="10">
        <f t="shared" si="35"/>
        <v>466.17</v>
      </c>
      <c r="AD146" s="8">
        <f>IFERROR(AC146/AC445, "NA")</f>
        <v>1.2656007823230179E-2</v>
      </c>
    </row>
    <row r="147" spans="1:30" ht="16.5" customHeight="1" x14ac:dyDescent="0.45">
      <c r="A147" s="12" t="s">
        <v>138</v>
      </c>
      <c r="B147" s="7">
        <v>-123.14</v>
      </c>
      <c r="C147" s="8">
        <f>IFERROR(B147/B445, "NA")</f>
        <v>-1.4108488248101331E-3</v>
      </c>
      <c r="D147" s="9"/>
      <c r="E147" s="7">
        <v>0</v>
      </c>
      <c r="F147" s="8">
        <f>IFERROR(E147/E445, "NA")</f>
        <v>0</v>
      </c>
      <c r="G147" s="9"/>
      <c r="H147" s="10">
        <f t="shared" si="32"/>
        <v>123.14</v>
      </c>
      <c r="I147" s="8">
        <f>IFERROR(H147/H445, "NA")</f>
        <v>-2.0447167633897048E-2</v>
      </c>
      <c r="J147" s="9"/>
      <c r="K147" s="7">
        <v>54.81</v>
      </c>
      <c r="L147" s="8">
        <f>IFERROR(K147/K445, "NA")</f>
        <v>6.425125252430289E-4</v>
      </c>
      <c r="M147" s="9"/>
      <c r="N147" s="10">
        <f t="shared" si="33"/>
        <v>177.95</v>
      </c>
      <c r="O147" s="8">
        <f>IFERROR(N147/N445, "NA")</f>
        <v>9.0098528652294202E-2</v>
      </c>
      <c r="P147" s="9"/>
      <c r="Q147" s="7">
        <v>44.8</v>
      </c>
      <c r="R147" s="8">
        <f>IFERROR(Q147/Q445, "NA")</f>
        <v>1.0014691194314516E-4</v>
      </c>
      <c r="S147" s="9"/>
      <c r="T147" s="7">
        <v>0</v>
      </c>
      <c r="U147" s="8">
        <f>IFERROR(T147/T445, "NA")</f>
        <v>0</v>
      </c>
      <c r="V147" s="9"/>
      <c r="W147" s="10">
        <f t="shared" si="34"/>
        <v>-44.8</v>
      </c>
      <c r="X147" s="8">
        <f>IFERROR(W147/W445, "NA")</f>
        <v>-7.0874076699039791E-3</v>
      </c>
      <c r="Y147" s="9"/>
      <c r="Z147" s="7">
        <v>156.25</v>
      </c>
      <c r="AA147" s="8">
        <f>IFERROR(Z147/Z445, "NA")</f>
        <v>3.8062511237575822E-4</v>
      </c>
      <c r="AB147" s="9"/>
      <c r="AC147" s="10">
        <f t="shared" si="35"/>
        <v>111.45</v>
      </c>
      <c r="AD147" s="8">
        <f>IFERROR(AC147/AC445, "NA")</f>
        <v>3.0257461267327443E-3</v>
      </c>
    </row>
    <row r="148" spans="1:30" ht="16.5" customHeight="1" x14ac:dyDescent="0.45">
      <c r="A148" s="13" t="s">
        <v>139</v>
      </c>
      <c r="B148" s="14">
        <f>IFERROR(B143+B144+B145+B146+B147, "NA")</f>
        <v>644.36</v>
      </c>
      <c r="C148" s="15">
        <f>IFERROR(B148/B445, "NA")</f>
        <v>7.3826096212007255E-3</v>
      </c>
      <c r="D148" s="2"/>
      <c r="E148" s="14">
        <f>IFERROR(E143+E144+E145+E146+E147, "NA")</f>
        <v>1119.6400000000001</v>
      </c>
      <c r="F148" s="15">
        <f>IFERROR(E148/E445, "NA")</f>
        <v>1.2000024865186747E-2</v>
      </c>
      <c r="G148" s="2"/>
      <c r="H148" s="14">
        <f t="shared" si="32"/>
        <v>475.28000000000009</v>
      </c>
      <c r="I148" s="15">
        <f>IFERROR(H148/H445, "NA")</f>
        <v>-7.8919358722093477E-2</v>
      </c>
      <c r="J148" s="2"/>
      <c r="K148" s="14">
        <f>IFERROR(K143+K144+K145+K146+K147, "NA")</f>
        <v>1700.98</v>
      </c>
      <c r="L148" s="15">
        <f>IFERROR(K148/K445, "NA")</f>
        <v>1.9939809436013266E-2</v>
      </c>
      <c r="M148" s="2"/>
      <c r="N148" s="14">
        <f t="shared" si="33"/>
        <v>1056.6199999999999</v>
      </c>
      <c r="O148" s="15">
        <f>IFERROR(N148/N445, "NA")</f>
        <v>0.53498121576053448</v>
      </c>
      <c r="P148" s="2"/>
      <c r="Q148" s="14">
        <f>IFERROR(Q143+Q144+Q145+Q146+Q147, "NA")</f>
        <v>6160.49</v>
      </c>
      <c r="R148" s="15">
        <f>IFERROR(Q148/Q445, "NA")</f>
        <v>1.3771295749031839E-2</v>
      </c>
      <c r="S148" s="2"/>
      <c r="T148" s="14">
        <f>IFERROR(T143+T144+T145+T146+T147, "NA")</f>
        <v>5292.27</v>
      </c>
      <c r="U148" s="15">
        <f>IFERROR(T148/T445, "NA")</f>
        <v>1.2000020951348589E-2</v>
      </c>
      <c r="V148" s="2"/>
      <c r="W148" s="14">
        <f t="shared" si="34"/>
        <v>-868.21999999999935</v>
      </c>
      <c r="X148" s="15">
        <f>IFERROR(W148/W445, "NA")</f>
        <v>-0.13735332783848278</v>
      </c>
      <c r="Y148" s="2"/>
      <c r="Z148" s="14">
        <f>IFERROR(Z143+Z144+Z145+Z146+Z147, "NA")</f>
        <v>6918.9299999999994</v>
      </c>
      <c r="AA148" s="15">
        <f>IFERROR(Z148/Z445, "NA")</f>
        <v>1.685451845612803E-2</v>
      </c>
      <c r="AB148" s="2"/>
      <c r="AC148" s="14">
        <f t="shared" si="35"/>
        <v>758.4399999999996</v>
      </c>
      <c r="AD148" s="15">
        <f>IFERROR(AC148/AC445, "NA")</f>
        <v>2.0590820030140702E-2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20768.07</v>
      </c>
      <c r="C149" s="15">
        <f>IFERROR(B149/B445, "NA")</f>
        <v>0.23794548605712668</v>
      </c>
      <c r="D149" s="2"/>
      <c r="E149" s="14">
        <f>IFERROR(E127+E129+E130+E131+E132+E133+E134+E135+E136+E137+E138+E139+E140+E143+E144+E145+E146+E147, "NA")</f>
        <v>20899.91</v>
      </c>
      <c r="F149" s="15">
        <f>IFERROR(E149/E445, "NA")</f>
        <v>0.22400007116587931</v>
      </c>
      <c r="G149" s="2"/>
      <c r="H149" s="14">
        <f t="shared" si="32"/>
        <v>131.84000000000015</v>
      </c>
      <c r="I149" s="15">
        <f>IFERROR(H149/H445, "NA")</f>
        <v>-2.1891786428885736E-2</v>
      </c>
      <c r="J149" s="2"/>
      <c r="K149" s="14">
        <f>IFERROR(K127+K129+K130+K131+K132+K133+K134+K135+K136+K137+K138+K139+K140+K143+K144+K145+K146+K147, "NA")</f>
        <v>23371.600000000002</v>
      </c>
      <c r="L149" s="15">
        <f>IFERROR(K149/K445, "NA")</f>
        <v>0.27397456184947955</v>
      </c>
      <c r="M149" s="2"/>
      <c r="N149" s="14">
        <f t="shared" si="33"/>
        <v>2603.5300000000025</v>
      </c>
      <c r="O149" s="15">
        <f>IFERROR(N149/N445, "NA")</f>
        <v>1.318202991301533</v>
      </c>
      <c r="P149" s="2"/>
      <c r="Q149" s="14">
        <f>IFERROR(Q127+Q129+Q130+Q131+Q132+Q133+Q134+Q135+Q136+Q137+Q138+Q139+Q140+Q143+Q144+Q145+Q146+Q147, "NA")</f>
        <v>106749.28</v>
      </c>
      <c r="R149" s="15">
        <f>IFERROR(Q149/Q445, "NA")</f>
        <v>0.23862970411058365</v>
      </c>
      <c r="S149" s="2"/>
      <c r="T149" s="14">
        <f>IFERROR(T127+T129+T130+T131+T132+T133+T134+T135+T136+T137+T138+T139+T140+T143+T144+T145+T146+T147, "NA")</f>
        <v>99313.5</v>
      </c>
      <c r="U149" s="15">
        <f>IFERROR(T149/T445, "NA")</f>
        <v>0.22518958419577195</v>
      </c>
      <c r="V149" s="2"/>
      <c r="W149" s="14">
        <f t="shared" si="34"/>
        <v>-7435.7799999999988</v>
      </c>
      <c r="X149" s="15">
        <f>IFERROR(W149/W445, "NA")</f>
        <v>-1.1763483081187189</v>
      </c>
      <c r="Y149" s="2"/>
      <c r="Z149" s="14">
        <f>IFERROR(Z127+Z129+Z130+Z131+Z132+Z133+Z134+Z135+Z136+Z137+Z138+Z139+Z140+Z143+Z144+Z145+Z146+Z147, "NA")</f>
        <v>105660.82000000002</v>
      </c>
      <c r="AA149" s="15">
        <f>IFERROR(Z149/Z445, "NA")</f>
        <v>0.25738983351177452</v>
      </c>
      <c r="AB149" s="2"/>
      <c r="AC149" s="14">
        <f t="shared" si="35"/>
        <v>-1088.4599999999773</v>
      </c>
      <c r="AD149" s="15">
        <f>IFERROR(AC149/AC445, "NA")</f>
        <v>-2.9550503625872176E-2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IFERROR(B151/B445, "NA")</f>
        <v>0</v>
      </c>
      <c r="D151" s="9"/>
      <c r="E151" s="7">
        <v>0</v>
      </c>
      <c r="F151" s="8">
        <f>IFERROR(E151/E445, "NA")</f>
        <v>0</v>
      </c>
      <c r="G151" s="9"/>
      <c r="H151" s="10">
        <f>IFERROR(-(B151-E151), "NA")</f>
        <v>0</v>
      </c>
      <c r="I151" s="8">
        <f>IFERROR(H151/H445, "NA")</f>
        <v>0</v>
      </c>
      <c r="J151" s="9"/>
      <c r="K151" s="7">
        <v>0</v>
      </c>
      <c r="L151" s="8">
        <f>IFERROR(K151/K445, "NA")</f>
        <v>0</v>
      </c>
      <c r="M151" s="9"/>
      <c r="N151" s="10">
        <f>IFERROR(-(B151-K151), "NA")</f>
        <v>0</v>
      </c>
      <c r="O151" s="8">
        <f>IFERROR(N151/N445, "NA")</f>
        <v>0</v>
      </c>
      <c r="P151" s="9"/>
      <c r="Q151" s="7">
        <v>0</v>
      </c>
      <c r="R151" s="8">
        <f>IFERROR(Q151/Q445, "NA")</f>
        <v>0</v>
      </c>
      <c r="S151" s="9"/>
      <c r="T151" s="7">
        <v>0</v>
      </c>
      <c r="U151" s="8">
        <f>IFERROR(T151/T445, "NA")</f>
        <v>0</v>
      </c>
      <c r="V151" s="9"/>
      <c r="W151" s="10">
        <f>IFERROR(-(Q151-T151), "NA")</f>
        <v>0</v>
      </c>
      <c r="X151" s="8">
        <f>IFERROR(W151/W445, "NA")</f>
        <v>0</v>
      </c>
      <c r="Y151" s="9"/>
      <c r="Z151" s="7">
        <v>0</v>
      </c>
      <c r="AA151" s="8">
        <f>IFERROR(Z151/Z445, "NA")</f>
        <v>0</v>
      </c>
      <c r="AB151" s="9"/>
      <c r="AC151" s="10">
        <f>IFERROR(-(Q151-Z151), "NA")</f>
        <v>0</v>
      </c>
      <c r="AD151" s="8">
        <f>IFERROR(AC151/AC445,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IFERROR(B153/B445, "NA")</f>
        <v>0</v>
      </c>
      <c r="D153" s="9"/>
      <c r="E153" s="7">
        <v>3732.13</v>
      </c>
      <c r="F153" s="8">
        <f>IFERROR(E153/E445, "NA")</f>
        <v>4.0000047158112791E-2</v>
      </c>
      <c r="G153" s="9"/>
      <c r="H153" s="10">
        <f t="shared" ref="H153:H158" si="36">IFERROR(-(B153-E153), "NA")</f>
        <v>3732.13</v>
      </c>
      <c r="I153" s="8">
        <f>IFERROR(H153/H445, "NA")</f>
        <v>-0.61971323486678731</v>
      </c>
      <c r="J153" s="9"/>
      <c r="K153" s="7">
        <v>0</v>
      </c>
      <c r="L153" s="8">
        <f>IFERROR(K153/K445, "NA")</f>
        <v>0</v>
      </c>
      <c r="M153" s="9"/>
      <c r="N153" s="10">
        <f t="shared" ref="N153:N158" si="37">IFERROR(-(B153-K153), "NA")</f>
        <v>0</v>
      </c>
      <c r="O153" s="8">
        <f>IFERROR(N153/N445, "NA")</f>
        <v>0</v>
      </c>
      <c r="P153" s="9"/>
      <c r="Q153" s="7">
        <v>0</v>
      </c>
      <c r="R153" s="8">
        <f>IFERROR(Q153/Q445, "NA")</f>
        <v>0</v>
      </c>
      <c r="S153" s="9"/>
      <c r="T153" s="7">
        <v>17640.87</v>
      </c>
      <c r="U153" s="8">
        <f>IFERROR(T153/T445, "NA")</f>
        <v>4.0000001813969573E-2</v>
      </c>
      <c r="V153" s="9"/>
      <c r="W153" s="10">
        <f t="shared" ref="W153:W158" si="38">IFERROR(-(Q153-T153), "NA")</f>
        <v>17640.87</v>
      </c>
      <c r="X153" s="8">
        <f>IFERROR(W153/W445, "NA")</f>
        <v>2.7908044049504244</v>
      </c>
      <c r="Y153" s="9"/>
      <c r="Z153" s="7">
        <v>0</v>
      </c>
      <c r="AA153" s="8">
        <f>IFERROR(Z153/Z445, "NA")</f>
        <v>0</v>
      </c>
      <c r="AB153" s="9"/>
      <c r="AC153" s="10">
        <f t="shared" ref="AC153:AC158" si="39">IFERROR(-(Q153-Z153), "NA")</f>
        <v>0</v>
      </c>
      <c r="AD153" s="8">
        <f>IFERROR(AC153/AC445, "NA")</f>
        <v>0</v>
      </c>
    </row>
    <row r="154" spans="1:30" ht="16.5" customHeight="1" x14ac:dyDescent="0.45">
      <c r="A154" s="12" t="s">
        <v>143</v>
      </c>
      <c r="B154" s="7">
        <v>2632.67</v>
      </c>
      <c r="C154" s="8">
        <f>IFERROR(B154/B445, "NA")</f>
        <v>3.0163223774670237E-2</v>
      </c>
      <c r="D154" s="9"/>
      <c r="E154" s="7">
        <v>0</v>
      </c>
      <c r="F154" s="8">
        <f>IFERROR(E154/E445, "NA")</f>
        <v>0</v>
      </c>
      <c r="G154" s="9"/>
      <c r="H154" s="10">
        <f t="shared" si="36"/>
        <v>-2632.67</v>
      </c>
      <c r="I154" s="8">
        <f>IFERROR(H154/H445, "NA")</f>
        <v>0.43714994977043803</v>
      </c>
      <c r="J154" s="9"/>
      <c r="K154" s="7">
        <v>3031.17</v>
      </c>
      <c r="L154" s="8">
        <f>IFERROR(K154/K445, "NA")</f>
        <v>3.553301753586776E-2</v>
      </c>
      <c r="M154" s="9"/>
      <c r="N154" s="10">
        <f t="shared" si="37"/>
        <v>398.5</v>
      </c>
      <c r="O154" s="8">
        <f>IFERROR(N154/N445, "NA")</f>
        <v>0.20176602229805701</v>
      </c>
      <c r="P154" s="9"/>
      <c r="Q154" s="7">
        <v>13120.53</v>
      </c>
      <c r="R154" s="8">
        <f>IFERROR(Q154/Q445, "NA")</f>
        <v>2.9329923271370413E-2</v>
      </c>
      <c r="S154" s="9"/>
      <c r="T154" s="7">
        <v>0</v>
      </c>
      <c r="U154" s="8">
        <f>IFERROR(T154/T445, "NA")</f>
        <v>0</v>
      </c>
      <c r="V154" s="9"/>
      <c r="W154" s="10">
        <f t="shared" si="38"/>
        <v>-13120.53</v>
      </c>
      <c r="X154" s="8">
        <f>IFERROR(W154/W445, "NA")</f>
        <v>-2.0756818070358318</v>
      </c>
      <c r="Y154" s="9"/>
      <c r="Z154" s="7">
        <v>14040.13</v>
      </c>
      <c r="AA154" s="8">
        <f>IFERROR(Z154/Z445, "NA")</f>
        <v>3.4201766777729625E-2</v>
      </c>
      <c r="AB154" s="9"/>
      <c r="AC154" s="10">
        <f t="shared" si="39"/>
        <v>919.59999999999854</v>
      </c>
      <c r="AD154" s="8">
        <f>IFERROR(AC154/AC445, "NA")</f>
        <v>2.4966138520802397E-2</v>
      </c>
    </row>
    <row r="155" spans="1:30" ht="16.5" customHeight="1" x14ac:dyDescent="0.45">
      <c r="A155" s="12" t="s">
        <v>144</v>
      </c>
      <c r="B155" s="7">
        <v>671.48</v>
      </c>
      <c r="C155" s="8">
        <f>IFERROR(B155/B445, "NA")</f>
        <v>7.6933309150845229E-3</v>
      </c>
      <c r="D155" s="9"/>
      <c r="E155" s="7">
        <v>0</v>
      </c>
      <c r="F155" s="8">
        <f>IFERROR(E155/E445, "NA")</f>
        <v>0</v>
      </c>
      <c r="G155" s="9"/>
      <c r="H155" s="10">
        <f t="shared" si="36"/>
        <v>-671.48</v>
      </c>
      <c r="I155" s="8">
        <f>IFERROR(H155/H445, "NA")</f>
        <v>0.1114980032711482</v>
      </c>
      <c r="J155" s="9"/>
      <c r="K155" s="7">
        <v>617.67999999999995</v>
      </c>
      <c r="L155" s="8">
        <f>IFERROR(K155/K445, "NA")</f>
        <v>7.2407797225344647E-3</v>
      </c>
      <c r="M155" s="9"/>
      <c r="N155" s="10">
        <f t="shared" si="37"/>
        <v>-53.800000000000068</v>
      </c>
      <c r="O155" s="8">
        <f>IFERROR(N155/N445, "NA")</f>
        <v>-2.7239678794568335E-2</v>
      </c>
      <c r="P155" s="9"/>
      <c r="Q155" s="7">
        <v>6817.56</v>
      </c>
      <c r="R155" s="8">
        <f>IFERROR(Q155/Q445, "NA")</f>
        <v>1.5240124575605108E-2</v>
      </c>
      <c r="S155" s="9"/>
      <c r="T155" s="7">
        <v>0</v>
      </c>
      <c r="U155" s="8">
        <f>IFERROR(T155/T445, "NA")</f>
        <v>0</v>
      </c>
      <c r="V155" s="9"/>
      <c r="W155" s="10">
        <f t="shared" si="38"/>
        <v>-6817.56</v>
      </c>
      <c r="X155" s="8">
        <f>IFERROR(W155/W445, "NA")</f>
        <v>-1.0785452462953256</v>
      </c>
      <c r="Y155" s="9"/>
      <c r="Z155" s="7">
        <v>3255.09</v>
      </c>
      <c r="AA155" s="8">
        <f>IFERROR(Z155/Z445, "NA")</f>
        <v>7.9294015810765228E-3</v>
      </c>
      <c r="AB155" s="9"/>
      <c r="AC155" s="10">
        <f t="shared" si="39"/>
        <v>-3562.4700000000003</v>
      </c>
      <c r="AD155" s="8">
        <f>IFERROR(AC155/AC445, "NA")</f>
        <v>-9.6717180835366526E-2</v>
      </c>
    </row>
    <row r="156" spans="1:30" ht="16.5" customHeight="1" x14ac:dyDescent="0.45">
      <c r="A156" s="12" t="s">
        <v>145</v>
      </c>
      <c r="B156" s="7">
        <v>0</v>
      </c>
      <c r="C156" s="8">
        <f>IFERROR(B156/B445, "NA")</f>
        <v>0</v>
      </c>
      <c r="D156" s="9"/>
      <c r="E156" s="7">
        <v>0</v>
      </c>
      <c r="F156" s="8">
        <f>IFERROR(E156/E445, "NA")</f>
        <v>0</v>
      </c>
      <c r="G156" s="9"/>
      <c r="H156" s="10">
        <f t="shared" si="36"/>
        <v>0</v>
      </c>
      <c r="I156" s="8">
        <f>IFERROR(H156/H445, "NA")</f>
        <v>0</v>
      </c>
      <c r="J156" s="9"/>
      <c r="K156" s="7">
        <v>0</v>
      </c>
      <c r="L156" s="8">
        <f>IFERROR(K156/K445, "NA")</f>
        <v>0</v>
      </c>
      <c r="M156" s="9"/>
      <c r="N156" s="10">
        <f t="shared" si="37"/>
        <v>0</v>
      </c>
      <c r="O156" s="8">
        <f>IFERROR(N156/N445, "NA")</f>
        <v>0</v>
      </c>
      <c r="P156" s="9"/>
      <c r="Q156" s="7">
        <v>74.2</v>
      </c>
      <c r="R156" s="8">
        <f>IFERROR(Q156/Q445, "NA")</f>
        <v>1.6586832290583418E-4</v>
      </c>
      <c r="S156" s="9"/>
      <c r="T156" s="7">
        <v>0</v>
      </c>
      <c r="U156" s="8">
        <f>IFERROR(T156/T445, "NA")</f>
        <v>0</v>
      </c>
      <c r="V156" s="9"/>
      <c r="W156" s="10">
        <f t="shared" si="38"/>
        <v>-74.2</v>
      </c>
      <c r="X156" s="8">
        <f>IFERROR(W156/W445, "NA")</f>
        <v>-1.1738518953278466E-2</v>
      </c>
      <c r="Y156" s="9"/>
      <c r="Z156" s="7">
        <v>0</v>
      </c>
      <c r="AA156" s="8">
        <f>IFERROR(Z156/Z445, "NA")</f>
        <v>0</v>
      </c>
      <c r="AB156" s="9"/>
      <c r="AC156" s="10">
        <f t="shared" si="39"/>
        <v>-74.2</v>
      </c>
      <c r="AD156" s="8">
        <f>IFERROR(AC156/AC445, "NA")</f>
        <v>-2.0144491933922802E-3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IFERROR(B157/B445, "NA")</f>
        <v>0</v>
      </c>
      <c r="D157" s="9"/>
      <c r="E157" s="7">
        <v>0</v>
      </c>
      <c r="F157" s="8">
        <f>IFERROR(E157/E445, "NA")</f>
        <v>0</v>
      </c>
      <c r="G157" s="9"/>
      <c r="H157" s="10">
        <f t="shared" si="36"/>
        <v>0</v>
      </c>
      <c r="I157" s="8">
        <f>IFERROR(H157/H445, "NA")</f>
        <v>0</v>
      </c>
      <c r="J157" s="9"/>
      <c r="K157" s="7">
        <v>0</v>
      </c>
      <c r="L157" s="8">
        <f>IFERROR(K157/K445, "NA")</f>
        <v>0</v>
      </c>
      <c r="M157" s="9"/>
      <c r="N157" s="10">
        <f t="shared" si="37"/>
        <v>0</v>
      </c>
      <c r="O157" s="8">
        <f>IFERROR(N157/N445, "NA")</f>
        <v>0</v>
      </c>
      <c r="P157" s="9"/>
      <c r="Q157" s="7">
        <v>0</v>
      </c>
      <c r="R157" s="8">
        <f>IFERROR(Q157/Q445, "NA")</f>
        <v>0</v>
      </c>
      <c r="S157" s="9"/>
      <c r="T157" s="7">
        <v>0</v>
      </c>
      <c r="U157" s="8">
        <f>IFERROR(T157/T445, "NA")</f>
        <v>0</v>
      </c>
      <c r="V157" s="9"/>
      <c r="W157" s="10">
        <f t="shared" si="38"/>
        <v>0</v>
      </c>
      <c r="X157" s="8">
        <f>IFERROR(W157/W445, "NA")</f>
        <v>0</v>
      </c>
      <c r="Y157" s="9"/>
      <c r="Z157" s="7">
        <v>0</v>
      </c>
      <c r="AA157" s="8">
        <f>IFERROR(Z157/Z445, "NA")</f>
        <v>0</v>
      </c>
      <c r="AB157" s="9"/>
      <c r="AC157" s="10">
        <f t="shared" si="39"/>
        <v>0</v>
      </c>
      <c r="AD157" s="8">
        <f>IFERROR(AC157/AC445,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3304.15</v>
      </c>
      <c r="C158" s="15">
        <f>IFERROR(B158/B445, "NA")</f>
        <v>3.7856554689754761E-2</v>
      </c>
      <c r="D158" s="2"/>
      <c r="E158" s="14">
        <f>IFERROR(E153+E154+E155+E156+E157, "NA")</f>
        <v>3732.13</v>
      </c>
      <c r="F158" s="15">
        <f>IFERROR(E158/E445, "NA")</f>
        <v>4.0000047158112791E-2</v>
      </c>
      <c r="G158" s="2"/>
      <c r="H158" s="14">
        <f t="shared" si="36"/>
        <v>427.98</v>
      </c>
      <c r="I158" s="15">
        <f>IFERROR(H158/H445, "NA")</f>
        <v>-7.1065281825201054E-2</v>
      </c>
      <c r="J158" s="2"/>
      <c r="K158" s="14">
        <f>IFERROR(K153+K154+K155+K156+K157, "NA")</f>
        <v>3648.85</v>
      </c>
      <c r="L158" s="15">
        <f>IFERROR(K158/K445, "NA")</f>
        <v>4.2773797258402219E-2</v>
      </c>
      <c r="M158" s="2"/>
      <c r="N158" s="14">
        <f t="shared" si="37"/>
        <v>344.69999999999982</v>
      </c>
      <c r="O158" s="15">
        <f>IFERROR(N158/N445, "NA")</f>
        <v>0.17452634350348861</v>
      </c>
      <c r="P158" s="2"/>
      <c r="Q158" s="14">
        <f>IFERROR(Q153+Q154+Q155+Q156+Q157, "NA")</f>
        <v>20012.29</v>
      </c>
      <c r="R158" s="15">
        <f>IFERROR(Q158/Q445, "NA")</f>
        <v>4.4735916169881353E-2</v>
      </c>
      <c r="S158" s="2"/>
      <c r="T158" s="14">
        <f>IFERROR(T153+T154+T155+T156+T157, "NA")</f>
        <v>17640.87</v>
      </c>
      <c r="U158" s="15">
        <f>IFERROR(T158/T445, "NA")</f>
        <v>4.0000001813969573E-2</v>
      </c>
      <c r="V158" s="2"/>
      <c r="W158" s="14">
        <f t="shared" si="38"/>
        <v>-2371.4200000000019</v>
      </c>
      <c r="X158" s="15">
        <f>IFERROR(W158/W445, "NA")</f>
        <v>-0.37516116733401139</v>
      </c>
      <c r="Y158" s="2"/>
      <c r="Z158" s="14">
        <f>IFERROR(Z153+Z154+Z155+Z156+Z157, "NA")</f>
        <v>17295.22</v>
      </c>
      <c r="AA158" s="15">
        <f>IFERROR(Z158/Z445, "NA")</f>
        <v>4.2131168358806155E-2</v>
      </c>
      <c r="AB158" s="2"/>
      <c r="AC158" s="14">
        <f t="shared" si="39"/>
        <v>-2717.0699999999997</v>
      </c>
      <c r="AD158" s="15">
        <f>IFERROR(AC158/AC445, "NA")</f>
        <v>-7.376549150795636E-2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IFERROR(B160/B445, "NA")</f>
        <v>0</v>
      </c>
      <c r="D160" s="9"/>
      <c r="E160" s="7">
        <v>0</v>
      </c>
      <c r="F160" s="8">
        <f>IFERROR(E160/E445, "NA")</f>
        <v>0</v>
      </c>
      <c r="G160" s="9"/>
      <c r="H160" s="10">
        <f t="shared" ref="H160:H171" si="40">IFERROR(-(B160-E160), "NA")</f>
        <v>0</v>
      </c>
      <c r="I160" s="8">
        <f>IFERROR(H160/H445, "NA")</f>
        <v>0</v>
      </c>
      <c r="J160" s="9"/>
      <c r="K160" s="7">
        <v>0</v>
      </c>
      <c r="L160" s="8">
        <f>IFERROR(K160/K445, "NA")</f>
        <v>0</v>
      </c>
      <c r="M160" s="9"/>
      <c r="N160" s="10">
        <f t="shared" ref="N160:N171" si="41">IFERROR(-(B160-K160), "NA")</f>
        <v>0</v>
      </c>
      <c r="O160" s="8">
        <f>IFERROR(N160/N445, "NA")</f>
        <v>0</v>
      </c>
      <c r="P160" s="9"/>
      <c r="Q160" s="7">
        <v>0</v>
      </c>
      <c r="R160" s="8">
        <f>IFERROR(Q160/Q445, "NA")</f>
        <v>0</v>
      </c>
      <c r="S160" s="9"/>
      <c r="T160" s="7">
        <v>0</v>
      </c>
      <c r="U160" s="8">
        <f>IFERROR(T160/T445, "NA")</f>
        <v>0</v>
      </c>
      <c r="V160" s="9"/>
      <c r="W160" s="10">
        <f t="shared" ref="W160:W171" si="42">IFERROR(-(Q160-T160), "NA")</f>
        <v>0</v>
      </c>
      <c r="X160" s="8">
        <f>IFERROR(W160/W445, "NA")</f>
        <v>0</v>
      </c>
      <c r="Y160" s="9"/>
      <c r="Z160" s="7">
        <v>0</v>
      </c>
      <c r="AA160" s="8">
        <f>IFERROR(Z160/Z445, "NA")</f>
        <v>0</v>
      </c>
      <c r="AB160" s="9"/>
      <c r="AC160" s="10">
        <f t="shared" ref="AC160:AC171" si="43">IFERROR(-(Q160-Z160), "NA")</f>
        <v>0</v>
      </c>
      <c r="AD160" s="8">
        <f>IFERROR(AC160/AC445, "NA")</f>
        <v>0</v>
      </c>
    </row>
    <row r="161" spans="1:30" ht="16.5" customHeight="1" x14ac:dyDescent="0.45">
      <c r="A161" s="12" t="s">
        <v>149</v>
      </c>
      <c r="B161" s="7">
        <v>514.46</v>
      </c>
      <c r="C161" s="8">
        <f>IFERROR(B161/B445, "NA")</f>
        <v>5.8943096184166073E-3</v>
      </c>
      <c r="D161" s="9"/>
      <c r="E161" s="7">
        <v>0</v>
      </c>
      <c r="F161" s="8">
        <f>IFERROR(E161/E445, "NA")</f>
        <v>0</v>
      </c>
      <c r="G161" s="9"/>
      <c r="H161" s="10">
        <f t="shared" si="40"/>
        <v>-514.46</v>
      </c>
      <c r="I161" s="8">
        <f>IFERROR(H161/H445, "NA")</f>
        <v>8.5425124743663108E-2</v>
      </c>
      <c r="J161" s="9"/>
      <c r="K161" s="7">
        <v>233.57</v>
      </c>
      <c r="L161" s="8">
        <f>IFERROR(K161/K445, "NA")</f>
        <v>2.7380341273675287E-3</v>
      </c>
      <c r="M161" s="9"/>
      <c r="N161" s="10">
        <f t="shared" si="41"/>
        <v>-280.89000000000004</v>
      </c>
      <c r="O161" s="8">
        <f>IFERROR(N161/N445, "NA")</f>
        <v>-0.14221846424918755</v>
      </c>
      <c r="P161" s="9"/>
      <c r="Q161" s="7">
        <v>2344.5700000000002</v>
      </c>
      <c r="R161" s="8">
        <f>IFERROR(Q161/Q445, "NA")</f>
        <v>5.2411036905031221E-3</v>
      </c>
      <c r="S161" s="9"/>
      <c r="T161" s="7">
        <v>0</v>
      </c>
      <c r="U161" s="8">
        <f>IFERROR(T161/T445, "NA")</f>
        <v>0</v>
      </c>
      <c r="V161" s="9"/>
      <c r="W161" s="10">
        <f t="shared" si="42"/>
        <v>-2344.5700000000002</v>
      </c>
      <c r="X161" s="8">
        <f>IFERROR(W161/W445, "NA")</f>
        <v>-0.37091346876399051</v>
      </c>
      <c r="Y161" s="9"/>
      <c r="Z161" s="7">
        <v>1512.08</v>
      </c>
      <c r="AA161" s="8">
        <f>IFERROR(Z161/Z445, "NA")</f>
        <v>3.6834279674952731E-3</v>
      </c>
      <c r="AB161" s="9"/>
      <c r="AC161" s="10">
        <f t="shared" si="43"/>
        <v>-832.49000000000024</v>
      </c>
      <c r="AD161" s="8">
        <f>IFERROR(AC161/AC445, "NA")</f>
        <v>-2.2601196886888674E-2</v>
      </c>
    </row>
    <row r="162" spans="1:30" ht="16.5" customHeight="1" x14ac:dyDescent="0.45">
      <c r="A162" s="12" t="s">
        <v>150</v>
      </c>
      <c r="B162" s="7">
        <v>0</v>
      </c>
      <c r="C162" s="8">
        <f>IFERROR(B162/B445, "NA")</f>
        <v>0</v>
      </c>
      <c r="D162" s="9"/>
      <c r="E162" s="7">
        <v>0</v>
      </c>
      <c r="F162" s="8">
        <f>IFERROR(E162/E445, "NA")</f>
        <v>0</v>
      </c>
      <c r="G162" s="9"/>
      <c r="H162" s="10">
        <f t="shared" si="40"/>
        <v>0</v>
      </c>
      <c r="I162" s="8">
        <f>IFERROR(H162/H445, "NA")</f>
        <v>0</v>
      </c>
      <c r="J162" s="9"/>
      <c r="K162" s="7">
        <v>0</v>
      </c>
      <c r="L162" s="8">
        <f>IFERROR(K162/K445, "NA")</f>
        <v>0</v>
      </c>
      <c r="M162" s="9"/>
      <c r="N162" s="10">
        <f t="shared" si="41"/>
        <v>0</v>
      </c>
      <c r="O162" s="8">
        <f>IFERROR(N162/N445, "NA")</f>
        <v>0</v>
      </c>
      <c r="P162" s="9"/>
      <c r="Q162" s="7">
        <v>2.33</v>
      </c>
      <c r="R162" s="8">
        <f>IFERROR(Q162/Q445, "NA")</f>
        <v>5.2085335899001842E-6</v>
      </c>
      <c r="S162" s="9"/>
      <c r="T162" s="7">
        <v>0</v>
      </c>
      <c r="U162" s="8">
        <f>IFERROR(T162/T445, "NA")</f>
        <v>0</v>
      </c>
      <c r="V162" s="9"/>
      <c r="W162" s="10">
        <f t="shared" si="42"/>
        <v>-2.33</v>
      </c>
      <c r="X162" s="8">
        <f>IFERROR(W162/W445, "NA")</f>
        <v>-3.686084792606311E-4</v>
      </c>
      <c r="Y162" s="9"/>
      <c r="Z162" s="7">
        <v>0</v>
      </c>
      <c r="AA162" s="8">
        <f>IFERROR(Z162/Z445, "NA")</f>
        <v>0</v>
      </c>
      <c r="AB162" s="9"/>
      <c r="AC162" s="10">
        <f t="shared" si="43"/>
        <v>-2.33</v>
      </c>
      <c r="AD162" s="8">
        <f>IFERROR(AC162/AC445, "NA")</f>
        <v>-6.3256962541833055E-5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IFERROR(B163/B445, "NA")</f>
        <v>0</v>
      </c>
      <c r="D163" s="9"/>
      <c r="E163" s="7">
        <v>0</v>
      </c>
      <c r="F163" s="8">
        <f>IFERROR(E163/E445, "NA")</f>
        <v>0</v>
      </c>
      <c r="G163" s="9"/>
      <c r="H163" s="10">
        <f t="shared" si="40"/>
        <v>0</v>
      </c>
      <c r="I163" s="8">
        <f>IFERROR(H163/H445, "NA")</f>
        <v>0</v>
      </c>
      <c r="J163" s="9"/>
      <c r="K163" s="7">
        <v>0</v>
      </c>
      <c r="L163" s="8">
        <f>IFERROR(K163/K445, "NA")</f>
        <v>0</v>
      </c>
      <c r="M163" s="9"/>
      <c r="N163" s="10">
        <f t="shared" si="41"/>
        <v>0</v>
      </c>
      <c r="O163" s="8">
        <f>IFERROR(N163/N445, "NA")</f>
        <v>0</v>
      </c>
      <c r="P163" s="9"/>
      <c r="Q163" s="7">
        <v>0</v>
      </c>
      <c r="R163" s="8">
        <f>IFERROR(Q163/Q445, "NA")</f>
        <v>0</v>
      </c>
      <c r="S163" s="9"/>
      <c r="T163" s="7">
        <v>0</v>
      </c>
      <c r="U163" s="8">
        <f>IFERROR(T163/T445, "NA")</f>
        <v>0</v>
      </c>
      <c r="V163" s="9"/>
      <c r="W163" s="10">
        <f t="shared" si="42"/>
        <v>0</v>
      </c>
      <c r="X163" s="8">
        <f>IFERROR(W163/W445, "NA")</f>
        <v>0</v>
      </c>
      <c r="Y163" s="9"/>
      <c r="Z163" s="7">
        <v>0</v>
      </c>
      <c r="AA163" s="8">
        <f>IFERROR(Z163/Z445, "NA")</f>
        <v>0</v>
      </c>
      <c r="AB163" s="9"/>
      <c r="AC163" s="10">
        <f t="shared" si="43"/>
        <v>0</v>
      </c>
      <c r="AD163" s="8">
        <f>IFERROR(AC163/AC445,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IFERROR(B164/B445, "NA")</f>
        <v>0</v>
      </c>
      <c r="D164" s="9"/>
      <c r="E164" s="7">
        <v>0</v>
      </c>
      <c r="F164" s="8">
        <f>IFERROR(E164/E445, "NA")</f>
        <v>0</v>
      </c>
      <c r="G164" s="9"/>
      <c r="H164" s="10">
        <f t="shared" si="40"/>
        <v>0</v>
      </c>
      <c r="I164" s="8">
        <f>IFERROR(H164/H445, "NA")</f>
        <v>0</v>
      </c>
      <c r="J164" s="9"/>
      <c r="K164" s="7">
        <v>0</v>
      </c>
      <c r="L164" s="8">
        <f>IFERROR(K164/K445, "NA")</f>
        <v>0</v>
      </c>
      <c r="M164" s="9"/>
      <c r="N164" s="10">
        <f t="shared" si="41"/>
        <v>0</v>
      </c>
      <c r="O164" s="8">
        <f>IFERROR(N164/N445, "NA")</f>
        <v>0</v>
      </c>
      <c r="P164" s="9"/>
      <c r="Q164" s="7">
        <v>0</v>
      </c>
      <c r="R164" s="8">
        <f>IFERROR(Q164/Q445, "NA")</f>
        <v>0</v>
      </c>
      <c r="S164" s="9"/>
      <c r="T164" s="7">
        <v>0</v>
      </c>
      <c r="U164" s="8">
        <f>IFERROR(T164/T445, "NA")</f>
        <v>0</v>
      </c>
      <c r="V164" s="9"/>
      <c r="W164" s="10">
        <f t="shared" si="42"/>
        <v>0</v>
      </c>
      <c r="X164" s="8">
        <f>IFERROR(W164/W445, "NA")</f>
        <v>0</v>
      </c>
      <c r="Y164" s="9"/>
      <c r="Z164" s="7">
        <v>0</v>
      </c>
      <c r="AA164" s="8">
        <f>IFERROR(Z164/Z445, "NA")</f>
        <v>0</v>
      </c>
      <c r="AB164" s="9"/>
      <c r="AC164" s="10">
        <f t="shared" si="43"/>
        <v>0</v>
      </c>
      <c r="AD164" s="8">
        <f>IFERROR(AC164/AC445,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IFERROR(B165/B445, "NA")</f>
        <v>0</v>
      </c>
      <c r="D165" s="9"/>
      <c r="E165" s="7">
        <v>0</v>
      </c>
      <c r="F165" s="8">
        <f>IFERROR(E165/E445, "NA")</f>
        <v>0</v>
      </c>
      <c r="G165" s="9"/>
      <c r="H165" s="10">
        <f t="shared" si="40"/>
        <v>0</v>
      </c>
      <c r="I165" s="8">
        <f>IFERROR(H165/H445, "NA")</f>
        <v>0</v>
      </c>
      <c r="J165" s="9"/>
      <c r="K165" s="7">
        <v>0</v>
      </c>
      <c r="L165" s="8">
        <f>IFERROR(K165/K445, "NA")</f>
        <v>0</v>
      </c>
      <c r="M165" s="9"/>
      <c r="N165" s="10">
        <f t="shared" si="41"/>
        <v>0</v>
      </c>
      <c r="O165" s="8">
        <f>IFERROR(N165/N445, "NA")</f>
        <v>0</v>
      </c>
      <c r="P165" s="9"/>
      <c r="Q165" s="7">
        <v>0</v>
      </c>
      <c r="R165" s="8">
        <f>IFERROR(Q165/Q445, "NA")</f>
        <v>0</v>
      </c>
      <c r="S165" s="9"/>
      <c r="T165" s="7">
        <v>0</v>
      </c>
      <c r="U165" s="8">
        <f>IFERROR(T165/T445, "NA")</f>
        <v>0</v>
      </c>
      <c r="V165" s="9"/>
      <c r="W165" s="10">
        <f t="shared" si="42"/>
        <v>0</v>
      </c>
      <c r="X165" s="8">
        <f>IFERROR(W165/W445, "NA")</f>
        <v>0</v>
      </c>
      <c r="Y165" s="9"/>
      <c r="Z165" s="7">
        <v>0</v>
      </c>
      <c r="AA165" s="8">
        <f>IFERROR(Z165/Z445, "NA")</f>
        <v>0</v>
      </c>
      <c r="AB165" s="9"/>
      <c r="AC165" s="10">
        <f t="shared" si="43"/>
        <v>0</v>
      </c>
      <c r="AD165" s="8">
        <f>IFERROR(AC165/AC445,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514.46</v>
      </c>
      <c r="C166" s="15">
        <f>IFERROR(B166/B445, "NA")</f>
        <v>5.8943096184166073E-3</v>
      </c>
      <c r="D166" s="2"/>
      <c r="E166" s="14">
        <f>IFERROR(E160+E161+E162+E163+E164+E165, "NA")</f>
        <v>0</v>
      </c>
      <c r="F166" s="15">
        <f>IFERROR(E166/E445, "NA")</f>
        <v>0</v>
      </c>
      <c r="G166" s="2"/>
      <c r="H166" s="14">
        <f t="shared" si="40"/>
        <v>-514.46</v>
      </c>
      <c r="I166" s="15">
        <f>IFERROR(H166/H445, "NA")</f>
        <v>8.5425124743663108E-2</v>
      </c>
      <c r="J166" s="2"/>
      <c r="K166" s="14">
        <f>IFERROR(K160+K161+K162+K163+K164+K165, "NA")</f>
        <v>233.57</v>
      </c>
      <c r="L166" s="15">
        <f>IFERROR(K166/K445, "NA")</f>
        <v>2.7380341273675287E-3</v>
      </c>
      <c r="M166" s="2"/>
      <c r="N166" s="14">
        <f t="shared" si="41"/>
        <v>-280.89000000000004</v>
      </c>
      <c r="O166" s="15">
        <f>IFERROR(N166/N445, "NA")</f>
        <v>-0.14221846424918755</v>
      </c>
      <c r="P166" s="2"/>
      <c r="Q166" s="14">
        <f>IFERROR(Q160+Q161+Q162+Q163+Q164+Q165, "NA")</f>
        <v>2346.9</v>
      </c>
      <c r="R166" s="15">
        <f>IFERROR(Q166/Q445, "NA")</f>
        <v>5.2463122240930223E-3</v>
      </c>
      <c r="S166" s="2"/>
      <c r="T166" s="14">
        <f>IFERROR(T160+T161+T162+T163+T164+T165, "NA")</f>
        <v>0</v>
      </c>
      <c r="U166" s="15">
        <f>IFERROR(T166/T445, "NA")</f>
        <v>0</v>
      </c>
      <c r="V166" s="2"/>
      <c r="W166" s="14">
        <f t="shared" si="42"/>
        <v>-2346.9</v>
      </c>
      <c r="X166" s="15">
        <f>IFERROR(W166/W445, "NA")</f>
        <v>-0.37128207724325113</v>
      </c>
      <c r="Y166" s="2"/>
      <c r="Z166" s="14">
        <f>IFERROR(Z160+Z161+Z162+Z163+Z164+Z165, "NA")</f>
        <v>1512.08</v>
      </c>
      <c r="AA166" s="15">
        <f>IFERROR(Z166/Z445, "NA")</f>
        <v>3.6834279674952731E-3</v>
      </c>
      <c r="AB166" s="2"/>
      <c r="AC166" s="14">
        <f t="shared" si="43"/>
        <v>-834.82000000000016</v>
      </c>
      <c r="AD166" s="15">
        <f>IFERROR(AC166/AC445, "NA")</f>
        <v>-2.2664453849430506E-2</v>
      </c>
    </row>
    <row r="167" spans="1:30" ht="16.5" customHeight="1" x14ac:dyDescent="0.45">
      <c r="A167" s="6" t="s">
        <v>155</v>
      </c>
      <c r="B167" s="7">
        <v>35.42</v>
      </c>
      <c r="C167" s="8">
        <f>IFERROR(B167/B445, "NA")</f>
        <v>4.0581667512404508E-4</v>
      </c>
      <c r="D167" s="9"/>
      <c r="E167" s="7">
        <v>0</v>
      </c>
      <c r="F167" s="8">
        <f>IFERROR(E167/E445, "NA")</f>
        <v>0</v>
      </c>
      <c r="G167" s="9"/>
      <c r="H167" s="10">
        <f t="shared" si="40"/>
        <v>-35.42</v>
      </c>
      <c r="I167" s="8">
        <f>IFERROR(H167/H445, "NA")</f>
        <v>5.8814250251147757E-3</v>
      </c>
      <c r="J167" s="9"/>
      <c r="K167" s="7">
        <v>77.67</v>
      </c>
      <c r="L167" s="8">
        <f>IFERROR(K167/K445, "NA")</f>
        <v>9.1048983462189471E-4</v>
      </c>
      <c r="M167" s="9"/>
      <c r="N167" s="10">
        <f t="shared" si="41"/>
        <v>42.25</v>
      </c>
      <c r="O167" s="8">
        <f>IFERROR(N167/N445, "NA")</f>
        <v>2.1391755187184211E-2</v>
      </c>
      <c r="P167" s="9"/>
      <c r="Q167" s="7">
        <v>317.02999999999997</v>
      </c>
      <c r="R167" s="8">
        <f>IFERROR(Q167/Q445, "NA")</f>
        <v>7.0869588154766317E-4</v>
      </c>
      <c r="S167" s="9"/>
      <c r="T167" s="7">
        <v>0</v>
      </c>
      <c r="U167" s="8">
        <f>IFERROR(T167/T445, "NA")</f>
        <v>0</v>
      </c>
      <c r="V167" s="9"/>
      <c r="W167" s="10">
        <f t="shared" si="42"/>
        <v>-317.02999999999997</v>
      </c>
      <c r="X167" s="8">
        <f>IFERROR(W167/W445, "NA")</f>
        <v>-5.0154483339054881E-2</v>
      </c>
      <c r="Y167" s="9"/>
      <c r="Z167" s="7">
        <v>437.66</v>
      </c>
      <c r="AA167" s="8">
        <f>IFERROR(Z167/Z445, "NA")</f>
        <v>1.0661400747671958E-3</v>
      </c>
      <c r="AB167" s="9"/>
      <c r="AC167" s="10">
        <f t="shared" si="43"/>
        <v>120.63000000000005</v>
      </c>
      <c r="AD167" s="8">
        <f>IFERROR(AC167/AC445, "NA")</f>
        <v>3.2749731293653752E-3</v>
      </c>
    </row>
    <row r="168" spans="1:30" ht="16.5" customHeight="1" x14ac:dyDescent="0.45">
      <c r="A168" s="6" t="s">
        <v>156</v>
      </c>
      <c r="B168" s="7">
        <v>127.75</v>
      </c>
      <c r="C168" s="8">
        <f>IFERROR(B168/B445, "NA")</f>
        <v>1.4636668618604393E-3</v>
      </c>
      <c r="D168" s="9"/>
      <c r="E168" s="7">
        <v>0</v>
      </c>
      <c r="F168" s="8">
        <f>IFERROR(E168/E445, "NA")</f>
        <v>0</v>
      </c>
      <c r="G168" s="9"/>
      <c r="H168" s="10">
        <f t="shared" si="40"/>
        <v>-127.75</v>
      </c>
      <c r="I168" s="8">
        <f>IFERROR(H168/H445, "NA")</f>
        <v>2.1212649547103685E-2</v>
      </c>
      <c r="J168" s="9"/>
      <c r="K168" s="7">
        <v>17.8</v>
      </c>
      <c r="L168" s="8">
        <f>IFERROR(K168/K445, "NA")</f>
        <v>2.0866124702291396E-4</v>
      </c>
      <c r="M168" s="9"/>
      <c r="N168" s="10">
        <f t="shared" si="41"/>
        <v>-109.95</v>
      </c>
      <c r="O168" s="8">
        <f>IFERROR(N168/N445, "NA")</f>
        <v>-5.5669194859903057E-2</v>
      </c>
      <c r="P168" s="9"/>
      <c r="Q168" s="7">
        <v>436.45</v>
      </c>
      <c r="R168" s="8">
        <f>IFERROR(Q168/Q445, "NA")</f>
        <v>9.7564999369610954E-4</v>
      </c>
      <c r="S168" s="9"/>
      <c r="T168" s="7">
        <v>0</v>
      </c>
      <c r="U168" s="8">
        <f>IFERROR(T168/T445, "NA")</f>
        <v>0</v>
      </c>
      <c r="V168" s="9"/>
      <c r="W168" s="10">
        <f t="shared" si="42"/>
        <v>-436.45</v>
      </c>
      <c r="X168" s="8">
        <f>IFERROR(W168/W445, "NA")</f>
        <v>-6.9046854409142683E-2</v>
      </c>
      <c r="Y168" s="9"/>
      <c r="Z168" s="7">
        <v>133.80000000000001</v>
      </c>
      <c r="AA168" s="8">
        <f>IFERROR(Z168/Z445, "NA")</f>
        <v>3.2593689622960928E-4</v>
      </c>
      <c r="AB168" s="9"/>
      <c r="AC168" s="10">
        <f t="shared" si="43"/>
        <v>-302.64999999999998</v>
      </c>
      <c r="AD168" s="8">
        <f>IFERROR(AC168/AC445, "NA")</f>
        <v>-8.2166179026977558E-3</v>
      </c>
    </row>
    <row r="169" spans="1:30" ht="16.5" customHeight="1" x14ac:dyDescent="0.45">
      <c r="A169" s="6" t="s">
        <v>157</v>
      </c>
      <c r="B169" s="7">
        <v>-783.29</v>
      </c>
      <c r="C169" s="8">
        <f>IFERROR(B169/B445, "NA")</f>
        <v>-8.9743688158642927E-3</v>
      </c>
      <c r="D169" s="9"/>
      <c r="E169" s="7">
        <v>0</v>
      </c>
      <c r="F169" s="8">
        <f>IFERROR(E169/E445, "NA")</f>
        <v>0</v>
      </c>
      <c r="G169" s="9"/>
      <c r="H169" s="10">
        <f t="shared" si="40"/>
        <v>783.29</v>
      </c>
      <c r="I169" s="8">
        <f>IFERROR(H169/H445, "NA")</f>
        <v>-0.13006384550881286</v>
      </c>
      <c r="J169" s="9"/>
      <c r="K169" s="7">
        <v>-994.4</v>
      </c>
      <c r="L169" s="8">
        <f>IFERROR(K169/K445, "NA")</f>
        <v>-1.165689573256099E-2</v>
      </c>
      <c r="M169" s="9"/>
      <c r="N169" s="10">
        <f t="shared" si="41"/>
        <v>-211.11</v>
      </c>
      <c r="O169" s="8">
        <f>IFERROR(N169/N445, "NA")</f>
        <v>-0.10688789201340732</v>
      </c>
      <c r="P169" s="9"/>
      <c r="Q169" s="7">
        <v>-4407.22</v>
      </c>
      <c r="R169" s="8">
        <f>IFERROR(Q169/Q445, "NA")</f>
        <v>-9.8519971708497384E-3</v>
      </c>
      <c r="S169" s="9"/>
      <c r="T169" s="7">
        <v>0</v>
      </c>
      <c r="U169" s="8">
        <f>IFERROR(T169/T445, "NA")</f>
        <v>0</v>
      </c>
      <c r="V169" s="9"/>
      <c r="W169" s="10">
        <f t="shared" si="42"/>
        <v>4407.22</v>
      </c>
      <c r="X169" s="8">
        <f>IFERROR(W169/W445, "NA")</f>
        <v>0.69722689354808531</v>
      </c>
      <c r="Y169" s="9"/>
      <c r="Z169" s="7">
        <v>-8822.68</v>
      </c>
      <c r="AA169" s="8">
        <f>IFERROR(Z169/Z445, "NA")</f>
        <v>-2.1492054825314268E-2</v>
      </c>
      <c r="AB169" s="9"/>
      <c r="AC169" s="10">
        <f t="shared" si="43"/>
        <v>-4415.46</v>
      </c>
      <c r="AD169" s="8">
        <f>IFERROR(AC169/AC445, "NA")</f>
        <v>-0.11987493039697948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3198.4900000000002</v>
      </c>
      <c r="C170" s="15">
        <f>IFERROR(B170/B445, "NA")</f>
        <v>3.6645979029291557E-2</v>
      </c>
      <c r="D170" s="2"/>
      <c r="E170" s="14">
        <f>IFERROR(E151+E153+E154+E155+E156+E157+E160+E161+E162+E163+E164+E165+E167+E168+E169, "NA")</f>
        <v>3732.13</v>
      </c>
      <c r="F170" s="15">
        <f>IFERROR(E170/E445, "NA")</f>
        <v>4.0000047158112791E-2</v>
      </c>
      <c r="G170" s="2"/>
      <c r="H170" s="14">
        <f t="shared" si="40"/>
        <v>533.63999999999987</v>
      </c>
      <c r="I170" s="15">
        <f>IFERROR(H170/H445, "NA")</f>
        <v>-8.8609928018132347E-2</v>
      </c>
      <c r="J170" s="2"/>
      <c r="K170" s="14">
        <f>IFERROR(K151+K153+K154+K155+K156+K157+K160+K161+K162+K163+K164+K165+K167+K168+K169, "NA")</f>
        <v>2983.4900000000002</v>
      </c>
      <c r="L170" s="15">
        <f>IFERROR(K170/K445, "NA")</f>
        <v>3.4974086734853568E-2</v>
      </c>
      <c r="M170" s="2"/>
      <c r="N170" s="14">
        <f t="shared" si="41"/>
        <v>-215</v>
      </c>
      <c r="O170" s="15">
        <f>IFERROR(N170/N445, "NA")</f>
        <v>-0.10885745243182499</v>
      </c>
      <c r="P170" s="2"/>
      <c r="Q170" s="14">
        <f>IFERROR(Q151+Q153+Q154+Q155+Q156+Q157+Q160+Q161+Q162+Q163+Q164+Q165+Q167+Q168+Q169, "NA")</f>
        <v>18705.45</v>
      </c>
      <c r="R170" s="15">
        <f>IFERROR(Q170/Q445, "NA")</f>
        <v>4.1814577098368416E-2</v>
      </c>
      <c r="S170" s="2"/>
      <c r="T170" s="14">
        <f>IFERROR(T151+T153+T154+T155+T156+T157+T160+T161+T162+T163+T164+T165+T167+T168+T169, "NA")</f>
        <v>17640.87</v>
      </c>
      <c r="U170" s="15">
        <f>IFERROR(T170/T445, "NA")</f>
        <v>4.0000001813969573E-2</v>
      </c>
      <c r="V170" s="2"/>
      <c r="W170" s="14">
        <f t="shared" si="42"/>
        <v>-1064.5800000000017</v>
      </c>
      <c r="X170" s="15">
        <f>IFERROR(W170/W445, "NA")</f>
        <v>-0.16841768877737481</v>
      </c>
      <c r="Y170" s="2"/>
      <c r="Z170" s="14">
        <f>IFERROR(Z151+Z153+Z154+Z155+Z156+Z157+Z160+Z161+Z162+Z163+Z164+Z165+Z167+Z168+Z169, "NA")</f>
        <v>10556.080000000002</v>
      </c>
      <c r="AA170" s="15">
        <f>IFERROR(Z170/Z445, "NA")</f>
        <v>2.5714618471983964E-2</v>
      </c>
      <c r="AB170" s="2"/>
      <c r="AC170" s="14">
        <f t="shared" si="43"/>
        <v>-8149.369999999999</v>
      </c>
      <c r="AD170" s="15">
        <f>IFERROR(AC170/AC445, "NA")</f>
        <v>-0.22124652052769869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23966.559999999994</v>
      </c>
      <c r="C171" s="15">
        <f>IFERROR(B171/B445, "NA")</f>
        <v>0.27459146508641818</v>
      </c>
      <c r="D171" s="2"/>
      <c r="E171" s="14">
        <f>IFERROR(E127+E129+E130+E131+E132+E133+E134+E135+E136+E137+E138+E139+E140+E143+E144+E145+E146+E147+E151+E153+E154+E155+E156+E157+E160+E161+E162+E163+E164+E165+E167+E168+E169, "NA")</f>
        <v>24632.04</v>
      </c>
      <c r="F171" s="15">
        <f>IFERROR(E171/E445, "NA")</f>
        <v>0.26400011832399212</v>
      </c>
      <c r="G171" s="2"/>
      <c r="H171" s="14">
        <f t="shared" si="40"/>
        <v>665.48000000000684</v>
      </c>
      <c r="I171" s="15">
        <f>IFERROR(H171/H445, "NA")</f>
        <v>-0.11050171444701921</v>
      </c>
      <c r="J171" s="2"/>
      <c r="K171" s="14">
        <f>IFERROR(K127+K129+K130+K131+K132+K133+K134+K135+K136+K137+K138+K139+K140+K143+K144+K145+K146+K147+K151+K153+K154+K155+K156+K157+K160+K161+K162+K163+K164+K165+K167+K168+K169, "NA")</f>
        <v>26355.09</v>
      </c>
      <c r="L171" s="15">
        <f>IFERROR(K171/K445, "NA")</f>
        <v>0.30894864858433307</v>
      </c>
      <c r="M171" s="2"/>
      <c r="N171" s="14">
        <f t="shared" si="41"/>
        <v>2388.5300000000061</v>
      </c>
      <c r="O171" s="15">
        <f>IFERROR(N171/N445, "NA")</f>
        <v>1.2093455388697096</v>
      </c>
      <c r="P171" s="2"/>
      <c r="Q171" s="14">
        <f>IFERROR(Q127+Q129+Q130+Q131+Q132+Q133+Q134+Q135+Q136+Q137+Q138+Q139+Q140+Q143+Q144+Q145+Q146+Q147+Q151+Q153+Q154+Q155+Q156+Q157+Q160+Q161+Q162+Q163+Q164+Q165+Q167+Q168+Q169, "NA")</f>
        <v>125454.73</v>
      </c>
      <c r="R171" s="15">
        <f>IFERROR(Q171/Q445, "NA")</f>
        <v>0.28044428120895204</v>
      </c>
      <c r="S171" s="2"/>
      <c r="T171" s="14">
        <f>IFERROR(T127+T129+T130+T131+T132+T133+T134+T135+T136+T137+T138+T139+T140+T143+T144+T145+T146+T147+T151+T153+T154+T155+T156+T157+T160+T161+T162+T163+T164+T165+T167+T168+T169, "NA")</f>
        <v>116954.37</v>
      </c>
      <c r="U171" s="15">
        <f>IFERROR(T171/T445, "NA")</f>
        <v>0.26518958600974152</v>
      </c>
      <c r="V171" s="2"/>
      <c r="W171" s="14">
        <f t="shared" si="42"/>
        <v>-8500.36</v>
      </c>
      <c r="X171" s="15">
        <f>IFERROR(W171/W445, "NA")</f>
        <v>-1.3447659968960937</v>
      </c>
      <c r="Y171" s="2"/>
      <c r="Z171" s="14">
        <f>IFERROR(Z127+Z129+Z130+Z131+Z132+Z133+Z134+Z135+Z136+Z137+Z138+Z139+Z140+Z143+Z144+Z145+Z146+Z147+Z151+Z153+Z154+Z155+Z156+Z157+Z160+Z161+Z162+Z163+Z164+Z165+Z167+Z168+Z169, "NA")</f>
        <v>116216.90000000002</v>
      </c>
      <c r="AA171" s="15">
        <f>IFERROR(Z171/Z445, "NA")</f>
        <v>0.2831044519837585</v>
      </c>
      <c r="AB171" s="2"/>
      <c r="AC171" s="14">
        <f t="shared" si="43"/>
        <v>-9237.8299999999726</v>
      </c>
      <c r="AD171" s="15">
        <f>IFERROR(AC171/AC445, "NA")</f>
        <v>-0.2507970241535708</v>
      </c>
    </row>
    <row r="172" spans="1:30" ht="16.5" customHeight="1" x14ac:dyDescent="0.45">
      <c r="A172" s="22" t="s">
        <v>160</v>
      </c>
      <c r="B172" s="23">
        <f>IFERROR(B124-B171, "NA")</f>
        <v>63314.23000000001</v>
      </c>
      <c r="C172" s="24">
        <f>IFERROR(B172/B445, "NA")</f>
        <v>0.72540853491358193</v>
      </c>
      <c r="D172" s="25"/>
      <c r="E172" s="23">
        <f>IFERROR(E124-E171, "NA")</f>
        <v>68671.099999999977</v>
      </c>
      <c r="F172" s="24">
        <f>IFERROR(E172/E445, "NA")</f>
        <v>0.73599988167600761</v>
      </c>
      <c r="G172" s="25"/>
      <c r="H172" s="23">
        <f>IFERROR(B172-E172, "NA")</f>
        <v>-5356.8699999999662</v>
      </c>
      <c r="I172" s="24">
        <f>IFERROR(H172/H445, "NA")</f>
        <v>0.88949828555297539</v>
      </c>
      <c r="J172" s="25"/>
      <c r="K172" s="23">
        <f>IFERROR(K124-K171, "NA")</f>
        <v>58950.640000000014</v>
      </c>
      <c r="L172" s="24">
        <f>IFERROR(K172/K445, "NA")</f>
        <v>0.69105135141566709</v>
      </c>
      <c r="M172" s="25"/>
      <c r="N172" s="23">
        <f>IFERROR(B172-K172, "NA")</f>
        <v>4363.5899999999965</v>
      </c>
      <c r="O172" s="24">
        <f>IFERROR(N172/N445, "NA")</f>
        <v>2.2093455388697061</v>
      </c>
      <c r="P172" s="25"/>
      <c r="Q172" s="23">
        <f>IFERROR(Q124-Q171, "NA")</f>
        <v>321888.06999999989</v>
      </c>
      <c r="R172" s="24">
        <f>IFERROR(Q172/Q445, "NA")</f>
        <v>0.71955571879104774</v>
      </c>
      <c r="S172" s="25"/>
      <c r="T172" s="23">
        <f>IFERROR(T124-T171, "NA")</f>
        <v>324067.36</v>
      </c>
      <c r="U172" s="24">
        <f>IFERROR(T172/T445, "NA")</f>
        <v>0.73481041399025848</v>
      </c>
      <c r="V172" s="25"/>
      <c r="W172" s="23">
        <f>IFERROR(Q172-T172, "NA")</f>
        <v>-2179.2900000000955</v>
      </c>
      <c r="X172" s="24">
        <f>IFERROR(W172/W445, "NA")</f>
        <v>-0.34476599689610982</v>
      </c>
      <c r="Y172" s="25"/>
      <c r="Z172" s="23">
        <f>IFERROR(Z124-Z171, "NA")</f>
        <v>294292.00999999983</v>
      </c>
      <c r="AA172" s="24">
        <f>IFERROR(Z172/Z445, "NA")</f>
        <v>0.71689554801624122</v>
      </c>
      <c r="AB172" s="25"/>
      <c r="AC172" s="23">
        <f>IFERROR(Q172-Z172, "NA")</f>
        <v>27596.060000000056</v>
      </c>
      <c r="AD172" s="24">
        <f>IFERROR(AC172/AC445, "NA")</f>
        <v>0.74920297584642959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IFERROR(B175/B445, "NA")</f>
        <v>0</v>
      </c>
      <c r="D175" s="9"/>
      <c r="E175" s="7">
        <v>0</v>
      </c>
      <c r="F175" s="8">
        <f>IFERROR(E175/E445, "NA")</f>
        <v>0</v>
      </c>
      <c r="G175" s="9"/>
      <c r="H175" s="10">
        <f>IFERROR(-(B175-E175), "NA")</f>
        <v>0</v>
      </c>
      <c r="I175" s="8">
        <f>IFERROR(H175/H445, "NA")</f>
        <v>0</v>
      </c>
      <c r="J175" s="9"/>
      <c r="K175" s="7">
        <v>0</v>
      </c>
      <c r="L175" s="8">
        <f>IFERROR(K175/K445, "NA")</f>
        <v>0</v>
      </c>
      <c r="M175" s="9"/>
      <c r="N175" s="10">
        <f>IFERROR(-(B175-K175), "NA")</f>
        <v>0</v>
      </c>
      <c r="O175" s="8">
        <f>IFERROR(N175/N445, "NA")</f>
        <v>0</v>
      </c>
      <c r="P175" s="9"/>
      <c r="Q175" s="7">
        <v>0</v>
      </c>
      <c r="R175" s="8">
        <f>IFERROR(Q175/Q445, "NA")</f>
        <v>0</v>
      </c>
      <c r="S175" s="9"/>
      <c r="T175" s="7">
        <v>0</v>
      </c>
      <c r="U175" s="8">
        <f>IFERROR(T175/T445, "NA")</f>
        <v>0</v>
      </c>
      <c r="V175" s="9"/>
      <c r="W175" s="10">
        <f>IFERROR(-(Q175-T175), "NA")</f>
        <v>0</v>
      </c>
      <c r="X175" s="8">
        <f>IFERROR(W175/W445, "NA")</f>
        <v>0</v>
      </c>
      <c r="Y175" s="9"/>
      <c r="Z175" s="7">
        <v>0</v>
      </c>
      <c r="AA175" s="8">
        <f>IFERROR(Z175/Z445, "NA")</f>
        <v>0</v>
      </c>
      <c r="AB175" s="9"/>
      <c r="AC175" s="10">
        <f>IFERROR(-(Q175-Z175), "NA")</f>
        <v>0</v>
      </c>
      <c r="AD175" s="8">
        <f>IFERROR(AC175/AC445,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IFERROR(B177/B445, "NA")</f>
        <v>0</v>
      </c>
      <c r="D177" s="9"/>
      <c r="E177" s="7">
        <v>0</v>
      </c>
      <c r="F177" s="8">
        <f>IFERROR(E177/E445, "NA")</f>
        <v>0</v>
      </c>
      <c r="G177" s="9"/>
      <c r="H177" s="10">
        <f t="shared" ref="H177:H184" si="44">IFERROR(-(B177-E177), "NA")</f>
        <v>0</v>
      </c>
      <c r="I177" s="8">
        <f>IFERROR(H177/H445, "NA")</f>
        <v>0</v>
      </c>
      <c r="J177" s="9"/>
      <c r="K177" s="7">
        <v>0</v>
      </c>
      <c r="L177" s="8">
        <f>IFERROR(K177/K445, "NA")</f>
        <v>0</v>
      </c>
      <c r="M177" s="9"/>
      <c r="N177" s="10">
        <f t="shared" ref="N177:N184" si="45">IFERROR(-(B177-K177), "NA")</f>
        <v>0</v>
      </c>
      <c r="O177" s="8">
        <f>IFERROR(N177/N445, "NA")</f>
        <v>0</v>
      </c>
      <c r="P177" s="9"/>
      <c r="Q177" s="7">
        <v>0</v>
      </c>
      <c r="R177" s="8">
        <f>IFERROR(Q177/Q445, "NA")</f>
        <v>0</v>
      </c>
      <c r="S177" s="9"/>
      <c r="T177" s="7">
        <v>0</v>
      </c>
      <c r="U177" s="8">
        <f>IFERROR(T177/T445, "NA")</f>
        <v>0</v>
      </c>
      <c r="V177" s="9"/>
      <c r="W177" s="10">
        <f t="shared" ref="W177:W184" si="46">IFERROR(-(Q177-T177), "NA")</f>
        <v>0</v>
      </c>
      <c r="X177" s="8">
        <f>IFERROR(W177/W445, "NA")</f>
        <v>0</v>
      </c>
      <c r="Y177" s="9"/>
      <c r="Z177" s="7">
        <v>0</v>
      </c>
      <c r="AA177" s="8">
        <f>IFERROR(Z177/Z445, "NA")</f>
        <v>0</v>
      </c>
      <c r="AB177" s="9"/>
      <c r="AC177" s="10">
        <f t="shared" ref="AC177:AC184" si="47">IFERROR(-(Q177-Z177), "NA")</f>
        <v>0</v>
      </c>
      <c r="AD177" s="8">
        <f>IFERROR(AC177/AC445, "NA")</f>
        <v>0</v>
      </c>
    </row>
    <row r="178" spans="1:30" ht="16.5" customHeight="1" x14ac:dyDescent="0.45">
      <c r="A178" s="12" t="s">
        <v>163</v>
      </c>
      <c r="B178" s="7">
        <v>4649.84</v>
      </c>
      <c r="C178" s="8">
        <f>IFERROR(B178/B445, "NA")</f>
        <v>5.3274494880259454E-2</v>
      </c>
      <c r="D178" s="9"/>
      <c r="E178" s="7">
        <v>4615.3999999999996</v>
      </c>
      <c r="F178" s="8">
        <f>IFERROR(E178/E445, "NA")</f>
        <v>4.9466716768588923E-2</v>
      </c>
      <c r="G178" s="9"/>
      <c r="H178" s="10">
        <f t="shared" si="44"/>
        <v>-34.440000000000509</v>
      </c>
      <c r="I178" s="8">
        <f>IFERROR(H178/H445, "NA")</f>
        <v>5.7186978505069409E-3</v>
      </c>
      <c r="J178" s="9"/>
      <c r="K178" s="7">
        <v>4615.3999999999996</v>
      </c>
      <c r="L178" s="8">
        <f>IFERROR(K178/K445, "NA")</f>
        <v>5.4104220197166118E-2</v>
      </c>
      <c r="M178" s="9"/>
      <c r="N178" s="10">
        <f t="shared" si="45"/>
        <v>-34.440000000000509</v>
      </c>
      <c r="O178" s="8">
        <f>IFERROR(N178/N445, "NA")</f>
        <v>-1.7437444938381896E-2</v>
      </c>
      <c r="P178" s="9"/>
      <c r="Q178" s="7">
        <v>25372.59</v>
      </c>
      <c r="R178" s="8">
        <f>IFERROR(Q178/Q445, "NA")</f>
        <v>5.6718449475435841E-2</v>
      </c>
      <c r="S178" s="9"/>
      <c r="T178" s="7">
        <v>24230.85</v>
      </c>
      <c r="U178" s="8">
        <f>IFERROR(T178/T445, "NA")</f>
        <v>5.4942530836292351E-2</v>
      </c>
      <c r="V178" s="9"/>
      <c r="W178" s="10">
        <f t="shared" si="46"/>
        <v>-1141.7400000000016</v>
      </c>
      <c r="X178" s="8">
        <f>IFERROR(W178/W445, "NA")</f>
        <v>-0.18062448288027191</v>
      </c>
      <c r="Y178" s="9"/>
      <c r="Z178" s="7">
        <v>24230.85</v>
      </c>
      <c r="AA178" s="8">
        <f>IFERROR(Z178/Z445, "NA")</f>
        <v>5.9026368026944893E-2</v>
      </c>
      <c r="AB178" s="9"/>
      <c r="AC178" s="10">
        <f t="shared" si="47"/>
        <v>-1141.7400000000016</v>
      </c>
      <c r="AD178" s="8">
        <f>IFERROR(AC178/AC445, "NA")</f>
        <v>-3.0996997601936728E-2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IFERROR(B179/B445, "NA")</f>
        <v>0</v>
      </c>
      <c r="D179" s="9"/>
      <c r="E179" s="7">
        <v>0</v>
      </c>
      <c r="F179" s="8">
        <f>IFERROR(E179/E445, "NA")</f>
        <v>0</v>
      </c>
      <c r="G179" s="9"/>
      <c r="H179" s="10">
        <f t="shared" si="44"/>
        <v>0</v>
      </c>
      <c r="I179" s="8">
        <f>IFERROR(H179/H445, "NA")</f>
        <v>0</v>
      </c>
      <c r="J179" s="9"/>
      <c r="K179" s="7">
        <v>0</v>
      </c>
      <c r="L179" s="8">
        <f>IFERROR(K179/K445, "NA")</f>
        <v>0</v>
      </c>
      <c r="M179" s="9"/>
      <c r="N179" s="10">
        <f t="shared" si="45"/>
        <v>0</v>
      </c>
      <c r="O179" s="8">
        <f>IFERROR(N179/N445, "NA")</f>
        <v>0</v>
      </c>
      <c r="P179" s="9"/>
      <c r="Q179" s="7">
        <v>0</v>
      </c>
      <c r="R179" s="8">
        <f>IFERROR(Q179/Q445, "NA")</f>
        <v>0</v>
      </c>
      <c r="S179" s="9"/>
      <c r="T179" s="7">
        <v>0</v>
      </c>
      <c r="U179" s="8">
        <f>IFERROR(T179/T445, "NA")</f>
        <v>0</v>
      </c>
      <c r="V179" s="9"/>
      <c r="W179" s="10">
        <f t="shared" si="46"/>
        <v>0</v>
      </c>
      <c r="X179" s="8">
        <f>IFERROR(W179/W445, "NA")</f>
        <v>0</v>
      </c>
      <c r="Y179" s="9"/>
      <c r="Z179" s="7">
        <v>0</v>
      </c>
      <c r="AA179" s="8">
        <f>IFERROR(Z179/Z445, "NA")</f>
        <v>0</v>
      </c>
      <c r="AB179" s="9"/>
      <c r="AC179" s="10">
        <f t="shared" si="47"/>
        <v>0</v>
      </c>
      <c r="AD179" s="8">
        <f>IFERROR(AC179/AC445, "NA")</f>
        <v>0</v>
      </c>
    </row>
    <row r="180" spans="1:30" ht="16.5" customHeight="1" x14ac:dyDescent="0.45">
      <c r="A180" s="12" t="s">
        <v>165</v>
      </c>
      <c r="B180" s="7">
        <v>17652.63</v>
      </c>
      <c r="C180" s="8">
        <f>IFERROR(B180/B445, "NA")</f>
        <v>0.20225103370398001</v>
      </c>
      <c r="D180" s="9"/>
      <c r="E180" s="7">
        <v>20340.09</v>
      </c>
      <c r="F180" s="8">
        <f>IFERROR(E180/E445, "NA")</f>
        <v>0.21800005873328593</v>
      </c>
      <c r="G180" s="9"/>
      <c r="H180" s="10">
        <f t="shared" si="44"/>
        <v>2687.4599999999991</v>
      </c>
      <c r="I180" s="8">
        <f>IFERROR(H180/H445, "NA")</f>
        <v>-0.44624772721611938</v>
      </c>
      <c r="J180" s="9"/>
      <c r="K180" s="7">
        <v>19094.16</v>
      </c>
      <c r="L180" s="8">
        <f>IFERROR(K180/K445, "NA")</f>
        <v>0.22383209193567655</v>
      </c>
      <c r="M180" s="9"/>
      <c r="N180" s="10">
        <f t="shared" si="45"/>
        <v>1441.5299999999988</v>
      </c>
      <c r="O180" s="8">
        <f>IFERROR(N180/N445, "NA")</f>
        <v>0.72986643443743504</v>
      </c>
      <c r="P180" s="9"/>
      <c r="Q180" s="7">
        <v>89020.5</v>
      </c>
      <c r="R180" s="8">
        <f>IFERROR(Q180/Q445, "NA")</f>
        <v>0.19899839675524006</v>
      </c>
      <c r="S180" s="9"/>
      <c r="T180" s="7">
        <v>89808.29</v>
      </c>
      <c r="U180" s="8">
        <f>IFERROR(T180/T445, "NA")</f>
        <v>0.20363688201939617</v>
      </c>
      <c r="V180" s="9"/>
      <c r="W180" s="10">
        <f t="shared" si="46"/>
        <v>787.7899999999936</v>
      </c>
      <c r="X180" s="8">
        <f>IFERROR(W180/W445, "NA")</f>
        <v>0.12462921625610739</v>
      </c>
      <c r="Y180" s="9"/>
      <c r="Z180" s="7">
        <v>84855.28</v>
      </c>
      <c r="AA180" s="8">
        <f>IFERROR(Z180/Z445, "NA")</f>
        <v>0.20670752310832913</v>
      </c>
      <c r="AB180" s="9"/>
      <c r="AC180" s="10">
        <f t="shared" si="47"/>
        <v>-4165.2200000000012</v>
      </c>
      <c r="AD180" s="8">
        <f>IFERROR(AC180/AC445, "NA")</f>
        <v>-0.11308118691780857</v>
      </c>
    </row>
    <row r="181" spans="1:30" ht="16.5" customHeight="1" x14ac:dyDescent="0.45">
      <c r="A181" s="12" t="s">
        <v>166</v>
      </c>
      <c r="B181" s="7">
        <v>30.93</v>
      </c>
      <c r="C181" s="8">
        <f>IFERROR(B181/B445, "NA")</f>
        <v>3.5437351105552554E-4</v>
      </c>
      <c r="D181" s="9"/>
      <c r="E181" s="7">
        <v>0</v>
      </c>
      <c r="F181" s="8">
        <f>IFERROR(E181/E445, "NA")</f>
        <v>0</v>
      </c>
      <c r="G181" s="9"/>
      <c r="H181" s="10">
        <f t="shared" si="44"/>
        <v>-30.93</v>
      </c>
      <c r="I181" s="8">
        <f>IFERROR(H181/H445, "NA")</f>
        <v>5.1358688883907395E-3</v>
      </c>
      <c r="J181" s="9"/>
      <c r="K181" s="7">
        <v>0</v>
      </c>
      <c r="L181" s="8">
        <f>IFERROR(K181/K445, "NA")</f>
        <v>0</v>
      </c>
      <c r="M181" s="9"/>
      <c r="N181" s="10">
        <f t="shared" si="45"/>
        <v>-30.93</v>
      </c>
      <c r="O181" s="8">
        <f>IFERROR(N181/N445, "NA")</f>
        <v>-1.5660283738215566E-2</v>
      </c>
      <c r="P181" s="9"/>
      <c r="Q181" s="7">
        <v>625.75</v>
      </c>
      <c r="R181" s="8">
        <f>IFERROR(Q181/Q445, "NA")</f>
        <v>1.3988154050987296E-3</v>
      </c>
      <c r="S181" s="9"/>
      <c r="T181" s="7">
        <v>0</v>
      </c>
      <c r="U181" s="8">
        <f>IFERROR(T181/T445, "NA")</f>
        <v>0</v>
      </c>
      <c r="V181" s="9"/>
      <c r="W181" s="10">
        <f t="shared" si="46"/>
        <v>-625.75</v>
      </c>
      <c r="X181" s="8">
        <f>IFERROR(W181/W445, "NA")</f>
        <v>-9.8994315835768204E-2</v>
      </c>
      <c r="Y181" s="9"/>
      <c r="Z181" s="7">
        <v>236.21</v>
      </c>
      <c r="AA181" s="8">
        <f>IFERROR(Z181/Z445, "NA")</f>
        <v>5.7540772988337824E-4</v>
      </c>
      <c r="AB181" s="9"/>
      <c r="AC181" s="10">
        <f t="shared" si="47"/>
        <v>-389.53999999999996</v>
      </c>
      <c r="AD181" s="8">
        <f>IFERROR(AC181/AC445, "NA")</f>
        <v>-1.0575586776199847E-2</v>
      </c>
    </row>
    <row r="182" spans="1:30" ht="16.5" customHeight="1" x14ac:dyDescent="0.45">
      <c r="A182" s="13" t="s">
        <v>167</v>
      </c>
      <c r="B182" s="14">
        <f>IFERROR(B177+B178+B179+B180+B181, "NA")</f>
        <v>22333.4</v>
      </c>
      <c r="C182" s="15">
        <f>IFERROR(B182/B445, "NA")</f>
        <v>0.25587990209529499</v>
      </c>
      <c r="D182" s="2"/>
      <c r="E182" s="14">
        <f>IFERROR(E177+E178+E179+E180+E181, "NA")</f>
        <v>24955.489999999998</v>
      </c>
      <c r="F182" s="15">
        <f>IFERROR(E182/E445, "NA")</f>
        <v>0.26746677550187481</v>
      </c>
      <c r="G182" s="2"/>
      <c r="H182" s="14">
        <f t="shared" si="44"/>
        <v>2622.0899999999965</v>
      </c>
      <c r="I182" s="15">
        <f>IFERROR(H182/H445, "NA")</f>
        <v>-0.43539316047722132</v>
      </c>
      <c r="J182" s="2"/>
      <c r="K182" s="14">
        <f>IFERROR(K177+K178+K179+K180+K181, "NA")</f>
        <v>23709.559999999998</v>
      </c>
      <c r="L182" s="15">
        <f>IFERROR(K182/K445, "NA")</f>
        <v>0.27793631213284264</v>
      </c>
      <c r="M182" s="2"/>
      <c r="N182" s="14">
        <f t="shared" si="45"/>
        <v>1376.1599999999962</v>
      </c>
      <c r="O182" s="15">
        <f>IFERROR(N182/N445, "NA")</f>
        <v>0.6967687057608366</v>
      </c>
      <c r="P182" s="2"/>
      <c r="Q182" s="14">
        <f>IFERROR(Q177+Q178+Q179+Q180+Q181, "NA")</f>
        <v>115018.84</v>
      </c>
      <c r="R182" s="15">
        <f>IFERROR(Q182/Q445, "NA")</f>
        <v>0.25711566163577459</v>
      </c>
      <c r="S182" s="2"/>
      <c r="T182" s="14">
        <f>IFERROR(T177+T178+T179+T180+T181, "NA")</f>
        <v>114039.13999999998</v>
      </c>
      <c r="U182" s="15">
        <f>IFERROR(T182/T445, "NA")</f>
        <v>0.25857941285568853</v>
      </c>
      <c r="V182" s="2"/>
      <c r="W182" s="14">
        <f t="shared" si="46"/>
        <v>-979.70000000001164</v>
      </c>
      <c r="X182" s="15">
        <f>IFERROR(W182/W445, "NA")</f>
        <v>-0.1549895824599333</v>
      </c>
      <c r="Y182" s="2"/>
      <c r="Z182" s="14">
        <f>IFERROR(Z177+Z178+Z179+Z180+Z181, "NA")</f>
        <v>109322.34000000001</v>
      </c>
      <c r="AA182" s="15">
        <f>IFERROR(Z182/Z445, "NA")</f>
        <v>0.26630929886515742</v>
      </c>
      <c r="AB182" s="2"/>
      <c r="AC182" s="14">
        <f t="shared" si="47"/>
        <v>-5696.4999999999854</v>
      </c>
      <c r="AD182" s="15">
        <f>IFERROR(AC182/AC445, "NA")</f>
        <v>-0.15465377129594465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IFERROR(B183/B445, "NA")</f>
        <v>0</v>
      </c>
      <c r="D183" s="9"/>
      <c r="E183" s="7">
        <v>0</v>
      </c>
      <c r="F183" s="8">
        <f>IFERROR(E183/E445, "NA")</f>
        <v>0</v>
      </c>
      <c r="G183" s="9"/>
      <c r="H183" s="10">
        <f t="shared" si="44"/>
        <v>0</v>
      </c>
      <c r="I183" s="8">
        <f>IFERROR(H183/H445, "NA")</f>
        <v>0</v>
      </c>
      <c r="J183" s="9"/>
      <c r="K183" s="7">
        <v>0</v>
      </c>
      <c r="L183" s="8">
        <f>IFERROR(K183/K445, "NA")</f>
        <v>0</v>
      </c>
      <c r="M183" s="9"/>
      <c r="N183" s="10">
        <f t="shared" si="45"/>
        <v>0</v>
      </c>
      <c r="O183" s="8">
        <f>IFERROR(N183/N445, "NA")</f>
        <v>0</v>
      </c>
      <c r="P183" s="9"/>
      <c r="Q183" s="7">
        <v>0</v>
      </c>
      <c r="R183" s="8">
        <f>IFERROR(Q183/Q445, "NA")</f>
        <v>0</v>
      </c>
      <c r="S183" s="9"/>
      <c r="T183" s="7">
        <v>0</v>
      </c>
      <c r="U183" s="8">
        <f>IFERROR(T183/T445, "NA")</f>
        <v>0</v>
      </c>
      <c r="V183" s="9"/>
      <c r="W183" s="10">
        <f t="shared" si="46"/>
        <v>0</v>
      </c>
      <c r="X183" s="8">
        <f>IFERROR(W183/W445, "NA")</f>
        <v>0</v>
      </c>
      <c r="Y183" s="9"/>
      <c r="Z183" s="7">
        <v>0</v>
      </c>
      <c r="AA183" s="8">
        <f>IFERROR(Z183/Z445, "NA")</f>
        <v>0</v>
      </c>
      <c r="AB183" s="9"/>
      <c r="AC183" s="10">
        <f t="shared" si="47"/>
        <v>0</v>
      </c>
      <c r="AD183" s="8">
        <f>IFERROR(AC183/AC445, "NA")</f>
        <v>0</v>
      </c>
    </row>
    <row r="184" spans="1:30" ht="16.5" customHeight="1" x14ac:dyDescent="0.45">
      <c r="A184" s="6" t="s">
        <v>169</v>
      </c>
      <c r="B184" s="7">
        <v>810</v>
      </c>
      <c r="C184" s="8">
        <f>IFERROR(B184/B445, "NA")</f>
        <v>9.2803926270603188E-3</v>
      </c>
      <c r="D184" s="9"/>
      <c r="E184" s="7">
        <v>165</v>
      </c>
      <c r="F184" s="8">
        <f>IFERROR(E184/E445, "NA")</f>
        <v>1.768429229712955E-3</v>
      </c>
      <c r="G184" s="9"/>
      <c r="H184" s="10">
        <f t="shared" si="44"/>
        <v>-645</v>
      </c>
      <c r="I184" s="8">
        <f>IFERROR(H184/H445, "NA")</f>
        <v>0.10710104859398729</v>
      </c>
      <c r="J184" s="9"/>
      <c r="K184" s="7">
        <v>300</v>
      </c>
      <c r="L184" s="8">
        <f>IFERROR(K184/K445, "NA")</f>
        <v>3.5167625902738303E-3</v>
      </c>
      <c r="M184" s="9"/>
      <c r="N184" s="10">
        <f t="shared" si="45"/>
        <v>-510</v>
      </c>
      <c r="O184" s="8">
        <f>IFERROR(N184/N445, "NA")</f>
        <v>-0.25822000344293367</v>
      </c>
      <c r="P184" s="9"/>
      <c r="Q184" s="7">
        <v>1180</v>
      </c>
      <c r="R184" s="8">
        <f>IFERROR(Q184/Q445, "NA")</f>
        <v>2.6377981270739128E-3</v>
      </c>
      <c r="S184" s="9"/>
      <c r="T184" s="7">
        <v>935</v>
      </c>
      <c r="U184" s="8">
        <f>IFERROR(T184/T445, "NA")</f>
        <v>2.1200769404264956E-3</v>
      </c>
      <c r="V184" s="9"/>
      <c r="W184" s="10">
        <f t="shared" si="46"/>
        <v>-245</v>
      </c>
      <c r="X184" s="8">
        <f>IFERROR(W184/W445, "NA")</f>
        <v>-3.8759260694787391E-2</v>
      </c>
      <c r="Y184" s="9"/>
      <c r="Z184" s="7">
        <v>1500</v>
      </c>
      <c r="AA184" s="8">
        <f>IFERROR(Z184/Z445, "NA")</f>
        <v>3.6540010788072789E-3</v>
      </c>
      <c r="AB184" s="9"/>
      <c r="AC184" s="10">
        <f t="shared" si="47"/>
        <v>320</v>
      </c>
      <c r="AD184" s="8">
        <f>IFERROR(AC184/AC445, "NA")</f>
        <v>8.6876515078912354E-3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2342.52</v>
      </c>
      <c r="C186" s="8">
        <f>IFERROR(B186/B445, "NA")</f>
        <v>2.6838895477458442E-2</v>
      </c>
      <c r="D186" s="9"/>
      <c r="E186" s="7">
        <v>2865.76</v>
      </c>
      <c r="F186" s="8">
        <f>IFERROR(E186/E445, "NA")</f>
        <v>3.07145075717709E-2</v>
      </c>
      <c r="G186" s="9"/>
      <c r="H186" s="10">
        <f t="shared" ref="H186:H197" si="48">IFERROR(-(B186-E186), "NA")</f>
        <v>523.24000000000024</v>
      </c>
      <c r="I186" s="8">
        <f>IFERROR(H186/H445, "NA")</f>
        <v>-8.6883027389640211E-2</v>
      </c>
      <c r="J186" s="9"/>
      <c r="K186" s="7">
        <v>2620.12</v>
      </c>
      <c r="L186" s="8">
        <f>IFERROR(K186/K445, "NA")</f>
        <v>3.0714466660094229E-2</v>
      </c>
      <c r="M186" s="9"/>
      <c r="N186" s="10">
        <f t="shared" ref="N186:N197" si="49">IFERROR(-(B186-K186), "NA")</f>
        <v>277.59999999999991</v>
      </c>
      <c r="O186" s="8">
        <f>IFERROR(N186/N445, "NA")</f>
        <v>0.14055269207011445</v>
      </c>
      <c r="P186" s="9"/>
      <c r="Q186" s="7">
        <v>12987.93</v>
      </c>
      <c r="R186" s="8">
        <f>IFERROR(Q186/Q445, "NA")</f>
        <v>2.9033506295395837E-2</v>
      </c>
      <c r="S186" s="9"/>
      <c r="T186" s="7">
        <v>15237.96</v>
      </c>
      <c r="U186" s="8">
        <f>IFERROR(T186/T445, "NA")</f>
        <v>3.4551494775552215E-2</v>
      </c>
      <c r="V186" s="9"/>
      <c r="W186" s="10">
        <f t="shared" ref="W186:W197" si="50">IFERROR(-(Q186-T186), "NA")</f>
        <v>2250.0299999999988</v>
      </c>
      <c r="X186" s="8">
        <f>IFERROR(W186/W445, "NA")</f>
        <v>0.35595714016772417</v>
      </c>
      <c r="Y186" s="9"/>
      <c r="Z186" s="7">
        <v>14247.43</v>
      </c>
      <c r="AA186" s="8">
        <f>IFERROR(Z186/Z445, "NA")</f>
        <v>3.4706749726820793E-2</v>
      </c>
      <c r="AB186" s="9"/>
      <c r="AC186" s="10">
        <f t="shared" ref="AC186:AC197" si="51">IFERROR(-(Q186-Z186), "NA")</f>
        <v>1259.5</v>
      </c>
      <c r="AD186" s="8">
        <f>IFERROR(AC186/AC445, "NA")</f>
        <v>3.4194053356840656E-2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IFERROR(B187/B445, "NA")</f>
        <v>0</v>
      </c>
      <c r="D187" s="9"/>
      <c r="E187" s="7">
        <v>0</v>
      </c>
      <c r="F187" s="8">
        <f>IFERROR(E187/E445, "NA")</f>
        <v>0</v>
      </c>
      <c r="G187" s="9"/>
      <c r="H187" s="10">
        <f t="shared" si="48"/>
        <v>0</v>
      </c>
      <c r="I187" s="8">
        <f>IFERROR(H187/H445, "NA")</f>
        <v>0</v>
      </c>
      <c r="J187" s="9"/>
      <c r="K187" s="7">
        <v>0</v>
      </c>
      <c r="L187" s="8">
        <f>IFERROR(K187/K445, "NA")</f>
        <v>0</v>
      </c>
      <c r="M187" s="9"/>
      <c r="N187" s="10">
        <f t="shared" si="49"/>
        <v>0</v>
      </c>
      <c r="O187" s="8">
        <f>IFERROR(N187/N445, "NA")</f>
        <v>0</v>
      </c>
      <c r="P187" s="9"/>
      <c r="Q187" s="7">
        <v>0</v>
      </c>
      <c r="R187" s="8">
        <f>IFERROR(Q187/Q445, "NA")</f>
        <v>0</v>
      </c>
      <c r="S187" s="9"/>
      <c r="T187" s="7">
        <v>0</v>
      </c>
      <c r="U187" s="8">
        <f>IFERROR(T187/T445, "NA")</f>
        <v>0</v>
      </c>
      <c r="V187" s="9"/>
      <c r="W187" s="10">
        <f t="shared" si="50"/>
        <v>0</v>
      </c>
      <c r="X187" s="8">
        <f>IFERROR(W187/W445, "NA")</f>
        <v>0</v>
      </c>
      <c r="Y187" s="9"/>
      <c r="Z187" s="7">
        <v>0</v>
      </c>
      <c r="AA187" s="8">
        <f>IFERROR(Z187/Z445, "NA")</f>
        <v>0</v>
      </c>
      <c r="AB187" s="9"/>
      <c r="AC187" s="10">
        <f t="shared" si="51"/>
        <v>0</v>
      </c>
      <c r="AD187" s="8">
        <f>IFERROR(AC187/AC445,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IFERROR(B188/B445, "NA")</f>
        <v>0</v>
      </c>
      <c r="D188" s="9"/>
      <c r="E188" s="7">
        <v>0</v>
      </c>
      <c r="F188" s="8">
        <f>IFERROR(E188/E445, "NA")</f>
        <v>0</v>
      </c>
      <c r="G188" s="9"/>
      <c r="H188" s="10">
        <f t="shared" si="48"/>
        <v>0</v>
      </c>
      <c r="I188" s="8">
        <f>IFERROR(H188/H445, "NA")</f>
        <v>0</v>
      </c>
      <c r="J188" s="9"/>
      <c r="K188" s="7">
        <v>0</v>
      </c>
      <c r="L188" s="8">
        <f>IFERROR(K188/K445, "NA")</f>
        <v>0</v>
      </c>
      <c r="M188" s="9"/>
      <c r="N188" s="10">
        <f t="shared" si="49"/>
        <v>0</v>
      </c>
      <c r="O188" s="8">
        <f>IFERROR(N188/N445, "NA")</f>
        <v>0</v>
      </c>
      <c r="P188" s="9"/>
      <c r="Q188" s="7">
        <v>0</v>
      </c>
      <c r="R188" s="8">
        <f>IFERROR(Q188/Q445, "NA")</f>
        <v>0</v>
      </c>
      <c r="S188" s="9"/>
      <c r="T188" s="7">
        <v>0</v>
      </c>
      <c r="U188" s="8">
        <f>IFERROR(T188/T445, "NA")</f>
        <v>0</v>
      </c>
      <c r="V188" s="9"/>
      <c r="W188" s="10">
        <f t="shared" si="50"/>
        <v>0</v>
      </c>
      <c r="X188" s="8">
        <f>IFERROR(W188/W445, "NA")</f>
        <v>0</v>
      </c>
      <c r="Y188" s="9"/>
      <c r="Z188" s="7">
        <v>0</v>
      </c>
      <c r="AA188" s="8">
        <f>IFERROR(Z188/Z445, "NA")</f>
        <v>0</v>
      </c>
      <c r="AB188" s="9"/>
      <c r="AC188" s="10">
        <f t="shared" si="51"/>
        <v>0</v>
      </c>
      <c r="AD188" s="8">
        <f>IFERROR(AC188/AC445,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IFERROR(B189/B445, "NA")</f>
        <v>0</v>
      </c>
      <c r="D189" s="9"/>
      <c r="E189" s="7">
        <v>0</v>
      </c>
      <c r="F189" s="8">
        <f>IFERROR(E189/E445, "NA")</f>
        <v>0</v>
      </c>
      <c r="G189" s="9"/>
      <c r="H189" s="10">
        <f t="shared" si="48"/>
        <v>0</v>
      </c>
      <c r="I189" s="8">
        <f>IFERROR(H189/H445, "NA")</f>
        <v>0</v>
      </c>
      <c r="J189" s="9"/>
      <c r="K189" s="7">
        <v>0</v>
      </c>
      <c r="L189" s="8">
        <f>IFERROR(K189/K445, "NA")</f>
        <v>0</v>
      </c>
      <c r="M189" s="9"/>
      <c r="N189" s="10">
        <f t="shared" si="49"/>
        <v>0</v>
      </c>
      <c r="O189" s="8">
        <f>IFERROR(N189/N445, "NA")</f>
        <v>0</v>
      </c>
      <c r="P189" s="9"/>
      <c r="Q189" s="7">
        <v>0</v>
      </c>
      <c r="R189" s="8">
        <f>IFERROR(Q189/Q445, "NA")</f>
        <v>0</v>
      </c>
      <c r="S189" s="9"/>
      <c r="T189" s="7">
        <v>0</v>
      </c>
      <c r="U189" s="8">
        <f>IFERROR(T189/T445, "NA")</f>
        <v>0</v>
      </c>
      <c r="V189" s="9"/>
      <c r="W189" s="10">
        <f t="shared" si="50"/>
        <v>0</v>
      </c>
      <c r="X189" s="8">
        <f>IFERROR(W189/W445, "NA")</f>
        <v>0</v>
      </c>
      <c r="Y189" s="9"/>
      <c r="Z189" s="7">
        <v>0</v>
      </c>
      <c r="AA189" s="8">
        <f>IFERROR(Z189/Z445, "NA")</f>
        <v>0</v>
      </c>
      <c r="AB189" s="9"/>
      <c r="AC189" s="10">
        <f t="shared" si="51"/>
        <v>0</v>
      </c>
      <c r="AD189" s="8">
        <f>IFERROR(AC189/AC445,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IFERROR(B190/B445, "NA")</f>
        <v>0</v>
      </c>
      <c r="D190" s="9"/>
      <c r="E190" s="7">
        <v>0</v>
      </c>
      <c r="F190" s="8">
        <f>IFERROR(E190/E445, "NA")</f>
        <v>0</v>
      </c>
      <c r="G190" s="9"/>
      <c r="H190" s="10">
        <f t="shared" si="48"/>
        <v>0</v>
      </c>
      <c r="I190" s="8">
        <f>IFERROR(H190/H445, "NA")</f>
        <v>0</v>
      </c>
      <c r="J190" s="9"/>
      <c r="K190" s="7">
        <v>0</v>
      </c>
      <c r="L190" s="8">
        <f>IFERROR(K190/K445, "NA")</f>
        <v>0</v>
      </c>
      <c r="M190" s="9"/>
      <c r="N190" s="10">
        <f t="shared" si="49"/>
        <v>0</v>
      </c>
      <c r="O190" s="8">
        <f>IFERROR(N190/N445, "NA")</f>
        <v>0</v>
      </c>
      <c r="P190" s="9"/>
      <c r="Q190" s="7">
        <v>0</v>
      </c>
      <c r="R190" s="8">
        <f>IFERROR(Q190/Q445, "NA")</f>
        <v>0</v>
      </c>
      <c r="S190" s="9"/>
      <c r="T190" s="7">
        <v>0</v>
      </c>
      <c r="U190" s="8">
        <f>IFERROR(T190/T445, "NA")</f>
        <v>0</v>
      </c>
      <c r="V190" s="9"/>
      <c r="W190" s="10">
        <f t="shared" si="50"/>
        <v>0</v>
      </c>
      <c r="X190" s="8">
        <f>IFERROR(W190/W445, "NA")</f>
        <v>0</v>
      </c>
      <c r="Y190" s="9"/>
      <c r="Z190" s="7">
        <v>0</v>
      </c>
      <c r="AA190" s="8">
        <f>IFERROR(Z190/Z445, "NA")</f>
        <v>0</v>
      </c>
      <c r="AB190" s="9"/>
      <c r="AC190" s="10">
        <f t="shared" si="51"/>
        <v>0</v>
      </c>
      <c r="AD190" s="8">
        <f>IFERROR(AC190/AC445,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IFERROR(B191/B445, "NA")</f>
        <v>0</v>
      </c>
      <c r="D191" s="9"/>
      <c r="E191" s="7">
        <v>0</v>
      </c>
      <c r="F191" s="8">
        <f>IFERROR(E191/E445, "NA")</f>
        <v>0</v>
      </c>
      <c r="G191" s="9"/>
      <c r="H191" s="10">
        <f t="shared" si="48"/>
        <v>0</v>
      </c>
      <c r="I191" s="8">
        <f>IFERROR(H191/H445, "NA")</f>
        <v>0</v>
      </c>
      <c r="J191" s="9"/>
      <c r="K191" s="7">
        <v>0</v>
      </c>
      <c r="L191" s="8">
        <f>IFERROR(K191/K445, "NA")</f>
        <v>0</v>
      </c>
      <c r="M191" s="9"/>
      <c r="N191" s="10">
        <f t="shared" si="49"/>
        <v>0</v>
      </c>
      <c r="O191" s="8">
        <f>IFERROR(N191/N445, "NA")</f>
        <v>0</v>
      </c>
      <c r="P191" s="9"/>
      <c r="Q191" s="7">
        <v>0</v>
      </c>
      <c r="R191" s="8">
        <f>IFERROR(Q191/Q445, "NA")</f>
        <v>0</v>
      </c>
      <c r="S191" s="9"/>
      <c r="T191" s="7">
        <v>0</v>
      </c>
      <c r="U191" s="8">
        <f>IFERROR(T191/T445, "NA")</f>
        <v>0</v>
      </c>
      <c r="V191" s="9"/>
      <c r="W191" s="10">
        <f t="shared" si="50"/>
        <v>0</v>
      </c>
      <c r="X191" s="8">
        <f>IFERROR(W191/W445, "NA")</f>
        <v>0</v>
      </c>
      <c r="Y191" s="9"/>
      <c r="Z191" s="7">
        <v>0</v>
      </c>
      <c r="AA191" s="8">
        <f>IFERROR(Z191/Z445, "NA")</f>
        <v>0</v>
      </c>
      <c r="AB191" s="9"/>
      <c r="AC191" s="10">
        <f t="shared" si="51"/>
        <v>0</v>
      </c>
      <c r="AD191" s="8">
        <f>IFERROR(AC191/AC445,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IFERROR(B192/B445, "NA")</f>
        <v>0</v>
      </c>
      <c r="D192" s="9"/>
      <c r="E192" s="7">
        <v>0</v>
      </c>
      <c r="F192" s="8">
        <f>IFERROR(E192/E445, "NA")</f>
        <v>0</v>
      </c>
      <c r="G192" s="9"/>
      <c r="H192" s="10">
        <f t="shared" si="48"/>
        <v>0</v>
      </c>
      <c r="I192" s="8">
        <f>IFERROR(H192/H445, "NA")</f>
        <v>0</v>
      </c>
      <c r="J192" s="9"/>
      <c r="K192" s="7">
        <v>0</v>
      </c>
      <c r="L192" s="8">
        <f>IFERROR(K192/K445, "NA")</f>
        <v>0</v>
      </c>
      <c r="M192" s="9"/>
      <c r="N192" s="10">
        <f t="shared" si="49"/>
        <v>0</v>
      </c>
      <c r="O192" s="8">
        <f>IFERROR(N192/N445, "NA")</f>
        <v>0</v>
      </c>
      <c r="P192" s="9"/>
      <c r="Q192" s="7">
        <v>0</v>
      </c>
      <c r="R192" s="8">
        <f>IFERROR(Q192/Q445, "NA")</f>
        <v>0</v>
      </c>
      <c r="S192" s="9"/>
      <c r="T192" s="7">
        <v>0</v>
      </c>
      <c r="U192" s="8">
        <f>IFERROR(T192/T445, "NA")</f>
        <v>0</v>
      </c>
      <c r="V192" s="9"/>
      <c r="W192" s="10">
        <f t="shared" si="50"/>
        <v>0</v>
      </c>
      <c r="X192" s="8">
        <f>IFERROR(W192/W445, "NA")</f>
        <v>0</v>
      </c>
      <c r="Y192" s="9"/>
      <c r="Z192" s="7">
        <v>0</v>
      </c>
      <c r="AA192" s="8">
        <f>IFERROR(Z192/Z445, "NA")</f>
        <v>0</v>
      </c>
      <c r="AB192" s="9"/>
      <c r="AC192" s="10">
        <f t="shared" si="51"/>
        <v>0</v>
      </c>
      <c r="AD192" s="8">
        <f>IFERROR(AC192/AC445,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2342.52</v>
      </c>
      <c r="C193" s="15">
        <f>IFERROR(B193/B445, "NA")</f>
        <v>2.6838895477458442E-2</v>
      </c>
      <c r="D193" s="2"/>
      <c r="E193" s="14">
        <f>IFERROR(E186+E187+E188+E189+E190+E191+E192, "NA")</f>
        <v>2865.76</v>
      </c>
      <c r="F193" s="15">
        <f>IFERROR(E193/E445, "NA")</f>
        <v>3.07145075717709E-2</v>
      </c>
      <c r="G193" s="2"/>
      <c r="H193" s="14">
        <f t="shared" si="48"/>
        <v>523.24000000000024</v>
      </c>
      <c r="I193" s="15">
        <f>IFERROR(H193/H445, "NA")</f>
        <v>-8.6883027389640211E-2</v>
      </c>
      <c r="J193" s="2"/>
      <c r="K193" s="14">
        <f>IFERROR(K186+K187+K188+K189+K190+K191+K192, "NA")</f>
        <v>2620.12</v>
      </c>
      <c r="L193" s="15">
        <f>IFERROR(K193/K445, "NA")</f>
        <v>3.0714466660094229E-2</v>
      </c>
      <c r="M193" s="2"/>
      <c r="N193" s="14">
        <f t="shared" si="49"/>
        <v>277.59999999999991</v>
      </c>
      <c r="O193" s="15">
        <f>IFERROR(N193/N445, "NA")</f>
        <v>0.14055269207011445</v>
      </c>
      <c r="P193" s="2"/>
      <c r="Q193" s="14">
        <f>IFERROR(Q186+Q187+Q188+Q189+Q190+Q191+Q192, "NA")</f>
        <v>12987.93</v>
      </c>
      <c r="R193" s="15">
        <f>IFERROR(Q193/Q445, "NA")</f>
        <v>2.9033506295395837E-2</v>
      </c>
      <c r="S193" s="2"/>
      <c r="T193" s="14">
        <f>IFERROR(T186+T187+T188+T189+T190+T191+T192, "NA")</f>
        <v>15237.96</v>
      </c>
      <c r="U193" s="15">
        <f>IFERROR(T193/T445, "NA")</f>
        <v>3.4551494775552215E-2</v>
      </c>
      <c r="V193" s="2"/>
      <c r="W193" s="14">
        <f t="shared" si="50"/>
        <v>2250.0299999999988</v>
      </c>
      <c r="X193" s="15">
        <f>IFERROR(W193/W445, "NA")</f>
        <v>0.35595714016772417</v>
      </c>
      <c r="Y193" s="2"/>
      <c r="Z193" s="14">
        <f>IFERROR(Z186+Z187+Z188+Z189+Z190+Z191+Z192, "NA")</f>
        <v>14247.43</v>
      </c>
      <c r="AA193" s="15">
        <f>IFERROR(Z193/Z445, "NA")</f>
        <v>3.4706749726820793E-2</v>
      </c>
      <c r="AB193" s="2"/>
      <c r="AC193" s="14">
        <f t="shared" si="51"/>
        <v>1259.5</v>
      </c>
      <c r="AD193" s="15">
        <f>IFERROR(AC193/AC445, "NA")</f>
        <v>3.4194053356840656E-2</v>
      </c>
    </row>
    <row r="194" spans="1:30" ht="16.5" customHeight="1" x14ac:dyDescent="0.45">
      <c r="A194" s="6" t="s">
        <v>178</v>
      </c>
      <c r="B194" s="7">
        <v>230.61</v>
      </c>
      <c r="C194" s="8">
        <f>IFERROR(B194/B445, "NA")</f>
        <v>2.6421621527486176E-3</v>
      </c>
      <c r="D194" s="9"/>
      <c r="E194" s="7">
        <v>200.96</v>
      </c>
      <c r="F194" s="8">
        <f>IFERROR(E194/E445, "NA")</f>
        <v>2.1538396242613057E-3</v>
      </c>
      <c r="G194" s="9"/>
      <c r="H194" s="10">
        <f t="shared" si="48"/>
        <v>-29.650000000000006</v>
      </c>
      <c r="I194" s="8">
        <f>IFERROR(H194/H445, "NA")</f>
        <v>4.9233272725763165E-3</v>
      </c>
      <c r="J194" s="9"/>
      <c r="K194" s="7">
        <v>224.72</v>
      </c>
      <c r="L194" s="8">
        <f>IFERROR(K194/K445, "NA")</f>
        <v>2.6342896309544507E-3</v>
      </c>
      <c r="M194" s="9"/>
      <c r="N194" s="10">
        <f t="shared" si="49"/>
        <v>-5.8900000000000148</v>
      </c>
      <c r="O194" s="8">
        <f>IFERROR(N194/N445, "NA")</f>
        <v>-2.9821878828997709E-3</v>
      </c>
      <c r="P194" s="9"/>
      <c r="Q194" s="7">
        <v>1385.43</v>
      </c>
      <c r="R194" s="8">
        <f>IFERROR(Q194/Q445, "NA")</f>
        <v>3.0970208976203485E-3</v>
      </c>
      <c r="S194" s="9"/>
      <c r="T194" s="7">
        <v>919.79</v>
      </c>
      <c r="U194" s="8">
        <f>IFERROR(T194/T445, "NA")</f>
        <v>2.0855888438875789E-3</v>
      </c>
      <c r="V194" s="9"/>
      <c r="W194" s="10">
        <f t="shared" si="50"/>
        <v>-465.6400000000001</v>
      </c>
      <c r="X194" s="8">
        <f>IFERROR(W194/W445, "NA")</f>
        <v>-7.3664743469064514E-2</v>
      </c>
      <c r="Y194" s="9"/>
      <c r="Z194" s="7">
        <v>1188.26</v>
      </c>
      <c r="AA194" s="8">
        <f>IFERROR(Z194/Z445, "NA")</f>
        <v>2.894602214602358E-3</v>
      </c>
      <c r="AB194" s="9"/>
      <c r="AC194" s="10">
        <f t="shared" si="51"/>
        <v>-197.17000000000007</v>
      </c>
      <c r="AD194" s="8">
        <f>IFERROR(AC194/AC445, "NA")</f>
        <v>-5.352950774409111E-3</v>
      </c>
    </row>
    <row r="195" spans="1:30" ht="16.5" customHeight="1" x14ac:dyDescent="0.45">
      <c r="A195" s="6" t="s">
        <v>179</v>
      </c>
      <c r="B195" s="7">
        <v>3.57</v>
      </c>
      <c r="C195" s="8">
        <f>IFERROR(B195/B445, "NA")</f>
        <v>4.0902471208154739E-5</v>
      </c>
      <c r="D195" s="9"/>
      <c r="E195" s="7">
        <v>0</v>
      </c>
      <c r="F195" s="8">
        <f>IFERROR(E195/E445, "NA")</f>
        <v>0</v>
      </c>
      <c r="G195" s="9"/>
      <c r="H195" s="10">
        <f t="shared" si="48"/>
        <v>-3.57</v>
      </c>
      <c r="I195" s="8">
        <f>IFERROR(H195/H445, "NA")</f>
        <v>5.9279185035741801E-4</v>
      </c>
      <c r="J195" s="9"/>
      <c r="K195" s="7">
        <v>-172.78</v>
      </c>
      <c r="L195" s="8">
        <f>IFERROR(K195/K445, "NA")</f>
        <v>-2.0254208011583749E-3</v>
      </c>
      <c r="M195" s="9"/>
      <c r="N195" s="10">
        <f t="shared" si="49"/>
        <v>-176.35</v>
      </c>
      <c r="O195" s="8">
        <f>IFERROR(N195/N445, "NA")</f>
        <v>-8.9288426680708535E-2</v>
      </c>
      <c r="P195" s="9"/>
      <c r="Q195" s="7">
        <v>7.13</v>
      </c>
      <c r="R195" s="8">
        <f>IFERROR(Q195/Q445, "NA")</f>
        <v>1.593855986952288E-5</v>
      </c>
      <c r="S195" s="9"/>
      <c r="T195" s="7">
        <v>0</v>
      </c>
      <c r="U195" s="8">
        <f>IFERROR(T195/T445, "NA")</f>
        <v>0</v>
      </c>
      <c r="V195" s="9"/>
      <c r="W195" s="10">
        <f t="shared" si="50"/>
        <v>-7.13</v>
      </c>
      <c r="X195" s="8">
        <f>IFERROR(W195/W445, "NA")</f>
        <v>-1.1279735867503432E-3</v>
      </c>
      <c r="Y195" s="9"/>
      <c r="Z195" s="7">
        <v>-918.32</v>
      </c>
      <c r="AA195" s="8">
        <f>IFERROR(Z195/Z445, "NA")</f>
        <v>-2.2370281804602004E-3</v>
      </c>
      <c r="AB195" s="9"/>
      <c r="AC195" s="10">
        <f t="shared" si="51"/>
        <v>-925.45</v>
      </c>
      <c r="AD195" s="8">
        <f>IFERROR(AC195/AC445, "NA")</f>
        <v>-2.5124959649931073E-2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25720.100000000002</v>
      </c>
      <c r="C196" s="15">
        <f>IFERROR(B196/B445, "NA")</f>
        <v>0.29468225482377053</v>
      </c>
      <c r="D196" s="2"/>
      <c r="E196" s="14">
        <f>IFERROR(E175+E177+E178+E179+E180+E181+E183+E184+E186+E187+E188+E189+E190+E191+E192+E194+E195, "NA")</f>
        <v>28187.21</v>
      </c>
      <c r="F196" s="15">
        <f>IFERROR(E196/E445, "NA")</f>
        <v>0.30210355192762001</v>
      </c>
      <c r="G196" s="2"/>
      <c r="H196" s="14">
        <f t="shared" si="48"/>
        <v>2467.1099999999969</v>
      </c>
      <c r="I196" s="15">
        <f>IFERROR(H196/H445, "NA")</f>
        <v>-0.40965902014994054</v>
      </c>
      <c r="J196" s="2"/>
      <c r="K196" s="14">
        <f>IFERROR(K175+K177+K178+K179+K180+K181+K183+K184+K186+K187+K188+K189+K190+K191+K192+K194+K195, "NA")</f>
        <v>26681.62</v>
      </c>
      <c r="L196" s="15">
        <f>IFERROR(K196/K445, "NA")</f>
        <v>0.31277641021300678</v>
      </c>
      <c r="M196" s="2"/>
      <c r="N196" s="14">
        <f t="shared" si="49"/>
        <v>961.5199999999968</v>
      </c>
      <c r="O196" s="15">
        <f>IFERROR(N196/N445, "NA")</f>
        <v>0.48683077982440937</v>
      </c>
      <c r="P196" s="2"/>
      <c r="Q196" s="14">
        <f>IFERROR(Q175+Q177+Q178+Q179+Q180+Q181+Q183+Q184+Q186+Q187+Q188+Q189+Q190+Q191+Q192+Q194+Q195, "NA")</f>
        <v>130579.32999999999</v>
      </c>
      <c r="R196" s="15">
        <f>IFERROR(Q196/Q445, "NA")</f>
        <v>0.29189992551573424</v>
      </c>
      <c r="S196" s="2"/>
      <c r="T196" s="14">
        <f>IFERROR(T175+T177+T178+T179+T180+T181+T183+T184+T186+T187+T188+T189+T190+T191+T192+T194+T195, "NA")</f>
        <v>131131.88999999998</v>
      </c>
      <c r="U196" s="15">
        <f>IFERROR(T196/T445, "NA")</f>
        <v>0.29733657341555481</v>
      </c>
      <c r="V196" s="2"/>
      <c r="W196" s="14">
        <f t="shared" si="50"/>
        <v>552.55999999999767</v>
      </c>
      <c r="X196" s="15">
        <f>IFERROR(W196/W445, "NA")</f>
        <v>8.741557995719032E-2</v>
      </c>
      <c r="Y196" s="2"/>
      <c r="Z196" s="14">
        <f>IFERROR(Z175+Z177+Z178+Z179+Z180+Z181+Z183+Z184+Z186+Z187+Z188+Z189+Z190+Z191+Z192+Z194+Z195, "NA")</f>
        <v>125339.71</v>
      </c>
      <c r="AA196" s="15">
        <f>IFERROR(Z196/Z445, "NA")</f>
        <v>0.30532762370492766</v>
      </c>
      <c r="AB196" s="2"/>
      <c r="AC196" s="14">
        <f t="shared" si="51"/>
        <v>-5239.6199999999808</v>
      </c>
      <c r="AD196" s="15">
        <f>IFERROR(AC196/AC445, "NA")</f>
        <v>-0.14224997685555282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25720.100000000002</v>
      </c>
      <c r="C197" s="15">
        <f>IFERROR(B197/B445, "NA")</f>
        <v>0.29468225482377053</v>
      </c>
      <c r="D197" s="2"/>
      <c r="E197" s="14">
        <f>IFERROR(E175+E177+E178+E179+E180+E181+E183+E184+E186+E187+E188+E189+E190+E191+E192+E194+E195, "NA")</f>
        <v>28187.21</v>
      </c>
      <c r="F197" s="15">
        <f>IFERROR(E197/E445, "NA")</f>
        <v>0.30210355192762001</v>
      </c>
      <c r="G197" s="2"/>
      <c r="H197" s="14">
        <f t="shared" si="48"/>
        <v>2467.1099999999969</v>
      </c>
      <c r="I197" s="15">
        <f>IFERROR(H197/H445, "NA")</f>
        <v>-0.40965902014994054</v>
      </c>
      <c r="J197" s="2"/>
      <c r="K197" s="14">
        <f>IFERROR(K175+K177+K178+K179+K180+K181+K183+K184+K186+K187+K188+K189+K190+K191+K192+K194+K195, "NA")</f>
        <v>26681.62</v>
      </c>
      <c r="L197" s="15">
        <f>IFERROR(K197/K445, "NA")</f>
        <v>0.31277641021300678</v>
      </c>
      <c r="M197" s="2"/>
      <c r="N197" s="14">
        <f t="shared" si="49"/>
        <v>961.5199999999968</v>
      </c>
      <c r="O197" s="15">
        <f>IFERROR(N197/N445, "NA")</f>
        <v>0.48683077982440937</v>
      </c>
      <c r="P197" s="2"/>
      <c r="Q197" s="14">
        <f>IFERROR(Q175+Q177+Q178+Q179+Q180+Q181+Q183+Q184+Q186+Q187+Q188+Q189+Q190+Q191+Q192+Q194+Q195, "NA")</f>
        <v>130579.32999999999</v>
      </c>
      <c r="R197" s="15">
        <f>IFERROR(Q197/Q445, "NA")</f>
        <v>0.29189992551573424</v>
      </c>
      <c r="S197" s="2"/>
      <c r="T197" s="14">
        <f>IFERROR(T175+T177+T178+T179+T180+T181+T183+T184+T186+T187+T188+T189+T190+T191+T192+T194+T195, "NA")</f>
        <v>131131.88999999998</v>
      </c>
      <c r="U197" s="15">
        <f>IFERROR(T197/T445, "NA")</f>
        <v>0.29733657341555481</v>
      </c>
      <c r="V197" s="2"/>
      <c r="W197" s="14">
        <f t="shared" si="50"/>
        <v>552.55999999999767</v>
      </c>
      <c r="X197" s="15">
        <f>IFERROR(W197/W445, "NA")</f>
        <v>8.741557995719032E-2</v>
      </c>
      <c r="Y197" s="2"/>
      <c r="Z197" s="14">
        <f>IFERROR(Z175+Z177+Z178+Z179+Z180+Z181+Z183+Z184+Z186+Z187+Z188+Z189+Z190+Z191+Z192+Z194+Z195, "NA")</f>
        <v>125339.71</v>
      </c>
      <c r="AA197" s="15">
        <f>IFERROR(Z197/Z445, "NA")</f>
        <v>0.30532762370492766</v>
      </c>
      <c r="AB197" s="2"/>
      <c r="AC197" s="14">
        <f t="shared" si="51"/>
        <v>-5239.6199999999808</v>
      </c>
      <c r="AD197" s="15">
        <f>IFERROR(AC197/AC445, "NA")</f>
        <v>-0.14224997685555282</v>
      </c>
    </row>
    <row r="198" spans="1:30" ht="16.5" customHeight="1" x14ac:dyDescent="0.45">
      <c r="A198" s="22" t="s">
        <v>181</v>
      </c>
      <c r="B198" s="23">
        <f>IFERROR(B172-B197, "NA")</f>
        <v>37594.130000000005</v>
      </c>
      <c r="C198" s="24">
        <f>IFERROR(B198/B445, "NA")</f>
        <v>0.4307262800898114</v>
      </c>
      <c r="D198" s="25"/>
      <c r="E198" s="23">
        <f>IFERROR(E172-E197, "NA")</f>
        <v>40483.889999999978</v>
      </c>
      <c r="F198" s="24">
        <f>IFERROR(E198/E445, "NA")</f>
        <v>0.43389632974838765</v>
      </c>
      <c r="G198" s="25"/>
      <c r="H198" s="23">
        <f>IFERROR(B198-E198, "NA")</f>
        <v>-2889.7599999999729</v>
      </c>
      <c r="I198" s="24">
        <f>IFERROR(H198/H445, "NA")</f>
        <v>0.4798392654030354</v>
      </c>
      <c r="J198" s="25"/>
      <c r="K198" s="23">
        <f>IFERROR(K172-K197, "NA")</f>
        <v>32269.020000000015</v>
      </c>
      <c r="L198" s="24">
        <f>IFERROR(K198/K445, "NA")</f>
        <v>0.37827494120266031</v>
      </c>
      <c r="M198" s="25"/>
      <c r="N198" s="23">
        <f>IFERROR(B198-K198, "NA")</f>
        <v>5325.1099999999897</v>
      </c>
      <c r="O198" s="24">
        <f>IFERROR(N198/N445, "NA")</f>
        <v>2.6961763186941137</v>
      </c>
      <c r="P198" s="25"/>
      <c r="Q198" s="23">
        <f>IFERROR(Q172-Q197, "NA")</f>
        <v>191308.7399999999</v>
      </c>
      <c r="R198" s="24">
        <f>IFERROR(Q198/Q445, "NA")</f>
        <v>0.4276557932753135</v>
      </c>
      <c r="S198" s="25"/>
      <c r="T198" s="23">
        <f>IFERROR(T172-T197, "NA")</f>
        <v>192935.47</v>
      </c>
      <c r="U198" s="24">
        <f>IFERROR(T198/T445, "NA")</f>
        <v>0.43747384057470368</v>
      </c>
      <c r="V198" s="25"/>
      <c r="W198" s="23">
        <f>IFERROR(Q198-T198, "NA")</f>
        <v>-1626.7300000000978</v>
      </c>
      <c r="X198" s="24">
        <f>IFERROR(W198/W445, "NA")</f>
        <v>-0.25735041693891952</v>
      </c>
      <c r="Y198" s="25"/>
      <c r="Z198" s="23">
        <f>IFERROR(Z172-Z197, "NA")</f>
        <v>168952.29999999981</v>
      </c>
      <c r="AA198" s="24">
        <f>IFERROR(Z198/Z445, "NA")</f>
        <v>0.41156792431131356</v>
      </c>
      <c r="AB198" s="25"/>
      <c r="AC198" s="23">
        <f>IFERROR(Q198-Z198, "NA")</f>
        <v>22356.44000000009</v>
      </c>
      <c r="AD198" s="24">
        <f>IFERROR(AC198/AC445, "NA")</f>
        <v>0.60695299899087718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IFERROR(B201/B445, "NA")</f>
        <v>0</v>
      </c>
      <c r="D201" s="9"/>
      <c r="E201" s="7">
        <v>0</v>
      </c>
      <c r="F201" s="8">
        <f>IFERROR(E201/E445, "NA")</f>
        <v>0</v>
      </c>
      <c r="G201" s="9"/>
      <c r="H201" s="10">
        <f t="shared" ref="H201:H209" si="52">IFERROR(-(B201-E201), "NA")</f>
        <v>0</v>
      </c>
      <c r="I201" s="8">
        <f>IFERROR(H201/H445, "NA")</f>
        <v>0</v>
      </c>
      <c r="J201" s="9"/>
      <c r="K201" s="7">
        <v>0</v>
      </c>
      <c r="L201" s="8">
        <f>IFERROR(K201/K445, "NA")</f>
        <v>0</v>
      </c>
      <c r="M201" s="9"/>
      <c r="N201" s="10">
        <f t="shared" ref="N201:N209" si="53">IFERROR(-(B201-K201), "NA")</f>
        <v>0</v>
      </c>
      <c r="O201" s="8">
        <f>IFERROR(N201/N445, "NA")</f>
        <v>0</v>
      </c>
      <c r="P201" s="9"/>
      <c r="Q201" s="7">
        <v>0</v>
      </c>
      <c r="R201" s="8">
        <f>IFERROR(Q201/Q445, "NA")</f>
        <v>0</v>
      </c>
      <c r="S201" s="9"/>
      <c r="T201" s="7">
        <v>0</v>
      </c>
      <c r="U201" s="8">
        <f>IFERROR(T201/T445, "NA")</f>
        <v>0</v>
      </c>
      <c r="V201" s="9"/>
      <c r="W201" s="10">
        <f t="shared" ref="W201:W209" si="54">IFERROR(-(Q201-T201), "NA")</f>
        <v>0</v>
      </c>
      <c r="X201" s="8">
        <f>IFERROR(W201/W445, "NA")</f>
        <v>0</v>
      </c>
      <c r="Y201" s="9"/>
      <c r="Z201" s="7">
        <v>0</v>
      </c>
      <c r="AA201" s="8">
        <f>IFERROR(Z201/Z445, "NA")</f>
        <v>0</v>
      </c>
      <c r="AB201" s="9"/>
      <c r="AC201" s="10">
        <f t="shared" ref="AC201:AC209" si="55">IFERROR(-(Q201-Z201), "NA")</f>
        <v>0</v>
      </c>
      <c r="AD201" s="8">
        <f>IFERROR(AC201/AC445, "NA")</f>
        <v>0</v>
      </c>
    </row>
    <row r="202" spans="1:30" ht="16.5" customHeight="1" x14ac:dyDescent="0.45">
      <c r="A202" s="6" t="s">
        <v>184</v>
      </c>
      <c r="B202" s="7">
        <v>314.2</v>
      </c>
      <c r="C202" s="8">
        <f>IFERROR(B202/B445, "NA")</f>
        <v>3.5998757573115461E-3</v>
      </c>
      <c r="D202" s="9"/>
      <c r="E202" s="7">
        <v>746.43</v>
      </c>
      <c r="F202" s="8">
        <f>IFERROR(E202/E445, "NA")</f>
        <v>8.0000523026341874E-3</v>
      </c>
      <c r="G202" s="9"/>
      <c r="H202" s="10">
        <f t="shared" si="52"/>
        <v>432.22999999999996</v>
      </c>
      <c r="I202" s="8">
        <f>IFERROR(H202/H445, "NA")</f>
        <v>-7.1770986408959875E-2</v>
      </c>
      <c r="J202" s="9"/>
      <c r="K202" s="7">
        <v>526.16999999999996</v>
      </c>
      <c r="L202" s="8">
        <f>IFERROR(K202/K445, "NA")</f>
        <v>6.1680499070812713E-3</v>
      </c>
      <c r="M202" s="9"/>
      <c r="N202" s="10">
        <f t="shared" si="53"/>
        <v>211.96999999999997</v>
      </c>
      <c r="O202" s="8">
        <f>IFERROR(N202/N445, "NA")</f>
        <v>0.1073233218231346</v>
      </c>
      <c r="P202" s="9"/>
      <c r="Q202" s="7">
        <v>2042.4</v>
      </c>
      <c r="R202" s="8">
        <f>IFERROR(Q202/Q445, "NA")</f>
        <v>4.5656261819794573E-3</v>
      </c>
      <c r="S202" s="9"/>
      <c r="T202" s="7">
        <v>3528.17</v>
      </c>
      <c r="U202" s="8">
        <f>IFERROR(T202/T445, "NA")</f>
        <v>7.9999912929460421E-3</v>
      </c>
      <c r="V202" s="9"/>
      <c r="W202" s="10">
        <f t="shared" si="54"/>
        <v>1485.77</v>
      </c>
      <c r="X202" s="8">
        <f>IFERROR(W202/W445, "NA")</f>
        <v>0.23505039494895616</v>
      </c>
      <c r="Y202" s="9"/>
      <c r="Z202" s="7">
        <v>3392.06</v>
      </c>
      <c r="AA202" s="8">
        <f>IFERROR(Z202/Z445, "NA")</f>
        <v>8.2630605995860119E-3</v>
      </c>
      <c r="AB202" s="9"/>
      <c r="AC202" s="10">
        <f t="shared" si="55"/>
        <v>1349.6599999999999</v>
      </c>
      <c r="AD202" s="8">
        <f>IFERROR(AC202/AC445, "NA")</f>
        <v>3.6641799169189006E-2</v>
      </c>
    </row>
    <row r="203" spans="1:30" ht="16.5" customHeight="1" x14ac:dyDescent="0.45">
      <c r="A203" s="6" t="s">
        <v>185</v>
      </c>
      <c r="B203" s="7">
        <v>401.28</v>
      </c>
      <c r="C203" s="8">
        <f>IFERROR(B203/B445, "NA")</f>
        <v>4.5975752510947713E-3</v>
      </c>
      <c r="D203" s="9"/>
      <c r="E203" s="7">
        <v>839.73</v>
      </c>
      <c r="F203" s="8">
        <f>IFERROR(E203/E445, "NA")</f>
        <v>9.0000186488900583E-3</v>
      </c>
      <c r="G203" s="9"/>
      <c r="H203" s="10">
        <f t="shared" si="52"/>
        <v>438.45000000000005</v>
      </c>
      <c r="I203" s="8">
        <f>IFERROR(H203/H445, "NA")</f>
        <v>-7.2803805823308115E-2</v>
      </c>
      <c r="J203" s="9"/>
      <c r="K203" s="7">
        <v>491.16</v>
      </c>
      <c r="L203" s="8">
        <f>IFERROR(K203/K445, "NA")</f>
        <v>5.7576437127963157E-3</v>
      </c>
      <c r="M203" s="9"/>
      <c r="N203" s="10">
        <f t="shared" si="53"/>
        <v>89.880000000000052</v>
      </c>
      <c r="O203" s="8">
        <f>IFERROR(N203/N445, "NA")</f>
        <v>4.5507478253825277E-2</v>
      </c>
      <c r="P203" s="9"/>
      <c r="Q203" s="7">
        <v>3035.89</v>
      </c>
      <c r="R203" s="8">
        <f>IFERROR(Q203/Q445, "NA")</f>
        <v>6.7864957254257811E-3</v>
      </c>
      <c r="S203" s="9"/>
      <c r="T203" s="7">
        <v>3969.2</v>
      </c>
      <c r="U203" s="8">
        <f>IFERROR(T203/T445, "NA")</f>
        <v>9.0000100448565205E-3</v>
      </c>
      <c r="V203" s="9"/>
      <c r="W203" s="10">
        <f t="shared" si="54"/>
        <v>933.31</v>
      </c>
      <c r="X203" s="8">
        <f>IFERROR(W203/W445, "NA")</f>
        <v>0.1476506350981715</v>
      </c>
      <c r="Y203" s="9"/>
      <c r="Z203" s="7">
        <v>3708.49</v>
      </c>
      <c r="AA203" s="8">
        <f>IFERROR(Z203/Z445, "NA")</f>
        <v>9.0338843071640033E-3</v>
      </c>
      <c r="AB203" s="9"/>
      <c r="AC203" s="10">
        <f t="shared" si="55"/>
        <v>672.59999999999991</v>
      </c>
      <c r="AD203" s="8">
        <f>IFERROR(AC203/AC445, "NA")</f>
        <v>1.8260357513148886E-2</v>
      </c>
    </row>
    <row r="204" spans="1:30" ht="16.5" customHeight="1" x14ac:dyDescent="0.45">
      <c r="A204" s="6" t="s">
        <v>186</v>
      </c>
      <c r="B204" s="7">
        <v>285.39</v>
      </c>
      <c r="C204" s="8">
        <f>IFERROR(B204/B445, "NA")</f>
        <v>3.2697916689342524E-3</v>
      </c>
      <c r="D204" s="9"/>
      <c r="E204" s="7">
        <v>186.61</v>
      </c>
      <c r="F204" s="8">
        <f>IFERROR(E204/E445, "NA")</f>
        <v>2.0000398700408153E-3</v>
      </c>
      <c r="G204" s="9"/>
      <c r="H204" s="10">
        <f t="shared" si="52"/>
        <v>-98.779999999999973</v>
      </c>
      <c r="I204" s="8">
        <f>IFERROR(H204/H445, "NA")</f>
        <v>1.6402235007928777E-2</v>
      </c>
      <c r="J204" s="9"/>
      <c r="K204" s="7">
        <v>351.14</v>
      </c>
      <c r="L204" s="8">
        <f>IFERROR(K204/K445, "NA")</f>
        <v>4.1162533864958425E-3</v>
      </c>
      <c r="M204" s="9"/>
      <c r="N204" s="10">
        <f t="shared" si="53"/>
        <v>65.75</v>
      </c>
      <c r="O204" s="8">
        <f>IFERROR(N204/N445, "NA")</f>
        <v>3.3290127894848802E-2</v>
      </c>
      <c r="P204" s="9"/>
      <c r="Q204" s="7">
        <v>1021.8</v>
      </c>
      <c r="R204" s="8">
        <f>IFERROR(Q204/Q445, "NA")</f>
        <v>2.2841543442746813E-3</v>
      </c>
      <c r="S204" s="9"/>
      <c r="T204" s="7">
        <v>882.05</v>
      </c>
      <c r="U204" s="8">
        <f>IFERROR(T204/T445, "NA")</f>
        <v>2.0000148292012732E-3</v>
      </c>
      <c r="V204" s="9"/>
      <c r="W204" s="10">
        <f t="shared" si="54"/>
        <v>-139.75</v>
      </c>
      <c r="X204" s="8">
        <f>IFERROR(W204/W445, "NA")</f>
        <v>-2.2108598702434847E-2</v>
      </c>
      <c r="Y204" s="9"/>
      <c r="Z204" s="7">
        <v>839.47</v>
      </c>
      <c r="AA204" s="8">
        <f>IFERROR(Z204/Z445, "NA")</f>
        <v>2.0449495237508976E-3</v>
      </c>
      <c r="AB204" s="9"/>
      <c r="AC204" s="10">
        <f t="shared" si="55"/>
        <v>-182.32999999999993</v>
      </c>
      <c r="AD204" s="8">
        <f>IFERROR(AC204/AC445, "NA")</f>
        <v>-4.950060935730651E-3</v>
      </c>
    </row>
    <row r="205" spans="1:30" ht="16.5" customHeight="1" x14ac:dyDescent="0.45">
      <c r="A205" s="6" t="s">
        <v>187</v>
      </c>
      <c r="B205" s="7">
        <v>356.39</v>
      </c>
      <c r="C205" s="8">
        <f>IFERROR(B205/B445, "NA")</f>
        <v>4.0832581831580584E-3</v>
      </c>
      <c r="D205" s="9"/>
      <c r="E205" s="7">
        <v>279.91000000000003</v>
      </c>
      <c r="F205" s="8">
        <f>IFERROR(E205/E445, "NA")</f>
        <v>3.0000062162966867E-3</v>
      </c>
      <c r="G205" s="9"/>
      <c r="H205" s="10">
        <f t="shared" si="52"/>
        <v>-76.479999999999961</v>
      </c>
      <c r="I205" s="8">
        <f>IFERROR(H205/H445, "NA")</f>
        <v>1.2699361544911851E-2</v>
      </c>
      <c r="J205" s="9"/>
      <c r="K205" s="7">
        <v>358.88</v>
      </c>
      <c r="L205" s="8">
        <f>IFERROR(K205/K445, "NA")</f>
        <v>4.206985861324908E-3</v>
      </c>
      <c r="M205" s="9"/>
      <c r="N205" s="10">
        <f t="shared" si="53"/>
        <v>2.4900000000000091</v>
      </c>
      <c r="O205" s="8">
        <f>IFERROR(N205/N445, "NA")</f>
        <v>1.2607211932802102E-3</v>
      </c>
      <c r="P205" s="9"/>
      <c r="Q205" s="7">
        <v>1766.95</v>
      </c>
      <c r="R205" s="8">
        <f>IFERROR(Q205/Q445, "NA")</f>
        <v>3.9498791530790259E-3</v>
      </c>
      <c r="S205" s="9"/>
      <c r="T205" s="7">
        <v>1323.06</v>
      </c>
      <c r="U205" s="8">
        <f>IFERROR(T205/T445, "NA")</f>
        <v>2.999988231872384E-3</v>
      </c>
      <c r="V205" s="9"/>
      <c r="W205" s="10">
        <f t="shared" si="54"/>
        <v>-443.8900000000001</v>
      </c>
      <c r="X205" s="8">
        <f>IFERROR(W205/W445, "NA")</f>
        <v>-7.0223870325751753E-2</v>
      </c>
      <c r="Y205" s="9"/>
      <c r="Z205" s="7">
        <v>1807.62</v>
      </c>
      <c r="AA205" s="8">
        <f>IFERROR(Z205/Z445, "NA")</f>
        <v>4.403363620049075E-3</v>
      </c>
      <c r="AB205" s="9"/>
      <c r="AC205" s="10">
        <f t="shared" si="55"/>
        <v>40.669999999999845</v>
      </c>
      <c r="AD205" s="8">
        <f>IFERROR(AC205/AC445, "NA")</f>
        <v>1.1041462088310474E-3</v>
      </c>
    </row>
    <row r="206" spans="1:30" ht="16.5" customHeight="1" x14ac:dyDescent="0.45">
      <c r="A206" s="6" t="s">
        <v>188</v>
      </c>
      <c r="B206" s="7">
        <v>5.05</v>
      </c>
      <c r="C206" s="8">
        <f>IFERROR(B206/B445, "NA")</f>
        <v>5.7859237983524214E-5</v>
      </c>
      <c r="D206" s="9"/>
      <c r="E206" s="7">
        <v>93.3</v>
      </c>
      <c r="F206" s="8">
        <f>IFERROR(E206/E445, "NA")</f>
        <v>9.999663462558709E-4</v>
      </c>
      <c r="G206" s="9"/>
      <c r="H206" s="10">
        <f t="shared" si="52"/>
        <v>88.25</v>
      </c>
      <c r="I206" s="8">
        <f>IFERROR(H206/H445, "NA")</f>
        <v>-1.4653748121580433E-2</v>
      </c>
      <c r="J206" s="9"/>
      <c r="K206" s="7">
        <v>238.53</v>
      </c>
      <c r="L206" s="8">
        <f>IFERROR(K206/K445, "NA")</f>
        <v>2.7961779355267229E-3</v>
      </c>
      <c r="M206" s="9"/>
      <c r="N206" s="10">
        <f t="shared" si="53"/>
        <v>233.48</v>
      </c>
      <c r="O206" s="8">
        <f>IFERROR(N206/N445, "NA")</f>
        <v>0.11821413020363952</v>
      </c>
      <c r="P206" s="9"/>
      <c r="Q206" s="7">
        <v>631.9</v>
      </c>
      <c r="R206" s="8">
        <f>IFERROR(Q206/Q445, "NA")</f>
        <v>1.4125632512694962E-3</v>
      </c>
      <c r="S206" s="9"/>
      <c r="T206" s="7">
        <v>441.02</v>
      </c>
      <c r="U206" s="8">
        <f>IFERROR(T206/T445, "NA")</f>
        <v>9.9999607729079482E-4</v>
      </c>
      <c r="V206" s="9"/>
      <c r="W206" s="10">
        <f t="shared" si="54"/>
        <v>-190.88</v>
      </c>
      <c r="X206" s="8">
        <f>IFERROR(W206/W445, "NA")</f>
        <v>-3.0197419107840885E-2</v>
      </c>
      <c r="Y206" s="9"/>
      <c r="Z206" s="7">
        <v>249.33</v>
      </c>
      <c r="AA206" s="8">
        <f>IFERROR(Z206/Z445, "NA")</f>
        <v>6.0736805931934593E-4</v>
      </c>
      <c r="AB206" s="9"/>
      <c r="AC206" s="10">
        <f t="shared" si="55"/>
        <v>-382.56999999999994</v>
      </c>
      <c r="AD206" s="8">
        <f>IFERROR(AC206/AC445, "NA")</f>
        <v>-1.0386358866793592E-2</v>
      </c>
    </row>
    <row r="207" spans="1:30" ht="16.5" customHeight="1" x14ac:dyDescent="0.45">
      <c r="A207" s="6" t="s">
        <v>189</v>
      </c>
      <c r="B207" s="7">
        <v>0</v>
      </c>
      <c r="C207" s="8">
        <f>IFERROR(B207/B445, "NA")</f>
        <v>0</v>
      </c>
      <c r="D207" s="9"/>
      <c r="E207" s="7">
        <v>100</v>
      </c>
      <c r="F207" s="8">
        <f>IFERROR(E207/E445, "NA")</f>
        <v>1.0717752907351242E-3</v>
      </c>
      <c r="G207" s="9"/>
      <c r="H207" s="10">
        <f t="shared" si="52"/>
        <v>100</v>
      </c>
      <c r="I207" s="8">
        <f>IFERROR(H207/H445, "NA")</f>
        <v>-1.6604813735501905E-2</v>
      </c>
      <c r="J207" s="9"/>
      <c r="K207" s="7">
        <v>488.66</v>
      </c>
      <c r="L207" s="8">
        <f>IFERROR(K207/K445, "NA")</f>
        <v>5.7283373578773666E-3</v>
      </c>
      <c r="M207" s="9"/>
      <c r="N207" s="10">
        <f t="shared" si="53"/>
        <v>488.66</v>
      </c>
      <c r="O207" s="8">
        <f>IFERROR(N207/N445, "NA")</f>
        <v>0.24741526839690978</v>
      </c>
      <c r="P207" s="9"/>
      <c r="Q207" s="7">
        <v>156.74</v>
      </c>
      <c r="R207" s="8">
        <f>IFERROR(Q207/Q445, "NA")</f>
        <v>3.5038006647251284E-4</v>
      </c>
      <c r="S207" s="9"/>
      <c r="T207" s="7">
        <v>500</v>
      </c>
      <c r="U207" s="8">
        <f>IFERROR(T207/T445, "NA")</f>
        <v>1.1337309841852918E-3</v>
      </c>
      <c r="V207" s="9"/>
      <c r="W207" s="10">
        <f t="shared" si="54"/>
        <v>343.26</v>
      </c>
      <c r="X207" s="8">
        <f>IFERROR(W207/W445, "NA")</f>
        <v>5.4304097249358037E-2</v>
      </c>
      <c r="Y207" s="9"/>
      <c r="Z207" s="7">
        <v>588.25</v>
      </c>
      <c r="AA207" s="8">
        <f>IFERROR(Z207/Z445, "NA")</f>
        <v>1.4329774230722545E-3</v>
      </c>
      <c r="AB207" s="9"/>
      <c r="AC207" s="10">
        <f t="shared" si="55"/>
        <v>431.51</v>
      </c>
      <c r="AD207" s="8">
        <f>IFERROR(AC207/AC445, "NA")</f>
        <v>1.1715026569281708E-2</v>
      </c>
    </row>
    <row r="208" spans="1:30" ht="16.5" customHeight="1" x14ac:dyDescent="0.45">
      <c r="A208" s="6" t="s">
        <v>190</v>
      </c>
      <c r="B208" s="7">
        <v>0</v>
      </c>
      <c r="C208" s="8">
        <f>IFERROR(B208/B445, "NA")</f>
        <v>0</v>
      </c>
      <c r="D208" s="9"/>
      <c r="E208" s="7">
        <v>100</v>
      </c>
      <c r="F208" s="8">
        <f>IFERROR(E208/E445, "NA")</f>
        <v>1.0717752907351242E-3</v>
      </c>
      <c r="G208" s="9"/>
      <c r="H208" s="10">
        <f t="shared" si="52"/>
        <v>100</v>
      </c>
      <c r="I208" s="8">
        <f>IFERROR(H208/H445, "NA")</f>
        <v>-1.6604813735501905E-2</v>
      </c>
      <c r="J208" s="9"/>
      <c r="K208" s="7">
        <v>32.869999999999997</v>
      </c>
      <c r="L208" s="8">
        <f>IFERROR(K208/K445, "NA")</f>
        <v>3.8531995447433601E-4</v>
      </c>
      <c r="M208" s="9"/>
      <c r="N208" s="10">
        <f t="shared" si="53"/>
        <v>32.869999999999997</v>
      </c>
      <c r="O208" s="8">
        <f>IFERROR(N208/N445, "NA")</f>
        <v>1.6642532378763196E-2</v>
      </c>
      <c r="P208" s="9"/>
      <c r="Q208" s="7">
        <v>170.29</v>
      </c>
      <c r="R208" s="8">
        <f>IFERROR(Q208/Q445, "NA")</f>
        <v>3.8067003649103101E-4</v>
      </c>
      <c r="S208" s="9"/>
      <c r="T208" s="7">
        <v>500</v>
      </c>
      <c r="U208" s="8">
        <f>IFERROR(T208/T445, "NA")</f>
        <v>1.1337309841852918E-3</v>
      </c>
      <c r="V208" s="9"/>
      <c r="W208" s="10">
        <f t="shared" si="54"/>
        <v>329.71000000000004</v>
      </c>
      <c r="X208" s="8">
        <f>IFERROR(W208/W445, "NA")</f>
        <v>5.2160472831340211E-2</v>
      </c>
      <c r="Y208" s="9"/>
      <c r="Z208" s="7">
        <v>943.91</v>
      </c>
      <c r="AA208" s="8">
        <f>IFERROR(Z208/Z445, "NA")</f>
        <v>2.2993654388646523E-3</v>
      </c>
      <c r="AB208" s="9"/>
      <c r="AC208" s="10">
        <f t="shared" si="55"/>
        <v>773.62</v>
      </c>
      <c r="AD208" s="8">
        <f>IFERROR(AC208/AC445, "NA")</f>
        <v>2.1002940498546303E-2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1362.31</v>
      </c>
      <c r="C209" s="15">
        <f>IFERROR(B209/B445, "NA")</f>
        <v>1.5608360098482153E-2</v>
      </c>
      <c r="D209" s="2"/>
      <c r="E209" s="14">
        <f>IFERROR(E201+E202+E203+E204+E205+E206+E207+E208, "NA")</f>
        <v>2345.98</v>
      </c>
      <c r="F209" s="15">
        <f>IFERROR(E209/E445, "NA")</f>
        <v>2.5143633965587869E-2</v>
      </c>
      <c r="G209" s="2"/>
      <c r="H209" s="14">
        <f t="shared" si="52"/>
        <v>983.67000000000007</v>
      </c>
      <c r="I209" s="15">
        <f>IFERROR(H209/H445, "NA")</f>
        <v>-0.16333657127201162</v>
      </c>
      <c r="J209" s="2"/>
      <c r="K209" s="14">
        <f>IFERROR(K201+K202+K203+K204+K205+K206+K207+K208, "NA")</f>
        <v>2487.41</v>
      </c>
      <c r="L209" s="15">
        <f>IFERROR(K209/K445, "NA")</f>
        <v>2.9158768115576762E-2</v>
      </c>
      <c r="M209" s="2"/>
      <c r="N209" s="14">
        <f t="shared" si="53"/>
        <v>1125.0999999999999</v>
      </c>
      <c r="O209" s="15">
        <f>IFERROR(N209/N445, "NA")</f>
        <v>0.56965358014440126</v>
      </c>
      <c r="P209" s="2"/>
      <c r="Q209" s="14">
        <f>IFERROR(Q201+Q202+Q203+Q204+Q205+Q206+Q207+Q208, "NA")</f>
        <v>8825.9700000000012</v>
      </c>
      <c r="R209" s="15">
        <f>IFERROR(Q209/Q445, "NA")</f>
        <v>1.9729768758991989E-2</v>
      </c>
      <c r="S209" s="2"/>
      <c r="T209" s="14">
        <f>IFERROR(T201+T202+T203+T204+T205+T206+T207+T208, "NA")</f>
        <v>11143.5</v>
      </c>
      <c r="U209" s="15">
        <f>IFERROR(T209/T445, "NA")</f>
        <v>2.5267462444537599E-2</v>
      </c>
      <c r="V209" s="2"/>
      <c r="W209" s="14">
        <f t="shared" si="54"/>
        <v>2317.5299999999988</v>
      </c>
      <c r="X209" s="15">
        <f>IFERROR(W209/W445, "NA")</f>
        <v>0.36663571199179829</v>
      </c>
      <c r="Y209" s="2"/>
      <c r="Z209" s="14">
        <f>IFERROR(Z201+Z202+Z203+Z204+Z205+Z206+Z207+Z208, "NA")</f>
        <v>11529.13</v>
      </c>
      <c r="AA209" s="15">
        <f>IFERROR(Z209/Z445, "NA")</f>
        <v>2.8084968971806238E-2</v>
      </c>
      <c r="AB209" s="2"/>
      <c r="AC209" s="14">
        <f t="shared" si="55"/>
        <v>2703.159999999998</v>
      </c>
      <c r="AD209" s="15">
        <f>IFERROR(AC209/AC445, "NA")</f>
        <v>7.3387850156472673E-2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IFERROR(B211/B445, "NA")</f>
        <v>0</v>
      </c>
      <c r="D211" s="9"/>
      <c r="E211" s="7">
        <v>0</v>
      </c>
      <c r="F211" s="8">
        <f>IFERROR(E211/E445, "NA")</f>
        <v>0</v>
      </c>
      <c r="G211" s="9"/>
      <c r="H211" s="10">
        <f>IFERROR(-(B211-E211), "NA")</f>
        <v>0</v>
      </c>
      <c r="I211" s="8">
        <f>IFERROR(H211/H445, "NA")</f>
        <v>0</v>
      </c>
      <c r="J211" s="9"/>
      <c r="K211" s="7">
        <v>0</v>
      </c>
      <c r="L211" s="8">
        <f>IFERROR(K211/K445, "NA")</f>
        <v>0</v>
      </c>
      <c r="M211" s="9"/>
      <c r="N211" s="10">
        <f>IFERROR(-(B211-K211), "NA")</f>
        <v>0</v>
      </c>
      <c r="O211" s="8">
        <f>IFERROR(N211/N445, "NA")</f>
        <v>0</v>
      </c>
      <c r="P211" s="9"/>
      <c r="Q211" s="7">
        <v>0</v>
      </c>
      <c r="R211" s="8">
        <f>IFERROR(Q211/Q445, "NA")</f>
        <v>0</v>
      </c>
      <c r="S211" s="9"/>
      <c r="T211" s="7">
        <v>0</v>
      </c>
      <c r="U211" s="8">
        <f>IFERROR(T211/T445, "NA")</f>
        <v>0</v>
      </c>
      <c r="V211" s="9"/>
      <c r="W211" s="10">
        <f>IFERROR(-(Q211-T211), "NA")</f>
        <v>0</v>
      </c>
      <c r="X211" s="8">
        <f>IFERROR(W211/W445, "NA")</f>
        <v>0</v>
      </c>
      <c r="Y211" s="9"/>
      <c r="Z211" s="7">
        <v>0</v>
      </c>
      <c r="AA211" s="8">
        <f>IFERROR(Z211/Z445, "NA")</f>
        <v>0</v>
      </c>
      <c r="AB211" s="9"/>
      <c r="AC211" s="10">
        <f>IFERROR(-(Q211-Z211), "NA")</f>
        <v>0</v>
      </c>
      <c r="AD211" s="8">
        <f>IFERROR(AC211/AC445,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IFERROR(B213/B445, "NA")</f>
        <v>0</v>
      </c>
      <c r="D213" s="9"/>
      <c r="E213" s="7">
        <v>2705.79</v>
      </c>
      <c r="F213" s="8">
        <f>IFERROR(E213/E445, "NA")</f>
        <v>2.8999988639181917E-2</v>
      </c>
      <c r="G213" s="9"/>
      <c r="H213" s="10">
        <f t="shared" ref="H213:H227" si="56">IFERROR(-(B213-E213), "NA")</f>
        <v>2705.79</v>
      </c>
      <c r="I213" s="8">
        <f>IFERROR(H213/H445, "NA")</f>
        <v>-0.44929138957383702</v>
      </c>
      <c r="J213" s="9"/>
      <c r="K213" s="7">
        <v>0</v>
      </c>
      <c r="L213" s="8">
        <f>IFERROR(K213/K445, "NA")</f>
        <v>0</v>
      </c>
      <c r="M213" s="9"/>
      <c r="N213" s="10">
        <f t="shared" ref="N213:N227" si="57">IFERROR(-(B213-K213), "NA")</f>
        <v>0</v>
      </c>
      <c r="O213" s="8">
        <f>IFERROR(N213/N445, "NA")</f>
        <v>0</v>
      </c>
      <c r="P213" s="9"/>
      <c r="Q213" s="7">
        <v>0</v>
      </c>
      <c r="R213" s="8">
        <f>IFERROR(Q213/Q445, "NA")</f>
        <v>0</v>
      </c>
      <c r="S213" s="9"/>
      <c r="T213" s="7">
        <v>12789.63</v>
      </c>
      <c r="U213" s="8">
        <f>IFERROR(T213/T445, "NA")</f>
        <v>2.8999999614531466E-2</v>
      </c>
      <c r="V213" s="9"/>
      <c r="W213" s="10">
        <f t="shared" ref="W213:W227" si="58">IFERROR(-(Q213-T213), "NA")</f>
        <v>12789.63</v>
      </c>
      <c r="X213" s="8">
        <f>IFERROR(W213/W445, "NA")</f>
        <v>2.0233330749382596</v>
      </c>
      <c r="Y213" s="9"/>
      <c r="Z213" s="7">
        <v>0</v>
      </c>
      <c r="AA213" s="8">
        <f>IFERROR(Z213/Z445, "NA")</f>
        <v>0</v>
      </c>
      <c r="AB213" s="9"/>
      <c r="AC213" s="10">
        <f t="shared" ref="AC213:AC227" si="59">IFERROR(-(Q213-Z213), "NA")</f>
        <v>0</v>
      </c>
      <c r="AD213" s="8">
        <f>IFERROR(AC213/AC445, "NA")</f>
        <v>0</v>
      </c>
    </row>
    <row r="214" spans="1:30" ht="16.5" customHeight="1" x14ac:dyDescent="0.45">
      <c r="A214" s="12" t="s">
        <v>194</v>
      </c>
      <c r="B214" s="7">
        <v>557.73</v>
      </c>
      <c r="C214" s="8">
        <f>IFERROR(B214/B445, "NA")</f>
        <v>6.3900659010991999E-3</v>
      </c>
      <c r="D214" s="9"/>
      <c r="E214" s="7">
        <v>0</v>
      </c>
      <c r="F214" s="8">
        <f>IFERROR(E214/E445, "NA")</f>
        <v>0</v>
      </c>
      <c r="G214" s="9"/>
      <c r="H214" s="10">
        <f t="shared" si="56"/>
        <v>-557.73</v>
      </c>
      <c r="I214" s="8">
        <f>IFERROR(H214/H445, "NA")</f>
        <v>9.2610027647014787E-2</v>
      </c>
      <c r="J214" s="9"/>
      <c r="K214" s="7">
        <v>284.39</v>
      </c>
      <c r="L214" s="8">
        <f>IFERROR(K214/K445, "NA")</f>
        <v>3.3337737101599152E-3</v>
      </c>
      <c r="M214" s="9"/>
      <c r="N214" s="10">
        <f t="shared" si="57"/>
        <v>-273.34000000000003</v>
      </c>
      <c r="O214" s="8">
        <f>IFERROR(N214/N445, "NA")</f>
        <v>-0.13839579557076764</v>
      </c>
      <c r="P214" s="9"/>
      <c r="Q214" s="7">
        <v>3345.22</v>
      </c>
      <c r="R214" s="8">
        <f>IFERROR(Q214/Q445, "NA")</f>
        <v>7.4779788564832157E-3</v>
      </c>
      <c r="S214" s="9"/>
      <c r="T214" s="7">
        <v>0</v>
      </c>
      <c r="U214" s="8">
        <f>IFERROR(T214/T445, "NA")</f>
        <v>0</v>
      </c>
      <c r="V214" s="9"/>
      <c r="W214" s="10">
        <f t="shared" si="58"/>
        <v>-3345.22</v>
      </c>
      <c r="X214" s="8">
        <f>IFERROR(W214/W445, "NA")</f>
        <v>-0.52921736351598636</v>
      </c>
      <c r="Y214" s="9"/>
      <c r="Z214" s="7">
        <v>6082.47</v>
      </c>
      <c r="AA214" s="8">
        <f>IFERROR(Z214/Z445, "NA")</f>
        <v>1.481690129454194E-2</v>
      </c>
      <c r="AB214" s="9"/>
      <c r="AC214" s="10">
        <f t="shared" si="59"/>
        <v>2737.2500000000005</v>
      </c>
      <c r="AD214" s="8">
        <f>IFERROR(AC214/AC445, "NA")</f>
        <v>7.431335653117277E-2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IFERROR(B215/B445, "NA")</f>
        <v>0</v>
      </c>
      <c r="D215" s="9"/>
      <c r="E215" s="7">
        <v>0</v>
      </c>
      <c r="F215" s="8">
        <f>IFERROR(E215/E445, "NA")</f>
        <v>0</v>
      </c>
      <c r="G215" s="9"/>
      <c r="H215" s="10">
        <f t="shared" si="56"/>
        <v>0</v>
      </c>
      <c r="I215" s="8">
        <f>IFERROR(H215/H445, "NA")</f>
        <v>0</v>
      </c>
      <c r="J215" s="9"/>
      <c r="K215" s="7">
        <v>0</v>
      </c>
      <c r="L215" s="8">
        <f>IFERROR(K215/K445, "NA")</f>
        <v>0</v>
      </c>
      <c r="M215" s="9"/>
      <c r="N215" s="10">
        <f t="shared" si="57"/>
        <v>0</v>
      </c>
      <c r="O215" s="8">
        <f>IFERROR(N215/N445, "NA")</f>
        <v>0</v>
      </c>
      <c r="P215" s="9"/>
      <c r="Q215" s="7">
        <v>0</v>
      </c>
      <c r="R215" s="8">
        <f>IFERROR(Q215/Q445, "NA")</f>
        <v>0</v>
      </c>
      <c r="S215" s="9"/>
      <c r="T215" s="7">
        <v>0</v>
      </c>
      <c r="U215" s="8">
        <f>IFERROR(T215/T445, "NA")</f>
        <v>0</v>
      </c>
      <c r="V215" s="9"/>
      <c r="W215" s="10">
        <f t="shared" si="58"/>
        <v>0</v>
      </c>
      <c r="X215" s="8">
        <f>IFERROR(W215/W445, "NA")</f>
        <v>0</v>
      </c>
      <c r="Y215" s="9"/>
      <c r="Z215" s="7">
        <v>0</v>
      </c>
      <c r="AA215" s="8">
        <f>IFERROR(Z215/Z445, "NA")</f>
        <v>0</v>
      </c>
      <c r="AB215" s="9"/>
      <c r="AC215" s="10">
        <f t="shared" si="59"/>
        <v>0</v>
      </c>
      <c r="AD215" s="8">
        <f>IFERROR(AC215/AC445, "NA")</f>
        <v>0</v>
      </c>
    </row>
    <row r="216" spans="1:30" ht="16.5" customHeight="1" x14ac:dyDescent="0.45">
      <c r="A216" s="12" t="s">
        <v>196</v>
      </c>
      <c r="B216" s="7">
        <v>40</v>
      </c>
      <c r="C216" s="8">
        <f>IFERROR(B216/B445, "NA")</f>
        <v>4.5829099392890465E-4</v>
      </c>
      <c r="D216" s="9"/>
      <c r="E216" s="7">
        <v>0</v>
      </c>
      <c r="F216" s="8">
        <f>IFERROR(E216/E445, "NA")</f>
        <v>0</v>
      </c>
      <c r="G216" s="9"/>
      <c r="H216" s="10">
        <f t="shared" si="56"/>
        <v>-40</v>
      </c>
      <c r="I216" s="8">
        <f>IFERROR(H216/H445, "NA")</f>
        <v>6.6419254942007627E-3</v>
      </c>
      <c r="J216" s="9"/>
      <c r="K216" s="7">
        <v>45.38</v>
      </c>
      <c r="L216" s="8">
        <f>IFERROR(K216/K445, "NA")</f>
        <v>5.3196895448875481E-4</v>
      </c>
      <c r="M216" s="9"/>
      <c r="N216" s="10">
        <f t="shared" si="57"/>
        <v>5.3800000000000026</v>
      </c>
      <c r="O216" s="8">
        <f>IFERROR(N216/N445, "NA")</f>
        <v>2.723967879456831E-3</v>
      </c>
      <c r="P216" s="9"/>
      <c r="Q216" s="7">
        <v>230</v>
      </c>
      <c r="R216" s="8">
        <f>IFERROR(Q216/Q445, "NA")</f>
        <v>5.1414709256525424E-4</v>
      </c>
      <c r="S216" s="9"/>
      <c r="T216" s="7">
        <v>0</v>
      </c>
      <c r="U216" s="8">
        <f>IFERROR(T216/T445, "NA")</f>
        <v>0</v>
      </c>
      <c r="V216" s="9"/>
      <c r="W216" s="10">
        <f t="shared" si="58"/>
        <v>-230</v>
      </c>
      <c r="X216" s="8">
        <f>IFERROR(W216/W445, "NA")</f>
        <v>-3.6386244733882037E-2</v>
      </c>
      <c r="Y216" s="9"/>
      <c r="Z216" s="7">
        <v>61.09</v>
      </c>
      <c r="AA216" s="8">
        <f>IFERROR(Z216/Z445, "NA")</f>
        <v>1.4881528393622444E-4</v>
      </c>
      <c r="AB216" s="9"/>
      <c r="AC216" s="10">
        <f t="shared" si="59"/>
        <v>-168.91</v>
      </c>
      <c r="AD216" s="8">
        <f>IFERROR(AC216/AC445, "NA")</f>
        <v>-4.5857225506184636E-3</v>
      </c>
    </row>
    <row r="217" spans="1:30" ht="16.5" customHeight="1" x14ac:dyDescent="0.45">
      <c r="A217" s="12" t="s">
        <v>197</v>
      </c>
      <c r="B217" s="7">
        <v>1326.97</v>
      </c>
      <c r="C217" s="8">
        <f>IFERROR(B217/B445, "NA")</f>
        <v>1.5203460005345965E-2</v>
      </c>
      <c r="D217" s="9"/>
      <c r="E217" s="7">
        <v>0</v>
      </c>
      <c r="F217" s="8">
        <f>IFERROR(E217/E445, "NA")</f>
        <v>0</v>
      </c>
      <c r="G217" s="9"/>
      <c r="H217" s="10">
        <f t="shared" si="56"/>
        <v>-1326.97</v>
      </c>
      <c r="I217" s="8">
        <f>IFERROR(H217/H445, "NA")</f>
        <v>0.22034089682598965</v>
      </c>
      <c r="J217" s="9"/>
      <c r="K217" s="7">
        <v>1420.05</v>
      </c>
      <c r="L217" s="8">
        <f>IFERROR(K217/K445, "NA")</f>
        <v>1.6646595721061176E-2</v>
      </c>
      <c r="M217" s="9"/>
      <c r="N217" s="10">
        <f t="shared" si="57"/>
        <v>93.079999999999927</v>
      </c>
      <c r="O217" s="8">
        <f>IFERROR(N217/N445, "NA")</f>
        <v>4.7127682196996569E-2</v>
      </c>
      <c r="P217" s="9"/>
      <c r="Q217" s="7">
        <v>10317.57</v>
      </c>
      <c r="R217" s="8">
        <f>IFERROR(Q217/Q445, "NA")</f>
        <v>2.306412442538474E-2</v>
      </c>
      <c r="S217" s="9"/>
      <c r="T217" s="7">
        <v>0</v>
      </c>
      <c r="U217" s="8">
        <f>IFERROR(T217/T445, "NA")</f>
        <v>0</v>
      </c>
      <c r="V217" s="9"/>
      <c r="W217" s="10">
        <f t="shared" si="58"/>
        <v>-10317.57</v>
      </c>
      <c r="X217" s="8">
        <f>IFERROR(W217/W445, "NA")</f>
        <v>-1.6322505525172144</v>
      </c>
      <c r="Y217" s="9"/>
      <c r="Z217" s="7">
        <v>10618.94</v>
      </c>
      <c r="AA217" s="8">
        <f>IFERROR(Z217/Z445, "NA")</f>
        <v>2.5867745477193178E-2</v>
      </c>
      <c r="AB217" s="9"/>
      <c r="AC217" s="10">
        <f t="shared" si="59"/>
        <v>301.3700000000008</v>
      </c>
      <c r="AD217" s="8">
        <f>IFERROR(AC217/AC445, "NA")</f>
        <v>8.1818672966662131E-3</v>
      </c>
    </row>
    <row r="218" spans="1:30" ht="16.5" customHeight="1" x14ac:dyDescent="0.45">
      <c r="A218" s="13" t="s">
        <v>198</v>
      </c>
      <c r="B218" s="14">
        <f>IFERROR(B213+B214+B215+B216+B217, "NA")</f>
        <v>1924.7</v>
      </c>
      <c r="C218" s="15">
        <f>IFERROR(B218/B445, "NA")</f>
        <v>2.2051816900374072E-2</v>
      </c>
      <c r="D218" s="2"/>
      <c r="E218" s="14">
        <f>IFERROR(E213+E214+E215+E216+E217, "NA")</f>
        <v>2705.79</v>
      </c>
      <c r="F218" s="15">
        <f>IFERROR(E218/E445, "NA")</f>
        <v>2.8999988639181917E-2</v>
      </c>
      <c r="G218" s="2"/>
      <c r="H218" s="14">
        <f t="shared" si="56"/>
        <v>781.08999999999992</v>
      </c>
      <c r="I218" s="15">
        <f>IFERROR(H218/H445, "NA")</f>
        <v>-0.12969853960663183</v>
      </c>
      <c r="J218" s="2"/>
      <c r="K218" s="14">
        <f>IFERROR(K213+K214+K215+K216+K217, "NA")</f>
        <v>1749.82</v>
      </c>
      <c r="L218" s="15">
        <f>IFERROR(K218/K445, "NA")</f>
        <v>2.0512338385709847E-2</v>
      </c>
      <c r="M218" s="2"/>
      <c r="N218" s="14">
        <f t="shared" si="57"/>
        <v>-174.88000000000011</v>
      </c>
      <c r="O218" s="15">
        <f>IFERROR(N218/N445, "NA")</f>
        <v>-8.8544145494314261E-2</v>
      </c>
      <c r="P218" s="2"/>
      <c r="Q218" s="14">
        <f>IFERROR(Q213+Q214+Q215+Q216+Q217, "NA")</f>
        <v>13892.789999999999</v>
      </c>
      <c r="R218" s="15">
        <f>IFERROR(Q218/Q445, "NA")</f>
        <v>3.1056250374433207E-2</v>
      </c>
      <c r="S218" s="2"/>
      <c r="T218" s="14">
        <f>IFERROR(T213+T214+T215+T216+T217, "NA")</f>
        <v>12789.63</v>
      </c>
      <c r="U218" s="15">
        <f>IFERROR(T218/T445, "NA")</f>
        <v>2.8999999614531466E-2</v>
      </c>
      <c r="V218" s="2"/>
      <c r="W218" s="14">
        <f t="shared" si="58"/>
        <v>-1103.1599999999999</v>
      </c>
      <c r="X218" s="15">
        <f>IFERROR(W218/W445, "NA")</f>
        <v>-0.17452108582882306</v>
      </c>
      <c r="Y218" s="2"/>
      <c r="Z218" s="14">
        <f>IFERROR(Z213+Z214+Z215+Z216+Z217, "NA")</f>
        <v>16762.5</v>
      </c>
      <c r="AA218" s="15">
        <f>IFERROR(Z218/Z445, "NA")</f>
        <v>4.0833462055671337E-2</v>
      </c>
      <c r="AB218" s="2"/>
      <c r="AC218" s="14">
        <f t="shared" si="59"/>
        <v>2869.7100000000009</v>
      </c>
      <c r="AD218" s="15">
        <f>IFERROR(AC218/AC445, "NA")</f>
        <v>7.7909501277220516E-2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IFERROR(B219/B445, "NA")</f>
        <v>0</v>
      </c>
      <c r="D219" s="9"/>
      <c r="E219" s="7">
        <v>0</v>
      </c>
      <c r="F219" s="8">
        <f>IFERROR(E219/E445, "NA")</f>
        <v>0</v>
      </c>
      <c r="G219" s="9"/>
      <c r="H219" s="10">
        <f t="shared" si="56"/>
        <v>0</v>
      </c>
      <c r="I219" s="8">
        <f>IFERROR(H219/H445, "NA")</f>
        <v>0</v>
      </c>
      <c r="J219" s="9"/>
      <c r="K219" s="7">
        <v>0</v>
      </c>
      <c r="L219" s="8">
        <f>IFERROR(K219/K445, "NA")</f>
        <v>0</v>
      </c>
      <c r="M219" s="9"/>
      <c r="N219" s="10">
        <f t="shared" si="57"/>
        <v>0</v>
      </c>
      <c r="O219" s="8">
        <f>IFERROR(N219/N445, "NA")</f>
        <v>0</v>
      </c>
      <c r="P219" s="9"/>
      <c r="Q219" s="7">
        <v>0</v>
      </c>
      <c r="R219" s="8">
        <f>IFERROR(Q219/Q445, "NA")</f>
        <v>0</v>
      </c>
      <c r="S219" s="9"/>
      <c r="T219" s="7">
        <v>0</v>
      </c>
      <c r="U219" s="8">
        <f>IFERROR(T219/T445, "NA")</f>
        <v>0</v>
      </c>
      <c r="V219" s="9"/>
      <c r="W219" s="10">
        <f t="shared" si="58"/>
        <v>0</v>
      </c>
      <c r="X219" s="8">
        <f>IFERROR(W219/W445, "NA")</f>
        <v>0</v>
      </c>
      <c r="Y219" s="9"/>
      <c r="Z219" s="7">
        <v>0</v>
      </c>
      <c r="AA219" s="8">
        <f>IFERROR(Z219/Z445, "NA")</f>
        <v>0</v>
      </c>
      <c r="AB219" s="9"/>
      <c r="AC219" s="10">
        <f t="shared" si="59"/>
        <v>0</v>
      </c>
      <c r="AD219" s="8">
        <f>IFERROR(AC219/AC445,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IFERROR(B220/B445, "NA")</f>
        <v>0</v>
      </c>
      <c r="D220" s="9"/>
      <c r="E220" s="7">
        <v>0</v>
      </c>
      <c r="F220" s="8">
        <f>IFERROR(E220/E445, "NA")</f>
        <v>0</v>
      </c>
      <c r="G220" s="9"/>
      <c r="H220" s="10">
        <f t="shared" si="56"/>
        <v>0</v>
      </c>
      <c r="I220" s="8">
        <f>IFERROR(H220/H445, "NA")</f>
        <v>0</v>
      </c>
      <c r="J220" s="9"/>
      <c r="K220" s="7">
        <v>0</v>
      </c>
      <c r="L220" s="8">
        <f>IFERROR(K220/K445, "NA")</f>
        <v>0</v>
      </c>
      <c r="M220" s="9"/>
      <c r="N220" s="10">
        <f t="shared" si="57"/>
        <v>0</v>
      </c>
      <c r="O220" s="8">
        <f>IFERROR(N220/N445, "NA")</f>
        <v>0</v>
      </c>
      <c r="P220" s="9"/>
      <c r="Q220" s="7">
        <v>0</v>
      </c>
      <c r="R220" s="8">
        <f>IFERROR(Q220/Q445, "NA")</f>
        <v>0</v>
      </c>
      <c r="S220" s="9"/>
      <c r="T220" s="7">
        <v>0</v>
      </c>
      <c r="U220" s="8">
        <f>IFERROR(T220/T445, "NA")</f>
        <v>0</v>
      </c>
      <c r="V220" s="9"/>
      <c r="W220" s="10">
        <f t="shared" si="58"/>
        <v>0</v>
      </c>
      <c r="X220" s="8">
        <f>IFERROR(W220/W445, "NA")</f>
        <v>0</v>
      </c>
      <c r="Y220" s="9"/>
      <c r="Z220" s="7">
        <v>0</v>
      </c>
      <c r="AA220" s="8">
        <f>IFERROR(Z220/Z445, "NA")</f>
        <v>0</v>
      </c>
      <c r="AB220" s="9"/>
      <c r="AC220" s="10">
        <f t="shared" si="59"/>
        <v>0</v>
      </c>
      <c r="AD220" s="8">
        <f>IFERROR(AC220/AC445,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IFERROR(B221/B445, "NA")</f>
        <v>0</v>
      </c>
      <c r="D221" s="9"/>
      <c r="E221" s="7">
        <v>0</v>
      </c>
      <c r="F221" s="8">
        <f>IFERROR(E221/E445, "NA")</f>
        <v>0</v>
      </c>
      <c r="G221" s="9"/>
      <c r="H221" s="10">
        <f t="shared" si="56"/>
        <v>0</v>
      </c>
      <c r="I221" s="8">
        <f>IFERROR(H221/H445, "NA")</f>
        <v>0</v>
      </c>
      <c r="J221" s="9"/>
      <c r="K221" s="7">
        <v>0</v>
      </c>
      <c r="L221" s="8">
        <f>IFERROR(K221/K445, "NA")</f>
        <v>0</v>
      </c>
      <c r="M221" s="9"/>
      <c r="N221" s="10">
        <f t="shared" si="57"/>
        <v>0</v>
      </c>
      <c r="O221" s="8">
        <f>IFERROR(N221/N445, "NA")</f>
        <v>0</v>
      </c>
      <c r="P221" s="9"/>
      <c r="Q221" s="7">
        <v>0</v>
      </c>
      <c r="R221" s="8">
        <f>IFERROR(Q221/Q445, "NA")</f>
        <v>0</v>
      </c>
      <c r="S221" s="9"/>
      <c r="T221" s="7">
        <v>0</v>
      </c>
      <c r="U221" s="8">
        <f>IFERROR(T221/T445, "NA")</f>
        <v>0</v>
      </c>
      <c r="V221" s="9"/>
      <c r="W221" s="10">
        <f t="shared" si="58"/>
        <v>0</v>
      </c>
      <c r="X221" s="8">
        <f>IFERROR(W221/W445, "NA")</f>
        <v>0</v>
      </c>
      <c r="Y221" s="9"/>
      <c r="Z221" s="7">
        <v>0</v>
      </c>
      <c r="AA221" s="8">
        <f>IFERROR(Z221/Z445, "NA")</f>
        <v>0</v>
      </c>
      <c r="AB221" s="9"/>
      <c r="AC221" s="10">
        <f t="shared" si="59"/>
        <v>0</v>
      </c>
      <c r="AD221" s="8">
        <f>IFERROR(AC221/AC445, "NA")</f>
        <v>0</v>
      </c>
    </row>
    <row r="222" spans="1:30" ht="16.5" customHeight="1" x14ac:dyDescent="0.45">
      <c r="A222" s="6" t="s">
        <v>202</v>
      </c>
      <c r="B222" s="7">
        <v>218.17</v>
      </c>
      <c r="C222" s="8">
        <f>IFERROR(B222/B445, "NA")</f>
        <v>2.4996336536367283E-3</v>
      </c>
      <c r="D222" s="9"/>
      <c r="E222" s="7">
        <v>100</v>
      </c>
      <c r="F222" s="8">
        <f>IFERROR(E222/E445, "NA")</f>
        <v>1.0717752907351242E-3</v>
      </c>
      <c r="G222" s="9"/>
      <c r="H222" s="10">
        <f t="shared" si="56"/>
        <v>-118.16999999999999</v>
      </c>
      <c r="I222" s="8">
        <f>IFERROR(H222/H445, "NA")</f>
        <v>1.9621908391242601E-2</v>
      </c>
      <c r="J222" s="9"/>
      <c r="K222" s="7">
        <v>62.5</v>
      </c>
      <c r="L222" s="8">
        <f>IFERROR(K222/K445, "NA")</f>
        <v>7.3265887297371466E-4</v>
      </c>
      <c r="M222" s="9"/>
      <c r="N222" s="10">
        <f t="shared" si="57"/>
        <v>-155.66999999999999</v>
      </c>
      <c r="O222" s="8">
        <f>IFERROR(N222/N445, "NA")</f>
        <v>-7.8817858697963691E-2</v>
      </c>
      <c r="P222" s="9"/>
      <c r="Q222" s="7">
        <v>1038.76</v>
      </c>
      <c r="R222" s="8">
        <f>IFERROR(Q222/Q445, "NA")</f>
        <v>2.3220671037960149E-3</v>
      </c>
      <c r="S222" s="9"/>
      <c r="T222" s="7">
        <v>500</v>
      </c>
      <c r="U222" s="8">
        <f>IFERROR(T222/T445, "NA")</f>
        <v>1.1337309841852918E-3</v>
      </c>
      <c r="V222" s="9"/>
      <c r="W222" s="10">
        <f t="shared" si="58"/>
        <v>-538.76</v>
      </c>
      <c r="X222" s="8">
        <f>IFERROR(W222/W445, "NA")</f>
        <v>-8.5232405273157771E-2</v>
      </c>
      <c r="Y222" s="9"/>
      <c r="Z222" s="7">
        <v>693.45</v>
      </c>
      <c r="AA222" s="8">
        <f>IFERROR(Z222/Z445, "NA")</f>
        <v>1.6892446987326051E-3</v>
      </c>
      <c r="AB222" s="9"/>
      <c r="AC222" s="10">
        <f t="shared" si="59"/>
        <v>-345.30999999999995</v>
      </c>
      <c r="AD222" s="8">
        <f>IFERROR(AC222/AC445, "NA")</f>
        <v>-9.3747904443435056E-3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IFERROR(B223/B445, "NA")</f>
        <v>0</v>
      </c>
      <c r="D223" s="9"/>
      <c r="E223" s="7">
        <v>0</v>
      </c>
      <c r="F223" s="8">
        <f>IFERROR(E223/E445, "NA")</f>
        <v>0</v>
      </c>
      <c r="G223" s="9"/>
      <c r="H223" s="10">
        <f t="shared" si="56"/>
        <v>0</v>
      </c>
      <c r="I223" s="8">
        <f>IFERROR(H223/H445, "NA")</f>
        <v>0</v>
      </c>
      <c r="J223" s="9"/>
      <c r="K223" s="7">
        <v>0</v>
      </c>
      <c r="L223" s="8">
        <f>IFERROR(K223/K445, "NA")</f>
        <v>0</v>
      </c>
      <c r="M223" s="9"/>
      <c r="N223" s="10">
        <f t="shared" si="57"/>
        <v>0</v>
      </c>
      <c r="O223" s="8">
        <f>IFERROR(N223/N445, "NA")</f>
        <v>0</v>
      </c>
      <c r="P223" s="9"/>
      <c r="Q223" s="7">
        <v>0</v>
      </c>
      <c r="R223" s="8">
        <f>IFERROR(Q223/Q445, "NA")</f>
        <v>0</v>
      </c>
      <c r="S223" s="9"/>
      <c r="T223" s="7">
        <v>0</v>
      </c>
      <c r="U223" s="8">
        <f>IFERROR(T223/T445, "NA")</f>
        <v>0</v>
      </c>
      <c r="V223" s="9"/>
      <c r="W223" s="10">
        <f t="shared" si="58"/>
        <v>0</v>
      </c>
      <c r="X223" s="8">
        <f>IFERROR(W223/W445, "NA")</f>
        <v>0</v>
      </c>
      <c r="Y223" s="9"/>
      <c r="Z223" s="7">
        <v>0</v>
      </c>
      <c r="AA223" s="8">
        <f>IFERROR(Z223/Z445, "NA")</f>
        <v>0</v>
      </c>
      <c r="AB223" s="9"/>
      <c r="AC223" s="10">
        <f t="shared" si="59"/>
        <v>0</v>
      </c>
      <c r="AD223" s="8">
        <f>IFERROR(AC223/AC445,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IFERROR(B224/B445, "NA")</f>
        <v>0</v>
      </c>
      <c r="D224" s="9"/>
      <c r="E224" s="7">
        <v>0</v>
      </c>
      <c r="F224" s="8">
        <f>IFERROR(E224/E445, "NA")</f>
        <v>0</v>
      </c>
      <c r="G224" s="9"/>
      <c r="H224" s="10">
        <f t="shared" si="56"/>
        <v>0</v>
      </c>
      <c r="I224" s="8">
        <f>IFERROR(H224/H445, "NA")</f>
        <v>0</v>
      </c>
      <c r="J224" s="9"/>
      <c r="K224" s="7">
        <v>0</v>
      </c>
      <c r="L224" s="8">
        <f>IFERROR(K224/K445, "NA")</f>
        <v>0</v>
      </c>
      <c r="M224" s="9"/>
      <c r="N224" s="10">
        <f t="shared" si="57"/>
        <v>0</v>
      </c>
      <c r="O224" s="8">
        <f>IFERROR(N224/N445, "NA")</f>
        <v>0</v>
      </c>
      <c r="P224" s="9"/>
      <c r="Q224" s="7">
        <v>0</v>
      </c>
      <c r="R224" s="8">
        <f>IFERROR(Q224/Q445, "NA")</f>
        <v>0</v>
      </c>
      <c r="S224" s="9"/>
      <c r="T224" s="7">
        <v>0</v>
      </c>
      <c r="U224" s="8">
        <f>IFERROR(T224/T445, "NA")</f>
        <v>0</v>
      </c>
      <c r="V224" s="9"/>
      <c r="W224" s="10">
        <f t="shared" si="58"/>
        <v>0</v>
      </c>
      <c r="X224" s="8">
        <f>IFERROR(W224/W445, "NA")</f>
        <v>0</v>
      </c>
      <c r="Y224" s="9"/>
      <c r="Z224" s="7">
        <v>0</v>
      </c>
      <c r="AA224" s="8">
        <f>IFERROR(Z224/Z445, "NA")</f>
        <v>0</v>
      </c>
      <c r="AB224" s="9"/>
      <c r="AC224" s="10">
        <f t="shared" si="59"/>
        <v>0</v>
      </c>
      <c r="AD224" s="8">
        <f>IFERROR(AC224/AC445,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IFERROR(B225/B445, "NA")</f>
        <v>0</v>
      </c>
      <c r="D225" s="9"/>
      <c r="E225" s="7">
        <v>0</v>
      </c>
      <c r="F225" s="8">
        <f>IFERROR(E225/E445, "NA")</f>
        <v>0</v>
      </c>
      <c r="G225" s="9"/>
      <c r="H225" s="10">
        <f t="shared" si="56"/>
        <v>0</v>
      </c>
      <c r="I225" s="8">
        <f>IFERROR(H225/H445, "NA")</f>
        <v>0</v>
      </c>
      <c r="J225" s="9"/>
      <c r="K225" s="7">
        <v>0</v>
      </c>
      <c r="L225" s="8">
        <f>IFERROR(K225/K445, "NA")</f>
        <v>0</v>
      </c>
      <c r="M225" s="9"/>
      <c r="N225" s="10">
        <f t="shared" si="57"/>
        <v>0</v>
      </c>
      <c r="O225" s="8">
        <f>IFERROR(N225/N445, "NA")</f>
        <v>0</v>
      </c>
      <c r="P225" s="9"/>
      <c r="Q225" s="7">
        <v>0</v>
      </c>
      <c r="R225" s="8">
        <f>IFERROR(Q225/Q445, "NA")</f>
        <v>0</v>
      </c>
      <c r="S225" s="9"/>
      <c r="T225" s="7">
        <v>0</v>
      </c>
      <c r="U225" s="8">
        <f>IFERROR(T225/T445, "NA")</f>
        <v>0</v>
      </c>
      <c r="V225" s="9"/>
      <c r="W225" s="10">
        <f t="shared" si="58"/>
        <v>0</v>
      </c>
      <c r="X225" s="8">
        <f>IFERROR(W225/W445, "NA")</f>
        <v>0</v>
      </c>
      <c r="Y225" s="9"/>
      <c r="Z225" s="7">
        <v>0</v>
      </c>
      <c r="AA225" s="8">
        <f>IFERROR(Z225/Z445, "NA")</f>
        <v>0</v>
      </c>
      <c r="AB225" s="9"/>
      <c r="AC225" s="10">
        <f t="shared" si="59"/>
        <v>0</v>
      </c>
      <c r="AD225" s="8">
        <f>IFERROR(AC225/AC445,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IFERROR(B226/B445, "NA")</f>
        <v>0</v>
      </c>
      <c r="D226" s="9"/>
      <c r="E226" s="7">
        <v>0</v>
      </c>
      <c r="F226" s="8">
        <f>IFERROR(E226/E445, "NA")</f>
        <v>0</v>
      </c>
      <c r="G226" s="9"/>
      <c r="H226" s="10">
        <f t="shared" si="56"/>
        <v>0</v>
      </c>
      <c r="I226" s="8">
        <f>IFERROR(H226/H445, "NA")</f>
        <v>0</v>
      </c>
      <c r="J226" s="9"/>
      <c r="K226" s="7">
        <v>0</v>
      </c>
      <c r="L226" s="8">
        <f>IFERROR(K226/K445, "NA")</f>
        <v>0</v>
      </c>
      <c r="M226" s="9"/>
      <c r="N226" s="10">
        <f t="shared" si="57"/>
        <v>0</v>
      </c>
      <c r="O226" s="8">
        <f>IFERROR(N226/N445, "NA")</f>
        <v>0</v>
      </c>
      <c r="P226" s="9"/>
      <c r="Q226" s="7">
        <v>0</v>
      </c>
      <c r="R226" s="8">
        <f>IFERROR(Q226/Q445, "NA")</f>
        <v>0</v>
      </c>
      <c r="S226" s="9"/>
      <c r="T226" s="7">
        <v>0</v>
      </c>
      <c r="U226" s="8">
        <f>IFERROR(T226/T445, "NA")</f>
        <v>0</v>
      </c>
      <c r="V226" s="9"/>
      <c r="W226" s="10">
        <f t="shared" si="58"/>
        <v>0</v>
      </c>
      <c r="X226" s="8">
        <f>IFERROR(W226/W445, "NA")</f>
        <v>0</v>
      </c>
      <c r="Y226" s="9"/>
      <c r="Z226" s="7">
        <v>0</v>
      </c>
      <c r="AA226" s="8">
        <f>IFERROR(Z226/Z445, "NA")</f>
        <v>0</v>
      </c>
      <c r="AB226" s="9"/>
      <c r="AC226" s="10">
        <f t="shared" si="59"/>
        <v>0</v>
      </c>
      <c r="AD226" s="8">
        <f>IFERROR(AC226/AC445,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2142.87</v>
      </c>
      <c r="C227" s="15">
        <f>IFERROR(B227/B445, "NA")</f>
        <v>2.4551450554010798E-2</v>
      </c>
      <c r="D227" s="2"/>
      <c r="E227" s="14">
        <f>IFERROR(E211+E213+E214+E215+E216+E217+E219+E220+E221+E222+E223+E224+E225+E226, "NA")</f>
        <v>2805.79</v>
      </c>
      <c r="F227" s="15">
        <f>IFERROR(E227/E445, "NA")</f>
        <v>3.0071763929917041E-2</v>
      </c>
      <c r="G227" s="2"/>
      <c r="H227" s="14">
        <f t="shared" si="56"/>
        <v>662.92000000000007</v>
      </c>
      <c r="I227" s="15">
        <f>IFERROR(H227/H445, "NA")</f>
        <v>-0.11007663121538924</v>
      </c>
      <c r="J227" s="2"/>
      <c r="K227" s="14">
        <f>IFERROR(K211+K213+K214+K215+K216+K217+K219+K220+K221+K222+K223+K224+K225+K226, "NA")</f>
        <v>1812.32</v>
      </c>
      <c r="L227" s="15">
        <f>IFERROR(K227/K445, "NA")</f>
        <v>2.1244997258683562E-2</v>
      </c>
      <c r="M227" s="2"/>
      <c r="N227" s="14">
        <f t="shared" si="57"/>
        <v>-330.54999999999995</v>
      </c>
      <c r="O227" s="15">
        <f>IFERROR(N227/N445, "NA")</f>
        <v>-0.16736200419227787</v>
      </c>
      <c r="P227" s="2"/>
      <c r="Q227" s="14">
        <f>IFERROR(Q211+Q213+Q214+Q215+Q216+Q217+Q219+Q220+Q221+Q222+Q223+Q224+Q225+Q226, "NA")</f>
        <v>14931.55</v>
      </c>
      <c r="R227" s="15">
        <f>IFERROR(Q227/Q445, "NA")</f>
        <v>3.3378317478229225E-2</v>
      </c>
      <c r="S227" s="2"/>
      <c r="T227" s="14">
        <f>IFERROR(T211+T213+T214+T215+T216+T217+T219+T220+T221+T222+T223+T224+T225+T226, "NA")</f>
        <v>13289.63</v>
      </c>
      <c r="U227" s="15">
        <f>IFERROR(T227/T445, "NA")</f>
        <v>3.0133730598716758E-2</v>
      </c>
      <c r="V227" s="2"/>
      <c r="W227" s="14">
        <f t="shared" si="58"/>
        <v>-1641.92</v>
      </c>
      <c r="X227" s="15">
        <f>IFERROR(W227/W445, "NA")</f>
        <v>-0.25975349110198087</v>
      </c>
      <c r="Y227" s="2"/>
      <c r="Z227" s="14">
        <f>IFERROR(Z211+Z213+Z214+Z215+Z216+Z217+Z219+Z220+Z221+Z222+Z223+Z224+Z225+Z226, "NA")</f>
        <v>17455.95</v>
      </c>
      <c r="AA227" s="15">
        <f>IFERROR(Z227/Z445, "NA")</f>
        <v>4.2522706754403949E-2</v>
      </c>
      <c r="AB227" s="2"/>
      <c r="AC227" s="14">
        <f t="shared" si="59"/>
        <v>2524.4000000000015</v>
      </c>
      <c r="AD227" s="15">
        <f>IFERROR(AC227/AC445, "NA")</f>
        <v>6.8534710832877016E-2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IFERROR(B229/B445, "NA")</f>
        <v>0</v>
      </c>
      <c r="D229" s="9"/>
      <c r="E229" s="7">
        <v>746.43</v>
      </c>
      <c r="F229" s="8">
        <f>IFERROR(E229/E445, "NA")</f>
        <v>8.0000523026341874E-3</v>
      </c>
      <c r="G229" s="9"/>
      <c r="H229" s="10">
        <f t="shared" ref="H229:H236" si="60">IFERROR(-(B229-E229), "NA")</f>
        <v>746.43</v>
      </c>
      <c r="I229" s="8">
        <f>IFERROR(H229/H445, "NA")</f>
        <v>-0.12394331116590687</v>
      </c>
      <c r="J229" s="9"/>
      <c r="K229" s="7">
        <v>0</v>
      </c>
      <c r="L229" s="8">
        <f>IFERROR(K229/K445, "NA")</f>
        <v>0</v>
      </c>
      <c r="M229" s="9"/>
      <c r="N229" s="10">
        <f t="shared" ref="N229:N236" si="61">IFERROR(-(B229-K229), "NA")</f>
        <v>0</v>
      </c>
      <c r="O229" s="8">
        <f>IFERROR(N229/N445, "NA")</f>
        <v>0</v>
      </c>
      <c r="P229" s="9"/>
      <c r="Q229" s="7">
        <v>0</v>
      </c>
      <c r="R229" s="8">
        <f>IFERROR(Q229/Q445, "NA")</f>
        <v>0</v>
      </c>
      <c r="S229" s="9"/>
      <c r="T229" s="7">
        <v>3528.17</v>
      </c>
      <c r="U229" s="8">
        <f>IFERROR(T229/T445, "NA")</f>
        <v>7.9999912929460421E-3</v>
      </c>
      <c r="V229" s="9"/>
      <c r="W229" s="10">
        <f t="shared" ref="W229:W236" si="62">IFERROR(-(Q229-T229), "NA")</f>
        <v>3528.17</v>
      </c>
      <c r="X229" s="8">
        <f>IFERROR(W229/W445, "NA")</f>
        <v>0.55816024818582866</v>
      </c>
      <c r="Y229" s="9"/>
      <c r="Z229" s="7">
        <v>0</v>
      </c>
      <c r="AA229" s="8">
        <f>IFERROR(Z229/Z445, "NA")</f>
        <v>0</v>
      </c>
      <c r="AB229" s="9"/>
      <c r="AC229" s="10">
        <f t="shared" ref="AC229:AC236" si="63">IFERROR(-(Q229-Z229), "NA")</f>
        <v>0</v>
      </c>
      <c r="AD229" s="8">
        <f>IFERROR(AC229/AC445,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IFERROR(B230/B445, "NA")</f>
        <v>0</v>
      </c>
      <c r="D230" s="9"/>
      <c r="E230" s="7">
        <v>0</v>
      </c>
      <c r="F230" s="8">
        <f>IFERROR(E230/E445, "NA")</f>
        <v>0</v>
      </c>
      <c r="G230" s="9"/>
      <c r="H230" s="10">
        <f t="shared" si="60"/>
        <v>0</v>
      </c>
      <c r="I230" s="8">
        <f>IFERROR(H230/H445, "NA")</f>
        <v>0</v>
      </c>
      <c r="J230" s="9"/>
      <c r="K230" s="7">
        <v>0</v>
      </c>
      <c r="L230" s="8">
        <f>IFERROR(K230/K445, "NA")</f>
        <v>0</v>
      </c>
      <c r="M230" s="9"/>
      <c r="N230" s="10">
        <f t="shared" si="61"/>
        <v>0</v>
      </c>
      <c r="O230" s="8">
        <f>IFERROR(N230/N445, "NA")</f>
        <v>0</v>
      </c>
      <c r="P230" s="9"/>
      <c r="Q230" s="7">
        <v>0</v>
      </c>
      <c r="R230" s="8">
        <f>IFERROR(Q230/Q445, "NA")</f>
        <v>0</v>
      </c>
      <c r="S230" s="9"/>
      <c r="T230" s="7">
        <v>0</v>
      </c>
      <c r="U230" s="8">
        <f>IFERROR(T230/T445, "NA")</f>
        <v>0</v>
      </c>
      <c r="V230" s="9"/>
      <c r="W230" s="10">
        <f t="shared" si="62"/>
        <v>0</v>
      </c>
      <c r="X230" s="8">
        <f>IFERROR(W230/W445, "NA")</f>
        <v>0</v>
      </c>
      <c r="Y230" s="9"/>
      <c r="Z230" s="7">
        <v>83.95</v>
      </c>
      <c r="AA230" s="8">
        <f>IFERROR(Z230/Z445, "NA")</f>
        <v>2.0450226037724737E-4</v>
      </c>
      <c r="AB230" s="9"/>
      <c r="AC230" s="10">
        <f t="shared" si="63"/>
        <v>83.95</v>
      </c>
      <c r="AD230" s="8">
        <f>IFERROR(AC230/AC445, "NA")</f>
        <v>2.279151075273341E-3</v>
      </c>
    </row>
    <row r="231" spans="1:30" ht="16.5" customHeight="1" x14ac:dyDescent="0.45">
      <c r="A231" s="6" t="s">
        <v>210</v>
      </c>
      <c r="B231" s="7">
        <v>0</v>
      </c>
      <c r="C231" s="8">
        <f>IFERROR(B231/B445, "NA")</f>
        <v>0</v>
      </c>
      <c r="D231" s="9"/>
      <c r="E231" s="7">
        <v>0</v>
      </c>
      <c r="F231" s="8">
        <f>IFERROR(E231/E445, "NA")</f>
        <v>0</v>
      </c>
      <c r="G231" s="9"/>
      <c r="H231" s="10">
        <f t="shared" si="60"/>
        <v>0</v>
      </c>
      <c r="I231" s="8">
        <f>IFERROR(H231/H445, "NA")</f>
        <v>0</v>
      </c>
      <c r="J231" s="9"/>
      <c r="K231" s="7">
        <v>91</v>
      </c>
      <c r="L231" s="8">
        <f>IFERROR(K231/K445, "NA")</f>
        <v>1.0667513190497286E-3</v>
      </c>
      <c r="M231" s="9"/>
      <c r="N231" s="10">
        <f t="shared" si="61"/>
        <v>91</v>
      </c>
      <c r="O231" s="8">
        <f>IFERROR(N231/N445, "NA")</f>
        <v>4.6074549633935223E-2</v>
      </c>
      <c r="P231" s="9"/>
      <c r="Q231" s="7">
        <v>126</v>
      </c>
      <c r="R231" s="8">
        <f>IFERROR(Q231/Q445, "NA")</f>
        <v>2.8166318984009577E-4</v>
      </c>
      <c r="S231" s="9"/>
      <c r="T231" s="7">
        <v>0</v>
      </c>
      <c r="U231" s="8">
        <f>IFERROR(T231/T445, "NA")</f>
        <v>0</v>
      </c>
      <c r="V231" s="9"/>
      <c r="W231" s="10">
        <f t="shared" si="62"/>
        <v>-126</v>
      </c>
      <c r="X231" s="8">
        <f>IFERROR(W231/W445, "NA")</f>
        <v>-1.9933334071604945E-2</v>
      </c>
      <c r="Y231" s="9"/>
      <c r="Z231" s="7">
        <v>608.04999999999995</v>
      </c>
      <c r="AA231" s="8">
        <f>IFERROR(Z231/Z445, "NA")</f>
        <v>1.4812102373125105E-3</v>
      </c>
      <c r="AB231" s="9"/>
      <c r="AC231" s="10">
        <f t="shared" si="63"/>
        <v>482.04999999999995</v>
      </c>
      <c r="AD231" s="8">
        <f>IFERROR(AC231/AC445, "NA")</f>
        <v>1.308713252930928E-2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IFERROR(B232/B445, "NA")</f>
        <v>0</v>
      </c>
      <c r="D232" s="9"/>
      <c r="E232" s="7">
        <v>0</v>
      </c>
      <c r="F232" s="8">
        <f>IFERROR(E232/E445, "NA")</f>
        <v>0</v>
      </c>
      <c r="G232" s="9"/>
      <c r="H232" s="10">
        <f t="shared" si="60"/>
        <v>0</v>
      </c>
      <c r="I232" s="8">
        <f>IFERROR(H232/H445, "NA")</f>
        <v>0</v>
      </c>
      <c r="J232" s="9"/>
      <c r="K232" s="7">
        <v>0</v>
      </c>
      <c r="L232" s="8">
        <f>IFERROR(K232/K445, "NA")</f>
        <v>0</v>
      </c>
      <c r="M232" s="9"/>
      <c r="N232" s="10">
        <f t="shared" si="61"/>
        <v>0</v>
      </c>
      <c r="O232" s="8">
        <f>IFERROR(N232/N445, "NA")</f>
        <v>0</v>
      </c>
      <c r="P232" s="9"/>
      <c r="Q232" s="7">
        <v>0</v>
      </c>
      <c r="R232" s="8">
        <f>IFERROR(Q232/Q445, "NA")</f>
        <v>0</v>
      </c>
      <c r="S232" s="9"/>
      <c r="T232" s="7">
        <v>0</v>
      </c>
      <c r="U232" s="8">
        <f>IFERROR(T232/T445, "NA")</f>
        <v>0</v>
      </c>
      <c r="V232" s="9"/>
      <c r="W232" s="10">
        <f t="shared" si="62"/>
        <v>0</v>
      </c>
      <c r="X232" s="8">
        <f>IFERROR(W232/W445, "NA")</f>
        <v>0</v>
      </c>
      <c r="Y232" s="9"/>
      <c r="Z232" s="7">
        <v>0</v>
      </c>
      <c r="AA232" s="8">
        <f>IFERROR(Z232/Z445, "NA")</f>
        <v>0</v>
      </c>
      <c r="AB232" s="9"/>
      <c r="AC232" s="10">
        <f t="shared" si="63"/>
        <v>0</v>
      </c>
      <c r="AD232" s="8">
        <f>IFERROR(AC232/AC445,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IFERROR(B233/B445, "NA")</f>
        <v>0</v>
      </c>
      <c r="D233" s="9"/>
      <c r="E233" s="7">
        <v>0</v>
      </c>
      <c r="F233" s="8">
        <f>IFERROR(E233/E445, "NA")</f>
        <v>0</v>
      </c>
      <c r="G233" s="9"/>
      <c r="H233" s="10">
        <f t="shared" si="60"/>
        <v>0</v>
      </c>
      <c r="I233" s="8">
        <f>IFERROR(H233/H445, "NA")</f>
        <v>0</v>
      </c>
      <c r="J233" s="9"/>
      <c r="K233" s="7">
        <v>0</v>
      </c>
      <c r="L233" s="8">
        <f>IFERROR(K233/K445, "NA")</f>
        <v>0</v>
      </c>
      <c r="M233" s="9"/>
      <c r="N233" s="10">
        <f t="shared" si="61"/>
        <v>0</v>
      </c>
      <c r="O233" s="8">
        <f>IFERROR(N233/N445, "NA")</f>
        <v>0</v>
      </c>
      <c r="P233" s="9"/>
      <c r="Q233" s="7">
        <v>0</v>
      </c>
      <c r="R233" s="8">
        <f>IFERROR(Q233/Q445, "NA")</f>
        <v>0</v>
      </c>
      <c r="S233" s="9"/>
      <c r="T233" s="7">
        <v>0</v>
      </c>
      <c r="U233" s="8">
        <f>IFERROR(T233/T445, "NA")</f>
        <v>0</v>
      </c>
      <c r="V233" s="9"/>
      <c r="W233" s="10">
        <f t="shared" si="62"/>
        <v>0</v>
      </c>
      <c r="X233" s="8">
        <f>IFERROR(W233/W445, "NA")</f>
        <v>0</v>
      </c>
      <c r="Y233" s="9"/>
      <c r="Z233" s="7">
        <v>0</v>
      </c>
      <c r="AA233" s="8">
        <f>IFERROR(Z233/Z445, "NA")</f>
        <v>0</v>
      </c>
      <c r="AB233" s="9"/>
      <c r="AC233" s="10">
        <f t="shared" si="63"/>
        <v>0</v>
      </c>
      <c r="AD233" s="8">
        <f>IFERROR(AC233/AC445, "NA")</f>
        <v>0</v>
      </c>
    </row>
    <row r="234" spans="1:30" ht="16.5" customHeight="1" x14ac:dyDescent="0.45">
      <c r="A234" s="6" t="s">
        <v>213</v>
      </c>
      <c r="B234" s="7">
        <v>467.92</v>
      </c>
      <c r="C234" s="8">
        <f>IFERROR(B234/B445, "NA")</f>
        <v>5.3610880469803267E-3</v>
      </c>
      <c r="D234" s="9"/>
      <c r="E234" s="7">
        <v>0</v>
      </c>
      <c r="F234" s="8">
        <f>IFERROR(E234/E445, "NA")</f>
        <v>0</v>
      </c>
      <c r="G234" s="9"/>
      <c r="H234" s="10">
        <f t="shared" si="60"/>
        <v>-467.92</v>
      </c>
      <c r="I234" s="8">
        <f>IFERROR(H234/H445, "NA")</f>
        <v>7.7697244431160523E-2</v>
      </c>
      <c r="J234" s="9"/>
      <c r="K234" s="7">
        <v>433.48</v>
      </c>
      <c r="L234" s="8">
        <f>IFERROR(K234/K445, "NA")</f>
        <v>5.081487492106334E-3</v>
      </c>
      <c r="M234" s="9"/>
      <c r="N234" s="10">
        <f t="shared" si="61"/>
        <v>-34.44</v>
      </c>
      <c r="O234" s="8">
        <f>IFERROR(N234/N445, "NA")</f>
        <v>-1.743744493838164E-2</v>
      </c>
      <c r="P234" s="9"/>
      <c r="Q234" s="7">
        <v>2512.46</v>
      </c>
      <c r="R234" s="8">
        <f>IFERROR(Q234/Q445, "NA")</f>
        <v>5.6164087138543418E-3</v>
      </c>
      <c r="S234" s="9"/>
      <c r="T234" s="7">
        <v>0</v>
      </c>
      <c r="U234" s="8">
        <f>IFERROR(T234/T445, "NA")</f>
        <v>0</v>
      </c>
      <c r="V234" s="9"/>
      <c r="W234" s="10">
        <f t="shared" si="62"/>
        <v>-2512.46</v>
      </c>
      <c r="X234" s="8">
        <f>IFERROR(W234/W445, "NA")</f>
        <v>-0.39747384540908381</v>
      </c>
      <c r="Y234" s="9"/>
      <c r="Z234" s="7">
        <v>3514.46</v>
      </c>
      <c r="AA234" s="8">
        <f>IFERROR(Z234/Z445, "NA")</f>
        <v>8.5612270876166859E-3</v>
      </c>
      <c r="AB234" s="9"/>
      <c r="AC234" s="10">
        <f t="shared" si="63"/>
        <v>1002</v>
      </c>
      <c r="AD234" s="8">
        <f>IFERROR(AC234/AC445, "NA")</f>
        <v>2.7203208784084429E-2</v>
      </c>
    </row>
    <row r="235" spans="1:30" ht="16.5" customHeight="1" x14ac:dyDescent="0.45">
      <c r="A235" s="6" t="s">
        <v>214</v>
      </c>
      <c r="B235" s="7">
        <v>24.88</v>
      </c>
      <c r="C235" s="8">
        <f>IFERROR(B235/B445, "NA")</f>
        <v>2.850569982237787E-4</v>
      </c>
      <c r="D235" s="9"/>
      <c r="E235" s="7">
        <v>0</v>
      </c>
      <c r="F235" s="8">
        <f>IFERROR(E235/E445, "NA")</f>
        <v>0</v>
      </c>
      <c r="G235" s="9"/>
      <c r="H235" s="10">
        <f t="shared" si="60"/>
        <v>-24.88</v>
      </c>
      <c r="I235" s="8">
        <f>IFERROR(H235/H445, "NA")</f>
        <v>4.1312776573928737E-3</v>
      </c>
      <c r="J235" s="9"/>
      <c r="K235" s="7">
        <v>0</v>
      </c>
      <c r="L235" s="8">
        <f>IFERROR(K235/K445, "NA")</f>
        <v>0</v>
      </c>
      <c r="M235" s="9"/>
      <c r="N235" s="10">
        <f t="shared" si="61"/>
        <v>-24.88</v>
      </c>
      <c r="O235" s="8">
        <f>IFERROR(N235/N445, "NA")</f>
        <v>-1.2597085658157234E-2</v>
      </c>
      <c r="P235" s="9"/>
      <c r="Q235" s="7">
        <v>97.89</v>
      </c>
      <c r="R235" s="8">
        <f>IFERROR(Q235/Q445, "NA")</f>
        <v>2.1882547344005538E-4</v>
      </c>
      <c r="S235" s="9"/>
      <c r="T235" s="7">
        <v>0</v>
      </c>
      <c r="U235" s="8">
        <f>IFERROR(T235/T445, "NA")</f>
        <v>0</v>
      </c>
      <c r="V235" s="9"/>
      <c r="W235" s="10">
        <f t="shared" si="62"/>
        <v>-97.89</v>
      </c>
      <c r="X235" s="8">
        <f>IFERROR(W235/W445, "NA")</f>
        <v>-1.5486302160868317E-2</v>
      </c>
      <c r="Y235" s="9"/>
      <c r="Z235" s="7">
        <v>0</v>
      </c>
      <c r="AA235" s="8">
        <f>IFERROR(Z235/Z445, "NA")</f>
        <v>0</v>
      </c>
      <c r="AB235" s="9"/>
      <c r="AC235" s="10">
        <f t="shared" si="63"/>
        <v>-97.89</v>
      </c>
      <c r="AD235" s="8">
        <f>IFERROR(AC235/AC445, "NA")</f>
        <v>-2.657606894085853E-3</v>
      </c>
    </row>
    <row r="236" spans="1:30" ht="16.5" customHeight="1" x14ac:dyDescent="0.45">
      <c r="A236" s="19" t="s">
        <v>215</v>
      </c>
      <c r="B236" s="14">
        <f>IFERROR(B229+B230+B231+B232+B233+B234+B235, "NA")</f>
        <v>492.8</v>
      </c>
      <c r="C236" s="15">
        <f>IFERROR(B236/B445, "NA")</f>
        <v>5.6461450452041052E-3</v>
      </c>
      <c r="D236" s="2"/>
      <c r="E236" s="14">
        <f>IFERROR(E229+E230+E231+E232+E233+E234+E235, "NA")</f>
        <v>746.43</v>
      </c>
      <c r="F236" s="15">
        <f>IFERROR(E236/E445, "NA")</f>
        <v>8.0000523026341874E-3</v>
      </c>
      <c r="G236" s="2"/>
      <c r="H236" s="14">
        <f t="shared" si="60"/>
        <v>253.62999999999994</v>
      </c>
      <c r="I236" s="15">
        <f>IFERROR(H236/H445, "NA")</f>
        <v>-4.2114789077353471E-2</v>
      </c>
      <c r="J236" s="2"/>
      <c r="K236" s="14">
        <f>IFERROR(K229+K230+K231+K232+K233+K234+K235, "NA")</f>
        <v>524.48</v>
      </c>
      <c r="L236" s="15">
        <f>IFERROR(K236/K445, "NA")</f>
        <v>6.1482388111560628E-3</v>
      </c>
      <c r="M236" s="2"/>
      <c r="N236" s="14">
        <f t="shared" si="61"/>
        <v>31.680000000000007</v>
      </c>
      <c r="O236" s="15">
        <f>IFERROR(N236/N445, "NA")</f>
        <v>1.6040019037396356E-2</v>
      </c>
      <c r="P236" s="2"/>
      <c r="Q236" s="14">
        <f>IFERROR(Q229+Q230+Q231+Q232+Q233+Q234+Q235, "NA")</f>
        <v>2736.35</v>
      </c>
      <c r="R236" s="15">
        <f>IFERROR(Q236/Q445, "NA")</f>
        <v>6.1168973771344925E-3</v>
      </c>
      <c r="S236" s="2"/>
      <c r="T236" s="14">
        <f>IFERROR(T229+T230+T231+T232+T233+T234+T235, "NA")</f>
        <v>3528.17</v>
      </c>
      <c r="U236" s="15">
        <f>IFERROR(T236/T445, "NA")</f>
        <v>7.9999912929460421E-3</v>
      </c>
      <c r="V236" s="2"/>
      <c r="W236" s="14">
        <f t="shared" si="62"/>
        <v>791.82000000000016</v>
      </c>
      <c r="X236" s="15">
        <f>IFERROR(W236/W445, "NA")</f>
        <v>0.12526676654427166</v>
      </c>
      <c r="Y236" s="2"/>
      <c r="Z236" s="14">
        <f>IFERROR(Z229+Z230+Z231+Z232+Z233+Z234+Z235, "NA")</f>
        <v>4206.46</v>
      </c>
      <c r="AA236" s="15">
        <f>IFERROR(Z236/Z445, "NA")</f>
        <v>1.0246939585306444E-2</v>
      </c>
      <c r="AB236" s="2"/>
      <c r="AC236" s="14">
        <f t="shared" si="63"/>
        <v>1470.1100000000001</v>
      </c>
      <c r="AD236" s="15">
        <f>IFERROR(AC236/AC445, "NA")</f>
        <v>3.9911885494581203E-2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IFERROR(B238/B445, "NA")</f>
        <v>0</v>
      </c>
      <c r="D238" s="9"/>
      <c r="E238" s="7">
        <v>0</v>
      </c>
      <c r="F238" s="8">
        <f>IFERROR(E238/E445, "NA")</f>
        <v>0</v>
      </c>
      <c r="G238" s="9"/>
      <c r="H238" s="10">
        <f>IFERROR(-(B238-E238), "NA")</f>
        <v>0</v>
      </c>
      <c r="I238" s="8">
        <f>IFERROR(H238/H445, "NA")</f>
        <v>0</v>
      </c>
      <c r="J238" s="9"/>
      <c r="K238" s="7">
        <v>0</v>
      </c>
      <c r="L238" s="8">
        <f>IFERROR(K238/K445, "NA")</f>
        <v>0</v>
      </c>
      <c r="M238" s="9"/>
      <c r="N238" s="10">
        <f>IFERROR(-(B238-K238), "NA")</f>
        <v>0</v>
      </c>
      <c r="O238" s="8">
        <f>IFERROR(N238/N445, "NA")</f>
        <v>0</v>
      </c>
      <c r="P238" s="9"/>
      <c r="Q238" s="7">
        <v>0</v>
      </c>
      <c r="R238" s="8">
        <f>IFERROR(Q238/Q445, "NA")</f>
        <v>0</v>
      </c>
      <c r="S238" s="9"/>
      <c r="T238" s="7">
        <v>0</v>
      </c>
      <c r="U238" s="8">
        <f>IFERROR(T238/T445, "NA")</f>
        <v>0</v>
      </c>
      <c r="V238" s="9"/>
      <c r="W238" s="10">
        <f>IFERROR(-(Q238-T238), "NA")</f>
        <v>0</v>
      </c>
      <c r="X238" s="8">
        <f>IFERROR(W238/W445, "NA")</f>
        <v>0</v>
      </c>
      <c r="Y238" s="9"/>
      <c r="Z238" s="7">
        <v>0</v>
      </c>
      <c r="AA238" s="8">
        <f>IFERROR(Z238/Z445, "NA")</f>
        <v>0</v>
      </c>
      <c r="AB238" s="9"/>
      <c r="AC238" s="10">
        <f>IFERROR(-(Q238-Z238), "NA")</f>
        <v>0</v>
      </c>
      <c r="AD238" s="8">
        <f>IFERROR(AC238/AC445,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IFERROR(B240/B445, "NA")</f>
        <v>0</v>
      </c>
      <c r="D240" s="9"/>
      <c r="E240" s="7">
        <v>5038.37</v>
      </c>
      <c r="F240" s="8">
        <f>IFERROR(E240/E445, "NA")</f>
        <v>5.4000004715811276E-2</v>
      </c>
      <c r="G240" s="9"/>
      <c r="H240" s="10">
        <f t="shared" ref="H240:H264" si="64">IFERROR(-(B240-E240), "NA")</f>
        <v>5038.37</v>
      </c>
      <c r="I240" s="8">
        <f>IFERROR(H240/H445, "NA")</f>
        <v>-0.83661195380540732</v>
      </c>
      <c r="J240" s="9"/>
      <c r="K240" s="7">
        <v>0</v>
      </c>
      <c r="L240" s="8">
        <f>IFERROR(K240/K445, "NA")</f>
        <v>0</v>
      </c>
      <c r="M240" s="9"/>
      <c r="N240" s="10">
        <f t="shared" ref="N240:N264" si="65">IFERROR(-(B240-K240), "NA")</f>
        <v>0</v>
      </c>
      <c r="O240" s="8">
        <f>IFERROR(N240/N445, "NA")</f>
        <v>0</v>
      </c>
      <c r="P240" s="9"/>
      <c r="Q240" s="7">
        <v>0</v>
      </c>
      <c r="R240" s="8">
        <f>IFERROR(Q240/Q445, "NA")</f>
        <v>0</v>
      </c>
      <c r="S240" s="9"/>
      <c r="T240" s="7">
        <v>23815.17</v>
      </c>
      <c r="U240" s="8">
        <f>IFERROR(T240/T445, "NA")</f>
        <v>5.3999992245280064E-2</v>
      </c>
      <c r="V240" s="9"/>
      <c r="W240" s="10">
        <f t="shared" ref="W240:W264" si="66">IFERROR(-(Q240-T240), "NA")</f>
        <v>23815.17</v>
      </c>
      <c r="X240" s="8">
        <f>IFERROR(W240/W445, "NA")</f>
        <v>3.7675852347782848</v>
      </c>
      <c r="Y240" s="9"/>
      <c r="Z240" s="7">
        <v>0</v>
      </c>
      <c r="AA240" s="8">
        <f>IFERROR(Z240/Z445, "NA")</f>
        <v>0</v>
      </c>
      <c r="AB240" s="9"/>
      <c r="AC240" s="10">
        <f t="shared" ref="AC240:AC264" si="67">IFERROR(-(Q240-Z240), "NA")</f>
        <v>0</v>
      </c>
      <c r="AD240" s="8">
        <f>IFERROR(AC240/AC445, "NA")</f>
        <v>0</v>
      </c>
    </row>
    <row r="241" spans="1:30" ht="16.5" customHeight="1" x14ac:dyDescent="0.45">
      <c r="A241" s="12" t="s">
        <v>218</v>
      </c>
      <c r="B241" s="7">
        <v>114.62</v>
      </c>
      <c r="C241" s="8">
        <f>IFERROR(B241/B445, "NA")</f>
        <v>1.3132328431032763E-3</v>
      </c>
      <c r="D241" s="9"/>
      <c r="E241" s="7">
        <v>0</v>
      </c>
      <c r="F241" s="8">
        <f>IFERROR(E241/E445, "NA")</f>
        <v>0</v>
      </c>
      <c r="G241" s="9"/>
      <c r="H241" s="10">
        <f t="shared" si="64"/>
        <v>-114.62</v>
      </c>
      <c r="I241" s="8">
        <f>IFERROR(H241/H445, "NA")</f>
        <v>1.9032437503632284E-2</v>
      </c>
      <c r="J241" s="9"/>
      <c r="K241" s="7">
        <v>55</v>
      </c>
      <c r="L241" s="8">
        <f>IFERROR(K241/K445, "NA")</f>
        <v>6.4473980821686894E-4</v>
      </c>
      <c r="M241" s="9"/>
      <c r="N241" s="10">
        <f t="shared" si="65"/>
        <v>-59.620000000000005</v>
      </c>
      <c r="O241" s="8">
        <f>IFERROR(N241/N445, "NA")</f>
        <v>-3.0186424716211191E-2</v>
      </c>
      <c r="P241" s="9"/>
      <c r="Q241" s="7">
        <v>304.41000000000003</v>
      </c>
      <c r="R241" s="8">
        <f>IFERROR(Q241/Q445, "NA")</f>
        <v>6.80484854120822E-4</v>
      </c>
      <c r="S241" s="9"/>
      <c r="T241" s="7">
        <v>0</v>
      </c>
      <c r="U241" s="8">
        <f>IFERROR(T241/T445, "NA")</f>
        <v>0</v>
      </c>
      <c r="V241" s="9"/>
      <c r="W241" s="10">
        <f t="shared" si="66"/>
        <v>-304.41000000000003</v>
      </c>
      <c r="X241" s="8">
        <f>IFERROR(W241/W445, "NA")</f>
        <v>-4.8157985910613182E-2</v>
      </c>
      <c r="Y241" s="9"/>
      <c r="Z241" s="7">
        <v>776.14</v>
      </c>
      <c r="AA241" s="8">
        <f>IFERROR(Z241/Z445, "NA")</f>
        <v>1.8906775982036543E-3</v>
      </c>
      <c r="AB241" s="9"/>
      <c r="AC241" s="10">
        <f t="shared" si="67"/>
        <v>471.72999999999996</v>
      </c>
      <c r="AD241" s="8">
        <f>IFERROR(AC241/AC445, "NA")</f>
        <v>1.2806955768179787E-2</v>
      </c>
    </row>
    <row r="242" spans="1:30" ht="16.5" customHeight="1" x14ac:dyDescent="0.45">
      <c r="A242" s="12" t="s">
        <v>219</v>
      </c>
      <c r="B242" s="7">
        <v>598.92999999999995</v>
      </c>
      <c r="C242" s="8">
        <f>IFERROR(B242/B445, "NA")</f>
        <v>6.8621056248459713E-3</v>
      </c>
      <c r="D242" s="9"/>
      <c r="E242" s="7">
        <v>0</v>
      </c>
      <c r="F242" s="8">
        <f>IFERROR(E242/E445, "NA")</f>
        <v>0</v>
      </c>
      <c r="G242" s="9"/>
      <c r="H242" s="10">
        <f t="shared" si="64"/>
        <v>-598.92999999999995</v>
      </c>
      <c r="I242" s="8">
        <f>IFERROR(H242/H445, "NA")</f>
        <v>9.9451210906041559E-2</v>
      </c>
      <c r="J242" s="9"/>
      <c r="K242" s="7">
        <v>379.07</v>
      </c>
      <c r="L242" s="8">
        <f>IFERROR(K242/K445, "NA")</f>
        <v>4.4436639836503361E-3</v>
      </c>
      <c r="M242" s="9"/>
      <c r="N242" s="10">
        <f t="shared" si="65"/>
        <v>-219.85999999999996</v>
      </c>
      <c r="O242" s="8">
        <f>IFERROR(N242/N445, "NA")</f>
        <v>-0.11131813717051645</v>
      </c>
      <c r="P242" s="9"/>
      <c r="Q242" s="7">
        <v>3281.43</v>
      </c>
      <c r="R242" s="8">
        <f>IFERROR(Q242/Q445, "NA")</f>
        <v>7.3353812780713136E-3</v>
      </c>
      <c r="S242" s="9"/>
      <c r="T242" s="7">
        <v>0</v>
      </c>
      <c r="U242" s="8">
        <f>IFERROR(T242/T445, "NA")</f>
        <v>0</v>
      </c>
      <c r="V242" s="9"/>
      <c r="W242" s="10">
        <f t="shared" si="66"/>
        <v>-3281.43</v>
      </c>
      <c r="X242" s="8">
        <f>IFERROR(W242/W445, "NA")</f>
        <v>-0.51912571763957627</v>
      </c>
      <c r="Y242" s="9"/>
      <c r="Z242" s="7">
        <v>2807.35</v>
      </c>
      <c r="AA242" s="8">
        <f>IFERROR(Z242/Z445, "NA")</f>
        <v>6.8387066190597427E-3</v>
      </c>
      <c r="AB242" s="9"/>
      <c r="AC242" s="10">
        <f t="shared" si="67"/>
        <v>-474.07999999999993</v>
      </c>
      <c r="AD242" s="8">
        <f>IFERROR(AC242/AC445, "NA")</f>
        <v>-1.2870755708940862E-2</v>
      </c>
    </row>
    <row r="243" spans="1:30" ht="16.5" customHeight="1" x14ac:dyDescent="0.45">
      <c r="A243" s="12" t="s">
        <v>220</v>
      </c>
      <c r="B243" s="7">
        <v>415.75</v>
      </c>
      <c r="C243" s="8">
        <f>IFERROR(B243/B445, "NA")</f>
        <v>4.7633620181485531E-3</v>
      </c>
      <c r="D243" s="9"/>
      <c r="E243" s="7">
        <v>0</v>
      </c>
      <c r="F243" s="8">
        <f>IFERROR(E243/E445, "NA")</f>
        <v>0</v>
      </c>
      <c r="G243" s="9"/>
      <c r="H243" s="10">
        <f t="shared" si="64"/>
        <v>-415.75</v>
      </c>
      <c r="I243" s="8">
        <f>IFERROR(H243/H445, "NA")</f>
        <v>6.903451310534918E-2</v>
      </c>
      <c r="J243" s="9"/>
      <c r="K243" s="7">
        <v>425.48</v>
      </c>
      <c r="L243" s="8">
        <f>IFERROR(K243/K445, "NA")</f>
        <v>4.9877071563656982E-3</v>
      </c>
      <c r="M243" s="9"/>
      <c r="N243" s="10">
        <f t="shared" si="65"/>
        <v>9.7300000000000182</v>
      </c>
      <c r="O243" s="8">
        <f>IFERROR(N243/N445, "NA")</f>
        <v>4.9264326147053913E-3</v>
      </c>
      <c r="P243" s="9"/>
      <c r="Q243" s="7">
        <v>1396.89</v>
      </c>
      <c r="R243" s="8">
        <f>IFERROR(Q243/Q445, "NA")</f>
        <v>3.1226388353629477E-3</v>
      </c>
      <c r="S243" s="9"/>
      <c r="T243" s="7">
        <v>0</v>
      </c>
      <c r="U243" s="8">
        <f>IFERROR(T243/T445, "NA")</f>
        <v>0</v>
      </c>
      <c r="V243" s="9"/>
      <c r="W243" s="10">
        <f t="shared" si="66"/>
        <v>-1396.89</v>
      </c>
      <c r="X243" s="8">
        <f>IFERROR(W243/W445, "NA")</f>
        <v>-0.22098948437527169</v>
      </c>
      <c r="Y243" s="9"/>
      <c r="Z243" s="7">
        <v>4828.29</v>
      </c>
      <c r="AA243" s="8">
        <f>IFERROR(Z243/Z445, "NA")</f>
        <v>1.1761717912529597E-2</v>
      </c>
      <c r="AB243" s="9"/>
      <c r="AC243" s="10">
        <f t="shared" si="67"/>
        <v>3431.3999999999996</v>
      </c>
      <c r="AD243" s="8">
        <f>IFERROR(AC243/AC445, "NA")</f>
        <v>9.3158773075556187E-2</v>
      </c>
    </row>
    <row r="244" spans="1:30" ht="16.5" customHeight="1" x14ac:dyDescent="0.45">
      <c r="A244" s="12" t="s">
        <v>221</v>
      </c>
      <c r="B244" s="7">
        <v>1613.71</v>
      </c>
      <c r="C244" s="8">
        <f>IFERROR(B244/B445, "NA")</f>
        <v>1.848871899532532E-2</v>
      </c>
      <c r="D244" s="9"/>
      <c r="E244" s="7">
        <v>0</v>
      </c>
      <c r="F244" s="8">
        <f>IFERROR(E244/E445, "NA")</f>
        <v>0</v>
      </c>
      <c r="G244" s="9"/>
      <c r="H244" s="10">
        <f t="shared" si="64"/>
        <v>-1613.71</v>
      </c>
      <c r="I244" s="8">
        <f>IFERROR(H244/H445, "NA")</f>
        <v>0.26795353973116781</v>
      </c>
      <c r="J244" s="9"/>
      <c r="K244" s="7">
        <v>1744.14</v>
      </c>
      <c r="L244" s="8">
        <f>IFERROR(K244/K445, "NA")</f>
        <v>2.0445754347333998E-2</v>
      </c>
      <c r="M244" s="9"/>
      <c r="N244" s="10">
        <f t="shared" si="65"/>
        <v>130.43000000000006</v>
      </c>
      <c r="O244" s="8">
        <f>IFERROR(N244/N445, "NA")</f>
        <v>6.6038500096199715E-2</v>
      </c>
      <c r="P244" s="9"/>
      <c r="Q244" s="7">
        <v>7874.45</v>
      </c>
      <c r="R244" s="8">
        <f>IFERROR(Q244/Q445, "NA")</f>
        <v>1.7602719882828112E-2</v>
      </c>
      <c r="S244" s="9"/>
      <c r="T244" s="7">
        <v>0</v>
      </c>
      <c r="U244" s="8">
        <f>IFERROR(T244/T445, "NA")</f>
        <v>0</v>
      </c>
      <c r="V244" s="9"/>
      <c r="W244" s="10">
        <f t="shared" si="66"/>
        <v>-7874.45</v>
      </c>
      <c r="X244" s="8">
        <f>IFERROR(W244/W445, "NA")</f>
        <v>-1.2457463688900758</v>
      </c>
      <c r="Y244" s="9"/>
      <c r="Z244" s="7">
        <v>2181.36</v>
      </c>
      <c r="AA244" s="8">
        <f>IFERROR(Z244/Z445, "NA")</f>
        <v>5.3137945288446974E-3</v>
      </c>
      <c r="AB244" s="9"/>
      <c r="AC244" s="10">
        <f t="shared" si="67"/>
        <v>-5693.09</v>
      </c>
      <c r="AD244" s="8">
        <f>IFERROR(AC244/AC445, "NA")</f>
        <v>-0.1545611935095641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IFERROR(B245/B445, "NA")</f>
        <v>0</v>
      </c>
      <c r="D245" s="9"/>
      <c r="E245" s="7">
        <v>0</v>
      </c>
      <c r="F245" s="8">
        <f>IFERROR(E245/E445, "NA")</f>
        <v>0</v>
      </c>
      <c r="G245" s="9"/>
      <c r="H245" s="10">
        <f t="shared" si="64"/>
        <v>0</v>
      </c>
      <c r="I245" s="8">
        <f>IFERROR(H245/H445, "NA")</f>
        <v>0</v>
      </c>
      <c r="J245" s="9"/>
      <c r="K245" s="7">
        <v>0</v>
      </c>
      <c r="L245" s="8">
        <f>IFERROR(K245/K445, "NA")</f>
        <v>0</v>
      </c>
      <c r="M245" s="9"/>
      <c r="N245" s="10">
        <f t="shared" si="65"/>
        <v>0</v>
      </c>
      <c r="O245" s="8">
        <f>IFERROR(N245/N445, "NA")</f>
        <v>0</v>
      </c>
      <c r="P245" s="9"/>
      <c r="Q245" s="7">
        <v>0</v>
      </c>
      <c r="R245" s="8">
        <f>IFERROR(Q245/Q445, "NA")</f>
        <v>0</v>
      </c>
      <c r="S245" s="9"/>
      <c r="T245" s="7">
        <v>0</v>
      </c>
      <c r="U245" s="8">
        <f>IFERROR(T245/T445, "NA")</f>
        <v>0</v>
      </c>
      <c r="V245" s="9"/>
      <c r="W245" s="10">
        <f t="shared" si="66"/>
        <v>0</v>
      </c>
      <c r="X245" s="8">
        <f>IFERROR(W245/W445, "NA")</f>
        <v>0</v>
      </c>
      <c r="Y245" s="9"/>
      <c r="Z245" s="7">
        <v>0</v>
      </c>
      <c r="AA245" s="8">
        <f>IFERROR(Z245/Z445, "NA")</f>
        <v>0</v>
      </c>
      <c r="AB245" s="9"/>
      <c r="AC245" s="10">
        <f t="shared" si="67"/>
        <v>0</v>
      </c>
      <c r="AD245" s="8">
        <f>IFERROR(AC245/AC445, "NA")</f>
        <v>0</v>
      </c>
    </row>
    <row r="246" spans="1:30" ht="16.5" customHeight="1" x14ac:dyDescent="0.45">
      <c r="A246" s="12" t="s">
        <v>223</v>
      </c>
      <c r="B246" s="7">
        <v>70.69</v>
      </c>
      <c r="C246" s="8">
        <f>IFERROR(B246/B445, "NA")</f>
        <v>8.099147590208567E-4</v>
      </c>
      <c r="D246" s="9"/>
      <c r="E246" s="7">
        <v>0</v>
      </c>
      <c r="F246" s="8">
        <f>IFERROR(E246/E445, "NA")</f>
        <v>0</v>
      </c>
      <c r="G246" s="9"/>
      <c r="H246" s="10">
        <f t="shared" si="64"/>
        <v>-70.69</v>
      </c>
      <c r="I246" s="8">
        <f>IFERROR(H246/H445, "NA")</f>
        <v>1.1737942829626298E-2</v>
      </c>
      <c r="J246" s="9"/>
      <c r="K246" s="7">
        <v>115.67</v>
      </c>
      <c r="L246" s="8">
        <f>IFERROR(K246/K445, "NA")</f>
        <v>1.3559464293899132E-3</v>
      </c>
      <c r="M246" s="9"/>
      <c r="N246" s="10">
        <f t="shared" si="65"/>
        <v>44.980000000000004</v>
      </c>
      <c r="O246" s="8">
        <f>IFERROR(N246/N445, "NA")</f>
        <v>2.2773991676202272E-2</v>
      </c>
      <c r="P246" s="9"/>
      <c r="Q246" s="7">
        <v>482.75</v>
      </c>
      <c r="R246" s="8">
        <f>IFERROR(Q246/Q445, "NA")</f>
        <v>1.0791500388516368E-3</v>
      </c>
      <c r="S246" s="9"/>
      <c r="T246" s="7">
        <v>0</v>
      </c>
      <c r="U246" s="8">
        <f>IFERROR(T246/T445, "NA")</f>
        <v>0</v>
      </c>
      <c r="V246" s="9"/>
      <c r="W246" s="10">
        <f t="shared" si="66"/>
        <v>-482.75</v>
      </c>
      <c r="X246" s="8">
        <f>IFERROR(W246/W445, "NA")</f>
        <v>-7.63715636751372E-2</v>
      </c>
      <c r="Y246" s="9"/>
      <c r="Z246" s="7">
        <v>728.58</v>
      </c>
      <c r="AA246" s="8">
        <f>IFERROR(Z246/Z445, "NA")</f>
        <v>1.7748214039982715E-3</v>
      </c>
      <c r="AB246" s="9"/>
      <c r="AC246" s="10">
        <f t="shared" si="67"/>
        <v>245.83000000000004</v>
      </c>
      <c r="AD246" s="8">
        <f>IFERROR(AC246/AC445, "NA")</f>
        <v>6.6740167818278209E-3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IFERROR(B247/B445, "NA")</f>
        <v>0</v>
      </c>
      <c r="D247" s="9"/>
      <c r="E247" s="7">
        <v>0</v>
      </c>
      <c r="F247" s="8">
        <f>IFERROR(E247/E445, "NA")</f>
        <v>0</v>
      </c>
      <c r="G247" s="9"/>
      <c r="H247" s="10">
        <f t="shared" si="64"/>
        <v>0</v>
      </c>
      <c r="I247" s="8">
        <f>IFERROR(H247/H445, "NA")</f>
        <v>0</v>
      </c>
      <c r="J247" s="9"/>
      <c r="K247" s="7">
        <v>0</v>
      </c>
      <c r="L247" s="8">
        <f>IFERROR(K247/K445, "NA")</f>
        <v>0</v>
      </c>
      <c r="M247" s="9"/>
      <c r="N247" s="10">
        <f t="shared" si="65"/>
        <v>0</v>
      </c>
      <c r="O247" s="8">
        <f>IFERROR(N247/N445, "NA")</f>
        <v>0</v>
      </c>
      <c r="P247" s="9"/>
      <c r="Q247" s="7">
        <v>0</v>
      </c>
      <c r="R247" s="8">
        <f>IFERROR(Q247/Q445, "NA")</f>
        <v>0</v>
      </c>
      <c r="S247" s="9"/>
      <c r="T247" s="7">
        <v>0</v>
      </c>
      <c r="U247" s="8">
        <f>IFERROR(T247/T445, "NA")</f>
        <v>0</v>
      </c>
      <c r="V247" s="9"/>
      <c r="W247" s="10">
        <f t="shared" si="66"/>
        <v>0</v>
      </c>
      <c r="X247" s="8">
        <f>IFERROR(W247/W445, "NA")</f>
        <v>0</v>
      </c>
      <c r="Y247" s="9"/>
      <c r="Z247" s="7">
        <v>0</v>
      </c>
      <c r="AA247" s="8">
        <f>IFERROR(Z247/Z445, "NA")</f>
        <v>0</v>
      </c>
      <c r="AB247" s="9"/>
      <c r="AC247" s="10">
        <f t="shared" si="67"/>
        <v>0</v>
      </c>
      <c r="AD247" s="8">
        <f>IFERROR(AC247/AC445, "NA")</f>
        <v>0</v>
      </c>
    </row>
    <row r="248" spans="1:30" ht="16.5" customHeight="1" x14ac:dyDescent="0.45">
      <c r="A248" s="12" t="s">
        <v>225</v>
      </c>
      <c r="B248" s="7">
        <v>205.72</v>
      </c>
      <c r="C248" s="8">
        <f>IFERROR(B248/B445, "NA")</f>
        <v>2.3569905817763565E-3</v>
      </c>
      <c r="D248" s="9"/>
      <c r="E248" s="7">
        <v>0</v>
      </c>
      <c r="F248" s="8">
        <f>IFERROR(E248/E445, "NA")</f>
        <v>0</v>
      </c>
      <c r="G248" s="9"/>
      <c r="H248" s="10">
        <f t="shared" si="64"/>
        <v>-205.72</v>
      </c>
      <c r="I248" s="8">
        <f>IFERROR(H248/H445, "NA")</f>
        <v>3.4159422816674521E-2</v>
      </c>
      <c r="J248" s="9"/>
      <c r="K248" s="7">
        <v>211.28</v>
      </c>
      <c r="L248" s="8">
        <f>IFERROR(K248/K445, "NA")</f>
        <v>2.4767386669101829E-3</v>
      </c>
      <c r="M248" s="9"/>
      <c r="N248" s="10">
        <f t="shared" si="65"/>
        <v>5.5600000000000023</v>
      </c>
      <c r="O248" s="8">
        <f>IFERROR(N248/N445, "NA")</f>
        <v>2.8151043512602194E-3</v>
      </c>
      <c r="P248" s="9"/>
      <c r="Q248" s="7">
        <v>1018.1</v>
      </c>
      <c r="R248" s="8">
        <f>IFERROR(Q248/Q445, "NA")</f>
        <v>2.2758832823508057E-3</v>
      </c>
      <c r="S248" s="9"/>
      <c r="T248" s="7">
        <v>0</v>
      </c>
      <c r="U248" s="8">
        <f>IFERROR(T248/T445, "NA")</f>
        <v>0</v>
      </c>
      <c r="V248" s="9"/>
      <c r="W248" s="10">
        <f t="shared" si="66"/>
        <v>-1018.1</v>
      </c>
      <c r="X248" s="8">
        <f>IFERROR(W248/W445, "NA")</f>
        <v>-0.16106450331984914</v>
      </c>
      <c r="Y248" s="9"/>
      <c r="Z248" s="7">
        <v>1016.71</v>
      </c>
      <c r="AA248" s="8">
        <f>IFERROR(Z248/Z445, "NA")</f>
        <v>2.4767062912227655E-3</v>
      </c>
      <c r="AB248" s="9"/>
      <c r="AC248" s="10">
        <f t="shared" si="67"/>
        <v>-1.3899999999999864</v>
      </c>
      <c r="AD248" s="8">
        <f>IFERROR(AC248/AC445, "NA")</f>
        <v>-3.7736986237402183E-5</v>
      </c>
    </row>
    <row r="249" spans="1:30" ht="16.5" customHeight="1" x14ac:dyDescent="0.45">
      <c r="A249" s="12" t="s">
        <v>226</v>
      </c>
      <c r="B249" s="7">
        <v>1876.75</v>
      </c>
      <c r="C249" s="8">
        <f>IFERROR(B249/B445, "NA")</f>
        <v>2.1502440571401795E-2</v>
      </c>
      <c r="D249" s="9"/>
      <c r="E249" s="7">
        <v>0</v>
      </c>
      <c r="F249" s="8">
        <f>IFERROR(E249/E445, "NA")</f>
        <v>0</v>
      </c>
      <c r="G249" s="9"/>
      <c r="H249" s="10">
        <f t="shared" si="64"/>
        <v>-1876.75</v>
      </c>
      <c r="I249" s="8">
        <f>IFERROR(H249/H445, "NA")</f>
        <v>0.31163084178103201</v>
      </c>
      <c r="J249" s="9"/>
      <c r="K249" s="7">
        <v>1103.19</v>
      </c>
      <c r="L249" s="8">
        <f>IFERROR(K249/K445, "NA")</f>
        <v>1.2932191073213958E-2</v>
      </c>
      <c r="M249" s="9"/>
      <c r="N249" s="10">
        <f t="shared" si="65"/>
        <v>-773.56</v>
      </c>
      <c r="O249" s="8">
        <f>IFERROR(N249/N445, "NA")</f>
        <v>-0.39166405071238386</v>
      </c>
      <c r="P249" s="9"/>
      <c r="Q249" s="7">
        <v>9788.0300000000007</v>
      </c>
      <c r="R249" s="8">
        <f>IFERROR(Q249/Q445, "NA")</f>
        <v>2.1880378984528197E-2</v>
      </c>
      <c r="S249" s="9"/>
      <c r="T249" s="7">
        <v>0</v>
      </c>
      <c r="U249" s="8">
        <f>IFERROR(T249/T445, "NA")</f>
        <v>0</v>
      </c>
      <c r="V249" s="9"/>
      <c r="W249" s="10">
        <f t="shared" si="66"/>
        <v>-9788.0300000000007</v>
      </c>
      <c r="X249" s="8">
        <f>IFERROR(W249/W445, "NA")</f>
        <v>-1.5484767610546932</v>
      </c>
      <c r="Y249" s="9"/>
      <c r="Z249" s="7">
        <v>7429.27</v>
      </c>
      <c r="AA249" s="8">
        <f>IFERROR(Z249/Z445, "NA")</f>
        <v>1.8097707063167035E-2</v>
      </c>
      <c r="AB249" s="9"/>
      <c r="AC249" s="10">
        <f t="shared" si="67"/>
        <v>-2358.7600000000002</v>
      </c>
      <c r="AD249" s="8">
        <f>IFERROR(AC249/AC445, "NA")</f>
        <v>-6.4037765221104784E-2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IFERROR(B250/B445, "NA")</f>
        <v>0</v>
      </c>
      <c r="D250" s="9"/>
      <c r="E250" s="7">
        <v>0</v>
      </c>
      <c r="F250" s="8">
        <f>IFERROR(E250/E445, "NA")</f>
        <v>0</v>
      </c>
      <c r="G250" s="9"/>
      <c r="H250" s="10">
        <f t="shared" si="64"/>
        <v>0</v>
      </c>
      <c r="I250" s="8">
        <f>IFERROR(H250/H445, "NA")</f>
        <v>0</v>
      </c>
      <c r="J250" s="9"/>
      <c r="K250" s="7">
        <v>0</v>
      </c>
      <c r="L250" s="8">
        <f>IFERROR(K250/K445, "NA")</f>
        <v>0</v>
      </c>
      <c r="M250" s="9"/>
      <c r="N250" s="10">
        <f t="shared" si="65"/>
        <v>0</v>
      </c>
      <c r="O250" s="8">
        <f>IFERROR(N250/N445, "NA")</f>
        <v>0</v>
      </c>
      <c r="P250" s="9"/>
      <c r="Q250" s="7">
        <v>0</v>
      </c>
      <c r="R250" s="8">
        <f>IFERROR(Q250/Q445, "NA")</f>
        <v>0</v>
      </c>
      <c r="S250" s="9"/>
      <c r="T250" s="7">
        <v>0</v>
      </c>
      <c r="U250" s="8">
        <f>IFERROR(T250/T445, "NA")</f>
        <v>0</v>
      </c>
      <c r="V250" s="9"/>
      <c r="W250" s="10">
        <f t="shared" si="66"/>
        <v>0</v>
      </c>
      <c r="X250" s="8">
        <f>IFERROR(W250/W445, "NA")</f>
        <v>0</v>
      </c>
      <c r="Y250" s="9"/>
      <c r="Z250" s="7">
        <v>0</v>
      </c>
      <c r="AA250" s="8">
        <f>IFERROR(Z250/Z445, "NA")</f>
        <v>0</v>
      </c>
      <c r="AB250" s="9"/>
      <c r="AC250" s="10">
        <f t="shared" si="67"/>
        <v>0</v>
      </c>
      <c r="AD250" s="8">
        <f>IFERROR(AC250/AC445, "NA")</f>
        <v>0</v>
      </c>
    </row>
    <row r="251" spans="1:30" ht="16.5" customHeight="1" x14ac:dyDescent="0.45">
      <c r="A251" s="12" t="s">
        <v>228</v>
      </c>
      <c r="B251" s="7">
        <v>0</v>
      </c>
      <c r="C251" s="8">
        <f>IFERROR(B251/B445, "NA")</f>
        <v>0</v>
      </c>
      <c r="D251" s="9"/>
      <c r="E251" s="7">
        <v>0</v>
      </c>
      <c r="F251" s="8">
        <f>IFERROR(E251/E445, "NA")</f>
        <v>0</v>
      </c>
      <c r="G251" s="9"/>
      <c r="H251" s="10">
        <f t="shared" si="64"/>
        <v>0</v>
      </c>
      <c r="I251" s="8">
        <f>IFERROR(H251/H445, "NA")</f>
        <v>0</v>
      </c>
      <c r="J251" s="9"/>
      <c r="K251" s="7">
        <v>0</v>
      </c>
      <c r="L251" s="8">
        <f>IFERROR(K251/K445, "NA")</f>
        <v>0</v>
      </c>
      <c r="M251" s="9"/>
      <c r="N251" s="10">
        <f t="shared" si="65"/>
        <v>0</v>
      </c>
      <c r="O251" s="8">
        <f>IFERROR(N251/N445, "NA")</f>
        <v>0</v>
      </c>
      <c r="P251" s="9"/>
      <c r="Q251" s="7">
        <v>271.29000000000002</v>
      </c>
      <c r="R251" s="8">
        <f>IFERROR(Q251/Q445, "NA")</f>
        <v>6.064476727914253E-4</v>
      </c>
      <c r="S251" s="9"/>
      <c r="T251" s="7">
        <v>0</v>
      </c>
      <c r="U251" s="8">
        <f>IFERROR(T251/T445, "NA")</f>
        <v>0</v>
      </c>
      <c r="V251" s="9"/>
      <c r="W251" s="10">
        <f t="shared" si="66"/>
        <v>-271.29000000000002</v>
      </c>
      <c r="X251" s="8">
        <f>IFERROR(W251/W445, "NA")</f>
        <v>-4.2918366668934171E-2</v>
      </c>
      <c r="Y251" s="9"/>
      <c r="Z251" s="7">
        <v>29.09</v>
      </c>
      <c r="AA251" s="8">
        <f>IFERROR(Z251/Z445, "NA")</f>
        <v>7.0863260921669161E-5</v>
      </c>
      <c r="AB251" s="9"/>
      <c r="AC251" s="10">
        <f t="shared" si="67"/>
        <v>-242.20000000000002</v>
      </c>
      <c r="AD251" s="8">
        <f>IFERROR(AC251/AC445, "NA")</f>
        <v>-6.5754662350351791E-3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IFERROR(B252/B445, "NA")</f>
        <v>0</v>
      </c>
      <c r="D252" s="9"/>
      <c r="E252" s="7">
        <v>0</v>
      </c>
      <c r="F252" s="8">
        <f>IFERROR(E252/E445, "NA")</f>
        <v>0</v>
      </c>
      <c r="G252" s="9"/>
      <c r="H252" s="10">
        <f t="shared" si="64"/>
        <v>0</v>
      </c>
      <c r="I252" s="8">
        <f>IFERROR(H252/H445, "NA")</f>
        <v>0</v>
      </c>
      <c r="J252" s="9"/>
      <c r="K252" s="7">
        <v>0</v>
      </c>
      <c r="L252" s="8">
        <f>IFERROR(K252/K445, "NA")</f>
        <v>0</v>
      </c>
      <c r="M252" s="9"/>
      <c r="N252" s="10">
        <f t="shared" si="65"/>
        <v>0</v>
      </c>
      <c r="O252" s="8">
        <f>IFERROR(N252/N445, "NA")</f>
        <v>0</v>
      </c>
      <c r="P252" s="9"/>
      <c r="Q252" s="7">
        <v>0</v>
      </c>
      <c r="R252" s="8">
        <f>IFERROR(Q252/Q445, "NA")</f>
        <v>0</v>
      </c>
      <c r="S252" s="9"/>
      <c r="T252" s="7">
        <v>0</v>
      </c>
      <c r="U252" s="8">
        <f>IFERROR(T252/T445, "NA")</f>
        <v>0</v>
      </c>
      <c r="V252" s="9"/>
      <c r="W252" s="10">
        <f t="shared" si="66"/>
        <v>0</v>
      </c>
      <c r="X252" s="8">
        <f>IFERROR(W252/W445, "NA")</f>
        <v>0</v>
      </c>
      <c r="Y252" s="9"/>
      <c r="Z252" s="7">
        <v>0</v>
      </c>
      <c r="AA252" s="8">
        <f>IFERROR(Z252/Z445, "NA")</f>
        <v>0</v>
      </c>
      <c r="AB252" s="9"/>
      <c r="AC252" s="10">
        <f t="shared" si="67"/>
        <v>0</v>
      </c>
      <c r="AD252" s="8">
        <f>IFERROR(AC252/AC445, "NA")</f>
        <v>0</v>
      </c>
    </row>
    <row r="253" spans="1:30" ht="16.5" customHeight="1" x14ac:dyDescent="0.45">
      <c r="A253" s="12" t="s">
        <v>230</v>
      </c>
      <c r="B253" s="7">
        <v>0</v>
      </c>
      <c r="C253" s="8">
        <f>IFERROR(B253/B445, "NA")</f>
        <v>0</v>
      </c>
      <c r="D253" s="9"/>
      <c r="E253" s="7">
        <v>0</v>
      </c>
      <c r="F253" s="8">
        <f>IFERROR(E253/E445, "NA")</f>
        <v>0</v>
      </c>
      <c r="G253" s="9"/>
      <c r="H253" s="10">
        <f t="shared" si="64"/>
        <v>0</v>
      </c>
      <c r="I253" s="8">
        <f>IFERROR(H253/H445, "NA")</f>
        <v>0</v>
      </c>
      <c r="J253" s="9"/>
      <c r="K253" s="7">
        <v>0</v>
      </c>
      <c r="L253" s="8">
        <f>IFERROR(K253/K445, "NA")</f>
        <v>0</v>
      </c>
      <c r="M253" s="9"/>
      <c r="N253" s="10">
        <f t="shared" si="65"/>
        <v>0</v>
      </c>
      <c r="O253" s="8">
        <f>IFERROR(N253/N445, "NA")</f>
        <v>0</v>
      </c>
      <c r="P253" s="9"/>
      <c r="Q253" s="7">
        <v>933.95</v>
      </c>
      <c r="R253" s="8">
        <f>IFERROR(Q253/Q445, "NA")</f>
        <v>2.0877725091361706E-3</v>
      </c>
      <c r="S253" s="9"/>
      <c r="T253" s="7">
        <v>0</v>
      </c>
      <c r="U253" s="8">
        <f>IFERROR(T253/T445, "NA")</f>
        <v>0</v>
      </c>
      <c r="V253" s="9"/>
      <c r="W253" s="10">
        <f t="shared" si="66"/>
        <v>-933.95</v>
      </c>
      <c r="X253" s="8">
        <f>IFERROR(W253/W445, "NA")</f>
        <v>-0.14775188377917015</v>
      </c>
      <c r="Y253" s="9"/>
      <c r="Z253" s="7">
        <v>781.97</v>
      </c>
      <c r="AA253" s="8">
        <f>IFERROR(Z253/Z445, "NA")</f>
        <v>1.9048794823966185E-3</v>
      </c>
      <c r="AB253" s="9"/>
      <c r="AC253" s="10">
        <f t="shared" si="67"/>
        <v>-151.98000000000002</v>
      </c>
      <c r="AD253" s="8">
        <f>IFERROR(AC253/AC445, "NA")</f>
        <v>-4.1260914880290938E-3</v>
      </c>
    </row>
    <row r="254" spans="1:30" ht="16.5" customHeight="1" x14ac:dyDescent="0.45">
      <c r="A254" s="12" t="s">
        <v>231</v>
      </c>
      <c r="B254" s="7">
        <v>0</v>
      </c>
      <c r="C254" s="8">
        <f>IFERROR(B254/B445, "NA")</f>
        <v>0</v>
      </c>
      <c r="D254" s="9"/>
      <c r="E254" s="7">
        <v>0</v>
      </c>
      <c r="F254" s="8">
        <f>IFERROR(E254/E445, "NA")</f>
        <v>0</v>
      </c>
      <c r="G254" s="9"/>
      <c r="H254" s="10">
        <f t="shared" si="64"/>
        <v>0</v>
      </c>
      <c r="I254" s="8">
        <f>IFERROR(H254/H445, "NA")</f>
        <v>0</v>
      </c>
      <c r="J254" s="9"/>
      <c r="K254" s="7">
        <v>279.11</v>
      </c>
      <c r="L254" s="8">
        <f>IFERROR(K254/K445, "NA")</f>
        <v>3.2718786885710962E-3</v>
      </c>
      <c r="M254" s="9"/>
      <c r="N254" s="10">
        <f t="shared" si="65"/>
        <v>279.11</v>
      </c>
      <c r="O254" s="8">
        <f>IFERROR(N254/N445, "NA")</f>
        <v>0.14131722580579847</v>
      </c>
      <c r="P254" s="9"/>
      <c r="Q254" s="7">
        <v>0</v>
      </c>
      <c r="R254" s="8">
        <f>IFERROR(Q254/Q445, "NA")</f>
        <v>0</v>
      </c>
      <c r="S254" s="9"/>
      <c r="T254" s="7">
        <v>0</v>
      </c>
      <c r="U254" s="8">
        <f>IFERROR(T254/T445, "NA")</f>
        <v>0</v>
      </c>
      <c r="V254" s="9"/>
      <c r="W254" s="10">
        <f t="shared" si="66"/>
        <v>0</v>
      </c>
      <c r="X254" s="8">
        <f>IFERROR(W254/W445, "NA")</f>
        <v>0</v>
      </c>
      <c r="Y254" s="9"/>
      <c r="Z254" s="7">
        <v>649.27</v>
      </c>
      <c r="AA254" s="8">
        <f>IFERROR(Z254/Z445, "NA")</f>
        <v>1.5816221869581345E-3</v>
      </c>
      <c r="AB254" s="9"/>
      <c r="AC254" s="10">
        <f t="shared" si="67"/>
        <v>649.27</v>
      </c>
      <c r="AD254" s="8">
        <f>IFERROR(AC254/AC445, "NA")</f>
        <v>1.7626973420401693E-2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IFERROR(B255/B445, "NA")</f>
        <v>0</v>
      </c>
      <c r="D255" s="9"/>
      <c r="E255" s="7">
        <v>0</v>
      </c>
      <c r="F255" s="8">
        <f>IFERROR(E255/E445, "NA")</f>
        <v>0</v>
      </c>
      <c r="G255" s="9"/>
      <c r="H255" s="10">
        <f t="shared" si="64"/>
        <v>0</v>
      </c>
      <c r="I255" s="8">
        <f>IFERROR(H255/H445, "NA")</f>
        <v>0</v>
      </c>
      <c r="J255" s="9"/>
      <c r="K255" s="7">
        <v>0</v>
      </c>
      <c r="L255" s="8">
        <f>IFERROR(K255/K445, "NA")</f>
        <v>0</v>
      </c>
      <c r="M255" s="9"/>
      <c r="N255" s="10">
        <f t="shared" si="65"/>
        <v>0</v>
      </c>
      <c r="O255" s="8">
        <f>IFERROR(N255/N445, "NA")</f>
        <v>0</v>
      </c>
      <c r="P255" s="9"/>
      <c r="Q255" s="7">
        <v>0</v>
      </c>
      <c r="R255" s="8">
        <f>IFERROR(Q255/Q445, "NA")</f>
        <v>0</v>
      </c>
      <c r="S255" s="9"/>
      <c r="T255" s="7">
        <v>0</v>
      </c>
      <c r="U255" s="8">
        <f>IFERROR(T255/T445, "NA")</f>
        <v>0</v>
      </c>
      <c r="V255" s="9"/>
      <c r="W255" s="10">
        <f t="shared" si="66"/>
        <v>0</v>
      </c>
      <c r="X255" s="8">
        <f>IFERROR(W255/W445, "NA")</f>
        <v>0</v>
      </c>
      <c r="Y255" s="9"/>
      <c r="Z255" s="7">
        <v>0</v>
      </c>
      <c r="AA255" s="8">
        <f>IFERROR(Z255/Z445, "NA")</f>
        <v>0</v>
      </c>
      <c r="AB255" s="9"/>
      <c r="AC255" s="10">
        <f t="shared" si="67"/>
        <v>0</v>
      </c>
      <c r="AD255" s="8">
        <f>IFERROR(AC255/AC445,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IFERROR(B256/B445, "NA")</f>
        <v>0</v>
      </c>
      <c r="D256" s="9"/>
      <c r="E256" s="7">
        <v>0</v>
      </c>
      <c r="F256" s="8">
        <f>IFERROR(E256/E445, "NA")</f>
        <v>0</v>
      </c>
      <c r="G256" s="9"/>
      <c r="H256" s="10">
        <f t="shared" si="64"/>
        <v>0</v>
      </c>
      <c r="I256" s="8">
        <f>IFERROR(H256/H445, "NA")</f>
        <v>0</v>
      </c>
      <c r="J256" s="9"/>
      <c r="K256" s="7">
        <v>0</v>
      </c>
      <c r="L256" s="8">
        <f>IFERROR(K256/K445, "NA")</f>
        <v>0</v>
      </c>
      <c r="M256" s="9"/>
      <c r="N256" s="10">
        <f t="shared" si="65"/>
        <v>0</v>
      </c>
      <c r="O256" s="8">
        <f>IFERROR(N256/N445, "NA")</f>
        <v>0</v>
      </c>
      <c r="P256" s="9"/>
      <c r="Q256" s="7">
        <v>0</v>
      </c>
      <c r="R256" s="8">
        <f>IFERROR(Q256/Q445, "NA")</f>
        <v>0</v>
      </c>
      <c r="S256" s="9"/>
      <c r="T256" s="7">
        <v>0</v>
      </c>
      <c r="U256" s="8">
        <f>IFERROR(T256/T445, "NA")</f>
        <v>0</v>
      </c>
      <c r="V256" s="9"/>
      <c r="W256" s="10">
        <f t="shared" si="66"/>
        <v>0</v>
      </c>
      <c r="X256" s="8">
        <f>IFERROR(W256/W445, "NA")</f>
        <v>0</v>
      </c>
      <c r="Y256" s="9"/>
      <c r="Z256" s="7">
        <v>0</v>
      </c>
      <c r="AA256" s="8">
        <f>IFERROR(Z256/Z445, "NA")</f>
        <v>0</v>
      </c>
      <c r="AB256" s="9"/>
      <c r="AC256" s="10">
        <f t="shared" si="67"/>
        <v>0</v>
      </c>
      <c r="AD256" s="8">
        <f>IFERROR(AC256/AC445,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IFERROR(B257/B445, "NA")</f>
        <v>0</v>
      </c>
      <c r="D257" s="9"/>
      <c r="E257" s="7">
        <v>0</v>
      </c>
      <c r="F257" s="8">
        <f>IFERROR(E257/E445, "NA")</f>
        <v>0</v>
      </c>
      <c r="G257" s="9"/>
      <c r="H257" s="10">
        <f t="shared" si="64"/>
        <v>0</v>
      </c>
      <c r="I257" s="8">
        <f>IFERROR(H257/H445, "NA")</f>
        <v>0</v>
      </c>
      <c r="J257" s="9"/>
      <c r="K257" s="7">
        <v>0</v>
      </c>
      <c r="L257" s="8">
        <f>IFERROR(K257/K445, "NA")</f>
        <v>0</v>
      </c>
      <c r="M257" s="9"/>
      <c r="N257" s="10">
        <f t="shared" si="65"/>
        <v>0</v>
      </c>
      <c r="O257" s="8">
        <f>IFERROR(N257/N445, "NA")</f>
        <v>0</v>
      </c>
      <c r="P257" s="9"/>
      <c r="Q257" s="7">
        <v>0</v>
      </c>
      <c r="R257" s="8">
        <f>IFERROR(Q257/Q445, "NA")</f>
        <v>0</v>
      </c>
      <c r="S257" s="9"/>
      <c r="T257" s="7">
        <v>0</v>
      </c>
      <c r="U257" s="8">
        <f>IFERROR(T257/T445, "NA")</f>
        <v>0</v>
      </c>
      <c r="V257" s="9"/>
      <c r="W257" s="10">
        <f t="shared" si="66"/>
        <v>0</v>
      </c>
      <c r="X257" s="8">
        <f>IFERROR(W257/W445, "NA")</f>
        <v>0</v>
      </c>
      <c r="Y257" s="9"/>
      <c r="Z257" s="7">
        <v>0</v>
      </c>
      <c r="AA257" s="8">
        <f>IFERROR(Z257/Z445, "NA")</f>
        <v>0</v>
      </c>
      <c r="AB257" s="9"/>
      <c r="AC257" s="10">
        <f t="shared" si="67"/>
        <v>0</v>
      </c>
      <c r="AD257" s="8">
        <f>IFERROR(AC257/AC445, "NA")</f>
        <v>0</v>
      </c>
    </row>
    <row r="258" spans="1:30" ht="16.5" customHeight="1" x14ac:dyDescent="0.45">
      <c r="A258" s="12" t="s">
        <v>235</v>
      </c>
      <c r="B258" s="7">
        <v>267.61</v>
      </c>
      <c r="C258" s="8">
        <f>IFERROR(B258/B445, "NA")</f>
        <v>3.0660813221328547E-3</v>
      </c>
      <c r="D258" s="9"/>
      <c r="E258" s="7">
        <v>0</v>
      </c>
      <c r="F258" s="8">
        <f>IFERROR(E258/E445, "NA")</f>
        <v>0</v>
      </c>
      <c r="G258" s="9"/>
      <c r="H258" s="10">
        <f t="shared" si="64"/>
        <v>-267.61</v>
      </c>
      <c r="I258" s="8">
        <f>IFERROR(H258/H445, "NA")</f>
        <v>4.4436142037576655E-2</v>
      </c>
      <c r="J258" s="9"/>
      <c r="K258" s="7">
        <v>544.41999999999996</v>
      </c>
      <c r="L258" s="8">
        <f>IFERROR(K258/K445, "NA")</f>
        <v>6.3819862979895958E-3</v>
      </c>
      <c r="M258" s="9"/>
      <c r="N258" s="10">
        <f t="shared" si="65"/>
        <v>276.80999999999995</v>
      </c>
      <c r="O258" s="8">
        <f>IFERROR(N258/N445, "NA")</f>
        <v>0.14015270422164403</v>
      </c>
      <c r="P258" s="9"/>
      <c r="Q258" s="7">
        <v>755.18</v>
      </c>
      <c r="R258" s="8">
        <f>IFERROR(Q258/Q445, "NA")</f>
        <v>1.6881460928844724E-3</v>
      </c>
      <c r="S258" s="9"/>
      <c r="T258" s="7">
        <v>0</v>
      </c>
      <c r="U258" s="8">
        <f>IFERROR(T258/T445, "NA")</f>
        <v>0</v>
      </c>
      <c r="V258" s="9"/>
      <c r="W258" s="10">
        <f t="shared" si="66"/>
        <v>-755.18</v>
      </c>
      <c r="X258" s="8">
        <f>IFERROR(W258/W445, "NA")</f>
        <v>-0.11947027955710016</v>
      </c>
      <c r="Y258" s="9"/>
      <c r="Z258" s="7">
        <v>544.41999999999996</v>
      </c>
      <c r="AA258" s="8">
        <f>IFERROR(Z258/Z445, "NA")</f>
        <v>1.3262075115495057E-3</v>
      </c>
      <c r="AB258" s="9"/>
      <c r="AC258" s="10">
        <f t="shared" si="67"/>
        <v>-210.76</v>
      </c>
      <c r="AD258" s="8">
        <f>IFERROR(AC258/AC445, "NA")</f>
        <v>-5.7219044743848646E-3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IFERROR(B259/B445, "NA")</f>
        <v>0</v>
      </c>
      <c r="D259" s="9"/>
      <c r="E259" s="7">
        <v>0</v>
      </c>
      <c r="F259" s="8">
        <f>IFERROR(E259/E445, "NA")</f>
        <v>0</v>
      </c>
      <c r="G259" s="9"/>
      <c r="H259" s="10">
        <f t="shared" si="64"/>
        <v>0</v>
      </c>
      <c r="I259" s="8">
        <f>IFERROR(H259/H445, "NA")</f>
        <v>0</v>
      </c>
      <c r="J259" s="9"/>
      <c r="K259" s="7">
        <v>0</v>
      </c>
      <c r="L259" s="8">
        <f>IFERROR(K259/K445, "NA")</f>
        <v>0</v>
      </c>
      <c r="M259" s="9"/>
      <c r="N259" s="10">
        <f t="shared" si="65"/>
        <v>0</v>
      </c>
      <c r="O259" s="8">
        <f>IFERROR(N259/N445, "NA")</f>
        <v>0</v>
      </c>
      <c r="P259" s="9"/>
      <c r="Q259" s="7">
        <v>0</v>
      </c>
      <c r="R259" s="8">
        <f>IFERROR(Q259/Q445, "NA")</f>
        <v>0</v>
      </c>
      <c r="S259" s="9"/>
      <c r="T259" s="7">
        <v>0</v>
      </c>
      <c r="U259" s="8">
        <f>IFERROR(T259/T445, "NA")</f>
        <v>0</v>
      </c>
      <c r="V259" s="9"/>
      <c r="W259" s="10">
        <f t="shared" si="66"/>
        <v>0</v>
      </c>
      <c r="X259" s="8">
        <f>IFERROR(W259/W445, "NA")</f>
        <v>0</v>
      </c>
      <c r="Y259" s="9"/>
      <c r="Z259" s="7">
        <v>0</v>
      </c>
      <c r="AA259" s="8">
        <f>IFERROR(Z259/Z445, "NA")</f>
        <v>0</v>
      </c>
      <c r="AB259" s="9"/>
      <c r="AC259" s="10">
        <f t="shared" si="67"/>
        <v>0</v>
      </c>
      <c r="AD259" s="8">
        <f>IFERROR(AC259/AC445, "NA")</f>
        <v>0</v>
      </c>
    </row>
    <row r="260" spans="1:30" ht="16.5" customHeight="1" x14ac:dyDescent="0.45">
      <c r="A260" s="12" t="s">
        <v>237</v>
      </c>
      <c r="B260" s="7">
        <v>864</v>
      </c>
      <c r="C260" s="8">
        <f>IFERROR(B260/B445, "NA")</f>
        <v>9.8990854688643399E-3</v>
      </c>
      <c r="D260" s="9"/>
      <c r="E260" s="7">
        <v>0</v>
      </c>
      <c r="F260" s="8">
        <f>IFERROR(E260/E445, "NA")</f>
        <v>0</v>
      </c>
      <c r="G260" s="9"/>
      <c r="H260" s="10">
        <f t="shared" si="64"/>
        <v>-864</v>
      </c>
      <c r="I260" s="8">
        <f>IFERROR(H260/H445, "NA")</f>
        <v>0.14346559067473647</v>
      </c>
      <c r="J260" s="9"/>
      <c r="K260" s="7">
        <v>0</v>
      </c>
      <c r="L260" s="8">
        <f>IFERROR(K260/K445, "NA")</f>
        <v>0</v>
      </c>
      <c r="M260" s="9"/>
      <c r="N260" s="10">
        <f t="shared" si="65"/>
        <v>-864</v>
      </c>
      <c r="O260" s="8">
        <f>IFERROR(N260/N445, "NA")</f>
        <v>-0.4374550646562641</v>
      </c>
      <c r="P260" s="9"/>
      <c r="Q260" s="7">
        <v>3965.9</v>
      </c>
      <c r="R260" s="8">
        <f>IFERROR(Q260/Q445, "NA")</f>
        <v>8.8654606713240939E-3</v>
      </c>
      <c r="S260" s="9"/>
      <c r="T260" s="7">
        <v>0</v>
      </c>
      <c r="U260" s="8">
        <f>IFERROR(T260/T445, "NA")</f>
        <v>0</v>
      </c>
      <c r="V260" s="9"/>
      <c r="W260" s="10">
        <f t="shared" si="66"/>
        <v>-3965.9</v>
      </c>
      <c r="X260" s="8">
        <f>IFERROR(W260/W445, "NA")</f>
        <v>-0.62740959995696866</v>
      </c>
      <c r="Y260" s="9"/>
      <c r="Z260" s="7">
        <v>0</v>
      </c>
      <c r="AA260" s="8">
        <f>IFERROR(Z260/Z445, "NA")</f>
        <v>0</v>
      </c>
      <c r="AB260" s="9"/>
      <c r="AC260" s="10">
        <f t="shared" si="67"/>
        <v>-3965.9</v>
      </c>
      <c r="AD260" s="8">
        <f>IFERROR(AC260/AC445, "NA")</f>
        <v>-0.10766986598483078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IFERROR(B261/B445, "NA")</f>
        <v>0</v>
      </c>
      <c r="D261" s="9"/>
      <c r="E261" s="7">
        <v>0</v>
      </c>
      <c r="F261" s="8">
        <f>IFERROR(E261/E445, "NA")</f>
        <v>0</v>
      </c>
      <c r="G261" s="9"/>
      <c r="H261" s="10">
        <f t="shared" si="64"/>
        <v>0</v>
      </c>
      <c r="I261" s="8">
        <f>IFERROR(H261/H445, "NA")</f>
        <v>0</v>
      </c>
      <c r="J261" s="9"/>
      <c r="K261" s="7">
        <v>0</v>
      </c>
      <c r="L261" s="8">
        <f>IFERROR(K261/K445, "NA")</f>
        <v>0</v>
      </c>
      <c r="M261" s="9"/>
      <c r="N261" s="10">
        <f t="shared" si="65"/>
        <v>0</v>
      </c>
      <c r="O261" s="8">
        <f>IFERROR(N261/N445, "NA")</f>
        <v>0</v>
      </c>
      <c r="P261" s="9"/>
      <c r="Q261" s="7">
        <v>0</v>
      </c>
      <c r="R261" s="8">
        <f>IFERROR(Q261/Q445, "NA")</f>
        <v>0</v>
      </c>
      <c r="S261" s="9"/>
      <c r="T261" s="7">
        <v>0</v>
      </c>
      <c r="U261" s="8">
        <f>IFERROR(T261/T445, "NA")</f>
        <v>0</v>
      </c>
      <c r="V261" s="9"/>
      <c r="W261" s="10">
        <f t="shared" si="66"/>
        <v>0</v>
      </c>
      <c r="X261" s="8">
        <f>IFERROR(W261/W445, "NA")</f>
        <v>0</v>
      </c>
      <c r="Y261" s="9"/>
      <c r="Z261" s="7">
        <v>0</v>
      </c>
      <c r="AA261" s="8">
        <f>IFERROR(Z261/Z445, "NA")</f>
        <v>0</v>
      </c>
      <c r="AB261" s="9"/>
      <c r="AC261" s="10">
        <f t="shared" si="67"/>
        <v>0</v>
      </c>
      <c r="AD261" s="8">
        <f>IFERROR(AC261/AC445, "NA")</f>
        <v>0</v>
      </c>
    </row>
    <row r="262" spans="1:30" ht="16.5" hidden="1" customHeight="1" x14ac:dyDescent="0.45">
      <c r="A262" s="12" t="s">
        <v>239</v>
      </c>
      <c r="B262" s="7">
        <v>0</v>
      </c>
      <c r="C262" s="8">
        <f>IFERROR(B262/B445, "NA")</f>
        <v>0</v>
      </c>
      <c r="D262" s="9"/>
      <c r="E262" s="7">
        <v>0</v>
      </c>
      <c r="F262" s="8">
        <f>IFERROR(E262/E445, "NA")</f>
        <v>0</v>
      </c>
      <c r="G262" s="9"/>
      <c r="H262" s="10">
        <f t="shared" si="64"/>
        <v>0</v>
      </c>
      <c r="I262" s="8">
        <f>IFERROR(H262/H445, "NA")</f>
        <v>0</v>
      </c>
      <c r="J262" s="9"/>
      <c r="K262" s="7">
        <v>0</v>
      </c>
      <c r="L262" s="8">
        <f>IFERROR(K262/K445, "NA")</f>
        <v>0</v>
      </c>
      <c r="M262" s="9"/>
      <c r="N262" s="10">
        <f t="shared" si="65"/>
        <v>0</v>
      </c>
      <c r="O262" s="8">
        <f>IFERROR(N262/N445, "NA")</f>
        <v>0</v>
      </c>
      <c r="P262" s="9"/>
      <c r="Q262" s="7">
        <v>0</v>
      </c>
      <c r="R262" s="8">
        <f>IFERROR(Q262/Q445, "NA")</f>
        <v>0</v>
      </c>
      <c r="S262" s="9"/>
      <c r="T262" s="7">
        <v>0</v>
      </c>
      <c r="U262" s="8">
        <f>IFERROR(T262/T445, "NA")</f>
        <v>0</v>
      </c>
      <c r="V262" s="9"/>
      <c r="W262" s="10">
        <f t="shared" si="66"/>
        <v>0</v>
      </c>
      <c r="X262" s="8">
        <f>IFERROR(W262/W445, "NA")</f>
        <v>0</v>
      </c>
      <c r="Y262" s="9"/>
      <c r="Z262" s="7">
        <v>0</v>
      </c>
      <c r="AA262" s="8">
        <f>IFERROR(Z262/Z445, "NA")</f>
        <v>0</v>
      </c>
      <c r="AB262" s="9"/>
      <c r="AC262" s="10">
        <f t="shared" si="67"/>
        <v>0</v>
      </c>
      <c r="AD262" s="8">
        <f>IFERROR(AC262/AC445, "NA")</f>
        <v>0</v>
      </c>
    </row>
    <row r="263" spans="1:30" ht="16.5" customHeight="1" x14ac:dyDescent="0.45">
      <c r="A263" s="13" t="s">
        <v>240</v>
      </c>
      <c r="B263" s="14">
        <f>IFERROR(B240+B241+B242+B243+B244+B245+B246+B247+B248+B249+B250+B251+B252+B253+B254+B255+B256+B257+B258+B259+B260+B261+B262, "NA")</f>
        <v>6027.78</v>
      </c>
      <c r="C263" s="15">
        <f>IFERROR(B263/B445, "NA")</f>
        <v>6.9061932184619326E-2</v>
      </c>
      <c r="D263" s="2"/>
      <c r="E263" s="14">
        <f>IFERROR(E240+E241+E242+E243+E244+E245+E246+E247+E248+E249+E250+E251+E252+E253+E254+E255+E256+E257+E258+E259+E260+E261+E262, "NA")</f>
        <v>5038.37</v>
      </c>
      <c r="F263" s="15">
        <f>IFERROR(E263/E445, "NA")</f>
        <v>5.4000004715811276E-2</v>
      </c>
      <c r="G263" s="2"/>
      <c r="H263" s="14">
        <f t="shared" si="64"/>
        <v>-989.40999999999985</v>
      </c>
      <c r="I263" s="15">
        <f>IFERROR(H263/H445, "NA")</f>
        <v>0.16428968758042939</v>
      </c>
      <c r="J263" s="2"/>
      <c r="K263" s="14">
        <f>IFERROR(K240+K241+K242+K243+K244+K245+K246+K247+K248+K249+K250+K251+K252+K253+K254+K255+K256+K257+K258+K259+K260+K261+K262, "NA")</f>
        <v>4857.3600000000006</v>
      </c>
      <c r="L263" s="15">
        <f>IFERROR(K263/K445, "NA")</f>
        <v>5.6940606451641652E-2</v>
      </c>
      <c r="M263" s="2"/>
      <c r="N263" s="14">
        <f t="shared" si="65"/>
        <v>-1170.4199999999992</v>
      </c>
      <c r="O263" s="15">
        <f>IFERROR(N263/N445, "NA")</f>
        <v>-0.59259971848956516</v>
      </c>
      <c r="P263" s="2"/>
      <c r="Q263" s="14">
        <f>IFERROR(Q240+Q241+Q242+Q243+Q244+Q245+Q246+Q247+Q248+Q249+Q250+Q251+Q252+Q253+Q254+Q255+Q256+Q257+Q258+Q259+Q260+Q261+Q262, "NA")</f>
        <v>30072.380000000005</v>
      </c>
      <c r="R263" s="15">
        <f>IFERROR(Q263/Q445, "NA")</f>
        <v>6.7224464102250012E-2</v>
      </c>
      <c r="S263" s="2"/>
      <c r="T263" s="14">
        <f>IFERROR(T240+T241+T242+T243+T244+T245+T246+T247+T248+T249+T250+T251+T252+T253+T254+T255+T256+T257+T258+T259+T260+T261+T262, "NA")</f>
        <v>23815.17</v>
      </c>
      <c r="U263" s="15">
        <f>IFERROR(T263/T445, "NA")</f>
        <v>5.3999992245280064E-2</v>
      </c>
      <c r="V263" s="2"/>
      <c r="W263" s="14">
        <f t="shared" si="66"/>
        <v>-6257.2100000000064</v>
      </c>
      <c r="X263" s="15">
        <f>IFERROR(W263/W445, "NA")</f>
        <v>-0.98989728004910549</v>
      </c>
      <c r="Y263" s="2"/>
      <c r="Z263" s="14">
        <f>IFERROR(Z240+Z241+Z242+Z243+Z244+Z245+Z246+Z247+Z248+Z249+Z250+Z251+Z252+Z253+Z254+Z255+Z256+Z257+Z258+Z259+Z260+Z261+Z262, "NA")</f>
        <v>21772.45</v>
      </c>
      <c r="AA263" s="15">
        <f>IFERROR(Z263/Z445, "NA")</f>
        <v>5.303770385885169E-2</v>
      </c>
      <c r="AB263" s="2"/>
      <c r="AC263" s="14">
        <f t="shared" si="67"/>
        <v>-8299.9300000000039</v>
      </c>
      <c r="AD263" s="15">
        <f>IFERROR(AC263/AC445, "NA")</f>
        <v>-0.22533406056216165</v>
      </c>
    </row>
    <row r="264" spans="1:30" ht="16.5" customHeight="1" x14ac:dyDescent="0.45">
      <c r="A264" s="19" t="s">
        <v>241</v>
      </c>
      <c r="B264" s="14">
        <f>IFERROR(B238+B240+B241+B242+B243+B244+B245+B246+B247+B248+B249+B250+B251+B252+B253+B254+B255+B256+B257+B258+B259+B260+B261+B262, "NA")</f>
        <v>6027.78</v>
      </c>
      <c r="C264" s="15">
        <f>IFERROR(B264/B445, "NA")</f>
        <v>6.9061932184619326E-2</v>
      </c>
      <c r="D264" s="2"/>
      <c r="E264" s="14">
        <f>IFERROR(E238+E240+E241+E242+E243+E244+E245+E246+E247+E248+E249+E250+E251+E252+E253+E254+E255+E256+E257+E258+E259+E260+E261+E262, "NA")</f>
        <v>5038.37</v>
      </c>
      <c r="F264" s="15">
        <f>IFERROR(E264/E445, "NA")</f>
        <v>5.4000004715811276E-2</v>
      </c>
      <c r="G264" s="2"/>
      <c r="H264" s="14">
        <f t="shared" si="64"/>
        <v>-989.40999999999985</v>
      </c>
      <c r="I264" s="15">
        <f>IFERROR(H264/H445, "NA")</f>
        <v>0.16428968758042939</v>
      </c>
      <c r="J264" s="2"/>
      <c r="K264" s="14">
        <f>IFERROR(K238+K240+K241+K242+K243+K244+K245+K246+K247+K248+K249+K250+K251+K252+K253+K254+K255+K256+K257+K258+K259+K260+K261+K262, "NA")</f>
        <v>4857.3600000000006</v>
      </c>
      <c r="L264" s="15">
        <f>IFERROR(K264/K445, "NA")</f>
        <v>5.6940606451641652E-2</v>
      </c>
      <c r="M264" s="2"/>
      <c r="N264" s="14">
        <f t="shared" si="65"/>
        <v>-1170.4199999999992</v>
      </c>
      <c r="O264" s="15">
        <f>IFERROR(N264/N445, "NA")</f>
        <v>-0.59259971848956516</v>
      </c>
      <c r="P264" s="2"/>
      <c r="Q264" s="14">
        <f>IFERROR(Q238+Q240+Q241+Q242+Q243+Q244+Q245+Q246+Q247+Q248+Q249+Q250+Q251+Q252+Q253+Q254+Q255+Q256+Q257+Q258+Q259+Q260+Q261+Q262, "NA")</f>
        <v>30072.380000000005</v>
      </c>
      <c r="R264" s="15">
        <f>IFERROR(Q264/Q445, "NA")</f>
        <v>6.7224464102250012E-2</v>
      </c>
      <c r="S264" s="2"/>
      <c r="T264" s="14">
        <f>IFERROR(T238+T240+T241+T242+T243+T244+T245+T246+T247+T248+T249+T250+T251+T252+T253+T254+T255+T256+T257+T258+T259+T260+T261+T262, "NA")</f>
        <v>23815.17</v>
      </c>
      <c r="U264" s="15">
        <f>IFERROR(T264/T445, "NA")</f>
        <v>5.3999992245280064E-2</v>
      </c>
      <c r="V264" s="2"/>
      <c r="W264" s="14">
        <f t="shared" si="66"/>
        <v>-6257.2100000000064</v>
      </c>
      <c r="X264" s="15">
        <f>IFERROR(W264/W445, "NA")</f>
        <v>-0.98989728004910549</v>
      </c>
      <c r="Y264" s="2"/>
      <c r="Z264" s="14">
        <f>IFERROR(Z238+Z240+Z241+Z242+Z243+Z244+Z245+Z246+Z247+Z248+Z249+Z250+Z251+Z252+Z253+Z254+Z255+Z256+Z257+Z258+Z259+Z260+Z261+Z262, "NA")</f>
        <v>21772.45</v>
      </c>
      <c r="AA264" s="15">
        <f>IFERROR(Z264/Z445, "NA")</f>
        <v>5.303770385885169E-2</v>
      </c>
      <c r="AB264" s="2"/>
      <c r="AC264" s="14">
        <f t="shared" si="67"/>
        <v>-8299.9300000000039</v>
      </c>
      <c r="AD264" s="15">
        <f>IFERROR(AC264/AC445, "NA")</f>
        <v>-0.22533406056216165</v>
      </c>
    </row>
    <row r="265" spans="1:30" ht="16.5" customHeight="1" x14ac:dyDescent="0.45">
      <c r="A265" s="5" t="s">
        <v>242</v>
      </c>
      <c r="B265" s="2"/>
      <c r="C265" s="3"/>
      <c r="D265" s="4"/>
      <c r="E265" s="2"/>
      <c r="F265" s="3"/>
      <c r="G265" s="4"/>
      <c r="H265" s="2"/>
      <c r="I265" s="3"/>
      <c r="J265" s="4"/>
      <c r="K265" s="2"/>
      <c r="L265" s="3"/>
      <c r="M265" s="4"/>
      <c r="N265" s="2"/>
      <c r="O265" s="3"/>
      <c r="P265" s="4"/>
      <c r="Q265" s="2"/>
      <c r="R265" s="3"/>
      <c r="S265" s="4"/>
      <c r="T265" s="2"/>
      <c r="U265" s="3"/>
      <c r="V265" s="4"/>
      <c r="W265" s="2"/>
      <c r="X265" s="3"/>
      <c r="Y265" s="4"/>
      <c r="Z265" s="2"/>
      <c r="AA265" s="3"/>
      <c r="AB265" s="4"/>
      <c r="AC265" s="2"/>
      <c r="AD265" s="3"/>
    </row>
    <row r="266" spans="1:30" ht="16.5" customHeight="1" x14ac:dyDescent="0.45">
      <c r="A266" s="6" t="s">
        <v>242</v>
      </c>
      <c r="B266" s="7">
        <v>2522.1</v>
      </c>
      <c r="C266" s="8">
        <f>IFERROR(B266/B445, "NA")</f>
        <v>2.889639289470226E-2</v>
      </c>
      <c r="D266" s="9"/>
      <c r="E266" s="7">
        <v>2519.1799999999998</v>
      </c>
      <c r="F266" s="8">
        <f>IFERROR(E266/E445, "NA")</f>
        <v>2.6999948769141101E-2</v>
      </c>
      <c r="G266" s="9"/>
      <c r="H266" s="10">
        <f>IFERROR(-(B266-E266), "NA")</f>
        <v>-2.9200000000000728</v>
      </c>
      <c r="I266" s="8">
        <f>IFERROR(H266/H445, "NA")</f>
        <v>4.8486056107666775E-4</v>
      </c>
      <c r="J266" s="9"/>
      <c r="K266" s="7">
        <v>2396.33</v>
      </c>
      <c r="L266" s="8">
        <f>IFERROR(K266/K445, "NA")</f>
        <v>2.8091078993169628E-2</v>
      </c>
      <c r="M266" s="9"/>
      <c r="N266" s="10">
        <f>IFERROR(-(B266-K266), "NA")</f>
        <v>-125.76999999999998</v>
      </c>
      <c r="O266" s="8">
        <f>IFERROR(N266/N445, "NA")</f>
        <v>-6.3679078103956399E-2</v>
      </c>
      <c r="P266" s="9"/>
      <c r="Q266" s="7">
        <v>11861.38</v>
      </c>
      <c r="R266" s="8">
        <f>IFERROR(Q266/Q445, "NA")</f>
        <v>2.6515191481789803E-2</v>
      </c>
      <c r="S266" s="9"/>
      <c r="T266" s="7">
        <v>11907.58</v>
      </c>
      <c r="U266" s="8">
        <f>IFERROR(T266/T445, "NA")</f>
        <v>2.6999984785330194E-2</v>
      </c>
      <c r="V266" s="9"/>
      <c r="W266" s="10">
        <f>IFERROR(-(Q266-T266), "NA")</f>
        <v>46.200000000000728</v>
      </c>
      <c r="X266" s="8">
        <f>IFERROR(W266/W445, "NA")</f>
        <v>7.3088891595885948E-3</v>
      </c>
      <c r="Y266" s="9"/>
      <c r="Z266" s="7">
        <v>11261.1</v>
      </c>
      <c r="AA266" s="8">
        <f>IFERROR(Z266/Z445, "NA")</f>
        <v>2.7432047699037766E-2</v>
      </c>
      <c r="AB266" s="9"/>
      <c r="AC266" s="10">
        <f>IFERROR(-(Q266-Z266), "NA")</f>
        <v>-600.27999999999884</v>
      </c>
      <c r="AD266" s="8">
        <f>IFERROR(AC266/AC445, "NA")</f>
        <v>-1.6296948272365438E-2</v>
      </c>
    </row>
    <row r="267" spans="1:30" ht="16.5" customHeight="1" x14ac:dyDescent="0.45">
      <c r="A267" s="6" t="s">
        <v>243</v>
      </c>
      <c r="B267" s="7">
        <v>0</v>
      </c>
      <c r="C267" s="8">
        <f>IFERROR(B267/B445, "NA")</f>
        <v>0</v>
      </c>
      <c r="D267" s="9"/>
      <c r="E267" s="7">
        <v>0</v>
      </c>
      <c r="F267" s="8">
        <f>IFERROR(E267/E445, "NA")</f>
        <v>0</v>
      </c>
      <c r="G267" s="9"/>
      <c r="H267" s="10">
        <f>IFERROR(-(B267-E267), "NA")</f>
        <v>0</v>
      </c>
      <c r="I267" s="8">
        <f>IFERROR(H267/H445, "NA")</f>
        <v>0</v>
      </c>
      <c r="J267" s="9"/>
      <c r="K267" s="7">
        <v>139.86000000000001</v>
      </c>
      <c r="L267" s="8">
        <f>IFERROR(K267/K445, "NA")</f>
        <v>1.6395147195856601E-3</v>
      </c>
      <c r="M267" s="9"/>
      <c r="N267" s="10">
        <f>IFERROR(-(B267-K267), "NA")</f>
        <v>139.86000000000001</v>
      </c>
      <c r="O267" s="8">
        <f>IFERROR(N267/N445, "NA")</f>
        <v>7.0813038591232766E-2</v>
      </c>
      <c r="P267" s="9"/>
      <c r="Q267" s="7">
        <v>0</v>
      </c>
      <c r="R267" s="8">
        <f>IFERROR(Q267/Q445, "NA")</f>
        <v>0</v>
      </c>
      <c r="S267" s="9"/>
      <c r="T267" s="7">
        <v>0</v>
      </c>
      <c r="U267" s="8">
        <f>IFERROR(T267/T445, "NA")</f>
        <v>0</v>
      </c>
      <c r="V267" s="9"/>
      <c r="W267" s="10">
        <f>IFERROR(-(Q267-T267), "NA")</f>
        <v>0</v>
      </c>
      <c r="X267" s="8">
        <f>IFERROR(W267/W445, "NA")</f>
        <v>0</v>
      </c>
      <c r="Y267" s="9"/>
      <c r="Z267" s="7">
        <v>398.48</v>
      </c>
      <c r="AA267" s="8">
        <f>IFERROR(Z267/Z445, "NA")</f>
        <v>9.7069756658874962E-4</v>
      </c>
      <c r="AB267" s="9"/>
      <c r="AC267" s="10">
        <f>IFERROR(-(Q267-Z267), "NA")</f>
        <v>398.48</v>
      </c>
      <c r="AD267" s="8">
        <f>IFERROR(AC267/AC445, "NA")</f>
        <v>1.0818298040201561E-2</v>
      </c>
    </row>
    <row r="268" spans="1:30" ht="16.5" customHeight="1" x14ac:dyDescent="0.45">
      <c r="A268" s="19" t="s">
        <v>244</v>
      </c>
      <c r="B268" s="14">
        <f>IFERROR(B266+B267, "NA")</f>
        <v>2522.1</v>
      </c>
      <c r="C268" s="15">
        <f>IFERROR(B268/B445, "NA")</f>
        <v>2.889639289470226E-2</v>
      </c>
      <c r="D268" s="2"/>
      <c r="E268" s="14">
        <f>IFERROR(E266+E267, "NA")</f>
        <v>2519.1799999999998</v>
      </c>
      <c r="F268" s="15">
        <f>IFERROR(E268/E445, "NA")</f>
        <v>2.6999948769141101E-2</v>
      </c>
      <c r="G268" s="2"/>
      <c r="H268" s="14">
        <f>IFERROR(-(B268-E268), "NA")</f>
        <v>-2.9200000000000728</v>
      </c>
      <c r="I268" s="15">
        <f>IFERROR(H268/H445, "NA")</f>
        <v>4.8486056107666775E-4</v>
      </c>
      <c r="J268" s="2"/>
      <c r="K268" s="14">
        <f>IFERROR(K266+K267, "NA")</f>
        <v>2536.19</v>
      </c>
      <c r="L268" s="15">
        <f>IFERROR(K268/K445, "NA")</f>
        <v>2.9730593712755288E-2</v>
      </c>
      <c r="M268" s="2"/>
      <c r="N268" s="14">
        <f>IFERROR(-(B268-K268), "NA")</f>
        <v>14.090000000000146</v>
      </c>
      <c r="O268" s="15">
        <f>IFERROR(N268/N445, "NA")</f>
        <v>7.133960487276418E-3</v>
      </c>
      <c r="P268" s="2"/>
      <c r="Q268" s="14">
        <f>IFERROR(Q266+Q267, "NA")</f>
        <v>11861.38</v>
      </c>
      <c r="R268" s="15">
        <f>IFERROR(Q268/Q445, "NA")</f>
        <v>2.6515191481789803E-2</v>
      </c>
      <c r="S268" s="2"/>
      <c r="T268" s="14">
        <f>IFERROR(T266+T267, "NA")</f>
        <v>11907.58</v>
      </c>
      <c r="U268" s="15">
        <f>IFERROR(T268/T445, "NA")</f>
        <v>2.6999984785330194E-2</v>
      </c>
      <c r="V268" s="2"/>
      <c r="W268" s="14">
        <f>IFERROR(-(Q268-T268), "NA")</f>
        <v>46.200000000000728</v>
      </c>
      <c r="X268" s="15">
        <f>IFERROR(W268/W445, "NA")</f>
        <v>7.3088891595885948E-3</v>
      </c>
      <c r="Y268" s="2"/>
      <c r="Z268" s="14">
        <f>IFERROR(Z266+Z267, "NA")</f>
        <v>11659.58</v>
      </c>
      <c r="AA268" s="15">
        <f>IFERROR(Z268/Z445, "NA")</f>
        <v>2.8402745265626514E-2</v>
      </c>
      <c r="AB268" s="2"/>
      <c r="AC268" s="14">
        <f>IFERROR(-(Q268-Z268), "NA")</f>
        <v>-201.79999999999927</v>
      </c>
      <c r="AD268" s="15">
        <f>IFERROR(AC268/AC445, "NA")</f>
        <v>-5.4786502321638904E-3</v>
      </c>
    </row>
    <row r="269" spans="1:30" ht="16.5" customHeight="1" x14ac:dyDescent="0.45">
      <c r="A269" s="5" t="s">
        <v>245</v>
      </c>
      <c r="B269" s="2"/>
      <c r="C269" s="3"/>
      <c r="D269" s="4"/>
      <c r="E269" s="2"/>
      <c r="F269" s="3"/>
      <c r="G269" s="4"/>
      <c r="H269" s="2"/>
      <c r="I269" s="3"/>
      <c r="J269" s="4"/>
      <c r="K269" s="2"/>
      <c r="L269" s="3"/>
      <c r="M269" s="4"/>
      <c r="N269" s="2"/>
      <c r="O269" s="3"/>
      <c r="P269" s="4"/>
      <c r="Q269" s="2"/>
      <c r="R269" s="3"/>
      <c r="S269" s="4"/>
      <c r="T269" s="2"/>
      <c r="U269" s="3"/>
      <c r="V269" s="4"/>
      <c r="W269" s="2"/>
      <c r="X269" s="3"/>
      <c r="Y269" s="4"/>
      <c r="Z269" s="2"/>
      <c r="AA269" s="3"/>
      <c r="AB269" s="4"/>
      <c r="AC269" s="2"/>
      <c r="AD269" s="3"/>
    </row>
    <row r="270" spans="1:30" ht="16.5" hidden="1" customHeight="1" x14ac:dyDescent="0.45">
      <c r="A270" s="6" t="s">
        <v>245</v>
      </c>
      <c r="B270" s="7">
        <v>0</v>
      </c>
      <c r="C270" s="8">
        <f>IFERROR(B270/B445, "NA")</f>
        <v>0</v>
      </c>
      <c r="D270" s="9"/>
      <c r="E270" s="7">
        <v>0</v>
      </c>
      <c r="F270" s="8">
        <f>IFERROR(E270/E445, "NA")</f>
        <v>0</v>
      </c>
      <c r="G270" s="9"/>
      <c r="H270" s="10">
        <f>IFERROR(-(B270-E270), "NA")</f>
        <v>0</v>
      </c>
      <c r="I270" s="8">
        <f>IFERROR(H270/H445, "NA")</f>
        <v>0</v>
      </c>
      <c r="J270" s="9"/>
      <c r="K270" s="7">
        <v>0</v>
      </c>
      <c r="L270" s="8">
        <f>IFERROR(K270/K445, "NA")</f>
        <v>0</v>
      </c>
      <c r="M270" s="9"/>
      <c r="N270" s="10">
        <f>IFERROR(-(B270-K270), "NA")</f>
        <v>0</v>
      </c>
      <c r="O270" s="8">
        <f>IFERROR(N270/N445, "NA")</f>
        <v>0</v>
      </c>
      <c r="P270" s="9"/>
      <c r="Q270" s="7">
        <v>0</v>
      </c>
      <c r="R270" s="8">
        <f>IFERROR(Q270/Q445, "NA")</f>
        <v>0</v>
      </c>
      <c r="S270" s="9"/>
      <c r="T270" s="7">
        <v>0</v>
      </c>
      <c r="U270" s="8">
        <f>IFERROR(T270/T445, "NA")</f>
        <v>0</v>
      </c>
      <c r="V270" s="9"/>
      <c r="W270" s="10">
        <f>IFERROR(-(Q270-T270), "NA")</f>
        <v>0</v>
      </c>
      <c r="X270" s="8">
        <f>IFERROR(W270/W445, "NA")</f>
        <v>0</v>
      </c>
      <c r="Y270" s="9"/>
      <c r="Z270" s="7">
        <v>0</v>
      </c>
      <c r="AA270" s="8">
        <f>IFERROR(Z270/Z445, "NA")</f>
        <v>0</v>
      </c>
      <c r="AB270" s="9"/>
      <c r="AC270" s="10">
        <f>IFERROR(-(Q270-Z270), "NA")</f>
        <v>0</v>
      </c>
      <c r="AD270" s="8">
        <f>IFERROR(AC270/AC445, "NA")</f>
        <v>0</v>
      </c>
    </row>
    <row r="271" spans="1:30" ht="16.5" customHeight="1" x14ac:dyDescent="0.45">
      <c r="A271" s="6" t="s">
        <v>246</v>
      </c>
      <c r="B271" s="7">
        <v>267</v>
      </c>
      <c r="C271" s="8">
        <f>IFERROR(B271/B445, "NA")</f>
        <v>3.0590923844754387E-3</v>
      </c>
      <c r="D271" s="9"/>
      <c r="E271" s="7">
        <v>236.72</v>
      </c>
      <c r="F271" s="8">
        <f>IFERROR(E271/E445, "NA")</f>
        <v>2.5371064682281862E-3</v>
      </c>
      <c r="G271" s="9"/>
      <c r="H271" s="10">
        <f>IFERROR(-(B271-E271), "NA")</f>
        <v>-30.28</v>
      </c>
      <c r="I271" s="8">
        <f>IFERROR(H271/H445, "NA")</f>
        <v>5.0279375991099775E-3</v>
      </c>
      <c r="J271" s="9"/>
      <c r="K271" s="7">
        <v>218.47</v>
      </c>
      <c r="L271" s="8">
        <f>IFERROR(K271/K445, "NA")</f>
        <v>2.561023743657079E-3</v>
      </c>
      <c r="M271" s="9"/>
      <c r="N271" s="10">
        <f>IFERROR(-(B271-K271), "NA")</f>
        <v>-48.53</v>
      </c>
      <c r="O271" s="8">
        <f>IFERROR(N271/N445, "NA")</f>
        <v>-2.4571405425657986E-2</v>
      </c>
      <c r="P271" s="9"/>
      <c r="Q271" s="7">
        <v>1335</v>
      </c>
      <c r="R271" s="8">
        <f>IFERROR(Q271/Q445, "NA")</f>
        <v>2.9842885590200628E-3</v>
      </c>
      <c r="S271" s="9"/>
      <c r="T271" s="7">
        <v>1183.5999999999999</v>
      </c>
      <c r="U271" s="8">
        <f>IFERROR(T271/T445, "NA")</f>
        <v>2.6837679857634224E-3</v>
      </c>
      <c r="V271" s="9"/>
      <c r="W271" s="10">
        <f>IFERROR(-(Q271-T271), "NA")</f>
        <v>-151.40000000000009</v>
      </c>
      <c r="X271" s="8">
        <f>IFERROR(W271/W445, "NA")</f>
        <v>-2.3951641098738017E-2</v>
      </c>
      <c r="Y271" s="9"/>
      <c r="Z271" s="7">
        <v>1092.3499999999999</v>
      </c>
      <c r="AA271" s="8">
        <f>IFERROR(Z271/Z445, "NA")</f>
        <v>2.6609653856234203E-3</v>
      </c>
      <c r="AB271" s="9"/>
      <c r="AC271" s="10">
        <f>IFERROR(-(Q271-Z271), "NA")</f>
        <v>-242.65000000000009</v>
      </c>
      <c r="AD271" s="8">
        <f>IFERROR(AC271/AC445, "NA")</f>
        <v>-6.587683244968153E-3</v>
      </c>
    </row>
    <row r="272" spans="1:30" ht="16.5" customHeight="1" x14ac:dyDescent="0.45">
      <c r="A272" s="6" t="s">
        <v>247</v>
      </c>
      <c r="B272" s="7">
        <v>1142.46</v>
      </c>
      <c r="C272" s="8">
        <f>IFERROR(B272/B445, "NA")</f>
        <v>1.3089478223100411E-2</v>
      </c>
      <c r="D272" s="9"/>
      <c r="E272" s="7">
        <v>1078.33</v>
      </c>
      <c r="F272" s="8">
        <f>IFERROR(E272/E445, "NA")</f>
        <v>1.1557274492584065E-2</v>
      </c>
      <c r="G272" s="9"/>
      <c r="H272" s="10">
        <f>IFERROR(-(B272-E272), "NA")</f>
        <v>-64.130000000000109</v>
      </c>
      <c r="I272" s="8">
        <f>IFERROR(H272/H445, "NA")</f>
        <v>1.0648667048577391E-2</v>
      </c>
      <c r="J272" s="9"/>
      <c r="K272" s="7">
        <v>1196.07</v>
      </c>
      <c r="L272" s="8">
        <f>IFERROR(K272/K445, "NA")</f>
        <v>1.4020980771162735E-2</v>
      </c>
      <c r="M272" s="9"/>
      <c r="N272" s="10">
        <f>IFERROR(-(B272-K272), "NA")</f>
        <v>53.6099999999999</v>
      </c>
      <c r="O272" s="8">
        <f>IFERROR(N272/N445, "NA")</f>
        <v>2.7143479185442448E-2</v>
      </c>
      <c r="P272" s="9"/>
      <c r="Q272" s="7">
        <v>5712.3</v>
      </c>
      <c r="R272" s="8">
        <f>IFERROR(Q272/Q445, "NA")</f>
        <v>1.2769401899393486E-2</v>
      </c>
      <c r="S272" s="9"/>
      <c r="T272" s="7">
        <v>5391.65</v>
      </c>
      <c r="U272" s="8">
        <f>IFERROR(T272/T445, "NA")</f>
        <v>1.2225361321765256E-2</v>
      </c>
      <c r="V272" s="9"/>
      <c r="W272" s="10">
        <f>IFERROR(-(Q272-T272), "NA")</f>
        <v>-320.65000000000055</v>
      </c>
      <c r="X272" s="8">
        <f>IFERROR(W272/W445, "NA")</f>
        <v>-5.0727171190953463E-2</v>
      </c>
      <c r="Y272" s="9"/>
      <c r="Z272" s="7">
        <v>6024.61</v>
      </c>
      <c r="AA272" s="8">
        <f>IFERROR(Z272/Z445, "NA")</f>
        <v>1.4675954292928745E-2</v>
      </c>
      <c r="AB272" s="9"/>
      <c r="AC272" s="10">
        <f>IFERROR(-(Q272-Z272), "NA")</f>
        <v>312.30999999999949</v>
      </c>
      <c r="AD272" s="8">
        <f>IFERROR(AC272/AC445, "NA")</f>
        <v>8.4788763825922094E-3</v>
      </c>
    </row>
    <row r="273" spans="1:30" ht="16.5" hidden="1" customHeight="1" x14ac:dyDescent="0.45">
      <c r="A273" s="6" t="s">
        <v>248</v>
      </c>
      <c r="B273" s="7">
        <v>0</v>
      </c>
      <c r="C273" s="8">
        <f>IFERROR(B273/B445, "NA")</f>
        <v>0</v>
      </c>
      <c r="D273" s="9"/>
      <c r="E273" s="7">
        <v>0</v>
      </c>
      <c r="F273" s="8">
        <f>IFERROR(E273/E445, "NA")</f>
        <v>0</v>
      </c>
      <c r="G273" s="9"/>
      <c r="H273" s="10">
        <f>IFERROR(-(B273-E273), "NA")</f>
        <v>0</v>
      </c>
      <c r="I273" s="8">
        <f>IFERROR(H273/H445, "NA")</f>
        <v>0</v>
      </c>
      <c r="J273" s="9"/>
      <c r="K273" s="7">
        <v>0</v>
      </c>
      <c r="L273" s="8">
        <f>IFERROR(K273/K445, "NA")</f>
        <v>0</v>
      </c>
      <c r="M273" s="9"/>
      <c r="N273" s="10">
        <f>IFERROR(-(B273-K273), "NA")</f>
        <v>0</v>
      </c>
      <c r="O273" s="8">
        <f>IFERROR(N273/N445, "NA")</f>
        <v>0</v>
      </c>
      <c r="P273" s="9"/>
      <c r="Q273" s="7">
        <v>0</v>
      </c>
      <c r="R273" s="8">
        <f>IFERROR(Q273/Q445, "NA")</f>
        <v>0</v>
      </c>
      <c r="S273" s="9"/>
      <c r="T273" s="7">
        <v>0</v>
      </c>
      <c r="U273" s="8">
        <f>IFERROR(T273/T445, "NA")</f>
        <v>0</v>
      </c>
      <c r="V273" s="9"/>
      <c r="W273" s="10">
        <f>IFERROR(-(Q273-T273), "NA")</f>
        <v>0</v>
      </c>
      <c r="X273" s="8">
        <f>IFERROR(W273/W445, "NA")</f>
        <v>0</v>
      </c>
      <c r="Y273" s="9"/>
      <c r="Z273" s="7">
        <v>0</v>
      </c>
      <c r="AA273" s="8">
        <f>IFERROR(Z273/Z445, "NA")</f>
        <v>0</v>
      </c>
      <c r="AB273" s="9"/>
      <c r="AC273" s="10">
        <f>IFERROR(-(Q273-Z273), "NA")</f>
        <v>0</v>
      </c>
      <c r="AD273" s="8">
        <f>IFERROR(AC273/AC445, "NA")</f>
        <v>0</v>
      </c>
    </row>
    <row r="274" spans="1:30" ht="16.5" customHeight="1" x14ac:dyDescent="0.45">
      <c r="A274" s="19" t="s">
        <v>249</v>
      </c>
      <c r="B274" s="14">
        <f>IFERROR(B270+B271+B272+B273, "NA")</f>
        <v>1409.46</v>
      </c>
      <c r="C274" s="15">
        <f>IFERROR(B274/B445, "NA")</f>
        <v>1.6148570607575848E-2</v>
      </c>
      <c r="D274" s="2"/>
      <c r="E274" s="14">
        <f>IFERROR(E270+E271+E272+E273, "NA")</f>
        <v>1315.05</v>
      </c>
      <c r="F274" s="15">
        <f>IFERROR(E274/E445, "NA")</f>
        <v>1.4094380960812251E-2</v>
      </c>
      <c r="G274" s="2"/>
      <c r="H274" s="14">
        <f>IFERROR(-(B274-E274), "NA")</f>
        <v>-94.410000000000082</v>
      </c>
      <c r="I274" s="15">
        <f>IFERROR(H274/H445, "NA")</f>
        <v>1.5676604647687362E-2</v>
      </c>
      <c r="J274" s="2"/>
      <c r="K274" s="14">
        <f>IFERROR(K270+K271+K272+K273, "NA")</f>
        <v>1414.54</v>
      </c>
      <c r="L274" s="15">
        <f>IFERROR(K274/K445, "NA")</f>
        <v>1.6582004514819813E-2</v>
      </c>
      <c r="M274" s="2"/>
      <c r="N274" s="14">
        <f>IFERROR(-(B274-K274), "NA")</f>
        <v>5.0799999999999272</v>
      </c>
      <c r="O274" s="15">
        <f>IFERROR(N274/N445, "NA")</f>
        <v>2.5720737597844791E-3</v>
      </c>
      <c r="P274" s="2"/>
      <c r="Q274" s="14">
        <f>IFERROR(Q270+Q271+Q272+Q273, "NA")</f>
        <v>7047.3</v>
      </c>
      <c r="R274" s="15">
        <f>IFERROR(Q274/Q445, "NA")</f>
        <v>1.5753690458413547E-2</v>
      </c>
      <c r="S274" s="2"/>
      <c r="T274" s="14">
        <f>IFERROR(T270+T271+T272+T273, "NA")</f>
        <v>6575.25</v>
      </c>
      <c r="U274" s="15">
        <f>IFERROR(T274/T445, "NA")</f>
        <v>1.490912930752868E-2</v>
      </c>
      <c r="V274" s="2"/>
      <c r="W274" s="14">
        <f>IFERROR(-(Q274-T274), "NA")</f>
        <v>-472.05000000000018</v>
      </c>
      <c r="X274" s="15">
        <f>IFERROR(W274/W445, "NA")</f>
        <v>-7.4678812289691407E-2</v>
      </c>
      <c r="Y274" s="2"/>
      <c r="Z274" s="14">
        <f>IFERROR(Z270+Z271+Z272+Z273, "NA")</f>
        <v>7116.9599999999991</v>
      </c>
      <c r="AA274" s="15">
        <f>IFERROR(Z274/Z445, "NA")</f>
        <v>1.7336919678552165E-2</v>
      </c>
      <c r="AB274" s="2"/>
      <c r="AC274" s="14">
        <f>IFERROR(-(Q274-Z274), "NA")</f>
        <v>69.659999999998945</v>
      </c>
      <c r="AD274" s="15">
        <f>IFERROR(AC274/AC445, "NA")</f>
        <v>1.8911931376240445E-3</v>
      </c>
    </row>
    <row r="275" spans="1:30" ht="16.5" customHeight="1" x14ac:dyDescent="0.45">
      <c r="A275" s="5" t="s">
        <v>250</v>
      </c>
      <c r="B275" s="2"/>
      <c r="C275" s="3"/>
      <c r="D275" s="4"/>
      <c r="E275" s="2"/>
      <c r="F275" s="3"/>
      <c r="G275" s="4"/>
      <c r="H275" s="2"/>
      <c r="I275" s="3"/>
      <c r="J275" s="4"/>
      <c r="K275" s="2"/>
      <c r="L275" s="3"/>
      <c r="M275" s="4"/>
      <c r="N275" s="2"/>
      <c r="O275" s="3"/>
      <c r="P275" s="4"/>
      <c r="Q275" s="2"/>
      <c r="R275" s="3"/>
      <c r="S275" s="4"/>
      <c r="T275" s="2"/>
      <c r="U275" s="3"/>
      <c r="V275" s="4"/>
      <c r="W275" s="2"/>
      <c r="X275" s="3"/>
      <c r="Y275" s="4"/>
      <c r="Z275" s="2"/>
      <c r="AA275" s="3"/>
      <c r="AB275" s="4"/>
      <c r="AC275" s="2"/>
      <c r="AD275" s="3"/>
    </row>
    <row r="276" spans="1:30" ht="16.5" hidden="1" customHeight="1" x14ac:dyDescent="0.45">
      <c r="A276" s="6" t="s">
        <v>250</v>
      </c>
      <c r="B276" s="7">
        <v>0</v>
      </c>
      <c r="C276" s="8">
        <f>IFERROR(B276/B445, "NA")</f>
        <v>0</v>
      </c>
      <c r="D276" s="9"/>
      <c r="E276" s="7">
        <v>0</v>
      </c>
      <c r="F276" s="8">
        <f>IFERROR(E276/E445, "NA")</f>
        <v>0</v>
      </c>
      <c r="G276" s="9"/>
      <c r="H276" s="10">
        <f t="shared" ref="H276:H285" si="68">IFERROR(-(B276-E276), "NA")</f>
        <v>0</v>
      </c>
      <c r="I276" s="8">
        <f>IFERROR(H276/H445, "NA")</f>
        <v>0</v>
      </c>
      <c r="J276" s="9"/>
      <c r="K276" s="7">
        <v>0</v>
      </c>
      <c r="L276" s="8">
        <f>IFERROR(K276/K445, "NA")</f>
        <v>0</v>
      </c>
      <c r="M276" s="9"/>
      <c r="N276" s="10">
        <f t="shared" ref="N276:N285" si="69">IFERROR(-(B276-K276), "NA")</f>
        <v>0</v>
      </c>
      <c r="O276" s="8">
        <f>IFERROR(N276/N445, "NA")</f>
        <v>0</v>
      </c>
      <c r="P276" s="9"/>
      <c r="Q276" s="7">
        <v>0</v>
      </c>
      <c r="R276" s="8">
        <f>IFERROR(Q276/Q445, "NA")</f>
        <v>0</v>
      </c>
      <c r="S276" s="9"/>
      <c r="T276" s="7">
        <v>0</v>
      </c>
      <c r="U276" s="8">
        <f>IFERROR(T276/T445, "NA")</f>
        <v>0</v>
      </c>
      <c r="V276" s="9"/>
      <c r="W276" s="10">
        <f t="shared" ref="W276:W285" si="70">IFERROR(-(Q276-T276), "NA")</f>
        <v>0</v>
      </c>
      <c r="X276" s="8">
        <f>IFERROR(W276/W445, "NA")</f>
        <v>0</v>
      </c>
      <c r="Y276" s="9"/>
      <c r="Z276" s="7">
        <v>0</v>
      </c>
      <c r="AA276" s="8">
        <f>IFERROR(Z276/Z445, "NA")</f>
        <v>0</v>
      </c>
      <c r="AB276" s="9"/>
      <c r="AC276" s="10">
        <f t="shared" ref="AC276:AC285" si="71">IFERROR(-(Q276-Z276), "NA")</f>
        <v>0</v>
      </c>
      <c r="AD276" s="8">
        <f>IFERROR(AC276/AC445,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IFERROR(B277/B445, "NA")</f>
        <v>0</v>
      </c>
      <c r="D277" s="9"/>
      <c r="E277" s="7">
        <v>0</v>
      </c>
      <c r="F277" s="8">
        <f>IFERROR(E277/E445, "NA")</f>
        <v>0</v>
      </c>
      <c r="G277" s="9"/>
      <c r="H277" s="10">
        <f t="shared" si="68"/>
        <v>0</v>
      </c>
      <c r="I277" s="8">
        <f>IFERROR(H277/H445, "NA")</f>
        <v>0</v>
      </c>
      <c r="J277" s="9"/>
      <c r="K277" s="7">
        <v>0</v>
      </c>
      <c r="L277" s="8">
        <f>IFERROR(K277/K445, "NA")</f>
        <v>0</v>
      </c>
      <c r="M277" s="9"/>
      <c r="N277" s="10">
        <f t="shared" si="69"/>
        <v>0</v>
      </c>
      <c r="O277" s="8">
        <f>IFERROR(N277/N445, "NA")</f>
        <v>0</v>
      </c>
      <c r="P277" s="9"/>
      <c r="Q277" s="7">
        <v>0</v>
      </c>
      <c r="R277" s="8">
        <f>IFERROR(Q277/Q445, "NA")</f>
        <v>0</v>
      </c>
      <c r="S277" s="9"/>
      <c r="T277" s="7">
        <v>0</v>
      </c>
      <c r="U277" s="8">
        <f>IFERROR(T277/T445, "NA")</f>
        <v>0</v>
      </c>
      <c r="V277" s="9"/>
      <c r="W277" s="10">
        <f t="shared" si="70"/>
        <v>0</v>
      </c>
      <c r="X277" s="8">
        <f>IFERROR(W277/W445, "NA")</f>
        <v>0</v>
      </c>
      <c r="Y277" s="9"/>
      <c r="Z277" s="7">
        <v>0</v>
      </c>
      <c r="AA277" s="8">
        <f>IFERROR(Z277/Z445, "NA")</f>
        <v>0</v>
      </c>
      <c r="AB277" s="9"/>
      <c r="AC277" s="10">
        <f t="shared" si="71"/>
        <v>0</v>
      </c>
      <c r="AD277" s="8">
        <f>IFERROR(AC277/AC445,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IFERROR(B278/B445, "NA")</f>
        <v>0</v>
      </c>
      <c r="D278" s="9"/>
      <c r="E278" s="7">
        <v>0</v>
      </c>
      <c r="F278" s="8">
        <f>IFERROR(E278/E445, "NA")</f>
        <v>0</v>
      </c>
      <c r="G278" s="9"/>
      <c r="H278" s="10">
        <f t="shared" si="68"/>
        <v>0</v>
      </c>
      <c r="I278" s="8">
        <f>IFERROR(H278/H445, "NA")</f>
        <v>0</v>
      </c>
      <c r="J278" s="9"/>
      <c r="K278" s="7">
        <v>0</v>
      </c>
      <c r="L278" s="8">
        <f>IFERROR(K278/K445, "NA")</f>
        <v>0</v>
      </c>
      <c r="M278" s="9"/>
      <c r="N278" s="10">
        <f t="shared" si="69"/>
        <v>0</v>
      </c>
      <c r="O278" s="8">
        <f>IFERROR(N278/N445, "NA")</f>
        <v>0</v>
      </c>
      <c r="P278" s="9"/>
      <c r="Q278" s="7">
        <v>0</v>
      </c>
      <c r="R278" s="8">
        <f>IFERROR(Q278/Q445, "NA")</f>
        <v>0</v>
      </c>
      <c r="S278" s="9"/>
      <c r="T278" s="7">
        <v>0</v>
      </c>
      <c r="U278" s="8">
        <f>IFERROR(T278/T445, "NA")</f>
        <v>0</v>
      </c>
      <c r="V278" s="9"/>
      <c r="W278" s="10">
        <f t="shared" si="70"/>
        <v>0</v>
      </c>
      <c r="X278" s="8">
        <f>IFERROR(W278/W445, "NA")</f>
        <v>0</v>
      </c>
      <c r="Y278" s="9"/>
      <c r="Z278" s="7">
        <v>0</v>
      </c>
      <c r="AA278" s="8">
        <f>IFERROR(Z278/Z445, "NA")</f>
        <v>0</v>
      </c>
      <c r="AB278" s="9"/>
      <c r="AC278" s="10">
        <f t="shared" si="71"/>
        <v>0</v>
      </c>
      <c r="AD278" s="8">
        <f>IFERROR(AC278/AC445,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IFERROR(B279/B445, "NA")</f>
        <v>0</v>
      </c>
      <c r="D279" s="9"/>
      <c r="E279" s="7">
        <v>0</v>
      </c>
      <c r="F279" s="8">
        <f>IFERROR(E279/E445, "NA")</f>
        <v>0</v>
      </c>
      <c r="G279" s="9"/>
      <c r="H279" s="10">
        <f t="shared" si="68"/>
        <v>0</v>
      </c>
      <c r="I279" s="8">
        <f>IFERROR(H279/H445, "NA")</f>
        <v>0</v>
      </c>
      <c r="J279" s="9"/>
      <c r="K279" s="7">
        <v>0</v>
      </c>
      <c r="L279" s="8">
        <f>IFERROR(K279/K445, "NA")</f>
        <v>0</v>
      </c>
      <c r="M279" s="9"/>
      <c r="N279" s="10">
        <f t="shared" si="69"/>
        <v>0</v>
      </c>
      <c r="O279" s="8">
        <f>IFERROR(N279/N445, "NA")</f>
        <v>0</v>
      </c>
      <c r="P279" s="9"/>
      <c r="Q279" s="7">
        <v>0</v>
      </c>
      <c r="R279" s="8">
        <f>IFERROR(Q279/Q445, "NA")</f>
        <v>0</v>
      </c>
      <c r="S279" s="9"/>
      <c r="T279" s="7">
        <v>0</v>
      </c>
      <c r="U279" s="8">
        <f>IFERROR(T279/T445, "NA")</f>
        <v>0</v>
      </c>
      <c r="V279" s="9"/>
      <c r="W279" s="10">
        <f t="shared" si="70"/>
        <v>0</v>
      </c>
      <c r="X279" s="8">
        <f>IFERROR(W279/W445, "NA")</f>
        <v>0</v>
      </c>
      <c r="Y279" s="9"/>
      <c r="Z279" s="7">
        <v>0</v>
      </c>
      <c r="AA279" s="8">
        <f>IFERROR(Z279/Z445, "NA")</f>
        <v>0</v>
      </c>
      <c r="AB279" s="9"/>
      <c r="AC279" s="10">
        <f t="shared" si="71"/>
        <v>0</v>
      </c>
      <c r="AD279" s="8">
        <f>IFERROR(AC279/AC445,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IFERROR(B280/B445, "NA")</f>
        <v>0</v>
      </c>
      <c r="D280" s="9"/>
      <c r="E280" s="7">
        <v>0</v>
      </c>
      <c r="F280" s="8">
        <f>IFERROR(E280/E445, "NA")</f>
        <v>0</v>
      </c>
      <c r="G280" s="9"/>
      <c r="H280" s="10">
        <f t="shared" si="68"/>
        <v>0</v>
      </c>
      <c r="I280" s="8">
        <f>IFERROR(H280/H445, "NA")</f>
        <v>0</v>
      </c>
      <c r="J280" s="9"/>
      <c r="K280" s="7">
        <v>0</v>
      </c>
      <c r="L280" s="8">
        <f>IFERROR(K280/K445, "NA")</f>
        <v>0</v>
      </c>
      <c r="M280" s="9"/>
      <c r="N280" s="10">
        <f t="shared" si="69"/>
        <v>0</v>
      </c>
      <c r="O280" s="8">
        <f>IFERROR(N280/N445, "NA")</f>
        <v>0</v>
      </c>
      <c r="P280" s="9"/>
      <c r="Q280" s="7">
        <v>0</v>
      </c>
      <c r="R280" s="8">
        <f>IFERROR(Q280/Q445, "NA")</f>
        <v>0</v>
      </c>
      <c r="S280" s="9"/>
      <c r="T280" s="7">
        <v>0</v>
      </c>
      <c r="U280" s="8">
        <f>IFERROR(T280/T445, "NA")</f>
        <v>0</v>
      </c>
      <c r="V280" s="9"/>
      <c r="W280" s="10">
        <f t="shared" si="70"/>
        <v>0</v>
      </c>
      <c r="X280" s="8">
        <f>IFERROR(W280/W445, "NA")</f>
        <v>0</v>
      </c>
      <c r="Y280" s="9"/>
      <c r="Z280" s="7">
        <v>0</v>
      </c>
      <c r="AA280" s="8">
        <f>IFERROR(Z280/Z445, "NA")</f>
        <v>0</v>
      </c>
      <c r="AB280" s="9"/>
      <c r="AC280" s="10">
        <f t="shared" si="71"/>
        <v>0</v>
      </c>
      <c r="AD280" s="8">
        <f>IFERROR(AC280/AC445,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IFERROR(B281/B445, "NA")</f>
        <v>0</v>
      </c>
      <c r="D281" s="9"/>
      <c r="E281" s="7">
        <v>0</v>
      </c>
      <c r="F281" s="8">
        <f>IFERROR(E281/E445, "NA")</f>
        <v>0</v>
      </c>
      <c r="G281" s="9"/>
      <c r="H281" s="10">
        <f t="shared" si="68"/>
        <v>0</v>
      </c>
      <c r="I281" s="8">
        <f>IFERROR(H281/H445, "NA")</f>
        <v>0</v>
      </c>
      <c r="J281" s="9"/>
      <c r="K281" s="7">
        <v>0</v>
      </c>
      <c r="L281" s="8">
        <f>IFERROR(K281/K445, "NA")</f>
        <v>0</v>
      </c>
      <c r="M281" s="9"/>
      <c r="N281" s="10">
        <f t="shared" si="69"/>
        <v>0</v>
      </c>
      <c r="O281" s="8">
        <f>IFERROR(N281/N445, "NA")</f>
        <v>0</v>
      </c>
      <c r="P281" s="9"/>
      <c r="Q281" s="7">
        <v>0</v>
      </c>
      <c r="R281" s="8">
        <f>IFERROR(Q281/Q445, "NA")</f>
        <v>0</v>
      </c>
      <c r="S281" s="9"/>
      <c r="T281" s="7">
        <v>0</v>
      </c>
      <c r="U281" s="8">
        <f>IFERROR(T281/T445, "NA")</f>
        <v>0</v>
      </c>
      <c r="V281" s="9"/>
      <c r="W281" s="10">
        <f t="shared" si="70"/>
        <v>0</v>
      </c>
      <c r="X281" s="8">
        <f>IFERROR(W281/W445, "NA")</f>
        <v>0</v>
      </c>
      <c r="Y281" s="9"/>
      <c r="Z281" s="7">
        <v>0</v>
      </c>
      <c r="AA281" s="8">
        <f>IFERROR(Z281/Z445, "NA")</f>
        <v>0</v>
      </c>
      <c r="AB281" s="9"/>
      <c r="AC281" s="10">
        <f t="shared" si="71"/>
        <v>0</v>
      </c>
      <c r="AD281" s="8">
        <f>IFERROR(AC281/AC445,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IFERROR(B282/B445, "NA")</f>
        <v>0</v>
      </c>
      <c r="D282" s="9"/>
      <c r="E282" s="7">
        <v>0</v>
      </c>
      <c r="F282" s="8">
        <f>IFERROR(E282/E445, "NA")</f>
        <v>0</v>
      </c>
      <c r="G282" s="9"/>
      <c r="H282" s="10">
        <f t="shared" si="68"/>
        <v>0</v>
      </c>
      <c r="I282" s="8">
        <f>IFERROR(H282/H445, "NA")</f>
        <v>0</v>
      </c>
      <c r="J282" s="9"/>
      <c r="K282" s="7">
        <v>0</v>
      </c>
      <c r="L282" s="8">
        <f>IFERROR(K282/K445, "NA")</f>
        <v>0</v>
      </c>
      <c r="M282" s="9"/>
      <c r="N282" s="10">
        <f t="shared" si="69"/>
        <v>0</v>
      </c>
      <c r="O282" s="8">
        <f>IFERROR(N282/N445, "NA")</f>
        <v>0</v>
      </c>
      <c r="P282" s="9"/>
      <c r="Q282" s="7">
        <v>0</v>
      </c>
      <c r="R282" s="8">
        <f>IFERROR(Q282/Q445, "NA")</f>
        <v>0</v>
      </c>
      <c r="S282" s="9"/>
      <c r="T282" s="7">
        <v>0</v>
      </c>
      <c r="U282" s="8">
        <f>IFERROR(T282/T445, "NA")</f>
        <v>0</v>
      </c>
      <c r="V282" s="9"/>
      <c r="W282" s="10">
        <f t="shared" si="70"/>
        <v>0</v>
      </c>
      <c r="X282" s="8">
        <f>IFERROR(W282/W445, "NA")</f>
        <v>0</v>
      </c>
      <c r="Y282" s="9"/>
      <c r="Z282" s="7">
        <v>0</v>
      </c>
      <c r="AA282" s="8">
        <f>IFERROR(Z282/Z445, "NA")</f>
        <v>0</v>
      </c>
      <c r="AB282" s="9"/>
      <c r="AC282" s="10">
        <f t="shared" si="71"/>
        <v>0</v>
      </c>
      <c r="AD282" s="8">
        <f>IFERROR(AC282/AC445,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IFERROR(B283/B445, "NA")</f>
        <v>0</v>
      </c>
      <c r="D283" s="9"/>
      <c r="E283" s="7">
        <v>0</v>
      </c>
      <c r="F283" s="8">
        <f>IFERROR(E283/E445, "NA")</f>
        <v>0</v>
      </c>
      <c r="G283" s="9"/>
      <c r="H283" s="10">
        <f t="shared" si="68"/>
        <v>0</v>
      </c>
      <c r="I283" s="8">
        <f>IFERROR(H283/H445, "NA")</f>
        <v>0</v>
      </c>
      <c r="J283" s="9"/>
      <c r="K283" s="7">
        <v>0</v>
      </c>
      <c r="L283" s="8">
        <f>IFERROR(K283/K445, "NA")</f>
        <v>0</v>
      </c>
      <c r="M283" s="9"/>
      <c r="N283" s="10">
        <f t="shared" si="69"/>
        <v>0</v>
      </c>
      <c r="O283" s="8">
        <f>IFERROR(N283/N445, "NA")</f>
        <v>0</v>
      </c>
      <c r="P283" s="9"/>
      <c r="Q283" s="7">
        <v>0</v>
      </c>
      <c r="R283" s="8">
        <f>IFERROR(Q283/Q445, "NA")</f>
        <v>0</v>
      </c>
      <c r="S283" s="9"/>
      <c r="T283" s="7">
        <v>0</v>
      </c>
      <c r="U283" s="8">
        <f>IFERROR(T283/T445, "NA")</f>
        <v>0</v>
      </c>
      <c r="V283" s="9"/>
      <c r="W283" s="10">
        <f t="shared" si="70"/>
        <v>0</v>
      </c>
      <c r="X283" s="8">
        <f>IFERROR(W283/W445, "NA")</f>
        <v>0</v>
      </c>
      <c r="Y283" s="9"/>
      <c r="Z283" s="7">
        <v>0</v>
      </c>
      <c r="AA283" s="8">
        <f>IFERROR(Z283/Z445, "NA")</f>
        <v>0</v>
      </c>
      <c r="AB283" s="9"/>
      <c r="AC283" s="10">
        <f t="shared" si="71"/>
        <v>0</v>
      </c>
      <c r="AD283" s="8">
        <f>IFERROR(AC283/AC445, "NA")</f>
        <v>0</v>
      </c>
    </row>
    <row r="284" spans="1:30" ht="16.5" hidden="1" customHeight="1" x14ac:dyDescent="0.45">
      <c r="A284" s="6" t="s">
        <v>258</v>
      </c>
      <c r="B284" s="7">
        <v>0</v>
      </c>
      <c r="C284" s="8">
        <f>IFERROR(B284/B445, "NA")</f>
        <v>0</v>
      </c>
      <c r="D284" s="9"/>
      <c r="E284" s="7">
        <v>0</v>
      </c>
      <c r="F284" s="8">
        <f>IFERROR(E284/E445, "NA")</f>
        <v>0</v>
      </c>
      <c r="G284" s="9"/>
      <c r="H284" s="10">
        <f t="shared" si="68"/>
        <v>0</v>
      </c>
      <c r="I284" s="8">
        <f>IFERROR(H284/H445, "NA")</f>
        <v>0</v>
      </c>
      <c r="J284" s="9"/>
      <c r="K284" s="7">
        <v>0</v>
      </c>
      <c r="L284" s="8">
        <f>IFERROR(K284/K445, "NA")</f>
        <v>0</v>
      </c>
      <c r="M284" s="9"/>
      <c r="N284" s="10">
        <f t="shared" si="69"/>
        <v>0</v>
      </c>
      <c r="O284" s="8">
        <f>IFERROR(N284/N445, "NA")</f>
        <v>0</v>
      </c>
      <c r="P284" s="9"/>
      <c r="Q284" s="7">
        <v>0</v>
      </c>
      <c r="R284" s="8">
        <f>IFERROR(Q284/Q445, "NA")</f>
        <v>0</v>
      </c>
      <c r="S284" s="9"/>
      <c r="T284" s="7">
        <v>0</v>
      </c>
      <c r="U284" s="8">
        <f>IFERROR(T284/T445, "NA")</f>
        <v>0</v>
      </c>
      <c r="V284" s="9"/>
      <c r="W284" s="10">
        <f t="shared" si="70"/>
        <v>0</v>
      </c>
      <c r="X284" s="8">
        <f>IFERROR(W284/W445, "NA")</f>
        <v>0</v>
      </c>
      <c r="Y284" s="9"/>
      <c r="Z284" s="7">
        <v>0</v>
      </c>
      <c r="AA284" s="8">
        <f>IFERROR(Z284/Z445, "NA")</f>
        <v>0</v>
      </c>
      <c r="AB284" s="9"/>
      <c r="AC284" s="10">
        <f t="shared" si="71"/>
        <v>0</v>
      </c>
      <c r="AD284" s="8">
        <f>IFERROR(AC284/AC445, "NA")</f>
        <v>0</v>
      </c>
    </row>
    <row r="285" spans="1:30" ht="16.5" customHeight="1" x14ac:dyDescent="0.45">
      <c r="A285" s="19" t="s">
        <v>259</v>
      </c>
      <c r="B285" s="14">
        <f>IFERROR(B276+B277+B278+B279+B280+B281+B282+B283+B284, "NA")</f>
        <v>0</v>
      </c>
      <c r="C285" s="15">
        <f>IFERROR(B285/B445, "NA")</f>
        <v>0</v>
      </c>
      <c r="D285" s="2"/>
      <c r="E285" s="14">
        <f>IFERROR(E276+E277+E278+E279+E280+E281+E282+E283+E284, "NA")</f>
        <v>0</v>
      </c>
      <c r="F285" s="15">
        <f>IFERROR(E285/E445, "NA")</f>
        <v>0</v>
      </c>
      <c r="G285" s="2"/>
      <c r="H285" s="14">
        <f t="shared" si="68"/>
        <v>0</v>
      </c>
      <c r="I285" s="15">
        <f>IFERROR(H285/H445, "NA")</f>
        <v>0</v>
      </c>
      <c r="J285" s="2"/>
      <c r="K285" s="14">
        <f>IFERROR(K276+K277+K278+K279+K280+K281+K282+K283+K284, "NA")</f>
        <v>0</v>
      </c>
      <c r="L285" s="15">
        <f>IFERROR(K285/K445, "NA")</f>
        <v>0</v>
      </c>
      <c r="M285" s="2"/>
      <c r="N285" s="14">
        <f t="shared" si="69"/>
        <v>0</v>
      </c>
      <c r="O285" s="15">
        <f>IFERROR(N285/N445, "NA")</f>
        <v>0</v>
      </c>
      <c r="P285" s="2"/>
      <c r="Q285" s="14">
        <f>IFERROR(Q276+Q277+Q278+Q279+Q280+Q281+Q282+Q283+Q284, "NA")</f>
        <v>0</v>
      </c>
      <c r="R285" s="15">
        <f>IFERROR(Q285/Q445, "NA")</f>
        <v>0</v>
      </c>
      <c r="S285" s="2"/>
      <c r="T285" s="14">
        <f>IFERROR(T276+T277+T278+T279+T280+T281+T282+T283+T284, "NA")</f>
        <v>0</v>
      </c>
      <c r="U285" s="15">
        <f>IFERROR(T285/T445, "NA")</f>
        <v>0</v>
      </c>
      <c r="V285" s="2"/>
      <c r="W285" s="14">
        <f t="shared" si="70"/>
        <v>0</v>
      </c>
      <c r="X285" s="15">
        <f>IFERROR(W285/W445, "NA")</f>
        <v>0</v>
      </c>
      <c r="Y285" s="2"/>
      <c r="Z285" s="14">
        <f>IFERROR(Z276+Z277+Z278+Z279+Z280+Z281+Z282+Z283+Z284, "NA")</f>
        <v>0</v>
      </c>
      <c r="AA285" s="15">
        <f>IFERROR(Z285/Z445, "NA")</f>
        <v>0</v>
      </c>
      <c r="AB285" s="2"/>
      <c r="AC285" s="14">
        <f t="shared" si="71"/>
        <v>0</v>
      </c>
      <c r="AD285" s="15">
        <f>IFERROR(AC285/AC445, "NA")</f>
        <v>0</v>
      </c>
    </row>
    <row r="286" spans="1:30" ht="16.5" customHeight="1" x14ac:dyDescent="0.45">
      <c r="A286" s="5" t="s">
        <v>260</v>
      </c>
      <c r="B286" s="2"/>
      <c r="C286" s="3"/>
      <c r="D286" s="4"/>
      <c r="E286" s="2"/>
      <c r="F286" s="3"/>
      <c r="G286" s="4"/>
      <c r="H286" s="2"/>
      <c r="I286" s="3"/>
      <c r="J286" s="4"/>
      <c r="K286" s="2"/>
      <c r="L286" s="3"/>
      <c r="M286" s="4"/>
      <c r="N286" s="2"/>
      <c r="O286" s="3"/>
      <c r="P286" s="4"/>
      <c r="Q286" s="2"/>
      <c r="R286" s="3"/>
      <c r="S286" s="4"/>
      <c r="T286" s="2"/>
      <c r="U286" s="3"/>
      <c r="V286" s="4"/>
      <c r="W286" s="2"/>
      <c r="X286" s="3"/>
      <c r="Y286" s="4"/>
      <c r="Z286" s="2"/>
      <c r="AA286" s="3"/>
      <c r="AB286" s="4"/>
      <c r="AC286" s="2"/>
      <c r="AD286" s="3"/>
    </row>
    <row r="287" spans="1:30" ht="16.5" hidden="1" customHeight="1" x14ac:dyDescent="0.45">
      <c r="A287" s="6" t="s">
        <v>260</v>
      </c>
      <c r="B287" s="7">
        <v>0</v>
      </c>
      <c r="C287" s="8">
        <f>IFERROR(B287/B445, "NA")</f>
        <v>0</v>
      </c>
      <c r="D287" s="9"/>
      <c r="E287" s="7">
        <v>0</v>
      </c>
      <c r="F287" s="8">
        <f>IFERROR(E287/E445, "NA")</f>
        <v>0</v>
      </c>
      <c r="G287" s="9"/>
      <c r="H287" s="10">
        <f t="shared" ref="H287:H296" si="72">IFERROR(-(B287-E287), "NA")</f>
        <v>0</v>
      </c>
      <c r="I287" s="8">
        <f>IFERROR(H287/H445, "NA")</f>
        <v>0</v>
      </c>
      <c r="J287" s="9"/>
      <c r="K287" s="7">
        <v>0</v>
      </c>
      <c r="L287" s="8">
        <f>IFERROR(K287/K445, "NA")</f>
        <v>0</v>
      </c>
      <c r="M287" s="9"/>
      <c r="N287" s="10">
        <f t="shared" ref="N287:N296" si="73">IFERROR(-(B287-K287), "NA")</f>
        <v>0</v>
      </c>
      <c r="O287" s="8">
        <f>IFERROR(N287/N445, "NA")</f>
        <v>0</v>
      </c>
      <c r="P287" s="9"/>
      <c r="Q287" s="7">
        <v>0</v>
      </c>
      <c r="R287" s="8">
        <f>IFERROR(Q287/Q445, "NA")</f>
        <v>0</v>
      </c>
      <c r="S287" s="9"/>
      <c r="T287" s="7">
        <v>0</v>
      </c>
      <c r="U287" s="8">
        <f>IFERROR(T287/T445, "NA")</f>
        <v>0</v>
      </c>
      <c r="V287" s="9"/>
      <c r="W287" s="10">
        <f t="shared" ref="W287:W296" si="74">IFERROR(-(Q287-T287), "NA")</f>
        <v>0</v>
      </c>
      <c r="X287" s="8">
        <f>IFERROR(W287/W445, "NA")</f>
        <v>0</v>
      </c>
      <c r="Y287" s="9"/>
      <c r="Z287" s="7">
        <v>0</v>
      </c>
      <c r="AA287" s="8">
        <f>IFERROR(Z287/Z445, "NA")</f>
        <v>0</v>
      </c>
      <c r="AB287" s="9"/>
      <c r="AC287" s="10">
        <f t="shared" ref="AC287:AC296" si="75">IFERROR(-(Q287-Z287), "NA")</f>
        <v>0</v>
      </c>
      <c r="AD287" s="8">
        <f>IFERROR(AC287/AC445, "NA")</f>
        <v>0</v>
      </c>
    </row>
    <row r="288" spans="1:30" ht="16.5" customHeight="1" x14ac:dyDescent="0.45">
      <c r="A288" s="6" t="s">
        <v>261</v>
      </c>
      <c r="B288" s="7">
        <v>1067.5899999999999</v>
      </c>
      <c r="C288" s="8">
        <f>IFERROR(B288/B445, "NA")</f>
        <v>1.2231672055213982E-2</v>
      </c>
      <c r="D288" s="9"/>
      <c r="E288" s="7">
        <v>971</v>
      </c>
      <c r="F288" s="8">
        <f>IFERROR(E288/E445, "NA")</f>
        <v>1.0406938073038056E-2</v>
      </c>
      <c r="G288" s="9"/>
      <c r="H288" s="10">
        <f t="shared" si="72"/>
        <v>-96.589999999999918</v>
      </c>
      <c r="I288" s="8">
        <f>IFERROR(H288/H445, "NA")</f>
        <v>1.6038589587121278E-2</v>
      </c>
      <c r="J288" s="9"/>
      <c r="K288" s="7">
        <v>970.53</v>
      </c>
      <c r="L288" s="8">
        <f>IFERROR(K288/K445, "NA")</f>
        <v>1.1377078655794869E-2</v>
      </c>
      <c r="M288" s="9"/>
      <c r="N288" s="10">
        <f t="shared" si="73"/>
        <v>-97.059999999999945</v>
      </c>
      <c r="O288" s="8">
        <f>IFERROR(N288/N445, "NA")</f>
        <v>-4.9142810851315936E-2</v>
      </c>
      <c r="P288" s="9"/>
      <c r="Q288" s="7">
        <v>5337.95</v>
      </c>
      <c r="R288" s="8">
        <f>IFERROR(Q288/Q445, "NA")</f>
        <v>1.1932571620689994E-2</v>
      </c>
      <c r="S288" s="9"/>
      <c r="T288" s="7">
        <v>4855</v>
      </c>
      <c r="U288" s="8">
        <f>IFERROR(T288/T445, "NA")</f>
        <v>1.1008527856439182E-2</v>
      </c>
      <c r="V288" s="9"/>
      <c r="W288" s="10">
        <f t="shared" si="74"/>
        <v>-482.94999999999982</v>
      </c>
      <c r="X288" s="8">
        <f>IFERROR(W288/W445, "NA")</f>
        <v>-7.6403203887949231E-2</v>
      </c>
      <c r="Y288" s="9"/>
      <c r="Z288" s="7">
        <v>4852.6499999999996</v>
      </c>
      <c r="AA288" s="8">
        <f>IFERROR(Z288/Z445, "NA")</f>
        <v>1.1821058890049427E-2</v>
      </c>
      <c r="AB288" s="9"/>
      <c r="AC288" s="10">
        <f t="shared" si="75"/>
        <v>-485.30000000000018</v>
      </c>
      <c r="AD288" s="8">
        <f>IFERROR(AC288/AC445, "NA")</f>
        <v>-1.3175366489936306E-2</v>
      </c>
    </row>
    <row r="289" spans="1:30" ht="16.5" customHeight="1" x14ac:dyDescent="0.45">
      <c r="A289" s="6" t="s">
        <v>262</v>
      </c>
      <c r="B289" s="7">
        <v>260.14999999999998</v>
      </c>
      <c r="C289" s="8">
        <f>IFERROR(B289/B445, "NA")</f>
        <v>2.9806100517651133E-3</v>
      </c>
      <c r="D289" s="9"/>
      <c r="E289" s="7">
        <v>263</v>
      </c>
      <c r="F289" s="8">
        <f>IFERROR(E289/E445, "NA")</f>
        <v>2.8187690146333766E-3</v>
      </c>
      <c r="G289" s="9"/>
      <c r="H289" s="10">
        <f t="shared" si="72"/>
        <v>2.8500000000000227</v>
      </c>
      <c r="I289" s="8">
        <f>IFERROR(H289/H445, "NA")</f>
        <v>-4.732371914618081E-4</v>
      </c>
      <c r="J289" s="9"/>
      <c r="K289" s="7">
        <v>371.95</v>
      </c>
      <c r="L289" s="8">
        <f>IFERROR(K289/K445, "NA")</f>
        <v>4.360199484841171E-3</v>
      </c>
      <c r="M289" s="9"/>
      <c r="N289" s="10">
        <f t="shared" si="73"/>
        <v>111.80000000000001</v>
      </c>
      <c r="O289" s="8">
        <f>IFERROR(N289/N445, "NA")</f>
        <v>5.6605875264549001E-2</v>
      </c>
      <c r="P289" s="9"/>
      <c r="Q289" s="7">
        <v>1300.67</v>
      </c>
      <c r="R289" s="8">
        <f>IFERROR(Q289/Q445, "NA")</f>
        <v>2.9075465168993445E-3</v>
      </c>
      <c r="S289" s="9"/>
      <c r="T289" s="7">
        <v>1315</v>
      </c>
      <c r="U289" s="8">
        <f>IFERROR(T289/T445, "NA")</f>
        <v>2.9817124884073173E-3</v>
      </c>
      <c r="V289" s="9"/>
      <c r="W289" s="10">
        <f t="shared" si="74"/>
        <v>14.329999999999927</v>
      </c>
      <c r="X289" s="8">
        <f>IFERROR(W289/W445, "NA")</f>
        <v>2.2670212479849001E-3</v>
      </c>
      <c r="Y289" s="9"/>
      <c r="Z289" s="7">
        <v>1859.75</v>
      </c>
      <c r="AA289" s="8">
        <f>IFERROR(Z289/Z445, "NA")</f>
        <v>4.5303523375412246E-3</v>
      </c>
      <c r="AB289" s="9"/>
      <c r="AC289" s="10">
        <f t="shared" si="75"/>
        <v>559.07999999999993</v>
      </c>
      <c r="AD289" s="8">
        <f>IFERROR(AC289/AC445, "NA")</f>
        <v>1.5178413140724472E-2</v>
      </c>
    </row>
    <row r="290" spans="1:30" ht="16.5" customHeight="1" x14ac:dyDescent="0.45">
      <c r="A290" s="6" t="s">
        <v>263</v>
      </c>
      <c r="B290" s="7">
        <v>242.33</v>
      </c>
      <c r="C290" s="8">
        <f>IFERROR(B290/B445, "NA")</f>
        <v>2.776441413969787E-3</v>
      </c>
      <c r="D290" s="9"/>
      <c r="E290" s="7">
        <v>224</v>
      </c>
      <c r="F290" s="8">
        <f>IFERROR(E290/E445, "NA")</f>
        <v>2.4007766512466784E-3</v>
      </c>
      <c r="G290" s="9"/>
      <c r="H290" s="10">
        <f t="shared" si="72"/>
        <v>-18.330000000000013</v>
      </c>
      <c r="I290" s="8">
        <f>IFERROR(H290/H445, "NA")</f>
        <v>3.0436623577175014E-3</v>
      </c>
      <c r="J290" s="9"/>
      <c r="K290" s="7">
        <v>218.66</v>
      </c>
      <c r="L290" s="8">
        <f>IFERROR(K290/K445, "NA")</f>
        <v>2.5632510266309192E-3</v>
      </c>
      <c r="M290" s="9"/>
      <c r="N290" s="10">
        <f t="shared" si="73"/>
        <v>-23.670000000000016</v>
      </c>
      <c r="O290" s="8">
        <f>IFERROR(N290/N445, "NA")</f>
        <v>-1.1984446042145578E-2</v>
      </c>
      <c r="P290" s="9"/>
      <c r="Q290" s="7">
        <v>1431.86</v>
      </c>
      <c r="R290" s="8">
        <f>IFERROR(Q290/Q445, "NA")</f>
        <v>3.2008115476542822E-3</v>
      </c>
      <c r="S290" s="9"/>
      <c r="T290" s="7">
        <v>1120</v>
      </c>
      <c r="U290" s="8">
        <f>IFERROR(T290/T445, "NA")</f>
        <v>2.5395574045750536E-3</v>
      </c>
      <c r="V290" s="9"/>
      <c r="W290" s="10">
        <f t="shared" si="74"/>
        <v>-311.8599999999999</v>
      </c>
      <c r="X290" s="8">
        <f>IFERROR(W290/W445, "NA")</f>
        <v>-4.9336583837862824E-2</v>
      </c>
      <c r="Y290" s="9"/>
      <c r="Z290" s="7">
        <v>1228.18</v>
      </c>
      <c r="AA290" s="8">
        <f>IFERROR(Z290/Z445, "NA")</f>
        <v>2.9918473633130157E-3</v>
      </c>
      <c r="AB290" s="9"/>
      <c r="AC290" s="10">
        <f t="shared" si="75"/>
        <v>-203.67999999999984</v>
      </c>
      <c r="AD290" s="8">
        <f>IFERROR(AC290/AC445, "NA")</f>
        <v>-5.5296901847727668E-3</v>
      </c>
    </row>
    <row r="291" spans="1:30" ht="16.5" customHeight="1" x14ac:dyDescent="0.45">
      <c r="A291" s="6" t="s">
        <v>264</v>
      </c>
      <c r="B291" s="7">
        <v>0</v>
      </c>
      <c r="C291" s="8">
        <f>IFERROR(B291/B445, "NA")</f>
        <v>0</v>
      </c>
      <c r="D291" s="9"/>
      <c r="E291" s="7">
        <v>373.21</v>
      </c>
      <c r="F291" s="8">
        <f>IFERROR(E291/E445, "NA")</f>
        <v>3.9999725625525567E-3</v>
      </c>
      <c r="G291" s="9"/>
      <c r="H291" s="10">
        <f t="shared" si="72"/>
        <v>373.21</v>
      </c>
      <c r="I291" s="8">
        <f>IFERROR(H291/H445, "NA")</f>
        <v>-6.197082534226666E-2</v>
      </c>
      <c r="J291" s="9"/>
      <c r="K291" s="7">
        <v>250.96</v>
      </c>
      <c r="L291" s="8">
        <f>IFERROR(K291/K445, "NA")</f>
        <v>2.9418891321837349E-3</v>
      </c>
      <c r="M291" s="9"/>
      <c r="N291" s="10">
        <f t="shared" si="73"/>
        <v>250.96</v>
      </c>
      <c r="O291" s="8">
        <f>IFERROR(N291/N445, "NA")</f>
        <v>0.12706449424321301</v>
      </c>
      <c r="P291" s="9"/>
      <c r="Q291" s="7">
        <v>2665.66</v>
      </c>
      <c r="R291" s="8">
        <f>IFERROR(Q291/Q445, "NA")</f>
        <v>5.9588753859456329E-3</v>
      </c>
      <c r="S291" s="9"/>
      <c r="T291" s="7">
        <v>1650.63</v>
      </c>
      <c r="U291" s="8">
        <f>IFERROR(T291/T445, "NA")</f>
        <v>3.7427407488515364E-3</v>
      </c>
      <c r="V291" s="9"/>
      <c r="W291" s="10">
        <f t="shared" si="74"/>
        <v>-1015.0299999999997</v>
      </c>
      <c r="X291" s="8">
        <f>IFERROR(W291/W445, "NA")</f>
        <v>-0.16057882605318383</v>
      </c>
      <c r="Y291" s="9"/>
      <c r="Z291" s="7">
        <v>1353.67</v>
      </c>
      <c r="AA291" s="8">
        <f>IFERROR(Z291/Z445, "NA")</f>
        <v>3.2975410935660327E-3</v>
      </c>
      <c r="AB291" s="9"/>
      <c r="AC291" s="10">
        <f t="shared" si="75"/>
        <v>-1311.9899999999998</v>
      </c>
      <c r="AD291" s="8">
        <f>IFERROR(AC291/AC445, "NA")</f>
        <v>-3.5619099693244435E-2</v>
      </c>
    </row>
    <row r="292" spans="1:30" ht="16.5" customHeight="1" x14ac:dyDescent="0.45">
      <c r="A292" s="6" t="s">
        <v>265</v>
      </c>
      <c r="B292" s="7">
        <v>775.72</v>
      </c>
      <c r="C292" s="8">
        <f>IFERROR(B292/B445, "NA")</f>
        <v>8.8876372452632493E-3</v>
      </c>
      <c r="D292" s="9"/>
      <c r="E292" s="7">
        <v>373.21</v>
      </c>
      <c r="F292" s="8">
        <f>IFERROR(E292/E445, "NA")</f>
        <v>3.9999725625525567E-3</v>
      </c>
      <c r="G292" s="9"/>
      <c r="H292" s="10">
        <f t="shared" si="72"/>
        <v>-402.51000000000005</v>
      </c>
      <c r="I292" s="8">
        <f>IFERROR(H292/H445, "NA")</f>
        <v>6.6836035766768734E-2</v>
      </c>
      <c r="J292" s="9"/>
      <c r="K292" s="7">
        <v>0</v>
      </c>
      <c r="L292" s="8">
        <f>IFERROR(K292/K445, "NA")</f>
        <v>0</v>
      </c>
      <c r="M292" s="9"/>
      <c r="N292" s="10">
        <f t="shared" si="73"/>
        <v>-775.72</v>
      </c>
      <c r="O292" s="8">
        <f>IFERROR(N292/N445, "NA")</f>
        <v>-0.39275768837402458</v>
      </c>
      <c r="P292" s="9"/>
      <c r="Q292" s="7">
        <v>7292.35</v>
      </c>
      <c r="R292" s="8">
        <f>IFERROR(Q292/Q445, "NA")</f>
        <v>1.6301480654209704E-2</v>
      </c>
      <c r="S292" s="9"/>
      <c r="T292" s="7">
        <v>1764.09</v>
      </c>
      <c r="U292" s="8">
        <f>IFERROR(T292/T445, "NA")</f>
        <v>4.0000069837828629E-3</v>
      </c>
      <c r="V292" s="9"/>
      <c r="W292" s="10">
        <f t="shared" si="74"/>
        <v>-5528.26</v>
      </c>
      <c r="X292" s="8">
        <f>IFERROR(W292/W445, "NA")</f>
        <v>-0.8745766144023075</v>
      </c>
      <c r="Y292" s="9"/>
      <c r="Z292" s="7">
        <v>1684.83</v>
      </c>
      <c r="AA292" s="8">
        <f>IFERROR(Z292/Z445, "NA")</f>
        <v>4.1042470917379116E-3</v>
      </c>
      <c r="AB292" s="9"/>
      <c r="AC292" s="10">
        <f t="shared" si="75"/>
        <v>-5607.52</v>
      </c>
      <c r="AD292" s="8">
        <f>IFERROR(AC292/AC445, "NA")</f>
        <v>-0.15223806119853206</v>
      </c>
    </row>
    <row r="293" spans="1:30" ht="16.5" customHeight="1" x14ac:dyDescent="0.45">
      <c r="A293" s="6" t="s">
        <v>266</v>
      </c>
      <c r="B293" s="7">
        <v>0</v>
      </c>
      <c r="C293" s="8">
        <f>IFERROR(B293/B445, "NA")</f>
        <v>0</v>
      </c>
      <c r="D293" s="9"/>
      <c r="E293" s="7">
        <v>279.91000000000003</v>
      </c>
      <c r="F293" s="8">
        <f>IFERROR(E293/E445, "NA")</f>
        <v>3.0000062162966867E-3</v>
      </c>
      <c r="G293" s="9"/>
      <c r="H293" s="10">
        <f t="shared" si="72"/>
        <v>279.91000000000003</v>
      </c>
      <c r="I293" s="8">
        <f>IFERROR(H293/H445, "NA")</f>
        <v>-4.6478534127043392E-2</v>
      </c>
      <c r="J293" s="9"/>
      <c r="K293" s="7">
        <v>0</v>
      </c>
      <c r="L293" s="8">
        <f>IFERROR(K293/K445, "NA")</f>
        <v>0</v>
      </c>
      <c r="M293" s="9"/>
      <c r="N293" s="10">
        <f t="shared" si="73"/>
        <v>0</v>
      </c>
      <c r="O293" s="8">
        <f>IFERROR(N293/N445, "NA")</f>
        <v>0</v>
      </c>
      <c r="P293" s="9"/>
      <c r="Q293" s="7">
        <v>0</v>
      </c>
      <c r="R293" s="8">
        <f>IFERROR(Q293/Q445, "NA")</f>
        <v>0</v>
      </c>
      <c r="S293" s="9"/>
      <c r="T293" s="7">
        <v>1323.06</v>
      </c>
      <c r="U293" s="8">
        <f>IFERROR(T293/T445, "NA")</f>
        <v>2.999988231872384E-3</v>
      </c>
      <c r="V293" s="9"/>
      <c r="W293" s="10">
        <f t="shared" si="74"/>
        <v>1323.06</v>
      </c>
      <c r="X293" s="8">
        <f>IFERROR(W293/W445, "NA")</f>
        <v>0.20930949981569552</v>
      </c>
      <c r="Y293" s="9"/>
      <c r="Z293" s="7">
        <v>1703.69</v>
      </c>
      <c r="AA293" s="8">
        <f>IFERROR(Z293/Z445, "NA")</f>
        <v>4.1501900653021151E-3</v>
      </c>
      <c r="AB293" s="9"/>
      <c r="AC293" s="10">
        <f t="shared" si="75"/>
        <v>1703.69</v>
      </c>
      <c r="AD293" s="8">
        <f>IFERROR(AC293/AC445, "NA")</f>
        <v>4.6253328117122558E-2</v>
      </c>
    </row>
    <row r="294" spans="1:30" ht="16.5" customHeight="1" x14ac:dyDescent="0.45">
      <c r="A294" s="6" t="s">
        <v>267</v>
      </c>
      <c r="B294" s="7">
        <v>0</v>
      </c>
      <c r="C294" s="8">
        <f>IFERROR(B294/B445, "NA")</f>
        <v>0</v>
      </c>
      <c r="D294" s="9"/>
      <c r="E294" s="7">
        <v>139.94999999999999</v>
      </c>
      <c r="F294" s="8">
        <f>IFERROR(E294/E445, "NA")</f>
        <v>1.4999495193838063E-3</v>
      </c>
      <c r="G294" s="9"/>
      <c r="H294" s="10">
        <f t="shared" si="72"/>
        <v>139.94999999999999</v>
      </c>
      <c r="I294" s="8">
        <f>IFERROR(H294/H445, "NA")</f>
        <v>-2.3238436822834916E-2</v>
      </c>
      <c r="J294" s="9"/>
      <c r="K294" s="7">
        <v>0</v>
      </c>
      <c r="L294" s="8">
        <f>IFERROR(K294/K445, "NA")</f>
        <v>0</v>
      </c>
      <c r="M294" s="9"/>
      <c r="N294" s="10">
        <f t="shared" si="73"/>
        <v>0</v>
      </c>
      <c r="O294" s="8">
        <f>IFERROR(N294/N445, "NA")</f>
        <v>0</v>
      </c>
      <c r="P294" s="9"/>
      <c r="Q294" s="7">
        <v>0</v>
      </c>
      <c r="R294" s="8">
        <f>IFERROR(Q294/Q445, "NA")</f>
        <v>0</v>
      </c>
      <c r="S294" s="9"/>
      <c r="T294" s="7">
        <v>661.52</v>
      </c>
      <c r="U294" s="8">
        <f>IFERROR(T294/T445, "NA")</f>
        <v>1.4999714413165084E-3</v>
      </c>
      <c r="V294" s="9"/>
      <c r="W294" s="10">
        <f t="shared" si="74"/>
        <v>661.52</v>
      </c>
      <c r="X294" s="8">
        <f>IFERROR(W294/W445, "NA")</f>
        <v>0.10465316789720716</v>
      </c>
      <c r="Y294" s="9"/>
      <c r="Z294" s="7">
        <v>0</v>
      </c>
      <c r="AA294" s="8">
        <f>IFERROR(Z294/Z445, "NA")</f>
        <v>0</v>
      </c>
      <c r="AB294" s="9"/>
      <c r="AC294" s="10">
        <f t="shared" si="75"/>
        <v>0</v>
      </c>
      <c r="AD294" s="8">
        <f>IFERROR(AC294/AC445, "NA")</f>
        <v>0</v>
      </c>
    </row>
    <row r="295" spans="1:30" ht="16.5" customHeight="1" x14ac:dyDescent="0.45">
      <c r="A295" s="6" t="s">
        <v>268</v>
      </c>
      <c r="B295" s="7">
        <v>300</v>
      </c>
      <c r="C295" s="8">
        <f>IFERROR(B295/B445, "NA")</f>
        <v>3.4371824544667849E-3</v>
      </c>
      <c r="D295" s="9"/>
      <c r="E295" s="7">
        <v>350</v>
      </c>
      <c r="F295" s="8">
        <f>IFERROR(E295/E445, "NA")</f>
        <v>3.7512135175729348E-3</v>
      </c>
      <c r="G295" s="9"/>
      <c r="H295" s="10">
        <f t="shared" si="72"/>
        <v>50</v>
      </c>
      <c r="I295" s="8">
        <f>IFERROR(H295/H445, "NA")</f>
        <v>-8.3024068677509527E-3</v>
      </c>
      <c r="J295" s="9"/>
      <c r="K295" s="7">
        <v>408.33</v>
      </c>
      <c r="L295" s="8">
        <f>IFERROR(K295/K445, "NA")</f>
        <v>4.7866655616217108E-3</v>
      </c>
      <c r="M295" s="9"/>
      <c r="N295" s="10">
        <f t="shared" si="73"/>
        <v>108.32999999999998</v>
      </c>
      <c r="O295" s="8">
        <f>IFERROR(N295/N445, "NA")</f>
        <v>5.4848966613672549E-2</v>
      </c>
      <c r="P295" s="9"/>
      <c r="Q295" s="7">
        <v>1499.97</v>
      </c>
      <c r="R295" s="8">
        <f>IFERROR(Q295/Q445, "NA")</f>
        <v>3.3530661497178454E-3</v>
      </c>
      <c r="S295" s="9"/>
      <c r="T295" s="7">
        <v>1750</v>
      </c>
      <c r="U295" s="8">
        <f>IFERROR(T295/T445, "NA")</f>
        <v>3.9680584446485211E-3</v>
      </c>
      <c r="V295" s="9"/>
      <c r="W295" s="10">
        <f t="shared" si="74"/>
        <v>250.02999999999997</v>
      </c>
      <c r="X295" s="8">
        <f>IFERROR(W295/W445, "NA")</f>
        <v>3.9555012047010979E-2</v>
      </c>
      <c r="Y295" s="9"/>
      <c r="Z295" s="7">
        <v>1880.61</v>
      </c>
      <c r="AA295" s="8">
        <f>IFERROR(Z295/Z445, "NA")</f>
        <v>4.5811673125438377E-3</v>
      </c>
      <c r="AB295" s="9"/>
      <c r="AC295" s="10">
        <f t="shared" si="75"/>
        <v>380.63999999999987</v>
      </c>
      <c r="AD295" s="8">
        <f>IFERROR(AC295/AC445, "NA")</f>
        <v>1.033396146863662E-2</v>
      </c>
    </row>
    <row r="296" spans="1:30" ht="16.5" customHeight="1" x14ac:dyDescent="0.45">
      <c r="A296" s="19" t="s">
        <v>269</v>
      </c>
      <c r="B296" s="14">
        <f>IFERROR(B287+B288+B289+B290+B291+B292+B293+B294+B295, "NA")</f>
        <v>2645.79</v>
      </c>
      <c r="C296" s="15">
        <f>IFERROR(B296/B445, "NA")</f>
        <v>3.0313543220678918E-2</v>
      </c>
      <c r="D296" s="2"/>
      <c r="E296" s="14">
        <f>IFERROR(E287+E288+E289+E290+E291+E292+E293+E294+E295, "NA")</f>
        <v>2974.2799999999997</v>
      </c>
      <c r="F296" s="15">
        <f>IFERROR(E296/E445, "NA")</f>
        <v>3.1877598117276654E-2</v>
      </c>
      <c r="G296" s="2"/>
      <c r="H296" s="14">
        <f t="shared" si="72"/>
        <v>328.48999999999978</v>
      </c>
      <c r="I296" s="15">
        <f>IFERROR(H296/H445, "NA")</f>
        <v>-5.4545152639750176E-2</v>
      </c>
      <c r="J296" s="2"/>
      <c r="K296" s="14">
        <f>IFERROR(K287+K288+K289+K290+K291+K292+K293+K294+K295, "NA")</f>
        <v>2220.4300000000003</v>
      </c>
      <c r="L296" s="15">
        <f>IFERROR(K296/K445, "NA")</f>
        <v>2.6029083861072409E-2</v>
      </c>
      <c r="M296" s="2"/>
      <c r="N296" s="14">
        <f t="shared" si="73"/>
        <v>-425.35999999999967</v>
      </c>
      <c r="O296" s="15">
        <f>IFERROR(N296/N445, "NA")</f>
        <v>-0.21536560914605135</v>
      </c>
      <c r="P296" s="2"/>
      <c r="Q296" s="14">
        <f>IFERROR(Q287+Q288+Q289+Q290+Q291+Q292+Q293+Q294+Q295, "NA")</f>
        <v>19528.46</v>
      </c>
      <c r="R296" s="15">
        <f>IFERROR(Q296/Q445, "NA")</f>
        <v>4.3654351875116799E-2</v>
      </c>
      <c r="S296" s="2"/>
      <c r="T296" s="14">
        <f>IFERROR(T287+T288+T289+T290+T291+T292+T293+T294+T295, "NA")</f>
        <v>14439.300000000001</v>
      </c>
      <c r="U296" s="15">
        <f>IFERROR(T296/T445, "NA")</f>
        <v>3.2740563599893371E-2</v>
      </c>
      <c r="V296" s="2"/>
      <c r="W296" s="14">
        <f t="shared" si="74"/>
        <v>-5089.159999999998</v>
      </c>
      <c r="X296" s="15">
        <f>IFERROR(W296/W445, "NA")</f>
        <v>-0.80511052717340459</v>
      </c>
      <c r="Y296" s="2"/>
      <c r="Z296" s="14">
        <f>IFERROR(Z287+Z288+Z289+Z290+Z291+Z292+Z293+Z294+Z295, "NA")</f>
        <v>14563.380000000001</v>
      </c>
      <c r="AA296" s="15">
        <f>IFERROR(Z296/Z445, "NA")</f>
        <v>3.5476404154053565E-2</v>
      </c>
      <c r="AB296" s="2"/>
      <c r="AC296" s="14">
        <f t="shared" si="75"/>
        <v>-4965.0799999999981</v>
      </c>
      <c r="AD296" s="15">
        <f>IFERROR(AC296/AC445, "NA")</f>
        <v>-0.13479651484000185</v>
      </c>
    </row>
    <row r="297" spans="1:30" ht="16.5" customHeight="1" x14ac:dyDescent="0.45">
      <c r="A297" s="5" t="s">
        <v>270</v>
      </c>
      <c r="B297" s="2"/>
      <c r="C297" s="3"/>
      <c r="D297" s="4"/>
      <c r="E297" s="2"/>
      <c r="F297" s="3"/>
      <c r="G297" s="4"/>
      <c r="H297" s="2"/>
      <c r="I297" s="3"/>
      <c r="J297" s="4"/>
      <c r="K297" s="2"/>
      <c r="L297" s="3"/>
      <c r="M297" s="4"/>
      <c r="N297" s="2"/>
      <c r="O297" s="3"/>
      <c r="P297" s="4"/>
      <c r="Q297" s="2"/>
      <c r="R297" s="3"/>
      <c r="S297" s="4"/>
      <c r="T297" s="2"/>
      <c r="U297" s="3"/>
      <c r="V297" s="4"/>
      <c r="W297" s="2"/>
      <c r="X297" s="3"/>
      <c r="Y297" s="4"/>
      <c r="Z297" s="2"/>
      <c r="AA297" s="3"/>
      <c r="AB297" s="4"/>
      <c r="AC297" s="2"/>
      <c r="AD297" s="3"/>
    </row>
    <row r="298" spans="1:30" ht="16.5" hidden="1" customHeight="1" x14ac:dyDescent="0.45">
      <c r="A298" s="6" t="s">
        <v>270</v>
      </c>
      <c r="B298" s="7">
        <v>0</v>
      </c>
      <c r="C298" s="8">
        <f>IFERROR(B298/B445, "NA")</f>
        <v>0</v>
      </c>
      <c r="D298" s="9"/>
      <c r="E298" s="7">
        <v>0</v>
      </c>
      <c r="F298" s="8">
        <f>IFERROR(E298/E445, "NA")</f>
        <v>0</v>
      </c>
      <c r="G298" s="9"/>
      <c r="H298" s="10">
        <f t="shared" ref="H298:H326" si="76">IFERROR(-(B298-E298), "NA")</f>
        <v>0</v>
      </c>
      <c r="I298" s="8">
        <f>IFERROR(H298/H445, "NA")</f>
        <v>0</v>
      </c>
      <c r="J298" s="9"/>
      <c r="K298" s="7">
        <v>0</v>
      </c>
      <c r="L298" s="8">
        <f>IFERROR(K298/K445, "NA")</f>
        <v>0</v>
      </c>
      <c r="M298" s="9"/>
      <c r="N298" s="10">
        <f t="shared" ref="N298:N326" si="77">IFERROR(-(B298-K298), "NA")</f>
        <v>0</v>
      </c>
      <c r="O298" s="8">
        <f>IFERROR(N298/N445, "NA")</f>
        <v>0</v>
      </c>
      <c r="P298" s="9"/>
      <c r="Q298" s="7">
        <v>0</v>
      </c>
      <c r="R298" s="8">
        <f>IFERROR(Q298/Q445, "NA")</f>
        <v>0</v>
      </c>
      <c r="S298" s="9"/>
      <c r="T298" s="7">
        <v>0</v>
      </c>
      <c r="U298" s="8">
        <f>IFERROR(T298/T445, "NA")</f>
        <v>0</v>
      </c>
      <c r="V298" s="9"/>
      <c r="W298" s="10">
        <f t="shared" ref="W298:W326" si="78">IFERROR(-(Q298-T298), "NA")</f>
        <v>0</v>
      </c>
      <c r="X298" s="8">
        <f>IFERROR(W298/W445, "NA")</f>
        <v>0</v>
      </c>
      <c r="Y298" s="9"/>
      <c r="Z298" s="7">
        <v>0</v>
      </c>
      <c r="AA298" s="8">
        <f>IFERROR(Z298/Z445, "NA")</f>
        <v>0</v>
      </c>
      <c r="AB298" s="9"/>
      <c r="AC298" s="10">
        <f t="shared" ref="AC298:AC326" si="79">IFERROR(-(Q298-Z298), "NA")</f>
        <v>0</v>
      </c>
      <c r="AD298" s="8">
        <f>IFERROR(AC298/AC445,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IFERROR(B299/B445, "NA")</f>
        <v>0</v>
      </c>
      <c r="D299" s="9"/>
      <c r="E299" s="7">
        <v>0</v>
      </c>
      <c r="F299" s="8">
        <f>IFERROR(E299/E445, "NA")</f>
        <v>0</v>
      </c>
      <c r="G299" s="9"/>
      <c r="H299" s="10">
        <f t="shared" si="76"/>
        <v>0</v>
      </c>
      <c r="I299" s="8">
        <f>IFERROR(H299/H445, "NA")</f>
        <v>0</v>
      </c>
      <c r="J299" s="9"/>
      <c r="K299" s="7">
        <v>0</v>
      </c>
      <c r="L299" s="8">
        <f>IFERROR(K299/K445, "NA")</f>
        <v>0</v>
      </c>
      <c r="M299" s="9"/>
      <c r="N299" s="10">
        <f t="shared" si="77"/>
        <v>0</v>
      </c>
      <c r="O299" s="8">
        <f>IFERROR(N299/N445, "NA")</f>
        <v>0</v>
      </c>
      <c r="P299" s="9"/>
      <c r="Q299" s="7">
        <v>0</v>
      </c>
      <c r="R299" s="8">
        <f>IFERROR(Q299/Q445, "NA")</f>
        <v>0</v>
      </c>
      <c r="S299" s="9"/>
      <c r="T299" s="7">
        <v>0</v>
      </c>
      <c r="U299" s="8">
        <f>IFERROR(T299/T445, "NA")</f>
        <v>0</v>
      </c>
      <c r="V299" s="9"/>
      <c r="W299" s="10">
        <f t="shared" si="78"/>
        <v>0</v>
      </c>
      <c r="X299" s="8">
        <f>IFERROR(W299/W445, "NA")</f>
        <v>0</v>
      </c>
      <c r="Y299" s="9"/>
      <c r="Z299" s="7">
        <v>0</v>
      </c>
      <c r="AA299" s="8">
        <f>IFERROR(Z299/Z445, "NA")</f>
        <v>0</v>
      </c>
      <c r="AB299" s="9"/>
      <c r="AC299" s="10">
        <f t="shared" si="79"/>
        <v>0</v>
      </c>
      <c r="AD299" s="8">
        <f>IFERROR(AC299/AC445, "NA")</f>
        <v>0</v>
      </c>
    </row>
    <row r="300" spans="1:30" ht="16.5" customHeight="1" x14ac:dyDescent="0.45">
      <c r="A300" s="6" t="s">
        <v>272</v>
      </c>
      <c r="B300" s="7">
        <v>510.4</v>
      </c>
      <c r="C300" s="8">
        <f>IFERROR(B300/B445, "NA")</f>
        <v>5.847793082532823E-3</v>
      </c>
      <c r="D300" s="9"/>
      <c r="E300" s="7">
        <v>489</v>
      </c>
      <c r="F300" s="8">
        <f>IFERROR(E300/E445, "NA")</f>
        <v>5.2409811716947578E-3</v>
      </c>
      <c r="G300" s="9"/>
      <c r="H300" s="10">
        <f t="shared" si="76"/>
        <v>-21.399999999999977</v>
      </c>
      <c r="I300" s="8">
        <f>IFERROR(H300/H445, "NA")</f>
        <v>3.553430139397404E-3</v>
      </c>
      <c r="J300" s="9"/>
      <c r="K300" s="7">
        <v>1380.42</v>
      </c>
      <c r="L300" s="8">
        <f>IFERROR(K300/K445, "NA")</f>
        <v>1.6182031382886004E-2</v>
      </c>
      <c r="M300" s="9"/>
      <c r="N300" s="10">
        <f t="shared" si="77"/>
        <v>870.0200000000001</v>
      </c>
      <c r="O300" s="8">
        <f>IFERROR(N300/N445, "NA")</f>
        <v>0.44050307332435529</v>
      </c>
      <c r="P300" s="9"/>
      <c r="Q300" s="7">
        <v>2509.0700000000002</v>
      </c>
      <c r="R300" s="8">
        <f>IFERROR(Q300/Q445, "NA")</f>
        <v>5.608830632794359E-3</v>
      </c>
      <c r="S300" s="9"/>
      <c r="T300" s="7">
        <v>2445</v>
      </c>
      <c r="U300" s="8">
        <f>IFERROR(T300/T445, "NA")</f>
        <v>5.5439445126660766E-3</v>
      </c>
      <c r="V300" s="9"/>
      <c r="W300" s="10">
        <f t="shared" si="78"/>
        <v>-64.070000000000164</v>
      </c>
      <c r="X300" s="8">
        <f>IFERROR(W300/W445, "NA")</f>
        <v>-1.0135942174347079E-2</v>
      </c>
      <c r="Y300" s="9"/>
      <c r="Z300" s="7">
        <v>3634.48</v>
      </c>
      <c r="AA300" s="8">
        <f>IFERROR(Z300/Z445, "NA")</f>
        <v>8.8535958939356518E-3</v>
      </c>
      <c r="AB300" s="9"/>
      <c r="AC300" s="10">
        <f t="shared" si="79"/>
        <v>1125.4099999999999</v>
      </c>
      <c r="AD300" s="8">
        <f>IFERROR(AC300/AC445, "NA")</f>
        <v>3.0553655885924604E-2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IFERROR(B301/B445, "NA")</f>
        <v>0</v>
      </c>
      <c r="D301" s="9"/>
      <c r="E301" s="7">
        <v>0</v>
      </c>
      <c r="F301" s="8">
        <f>IFERROR(E301/E445, "NA")</f>
        <v>0</v>
      </c>
      <c r="G301" s="9"/>
      <c r="H301" s="10">
        <f t="shared" si="76"/>
        <v>0</v>
      </c>
      <c r="I301" s="8">
        <f>IFERROR(H301/H445, "NA")</f>
        <v>0</v>
      </c>
      <c r="J301" s="9"/>
      <c r="K301" s="7">
        <v>0</v>
      </c>
      <c r="L301" s="8">
        <f>IFERROR(K301/K445, "NA")</f>
        <v>0</v>
      </c>
      <c r="M301" s="9"/>
      <c r="N301" s="10">
        <f t="shared" si="77"/>
        <v>0</v>
      </c>
      <c r="O301" s="8">
        <f>IFERROR(N301/N445, "NA")</f>
        <v>0</v>
      </c>
      <c r="P301" s="9"/>
      <c r="Q301" s="7">
        <v>0</v>
      </c>
      <c r="R301" s="8">
        <f>IFERROR(Q301/Q445, "NA")</f>
        <v>0</v>
      </c>
      <c r="S301" s="9"/>
      <c r="T301" s="7">
        <v>0</v>
      </c>
      <c r="U301" s="8">
        <f>IFERROR(T301/T445, "NA")</f>
        <v>0</v>
      </c>
      <c r="V301" s="9"/>
      <c r="W301" s="10">
        <f t="shared" si="78"/>
        <v>0</v>
      </c>
      <c r="X301" s="8">
        <f>IFERROR(W301/W445, "NA")</f>
        <v>0</v>
      </c>
      <c r="Y301" s="9"/>
      <c r="Z301" s="7">
        <v>0</v>
      </c>
      <c r="AA301" s="8">
        <f>IFERROR(Z301/Z445, "NA")</f>
        <v>0</v>
      </c>
      <c r="AB301" s="9"/>
      <c r="AC301" s="10">
        <f t="shared" si="79"/>
        <v>0</v>
      </c>
      <c r="AD301" s="8">
        <f>IFERROR(AC301/AC445,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IFERROR(B302/B445, "NA")</f>
        <v>0</v>
      </c>
      <c r="D302" s="9"/>
      <c r="E302" s="7">
        <v>0</v>
      </c>
      <c r="F302" s="8">
        <f>IFERROR(E302/E445, "NA")</f>
        <v>0</v>
      </c>
      <c r="G302" s="9"/>
      <c r="H302" s="10">
        <f t="shared" si="76"/>
        <v>0</v>
      </c>
      <c r="I302" s="8">
        <f>IFERROR(H302/H445, "NA")</f>
        <v>0</v>
      </c>
      <c r="J302" s="9"/>
      <c r="K302" s="7">
        <v>0</v>
      </c>
      <c r="L302" s="8">
        <f>IFERROR(K302/K445, "NA")</f>
        <v>0</v>
      </c>
      <c r="M302" s="9"/>
      <c r="N302" s="10">
        <f t="shared" si="77"/>
        <v>0</v>
      </c>
      <c r="O302" s="8">
        <f>IFERROR(N302/N445, "NA")</f>
        <v>0</v>
      </c>
      <c r="P302" s="9"/>
      <c r="Q302" s="7">
        <v>0</v>
      </c>
      <c r="R302" s="8">
        <f>IFERROR(Q302/Q445, "NA")</f>
        <v>0</v>
      </c>
      <c r="S302" s="9"/>
      <c r="T302" s="7">
        <v>0</v>
      </c>
      <c r="U302" s="8">
        <f>IFERROR(T302/T445, "NA")</f>
        <v>0</v>
      </c>
      <c r="V302" s="9"/>
      <c r="W302" s="10">
        <f t="shared" si="78"/>
        <v>0</v>
      </c>
      <c r="X302" s="8">
        <f>IFERROR(W302/W445, "NA")</f>
        <v>0</v>
      </c>
      <c r="Y302" s="9"/>
      <c r="Z302" s="7">
        <v>0</v>
      </c>
      <c r="AA302" s="8">
        <f>IFERROR(Z302/Z445, "NA")</f>
        <v>0</v>
      </c>
      <c r="AB302" s="9"/>
      <c r="AC302" s="10">
        <f t="shared" si="79"/>
        <v>0</v>
      </c>
      <c r="AD302" s="8">
        <f>IFERROR(AC302/AC445,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IFERROR(B303/B445, "NA")</f>
        <v>0</v>
      </c>
      <c r="D303" s="9"/>
      <c r="E303" s="7">
        <v>0</v>
      </c>
      <c r="F303" s="8">
        <f>IFERROR(E303/E445, "NA")</f>
        <v>0</v>
      </c>
      <c r="G303" s="9"/>
      <c r="H303" s="10">
        <f t="shared" si="76"/>
        <v>0</v>
      </c>
      <c r="I303" s="8">
        <f>IFERROR(H303/H445, "NA")</f>
        <v>0</v>
      </c>
      <c r="J303" s="9"/>
      <c r="K303" s="7">
        <v>0</v>
      </c>
      <c r="L303" s="8">
        <f>IFERROR(K303/K445, "NA")</f>
        <v>0</v>
      </c>
      <c r="M303" s="9"/>
      <c r="N303" s="10">
        <f t="shared" si="77"/>
        <v>0</v>
      </c>
      <c r="O303" s="8">
        <f>IFERROR(N303/N445, "NA")</f>
        <v>0</v>
      </c>
      <c r="P303" s="9"/>
      <c r="Q303" s="7">
        <v>0</v>
      </c>
      <c r="R303" s="8">
        <f>IFERROR(Q303/Q445, "NA")</f>
        <v>0</v>
      </c>
      <c r="S303" s="9"/>
      <c r="T303" s="7">
        <v>0</v>
      </c>
      <c r="U303" s="8">
        <f>IFERROR(T303/T445, "NA")</f>
        <v>0</v>
      </c>
      <c r="V303" s="9"/>
      <c r="W303" s="10">
        <f t="shared" si="78"/>
        <v>0</v>
      </c>
      <c r="X303" s="8">
        <f>IFERROR(W303/W445, "NA")</f>
        <v>0</v>
      </c>
      <c r="Y303" s="9"/>
      <c r="Z303" s="7">
        <v>0</v>
      </c>
      <c r="AA303" s="8">
        <f>IFERROR(Z303/Z445, "NA")</f>
        <v>0</v>
      </c>
      <c r="AB303" s="9"/>
      <c r="AC303" s="10">
        <f t="shared" si="79"/>
        <v>0</v>
      </c>
      <c r="AD303" s="8">
        <f>IFERROR(AC303/AC445,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IFERROR(B304/B445, "NA")</f>
        <v>0</v>
      </c>
      <c r="D304" s="9"/>
      <c r="E304" s="7">
        <v>0</v>
      </c>
      <c r="F304" s="8">
        <f>IFERROR(E304/E445, "NA")</f>
        <v>0</v>
      </c>
      <c r="G304" s="9"/>
      <c r="H304" s="10">
        <f t="shared" si="76"/>
        <v>0</v>
      </c>
      <c r="I304" s="8">
        <f>IFERROR(H304/H445, "NA")</f>
        <v>0</v>
      </c>
      <c r="J304" s="9"/>
      <c r="K304" s="7">
        <v>0</v>
      </c>
      <c r="L304" s="8">
        <f>IFERROR(K304/K445, "NA")</f>
        <v>0</v>
      </c>
      <c r="M304" s="9"/>
      <c r="N304" s="10">
        <f t="shared" si="77"/>
        <v>0</v>
      </c>
      <c r="O304" s="8">
        <f>IFERROR(N304/N445, "NA")</f>
        <v>0</v>
      </c>
      <c r="P304" s="9"/>
      <c r="Q304" s="7">
        <v>0</v>
      </c>
      <c r="R304" s="8">
        <f>IFERROR(Q304/Q445, "NA")</f>
        <v>0</v>
      </c>
      <c r="S304" s="9"/>
      <c r="T304" s="7">
        <v>0</v>
      </c>
      <c r="U304" s="8">
        <f>IFERROR(T304/T445, "NA")</f>
        <v>0</v>
      </c>
      <c r="V304" s="9"/>
      <c r="W304" s="10">
        <f t="shared" si="78"/>
        <v>0</v>
      </c>
      <c r="X304" s="8">
        <f>IFERROR(W304/W445, "NA")</f>
        <v>0</v>
      </c>
      <c r="Y304" s="9"/>
      <c r="Z304" s="7">
        <v>0</v>
      </c>
      <c r="AA304" s="8">
        <f>IFERROR(Z304/Z445, "NA")</f>
        <v>0</v>
      </c>
      <c r="AB304" s="9"/>
      <c r="AC304" s="10">
        <f t="shared" si="79"/>
        <v>0</v>
      </c>
      <c r="AD304" s="8">
        <f>IFERROR(AC304/AC445,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IFERROR(B305/B445, "NA")</f>
        <v>0</v>
      </c>
      <c r="D305" s="9"/>
      <c r="E305" s="7">
        <v>0</v>
      </c>
      <c r="F305" s="8">
        <f>IFERROR(E305/E445, "NA")</f>
        <v>0</v>
      </c>
      <c r="G305" s="9"/>
      <c r="H305" s="10">
        <f t="shared" si="76"/>
        <v>0</v>
      </c>
      <c r="I305" s="8">
        <f>IFERROR(H305/H445, "NA")</f>
        <v>0</v>
      </c>
      <c r="J305" s="9"/>
      <c r="K305" s="7">
        <v>0</v>
      </c>
      <c r="L305" s="8">
        <f>IFERROR(K305/K445, "NA")</f>
        <v>0</v>
      </c>
      <c r="M305" s="9"/>
      <c r="N305" s="10">
        <f t="shared" si="77"/>
        <v>0</v>
      </c>
      <c r="O305" s="8">
        <f>IFERROR(N305/N445, "NA")</f>
        <v>0</v>
      </c>
      <c r="P305" s="9"/>
      <c r="Q305" s="7">
        <v>0</v>
      </c>
      <c r="R305" s="8">
        <f>IFERROR(Q305/Q445, "NA")</f>
        <v>0</v>
      </c>
      <c r="S305" s="9"/>
      <c r="T305" s="7">
        <v>0</v>
      </c>
      <c r="U305" s="8">
        <f>IFERROR(T305/T445, "NA")</f>
        <v>0</v>
      </c>
      <c r="V305" s="9"/>
      <c r="W305" s="10">
        <f t="shared" si="78"/>
        <v>0</v>
      </c>
      <c r="X305" s="8">
        <f>IFERROR(W305/W445, "NA")</f>
        <v>0</v>
      </c>
      <c r="Y305" s="9"/>
      <c r="Z305" s="7">
        <v>0</v>
      </c>
      <c r="AA305" s="8">
        <f>IFERROR(Z305/Z445, "NA")</f>
        <v>0</v>
      </c>
      <c r="AB305" s="9"/>
      <c r="AC305" s="10">
        <f t="shared" si="79"/>
        <v>0</v>
      </c>
      <c r="AD305" s="8">
        <f>IFERROR(AC305/AC445, "NA")</f>
        <v>0</v>
      </c>
    </row>
    <row r="306" spans="1:30" ht="16.5" customHeight="1" x14ac:dyDescent="0.45">
      <c r="A306" s="6" t="s">
        <v>278</v>
      </c>
      <c r="B306" s="7">
        <v>35.880000000000003</v>
      </c>
      <c r="C306" s="8">
        <f>IFERROR(B306/B445, "NA")</f>
        <v>4.1108702155422751E-4</v>
      </c>
      <c r="D306" s="9"/>
      <c r="E306" s="7">
        <v>0</v>
      </c>
      <c r="F306" s="8">
        <f>IFERROR(E306/E445, "NA")</f>
        <v>0</v>
      </c>
      <c r="G306" s="9"/>
      <c r="H306" s="10">
        <f t="shared" si="76"/>
        <v>-35.880000000000003</v>
      </c>
      <c r="I306" s="8">
        <f>IFERROR(H306/H445, "NA")</f>
        <v>5.9578071682980845E-3</v>
      </c>
      <c r="J306" s="9"/>
      <c r="K306" s="7">
        <v>0</v>
      </c>
      <c r="L306" s="8">
        <f>IFERROR(K306/K445, "NA")</f>
        <v>0</v>
      </c>
      <c r="M306" s="9"/>
      <c r="N306" s="10">
        <f t="shared" si="77"/>
        <v>-35.880000000000003</v>
      </c>
      <c r="O306" s="8">
        <f>IFERROR(N306/N445, "NA")</f>
        <v>-1.8166536712808747E-2</v>
      </c>
      <c r="P306" s="9"/>
      <c r="Q306" s="7">
        <v>134.63</v>
      </c>
      <c r="R306" s="8">
        <f>IFERROR(Q306/Q445, "NA")</f>
        <v>3.0095488292200073E-4</v>
      </c>
      <c r="S306" s="9"/>
      <c r="T306" s="7">
        <v>0</v>
      </c>
      <c r="U306" s="8">
        <f>IFERROR(T306/T445, "NA")</f>
        <v>0</v>
      </c>
      <c r="V306" s="9"/>
      <c r="W306" s="10">
        <f t="shared" si="78"/>
        <v>-134.63</v>
      </c>
      <c r="X306" s="8">
        <f>IFERROR(W306/W445, "NA")</f>
        <v>-2.1298609254445822E-2</v>
      </c>
      <c r="Y306" s="9"/>
      <c r="Z306" s="7">
        <v>-57</v>
      </c>
      <c r="AA306" s="8">
        <f>IFERROR(Z306/Z445, "NA")</f>
        <v>-1.3885204099467658E-4</v>
      </c>
      <c r="AB306" s="9"/>
      <c r="AC306" s="10">
        <f t="shared" si="79"/>
        <v>-191.63</v>
      </c>
      <c r="AD306" s="8">
        <f>IFERROR(AC306/AC445, "NA")</f>
        <v>-5.2025458076787419E-3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IFERROR(B307/B445, "NA")</f>
        <v>0</v>
      </c>
      <c r="D307" s="9"/>
      <c r="E307" s="7">
        <v>0</v>
      </c>
      <c r="F307" s="8">
        <f>IFERROR(E307/E445, "NA")</f>
        <v>0</v>
      </c>
      <c r="G307" s="9"/>
      <c r="H307" s="10">
        <f t="shared" si="76"/>
        <v>0</v>
      </c>
      <c r="I307" s="8">
        <f>IFERROR(H307/H445, "NA")</f>
        <v>0</v>
      </c>
      <c r="J307" s="9"/>
      <c r="K307" s="7">
        <v>0</v>
      </c>
      <c r="L307" s="8">
        <f>IFERROR(K307/K445, "NA")</f>
        <v>0</v>
      </c>
      <c r="M307" s="9"/>
      <c r="N307" s="10">
        <f t="shared" si="77"/>
        <v>0</v>
      </c>
      <c r="O307" s="8">
        <f>IFERROR(N307/N445, "NA")</f>
        <v>0</v>
      </c>
      <c r="P307" s="9"/>
      <c r="Q307" s="7">
        <v>0</v>
      </c>
      <c r="R307" s="8">
        <f>IFERROR(Q307/Q445, "NA")</f>
        <v>0</v>
      </c>
      <c r="S307" s="9"/>
      <c r="T307" s="7">
        <v>0</v>
      </c>
      <c r="U307" s="8">
        <f>IFERROR(T307/T445, "NA")</f>
        <v>0</v>
      </c>
      <c r="V307" s="9"/>
      <c r="W307" s="10">
        <f t="shared" si="78"/>
        <v>0</v>
      </c>
      <c r="X307" s="8">
        <f>IFERROR(W307/W445, "NA")</f>
        <v>0</v>
      </c>
      <c r="Y307" s="9"/>
      <c r="Z307" s="7">
        <v>0</v>
      </c>
      <c r="AA307" s="8">
        <f>IFERROR(Z307/Z445, "NA")</f>
        <v>0</v>
      </c>
      <c r="AB307" s="9"/>
      <c r="AC307" s="10">
        <f t="shared" si="79"/>
        <v>0</v>
      </c>
      <c r="AD307" s="8">
        <f>IFERROR(AC307/AC445,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IFERROR(B308/B445, "NA")</f>
        <v>0</v>
      </c>
      <c r="D308" s="9"/>
      <c r="E308" s="7">
        <v>0</v>
      </c>
      <c r="F308" s="8">
        <f>IFERROR(E308/E445, "NA")</f>
        <v>0</v>
      </c>
      <c r="G308" s="9"/>
      <c r="H308" s="10">
        <f t="shared" si="76"/>
        <v>0</v>
      </c>
      <c r="I308" s="8">
        <f>IFERROR(H308/H445, "NA")</f>
        <v>0</v>
      </c>
      <c r="J308" s="9"/>
      <c r="K308" s="7">
        <v>0</v>
      </c>
      <c r="L308" s="8">
        <f>IFERROR(K308/K445, "NA")</f>
        <v>0</v>
      </c>
      <c r="M308" s="9"/>
      <c r="N308" s="10">
        <f t="shared" si="77"/>
        <v>0</v>
      </c>
      <c r="O308" s="8">
        <f>IFERROR(N308/N445, "NA")</f>
        <v>0</v>
      </c>
      <c r="P308" s="9"/>
      <c r="Q308" s="7">
        <v>0</v>
      </c>
      <c r="R308" s="8">
        <f>IFERROR(Q308/Q445, "NA")</f>
        <v>0</v>
      </c>
      <c r="S308" s="9"/>
      <c r="T308" s="7">
        <v>0</v>
      </c>
      <c r="U308" s="8">
        <f>IFERROR(T308/T445, "NA")</f>
        <v>0</v>
      </c>
      <c r="V308" s="9"/>
      <c r="W308" s="10">
        <f t="shared" si="78"/>
        <v>0</v>
      </c>
      <c r="X308" s="8">
        <f>IFERROR(W308/W445, "NA")</f>
        <v>0</v>
      </c>
      <c r="Y308" s="9"/>
      <c r="Z308" s="7">
        <v>0</v>
      </c>
      <c r="AA308" s="8">
        <f>IFERROR(Z308/Z445, "NA")</f>
        <v>0</v>
      </c>
      <c r="AB308" s="9"/>
      <c r="AC308" s="10">
        <f t="shared" si="79"/>
        <v>0</v>
      </c>
      <c r="AD308" s="8">
        <f>IFERROR(AC308/AC445,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IFERROR(B309/B445, "NA")</f>
        <v>0</v>
      </c>
      <c r="D309" s="9"/>
      <c r="E309" s="7">
        <v>0</v>
      </c>
      <c r="F309" s="8">
        <f>IFERROR(E309/E445, "NA")</f>
        <v>0</v>
      </c>
      <c r="G309" s="9"/>
      <c r="H309" s="10">
        <f t="shared" si="76"/>
        <v>0</v>
      </c>
      <c r="I309" s="8">
        <f>IFERROR(H309/H445, "NA")</f>
        <v>0</v>
      </c>
      <c r="J309" s="9"/>
      <c r="K309" s="7">
        <v>0</v>
      </c>
      <c r="L309" s="8">
        <f>IFERROR(K309/K445, "NA")</f>
        <v>0</v>
      </c>
      <c r="M309" s="9"/>
      <c r="N309" s="10">
        <f t="shared" si="77"/>
        <v>0</v>
      </c>
      <c r="O309" s="8">
        <f>IFERROR(N309/N445, "NA")</f>
        <v>0</v>
      </c>
      <c r="P309" s="9"/>
      <c r="Q309" s="7">
        <v>0</v>
      </c>
      <c r="R309" s="8">
        <f>IFERROR(Q309/Q445, "NA")</f>
        <v>0</v>
      </c>
      <c r="S309" s="9"/>
      <c r="T309" s="7">
        <v>0</v>
      </c>
      <c r="U309" s="8">
        <f>IFERROR(T309/T445, "NA")</f>
        <v>0</v>
      </c>
      <c r="V309" s="9"/>
      <c r="W309" s="10">
        <f t="shared" si="78"/>
        <v>0</v>
      </c>
      <c r="X309" s="8">
        <f>IFERROR(W309/W445, "NA")</f>
        <v>0</v>
      </c>
      <c r="Y309" s="9"/>
      <c r="Z309" s="7">
        <v>0</v>
      </c>
      <c r="AA309" s="8">
        <f>IFERROR(Z309/Z445, "NA")</f>
        <v>0</v>
      </c>
      <c r="AB309" s="9"/>
      <c r="AC309" s="10">
        <f t="shared" si="79"/>
        <v>0</v>
      </c>
      <c r="AD309" s="8">
        <f>IFERROR(AC309/AC445, "NA")</f>
        <v>0</v>
      </c>
    </row>
    <row r="310" spans="1:30" ht="16.5" hidden="1" customHeight="1" x14ac:dyDescent="0.45">
      <c r="A310" s="6" t="s">
        <v>282</v>
      </c>
      <c r="B310" s="7">
        <v>0</v>
      </c>
      <c r="C310" s="8">
        <f>IFERROR(B310/B445, "NA")</f>
        <v>0</v>
      </c>
      <c r="D310" s="9"/>
      <c r="E310" s="7">
        <v>0</v>
      </c>
      <c r="F310" s="8">
        <f>IFERROR(E310/E445, "NA")</f>
        <v>0</v>
      </c>
      <c r="G310" s="9"/>
      <c r="H310" s="10">
        <f t="shared" si="76"/>
        <v>0</v>
      </c>
      <c r="I310" s="8">
        <f>IFERROR(H310/H445, "NA")</f>
        <v>0</v>
      </c>
      <c r="J310" s="9"/>
      <c r="K310" s="7">
        <v>0</v>
      </c>
      <c r="L310" s="8">
        <f>IFERROR(K310/K445, "NA")</f>
        <v>0</v>
      </c>
      <c r="M310" s="9"/>
      <c r="N310" s="10">
        <f t="shared" si="77"/>
        <v>0</v>
      </c>
      <c r="O310" s="8">
        <f>IFERROR(N310/N445, "NA")</f>
        <v>0</v>
      </c>
      <c r="P310" s="9"/>
      <c r="Q310" s="7">
        <v>0</v>
      </c>
      <c r="R310" s="8">
        <f>IFERROR(Q310/Q445, "NA")</f>
        <v>0</v>
      </c>
      <c r="S310" s="9"/>
      <c r="T310" s="7">
        <v>0</v>
      </c>
      <c r="U310" s="8">
        <f>IFERROR(T310/T445, "NA")</f>
        <v>0</v>
      </c>
      <c r="V310" s="9"/>
      <c r="W310" s="10">
        <f t="shared" si="78"/>
        <v>0</v>
      </c>
      <c r="X310" s="8">
        <f>IFERROR(W310/W445, "NA")</f>
        <v>0</v>
      </c>
      <c r="Y310" s="9"/>
      <c r="Z310" s="7">
        <v>0</v>
      </c>
      <c r="AA310" s="8">
        <f>IFERROR(Z310/Z445, "NA")</f>
        <v>0</v>
      </c>
      <c r="AB310" s="9"/>
      <c r="AC310" s="10">
        <f t="shared" si="79"/>
        <v>0</v>
      </c>
      <c r="AD310" s="8">
        <f>IFERROR(AC310/AC445, "NA")</f>
        <v>0</v>
      </c>
    </row>
    <row r="311" spans="1:30" ht="16.5" customHeight="1" x14ac:dyDescent="0.45">
      <c r="A311" s="6" t="s">
        <v>283</v>
      </c>
      <c r="B311" s="7">
        <v>0</v>
      </c>
      <c r="C311" s="8">
        <f>IFERROR(B311/B445, "NA")</f>
        <v>0</v>
      </c>
      <c r="D311" s="9"/>
      <c r="E311" s="7">
        <v>55</v>
      </c>
      <c r="F311" s="8">
        <f>IFERROR(E311/E445, "NA")</f>
        <v>5.894764099043183E-4</v>
      </c>
      <c r="G311" s="9"/>
      <c r="H311" s="10">
        <f t="shared" si="76"/>
        <v>55</v>
      </c>
      <c r="I311" s="8">
        <f>IFERROR(H311/H445, "NA")</f>
        <v>-9.132647554526049E-3</v>
      </c>
      <c r="J311" s="9"/>
      <c r="K311" s="7">
        <v>281.54000000000002</v>
      </c>
      <c r="L311" s="8">
        <f>IFERROR(K311/K445, "NA")</f>
        <v>3.3003644655523142E-3</v>
      </c>
      <c r="M311" s="9"/>
      <c r="N311" s="10">
        <f t="shared" si="77"/>
        <v>281.54000000000002</v>
      </c>
      <c r="O311" s="8">
        <f>IFERROR(N311/N445, "NA")</f>
        <v>0.14254756817514422</v>
      </c>
      <c r="P311" s="9"/>
      <c r="Q311" s="7">
        <v>87.97</v>
      </c>
      <c r="R311" s="8">
        <f>IFERROR(Q311/Q445, "NA")</f>
        <v>1.9665008579550179E-4</v>
      </c>
      <c r="S311" s="9"/>
      <c r="T311" s="7">
        <v>275</v>
      </c>
      <c r="U311" s="8">
        <f>IFERROR(T311/T445, "NA")</f>
        <v>6.2355204130191044E-4</v>
      </c>
      <c r="V311" s="9"/>
      <c r="W311" s="10">
        <f t="shared" si="78"/>
        <v>187.03</v>
      </c>
      <c r="X311" s="8">
        <f>IFERROR(W311/W445, "NA")</f>
        <v>2.9588345011208512E-2</v>
      </c>
      <c r="Y311" s="9"/>
      <c r="Z311" s="7">
        <v>525.01</v>
      </c>
      <c r="AA311" s="8">
        <f>IFERROR(Z311/Z445, "NA")</f>
        <v>1.2789247375897396E-3</v>
      </c>
      <c r="AB311" s="9"/>
      <c r="AC311" s="10">
        <f t="shared" si="79"/>
        <v>437.03999999999996</v>
      </c>
      <c r="AD311" s="8">
        <f>IFERROR(AC311/AC445, "NA")</f>
        <v>1.1865160046902454E-2</v>
      </c>
    </row>
    <row r="312" spans="1:30" ht="16.5" customHeight="1" x14ac:dyDescent="0.45">
      <c r="A312" s="6" t="s">
        <v>284</v>
      </c>
      <c r="B312" s="7">
        <v>0</v>
      </c>
      <c r="C312" s="8">
        <f>IFERROR(B312/B445, "NA")</f>
        <v>0</v>
      </c>
      <c r="D312" s="9"/>
      <c r="E312" s="7">
        <v>0</v>
      </c>
      <c r="F312" s="8">
        <f>IFERROR(E312/E445, "NA")</f>
        <v>0</v>
      </c>
      <c r="G312" s="9"/>
      <c r="H312" s="10">
        <f t="shared" si="76"/>
        <v>0</v>
      </c>
      <c r="I312" s="8">
        <f>IFERROR(H312/H445, "NA")</f>
        <v>0</v>
      </c>
      <c r="J312" s="9"/>
      <c r="K312" s="7">
        <v>0</v>
      </c>
      <c r="L312" s="8">
        <f>IFERROR(K312/K445, "NA")</f>
        <v>0</v>
      </c>
      <c r="M312" s="9"/>
      <c r="N312" s="10">
        <f t="shared" si="77"/>
        <v>0</v>
      </c>
      <c r="O312" s="8">
        <f>IFERROR(N312/N445, "NA")</f>
        <v>0</v>
      </c>
      <c r="P312" s="9"/>
      <c r="Q312" s="7">
        <v>0</v>
      </c>
      <c r="R312" s="8">
        <f>IFERROR(Q312/Q445, "NA")</f>
        <v>0</v>
      </c>
      <c r="S312" s="9"/>
      <c r="T312" s="7">
        <v>0</v>
      </c>
      <c r="U312" s="8">
        <f>IFERROR(T312/T445, "NA")</f>
        <v>0</v>
      </c>
      <c r="V312" s="9"/>
      <c r="W312" s="10">
        <f t="shared" si="78"/>
        <v>0</v>
      </c>
      <c r="X312" s="8">
        <f>IFERROR(W312/W445, "NA")</f>
        <v>0</v>
      </c>
      <c r="Y312" s="9"/>
      <c r="Z312" s="7">
        <v>26.73</v>
      </c>
      <c r="AA312" s="8">
        <f>IFERROR(Z312/Z445, "NA")</f>
        <v>6.5114299224345714E-5</v>
      </c>
      <c r="AB312" s="9"/>
      <c r="AC312" s="10">
        <f t="shared" si="79"/>
        <v>26.73</v>
      </c>
      <c r="AD312" s="8">
        <f>IFERROR(AC312/AC445, "NA")</f>
        <v>7.2569039001853968E-4</v>
      </c>
    </row>
    <row r="313" spans="1:30" ht="16.5" customHeight="1" x14ac:dyDescent="0.45">
      <c r="A313" s="6" t="s">
        <v>285</v>
      </c>
      <c r="B313" s="7">
        <v>182.08</v>
      </c>
      <c r="C313" s="8">
        <f>IFERROR(B313/B445, "NA")</f>
        <v>2.0861406043643743E-3</v>
      </c>
      <c r="D313" s="9"/>
      <c r="E313" s="7">
        <v>35</v>
      </c>
      <c r="F313" s="8">
        <f>IFERROR(E313/E445, "NA")</f>
        <v>3.751213517572935E-4</v>
      </c>
      <c r="G313" s="9"/>
      <c r="H313" s="10">
        <f t="shared" si="76"/>
        <v>-147.08000000000001</v>
      </c>
      <c r="I313" s="8">
        <f>IFERROR(H313/H445, "NA")</f>
        <v>2.4422360042176204E-2</v>
      </c>
      <c r="J313" s="9"/>
      <c r="K313" s="7">
        <v>220.71</v>
      </c>
      <c r="L313" s="8">
        <f>IFERROR(K313/K445, "NA")</f>
        <v>2.5872822376644573E-3</v>
      </c>
      <c r="M313" s="9"/>
      <c r="N313" s="10">
        <f t="shared" si="77"/>
        <v>38.629999999999995</v>
      </c>
      <c r="O313" s="8">
        <f>IFERROR(N313/N445, "NA")</f>
        <v>1.955889947647162E-2</v>
      </c>
      <c r="P313" s="9"/>
      <c r="Q313" s="7">
        <v>2340.5</v>
      </c>
      <c r="R313" s="8">
        <f>IFERROR(Q313/Q445, "NA")</f>
        <v>5.2320055223868591E-3</v>
      </c>
      <c r="S313" s="9"/>
      <c r="T313" s="7">
        <v>175</v>
      </c>
      <c r="U313" s="8">
        <f>IFERROR(T313/T445, "NA")</f>
        <v>3.9680584446485212E-4</v>
      </c>
      <c r="V313" s="9"/>
      <c r="W313" s="10">
        <f t="shared" si="78"/>
        <v>-2165.5</v>
      </c>
      <c r="X313" s="8">
        <f>IFERROR(W313/W445, "NA")</f>
        <v>-0.34258440422270242</v>
      </c>
      <c r="Y313" s="9"/>
      <c r="Z313" s="7">
        <v>414.2</v>
      </c>
      <c r="AA313" s="8">
        <f>IFERROR(Z313/Z445, "NA")</f>
        <v>1.0089914978946499E-3</v>
      </c>
      <c r="AB313" s="9"/>
      <c r="AC313" s="10">
        <f t="shared" si="79"/>
        <v>-1926.3</v>
      </c>
      <c r="AD313" s="8">
        <f>IFERROR(AC313/AC445, "NA")</f>
        <v>-5.2296947186409017E-2</v>
      </c>
    </row>
    <row r="314" spans="1:30" ht="16.5" customHeight="1" x14ac:dyDescent="0.45">
      <c r="A314" s="6" t="s">
        <v>286</v>
      </c>
      <c r="B314" s="7">
        <v>8.3699999999999992</v>
      </c>
      <c r="C314" s="8">
        <f>IFERROR(B314/B445, "NA")</f>
        <v>9.5897390479623293E-5</v>
      </c>
      <c r="D314" s="9"/>
      <c r="E314" s="7">
        <v>25</v>
      </c>
      <c r="F314" s="8">
        <f>IFERROR(E314/E445, "NA")</f>
        <v>2.6794382268378105E-4</v>
      </c>
      <c r="G314" s="9"/>
      <c r="H314" s="10">
        <f t="shared" si="76"/>
        <v>16.630000000000003</v>
      </c>
      <c r="I314" s="8">
        <f>IFERROR(H314/H445, "NA")</f>
        <v>-2.7613805242139673E-3</v>
      </c>
      <c r="J314" s="9"/>
      <c r="K314" s="7">
        <v>28</v>
      </c>
      <c r="L314" s="8">
        <f>IFERROR(K314/K445, "NA")</f>
        <v>3.282311750922242E-4</v>
      </c>
      <c r="M314" s="9"/>
      <c r="N314" s="10">
        <f t="shared" si="77"/>
        <v>19.630000000000003</v>
      </c>
      <c r="O314" s="8">
        <f>IFERROR(N314/N445, "NA")</f>
        <v>9.9389385638917437E-3</v>
      </c>
      <c r="P314" s="9"/>
      <c r="Q314" s="7">
        <v>135.91999999999999</v>
      </c>
      <c r="R314" s="8">
        <f>IFERROR(Q314/Q445, "NA")</f>
        <v>3.0383857748464936E-4</v>
      </c>
      <c r="S314" s="9"/>
      <c r="T314" s="7">
        <v>125</v>
      </c>
      <c r="U314" s="8">
        <f>IFERROR(T314/T445, "NA")</f>
        <v>2.8343274604632294E-4</v>
      </c>
      <c r="V314" s="9"/>
      <c r="W314" s="10">
        <f t="shared" si="78"/>
        <v>-10.919999999999987</v>
      </c>
      <c r="X314" s="8">
        <f>IFERROR(W314/W445, "NA")</f>
        <v>-1.7275556195390932E-3</v>
      </c>
      <c r="Y314" s="9"/>
      <c r="Z314" s="7">
        <v>103.05</v>
      </c>
      <c r="AA314" s="8">
        <f>IFERROR(Z314/Z445, "NA")</f>
        <v>2.5102987411406005E-4</v>
      </c>
      <c r="AB314" s="9"/>
      <c r="AC314" s="10">
        <f t="shared" si="79"/>
        <v>-32.86999999999999</v>
      </c>
      <c r="AD314" s="8">
        <f>IFERROR(AC314/AC445, "NA")</f>
        <v>-8.9238470332620248E-4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IFERROR(B315/B445, "NA")</f>
        <v>0</v>
      </c>
      <c r="D315" s="9"/>
      <c r="E315" s="7">
        <v>0</v>
      </c>
      <c r="F315" s="8">
        <f>IFERROR(E315/E445, "NA")</f>
        <v>0</v>
      </c>
      <c r="G315" s="9"/>
      <c r="H315" s="10">
        <f t="shared" si="76"/>
        <v>0</v>
      </c>
      <c r="I315" s="8">
        <f>IFERROR(H315/H445, "NA")</f>
        <v>0</v>
      </c>
      <c r="J315" s="9"/>
      <c r="K315" s="7">
        <v>0</v>
      </c>
      <c r="L315" s="8">
        <f>IFERROR(K315/K445, "NA")</f>
        <v>0</v>
      </c>
      <c r="M315" s="9"/>
      <c r="N315" s="10">
        <f t="shared" si="77"/>
        <v>0</v>
      </c>
      <c r="O315" s="8">
        <f>IFERROR(N315/N445, "NA")</f>
        <v>0</v>
      </c>
      <c r="P315" s="9"/>
      <c r="Q315" s="7">
        <v>0</v>
      </c>
      <c r="R315" s="8">
        <f>IFERROR(Q315/Q445, "NA")</f>
        <v>0</v>
      </c>
      <c r="S315" s="9"/>
      <c r="T315" s="7">
        <v>0</v>
      </c>
      <c r="U315" s="8">
        <f>IFERROR(T315/T445, "NA")</f>
        <v>0</v>
      </c>
      <c r="V315" s="9"/>
      <c r="W315" s="10">
        <f t="shared" si="78"/>
        <v>0</v>
      </c>
      <c r="X315" s="8">
        <f>IFERROR(W315/W445, "NA")</f>
        <v>0</v>
      </c>
      <c r="Y315" s="9"/>
      <c r="Z315" s="7">
        <v>0</v>
      </c>
      <c r="AA315" s="8">
        <f>IFERROR(Z315/Z445, "NA")</f>
        <v>0</v>
      </c>
      <c r="AB315" s="9"/>
      <c r="AC315" s="10">
        <f t="shared" si="79"/>
        <v>0</v>
      </c>
      <c r="AD315" s="8">
        <f>IFERROR(AC315/AC445,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IFERROR(B316/B445, "NA")</f>
        <v>0</v>
      </c>
      <c r="D316" s="9"/>
      <c r="E316" s="7">
        <v>0</v>
      </c>
      <c r="F316" s="8">
        <f>IFERROR(E316/E445, "NA")</f>
        <v>0</v>
      </c>
      <c r="G316" s="9"/>
      <c r="H316" s="10">
        <f t="shared" si="76"/>
        <v>0</v>
      </c>
      <c r="I316" s="8">
        <f>IFERROR(H316/H445, "NA")</f>
        <v>0</v>
      </c>
      <c r="J316" s="9"/>
      <c r="K316" s="7">
        <v>0</v>
      </c>
      <c r="L316" s="8">
        <f>IFERROR(K316/K445, "NA")</f>
        <v>0</v>
      </c>
      <c r="M316" s="9"/>
      <c r="N316" s="10">
        <f t="shared" si="77"/>
        <v>0</v>
      </c>
      <c r="O316" s="8">
        <f>IFERROR(N316/N445, "NA")</f>
        <v>0</v>
      </c>
      <c r="P316" s="9"/>
      <c r="Q316" s="7">
        <v>0</v>
      </c>
      <c r="R316" s="8">
        <f>IFERROR(Q316/Q445, "NA")</f>
        <v>0</v>
      </c>
      <c r="S316" s="9"/>
      <c r="T316" s="7">
        <v>0</v>
      </c>
      <c r="U316" s="8">
        <f>IFERROR(T316/T445, "NA")</f>
        <v>0</v>
      </c>
      <c r="V316" s="9"/>
      <c r="W316" s="10">
        <f t="shared" si="78"/>
        <v>0</v>
      </c>
      <c r="X316" s="8">
        <f>IFERROR(W316/W445, "NA")</f>
        <v>0</v>
      </c>
      <c r="Y316" s="9"/>
      <c r="Z316" s="7">
        <v>0</v>
      </c>
      <c r="AA316" s="8">
        <f>IFERROR(Z316/Z445, "NA")</f>
        <v>0</v>
      </c>
      <c r="AB316" s="9"/>
      <c r="AC316" s="10">
        <f t="shared" si="79"/>
        <v>0</v>
      </c>
      <c r="AD316" s="8">
        <f>IFERROR(AC316/AC445, "NA")</f>
        <v>0</v>
      </c>
    </row>
    <row r="317" spans="1:30" ht="16.5" customHeight="1" x14ac:dyDescent="0.45">
      <c r="A317" s="6" t="s">
        <v>289</v>
      </c>
      <c r="B317" s="7">
        <v>-1.61</v>
      </c>
      <c r="C317" s="8">
        <f>IFERROR(B317/B445, "NA")</f>
        <v>-1.8446212505638414E-5</v>
      </c>
      <c r="D317" s="9"/>
      <c r="E317" s="7">
        <v>0</v>
      </c>
      <c r="F317" s="8">
        <f>IFERROR(E317/E445, "NA")</f>
        <v>0</v>
      </c>
      <c r="G317" s="9"/>
      <c r="H317" s="10">
        <f t="shared" si="76"/>
        <v>1.61</v>
      </c>
      <c r="I317" s="8">
        <f>IFERROR(H317/H445, "NA")</f>
        <v>-2.6733750114158069E-4</v>
      </c>
      <c r="J317" s="9"/>
      <c r="K317" s="7">
        <v>0</v>
      </c>
      <c r="L317" s="8">
        <f>IFERROR(K317/K445, "NA")</f>
        <v>0</v>
      </c>
      <c r="M317" s="9"/>
      <c r="N317" s="10">
        <f t="shared" si="77"/>
        <v>1.61</v>
      </c>
      <c r="O317" s="8">
        <f>IFERROR(N317/N445, "NA")</f>
        <v>8.1516510890808477E-4</v>
      </c>
      <c r="P317" s="9"/>
      <c r="Q317" s="7">
        <v>290.20999999999998</v>
      </c>
      <c r="R317" s="8">
        <f>IFERROR(Q317/Q445, "NA")</f>
        <v>6.4874185971027138E-4</v>
      </c>
      <c r="S317" s="9"/>
      <c r="T317" s="7">
        <v>0</v>
      </c>
      <c r="U317" s="8">
        <f>IFERROR(T317/T445, "NA")</f>
        <v>0</v>
      </c>
      <c r="V317" s="9"/>
      <c r="W317" s="10">
        <f t="shared" si="78"/>
        <v>-290.20999999999998</v>
      </c>
      <c r="X317" s="8">
        <f>IFERROR(W317/W445, "NA")</f>
        <v>-4.5911530800956113E-2</v>
      </c>
      <c r="Y317" s="9"/>
      <c r="Z317" s="7">
        <v>0</v>
      </c>
      <c r="AA317" s="8">
        <f>IFERROR(Z317/Z445, "NA")</f>
        <v>0</v>
      </c>
      <c r="AB317" s="9"/>
      <c r="AC317" s="10">
        <f t="shared" si="79"/>
        <v>-290.20999999999998</v>
      </c>
      <c r="AD317" s="8">
        <f>IFERROR(AC317/AC445, "NA")</f>
        <v>-7.878885450328485E-3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IFERROR(B318/B445, "NA")</f>
        <v>0</v>
      </c>
      <c r="D318" s="9"/>
      <c r="E318" s="7">
        <v>0</v>
      </c>
      <c r="F318" s="8">
        <f>IFERROR(E318/E445, "NA")</f>
        <v>0</v>
      </c>
      <c r="G318" s="9"/>
      <c r="H318" s="10">
        <f t="shared" si="76"/>
        <v>0</v>
      </c>
      <c r="I318" s="8">
        <f>IFERROR(H318/H445, "NA")</f>
        <v>0</v>
      </c>
      <c r="J318" s="9"/>
      <c r="K318" s="7">
        <v>0</v>
      </c>
      <c r="L318" s="8">
        <f>IFERROR(K318/K445, "NA")</f>
        <v>0</v>
      </c>
      <c r="M318" s="9"/>
      <c r="N318" s="10">
        <f t="shared" si="77"/>
        <v>0</v>
      </c>
      <c r="O318" s="8">
        <f>IFERROR(N318/N445, "NA")</f>
        <v>0</v>
      </c>
      <c r="P318" s="9"/>
      <c r="Q318" s="7">
        <v>0</v>
      </c>
      <c r="R318" s="8">
        <f>IFERROR(Q318/Q445, "NA")</f>
        <v>0</v>
      </c>
      <c r="S318" s="9"/>
      <c r="T318" s="7">
        <v>0</v>
      </c>
      <c r="U318" s="8">
        <f>IFERROR(T318/T445, "NA")</f>
        <v>0</v>
      </c>
      <c r="V318" s="9"/>
      <c r="W318" s="10">
        <f t="shared" si="78"/>
        <v>0</v>
      </c>
      <c r="X318" s="8">
        <f>IFERROR(W318/W445, "NA")</f>
        <v>0</v>
      </c>
      <c r="Y318" s="9"/>
      <c r="Z318" s="7">
        <v>0</v>
      </c>
      <c r="AA318" s="8">
        <f>IFERROR(Z318/Z445, "NA")</f>
        <v>0</v>
      </c>
      <c r="AB318" s="9"/>
      <c r="AC318" s="10">
        <f t="shared" si="79"/>
        <v>0</v>
      </c>
      <c r="AD318" s="8">
        <f>IFERROR(AC318/AC445, "NA")</f>
        <v>0</v>
      </c>
    </row>
    <row r="319" spans="1:30" ht="16.5" customHeight="1" x14ac:dyDescent="0.45">
      <c r="A319" s="6" t="s">
        <v>291</v>
      </c>
      <c r="B319" s="7">
        <v>414.57</v>
      </c>
      <c r="C319" s="8">
        <f>IFERROR(B319/B445, "NA")</f>
        <v>4.7498424338276498E-3</v>
      </c>
      <c r="D319" s="9"/>
      <c r="E319" s="7">
        <v>415</v>
      </c>
      <c r="F319" s="8">
        <f>IFERROR(E319/E445, "NA")</f>
        <v>4.4478674565507654E-3</v>
      </c>
      <c r="G319" s="9"/>
      <c r="H319" s="10">
        <f t="shared" si="76"/>
        <v>0.43000000000000682</v>
      </c>
      <c r="I319" s="8">
        <f>IFERROR(H319/H445, "NA")</f>
        <v>-7.1400699062659323E-5</v>
      </c>
      <c r="J319" s="9"/>
      <c r="K319" s="7">
        <v>414.57</v>
      </c>
      <c r="L319" s="8">
        <f>IFERROR(K319/K445, "NA")</f>
        <v>4.8598142234994061E-3</v>
      </c>
      <c r="M319" s="9"/>
      <c r="N319" s="10">
        <f t="shared" si="77"/>
        <v>0</v>
      </c>
      <c r="O319" s="8">
        <f>IFERROR(N319/N445, "NA")</f>
        <v>0</v>
      </c>
      <c r="P319" s="9"/>
      <c r="Q319" s="7">
        <v>2072.85</v>
      </c>
      <c r="R319" s="8">
        <f>IFERROR(Q319/Q445, "NA")</f>
        <v>4.6336947861908137E-3</v>
      </c>
      <c r="S319" s="9"/>
      <c r="T319" s="7">
        <v>2075</v>
      </c>
      <c r="U319" s="8">
        <f>IFERROR(T319/T445, "NA")</f>
        <v>4.7049835843689606E-3</v>
      </c>
      <c r="V319" s="9"/>
      <c r="W319" s="10">
        <f t="shared" si="78"/>
        <v>2.1500000000000909</v>
      </c>
      <c r="X319" s="8">
        <f>IFERROR(W319/W445, "NA")</f>
        <v>3.4013228772978129E-4</v>
      </c>
      <c r="Y319" s="9"/>
      <c r="Z319" s="7">
        <v>2072.85</v>
      </c>
      <c r="AA319" s="8">
        <f>IFERROR(Z319/Z445, "NA")</f>
        <v>5.0494640908037786E-3</v>
      </c>
      <c r="AB319" s="9"/>
      <c r="AC319" s="10">
        <f t="shared" si="79"/>
        <v>0</v>
      </c>
      <c r="AD319" s="8">
        <f>IFERROR(AC319/AC445, "NA")</f>
        <v>0</v>
      </c>
    </row>
    <row r="320" spans="1:30" ht="16.5" customHeight="1" x14ac:dyDescent="0.45">
      <c r="A320" s="6" t="s">
        <v>292</v>
      </c>
      <c r="B320" s="7">
        <v>149.56</v>
      </c>
      <c r="C320" s="8">
        <f>IFERROR(B320/B445, "NA")</f>
        <v>1.7135500263001746E-3</v>
      </c>
      <c r="D320" s="9"/>
      <c r="E320" s="7">
        <v>150</v>
      </c>
      <c r="F320" s="8">
        <f>IFERROR(E320/E445, "NA")</f>
        <v>1.6076629361026864E-3</v>
      </c>
      <c r="G320" s="9"/>
      <c r="H320" s="10">
        <f t="shared" si="76"/>
        <v>0.43999999999999773</v>
      </c>
      <c r="I320" s="8">
        <f>IFERROR(H320/H445, "NA")</f>
        <v>-7.3061180436208005E-5</v>
      </c>
      <c r="J320" s="9"/>
      <c r="K320" s="7">
        <v>149.55000000000001</v>
      </c>
      <c r="L320" s="8">
        <f>IFERROR(K320/K445, "NA")</f>
        <v>1.7531061512515047E-3</v>
      </c>
      <c r="M320" s="9"/>
      <c r="N320" s="10">
        <f t="shared" si="77"/>
        <v>-9.9999999999909051E-3</v>
      </c>
      <c r="O320" s="8">
        <f>IFERROR(N320/N445, "NA")</f>
        <v>-5.0631373224058596E-6</v>
      </c>
      <c r="P320" s="9"/>
      <c r="Q320" s="7">
        <v>748.07</v>
      </c>
      <c r="R320" s="8">
        <f>IFERROR(Q320/Q445, "NA")</f>
        <v>1.6722522414577814E-3</v>
      </c>
      <c r="S320" s="9"/>
      <c r="T320" s="7">
        <v>750</v>
      </c>
      <c r="U320" s="8">
        <f>IFERROR(T320/T445, "NA")</f>
        <v>1.7005964762779376E-3</v>
      </c>
      <c r="V320" s="9"/>
      <c r="W320" s="10">
        <f t="shared" si="78"/>
        <v>1.92999999999995</v>
      </c>
      <c r="X320" s="8">
        <f>IFERROR(W320/W445, "NA")</f>
        <v>3.0532805363648051E-4</v>
      </c>
      <c r="Y320" s="9"/>
      <c r="Z320" s="7">
        <v>747.83</v>
      </c>
      <c r="AA320" s="8">
        <f>IFERROR(Z320/Z445, "NA")</f>
        <v>1.821714417842965E-3</v>
      </c>
      <c r="AB320" s="9"/>
      <c r="AC320" s="10">
        <f t="shared" si="79"/>
        <v>-0.24000000000000909</v>
      </c>
      <c r="AD320" s="8">
        <f>IFERROR(AC320/AC445, "NA")</f>
        <v>-6.5157386309186732E-6</v>
      </c>
    </row>
    <row r="321" spans="1:30" ht="16.5" customHeight="1" x14ac:dyDescent="0.45">
      <c r="A321" s="6" t="s">
        <v>293</v>
      </c>
      <c r="B321" s="7">
        <v>1472.1</v>
      </c>
      <c r="C321" s="8">
        <f>IFERROR(B321/B445, "NA")</f>
        <v>1.6866254304068514E-2</v>
      </c>
      <c r="D321" s="9"/>
      <c r="E321" s="7">
        <v>1242</v>
      </c>
      <c r="F321" s="8">
        <f>IFERROR(E321/E445, "NA")</f>
        <v>1.3311449110930244E-2</v>
      </c>
      <c r="G321" s="9"/>
      <c r="H321" s="10">
        <f t="shared" si="76"/>
        <v>-230.09999999999991</v>
      </c>
      <c r="I321" s="8">
        <f>IFERROR(H321/H445, "NA")</f>
        <v>3.820767640538987E-2</v>
      </c>
      <c r="J321" s="9"/>
      <c r="K321" s="7">
        <v>1088.49</v>
      </c>
      <c r="L321" s="8">
        <f>IFERROR(K321/K445, "NA")</f>
        <v>1.275986970629054E-2</v>
      </c>
      <c r="M321" s="9"/>
      <c r="N321" s="10">
        <f t="shared" si="77"/>
        <v>-383.6099999999999</v>
      </c>
      <c r="O321" s="8">
        <f>IFERROR(N321/N445, "NA")</f>
        <v>-0.19422701082498778</v>
      </c>
      <c r="P321" s="9"/>
      <c r="Q321" s="7">
        <v>7398.01</v>
      </c>
      <c r="R321" s="8">
        <f>IFERROR(Q321/Q445, "NA")</f>
        <v>1.6537675357689897E-2</v>
      </c>
      <c r="S321" s="9"/>
      <c r="T321" s="7">
        <v>6210</v>
      </c>
      <c r="U321" s="8">
        <f>IFERROR(T321/T445, "NA")</f>
        <v>1.4080938823581324E-2</v>
      </c>
      <c r="V321" s="9"/>
      <c r="W321" s="10">
        <f t="shared" si="78"/>
        <v>-1188.0100000000002</v>
      </c>
      <c r="X321" s="8">
        <f>IFERROR(W321/W445, "NA")</f>
        <v>-0.18794444611434438</v>
      </c>
      <c r="Y321" s="9"/>
      <c r="Z321" s="7">
        <v>5335.51</v>
      </c>
      <c r="AA321" s="8">
        <f>IFERROR(Z321/Z445, "NA")</f>
        <v>1.2997306197324683E-2</v>
      </c>
      <c r="AB321" s="9"/>
      <c r="AC321" s="10">
        <f t="shared" si="79"/>
        <v>-2062.5</v>
      </c>
      <c r="AD321" s="8">
        <f>IFERROR(AC321/AC445, "NA")</f>
        <v>-5.5994628859455227E-2</v>
      </c>
    </row>
    <row r="322" spans="1:30" ht="16.5" customHeight="1" x14ac:dyDescent="0.45">
      <c r="A322" s="6" t="s">
        <v>294</v>
      </c>
      <c r="B322" s="7">
        <v>783.29</v>
      </c>
      <c r="C322" s="8">
        <f>IFERROR(B322/B445, "NA")</f>
        <v>8.9743688158642927E-3</v>
      </c>
      <c r="D322" s="9"/>
      <c r="E322" s="7">
        <v>1399.55</v>
      </c>
      <c r="F322" s="8">
        <f>IFERROR(E322/E445, "NA")</f>
        <v>1.5000031081483432E-2</v>
      </c>
      <c r="G322" s="9"/>
      <c r="H322" s="10">
        <f t="shared" si="76"/>
        <v>616.26</v>
      </c>
      <c r="I322" s="8">
        <f>IFERROR(H322/H445, "NA")</f>
        <v>-0.10232882512640404</v>
      </c>
      <c r="J322" s="9"/>
      <c r="K322" s="7">
        <v>994.4</v>
      </c>
      <c r="L322" s="8">
        <f>IFERROR(K322/K445, "NA")</f>
        <v>1.165689573256099E-2</v>
      </c>
      <c r="M322" s="9"/>
      <c r="N322" s="10">
        <f t="shared" si="77"/>
        <v>211.11</v>
      </c>
      <c r="O322" s="8">
        <f>IFERROR(N322/N445, "NA")</f>
        <v>0.10688789201340732</v>
      </c>
      <c r="P322" s="9"/>
      <c r="Q322" s="7">
        <v>4407.22</v>
      </c>
      <c r="R322" s="8">
        <f>IFERROR(Q322/Q445, "NA")</f>
        <v>9.8519971708497384E-3</v>
      </c>
      <c r="S322" s="9"/>
      <c r="T322" s="7">
        <v>6549.75</v>
      </c>
      <c r="U322" s="8">
        <f>IFERROR(T322/T445, "NA")</f>
        <v>1.485130902733523E-2</v>
      </c>
      <c r="V322" s="9"/>
      <c r="W322" s="10">
        <f t="shared" si="78"/>
        <v>2142.5299999999997</v>
      </c>
      <c r="X322" s="8">
        <f>IFERROR(W322/W445, "NA")</f>
        <v>0.33895052578123597</v>
      </c>
      <c r="Y322" s="9"/>
      <c r="Z322" s="7">
        <v>8822.68</v>
      </c>
      <c r="AA322" s="8">
        <f>IFERROR(Z322/Z445, "NA")</f>
        <v>2.1492054825314268E-2</v>
      </c>
      <c r="AB322" s="9"/>
      <c r="AC322" s="10">
        <f t="shared" si="79"/>
        <v>4415.46</v>
      </c>
      <c r="AD322" s="8">
        <f>IFERROR(AC322/AC445, "NA")</f>
        <v>0.11987493039697948</v>
      </c>
    </row>
    <row r="323" spans="1:30" ht="16.5" customHeight="1" x14ac:dyDescent="0.45">
      <c r="A323" s="6" t="s">
        <v>295</v>
      </c>
      <c r="B323" s="7">
        <v>138.44999999999999</v>
      </c>
      <c r="C323" s="8">
        <f>IFERROR(B323/B445, "NA")</f>
        <v>1.5862597027364212E-3</v>
      </c>
      <c r="D323" s="9"/>
      <c r="E323" s="7">
        <v>250</v>
      </c>
      <c r="F323" s="8">
        <f>IFERROR(E323/E445, "NA")</f>
        <v>2.6794382268378108E-3</v>
      </c>
      <c r="G323" s="9"/>
      <c r="H323" s="10">
        <f t="shared" si="76"/>
        <v>111.55000000000001</v>
      </c>
      <c r="I323" s="8">
        <f>IFERROR(H323/H445, "NA")</f>
        <v>-1.8522669721952378E-2</v>
      </c>
      <c r="J323" s="9"/>
      <c r="K323" s="7">
        <v>162.27000000000001</v>
      </c>
      <c r="L323" s="8">
        <f>IFERROR(K323/K445, "NA")</f>
        <v>1.902216885079115E-3</v>
      </c>
      <c r="M323" s="9"/>
      <c r="N323" s="10">
        <f t="shared" si="77"/>
        <v>23.820000000000022</v>
      </c>
      <c r="O323" s="8">
        <f>IFERROR(N323/N445, "NA")</f>
        <v>1.2060393101981736E-2</v>
      </c>
      <c r="P323" s="9"/>
      <c r="Q323" s="7">
        <v>1221.69</v>
      </c>
      <c r="R323" s="8">
        <f>IFERROR(Q323/Q445, "NA")</f>
        <v>2.7309928761567195E-3</v>
      </c>
      <c r="S323" s="9"/>
      <c r="T323" s="7">
        <v>1250</v>
      </c>
      <c r="U323" s="8">
        <f>IFERROR(T323/T445, "NA")</f>
        <v>2.8343274604632294E-3</v>
      </c>
      <c r="V323" s="9"/>
      <c r="W323" s="10">
        <f t="shared" si="78"/>
        <v>28.309999999999945</v>
      </c>
      <c r="X323" s="8">
        <f>IFERROR(W323/W445, "NA")</f>
        <v>4.478672123548689E-3</v>
      </c>
      <c r="Y323" s="9"/>
      <c r="Z323" s="7">
        <v>1591.47</v>
      </c>
      <c r="AA323" s="8">
        <f>IFERROR(Z323/Z445, "NA")</f>
        <v>3.8768220645929467E-3</v>
      </c>
      <c r="AB323" s="9"/>
      <c r="AC323" s="10">
        <f t="shared" si="79"/>
        <v>369.78</v>
      </c>
      <c r="AD323" s="8">
        <f>IFERROR(AC323/AC445, "NA")</f>
        <v>1.0039124295587565E-2</v>
      </c>
    </row>
    <row r="324" spans="1:30" ht="16.5" hidden="1" customHeight="1" x14ac:dyDescent="0.45">
      <c r="A324" s="6" t="s">
        <v>296</v>
      </c>
      <c r="B324" s="7">
        <v>0</v>
      </c>
      <c r="C324" s="8">
        <f>IFERROR(B324/B445, "NA")</f>
        <v>0</v>
      </c>
      <c r="D324" s="9"/>
      <c r="E324" s="7">
        <v>0</v>
      </c>
      <c r="F324" s="8">
        <f>IFERROR(E324/E445, "NA")</f>
        <v>0</v>
      </c>
      <c r="G324" s="9"/>
      <c r="H324" s="10">
        <f t="shared" si="76"/>
        <v>0</v>
      </c>
      <c r="I324" s="8">
        <f>IFERROR(H324/H445, "NA")</f>
        <v>0</v>
      </c>
      <c r="J324" s="9"/>
      <c r="K324" s="7">
        <v>0</v>
      </c>
      <c r="L324" s="8">
        <f>IFERROR(K324/K445, "NA")</f>
        <v>0</v>
      </c>
      <c r="M324" s="9"/>
      <c r="N324" s="10">
        <f t="shared" si="77"/>
        <v>0</v>
      </c>
      <c r="O324" s="8">
        <f>IFERROR(N324/N445, "NA")</f>
        <v>0</v>
      </c>
      <c r="P324" s="9"/>
      <c r="Q324" s="7">
        <v>0</v>
      </c>
      <c r="R324" s="8">
        <f>IFERROR(Q324/Q445, "NA")</f>
        <v>0</v>
      </c>
      <c r="S324" s="9"/>
      <c r="T324" s="7">
        <v>0</v>
      </c>
      <c r="U324" s="8">
        <f>IFERROR(T324/T445, "NA")</f>
        <v>0</v>
      </c>
      <c r="V324" s="9"/>
      <c r="W324" s="10">
        <f t="shared" si="78"/>
        <v>0</v>
      </c>
      <c r="X324" s="8">
        <f>IFERROR(W324/W445, "NA")</f>
        <v>0</v>
      </c>
      <c r="Y324" s="9"/>
      <c r="Z324" s="7">
        <v>0</v>
      </c>
      <c r="AA324" s="8">
        <f>IFERROR(Z324/Z445, "NA")</f>
        <v>0</v>
      </c>
      <c r="AB324" s="9"/>
      <c r="AC324" s="10">
        <f t="shared" si="79"/>
        <v>0</v>
      </c>
      <c r="AD324" s="8">
        <f>IFERROR(AC324/AC445, "NA")</f>
        <v>0</v>
      </c>
    </row>
    <row r="325" spans="1:30" ht="16.5" customHeight="1" x14ac:dyDescent="0.45">
      <c r="A325" s="19" t="s">
        <v>297</v>
      </c>
      <c r="B325" s="14">
        <f>IFERROR(B298+B299+B300+B301+B302+B303+B304+B305+B306+B307+B308+B309+B310+B311+B312+B313+B314+B315+B316+B317+B318+B319+B320+B321+B322+B323+B324, "NA")</f>
        <v>3693.0899999999997</v>
      </c>
      <c r="C325" s="15">
        <f>IFERROR(B325/B445, "NA")</f>
        <v>4.231274716922246E-2</v>
      </c>
      <c r="D325" s="2"/>
      <c r="E325" s="14">
        <f>IFERROR(E298+E299+E300+E301+E302+E303+E304+E305+E306+E307+E308+E309+E310+E311+E312+E313+E314+E315+E316+E317+E318+E319+E320+E321+E322+E323+E324, "NA")</f>
        <v>4060.55</v>
      </c>
      <c r="F325" s="15">
        <f>IFERROR(E325/E445, "NA")</f>
        <v>4.3519971567945091E-2</v>
      </c>
      <c r="G325" s="2"/>
      <c r="H325" s="14">
        <f t="shared" si="76"/>
        <v>367.46000000000049</v>
      </c>
      <c r="I325" s="15">
        <f>IFERROR(H325/H445, "NA")</f>
        <v>-6.1016048552475388E-2</v>
      </c>
      <c r="J325" s="2"/>
      <c r="K325" s="14">
        <f>IFERROR(K298+K299+K300+K301+K302+K303+K304+K305+K306+K307+K308+K309+K310+K311+K312+K313+K314+K315+K316+K317+K318+K319+K320+K321+K322+K323+K324, "NA")</f>
        <v>4719.9500000000007</v>
      </c>
      <c r="L325" s="15">
        <f>IFERROR(K325/K445, "NA")</f>
        <v>5.5329811959876567E-2</v>
      </c>
      <c r="M325" s="2"/>
      <c r="N325" s="14">
        <f t="shared" si="77"/>
        <v>1026.860000000001</v>
      </c>
      <c r="O325" s="15">
        <f>IFERROR(N325/N445, "NA")</f>
        <v>0.51991331908904148</v>
      </c>
      <c r="P325" s="2"/>
      <c r="Q325" s="14">
        <f>IFERROR(Q298+Q299+Q300+Q301+Q302+Q303+Q304+Q305+Q306+Q307+Q308+Q309+Q310+Q311+Q312+Q313+Q314+Q315+Q316+Q317+Q318+Q319+Q320+Q321+Q322+Q323+Q324, "NA")</f>
        <v>21346.14</v>
      </c>
      <c r="R325" s="15">
        <f>IFERROR(Q325/Q445, "NA")</f>
        <v>4.7717633993438591E-2</v>
      </c>
      <c r="S325" s="2"/>
      <c r="T325" s="14">
        <f>IFERROR(T298+T299+T300+T301+T302+T303+T304+T305+T306+T307+T308+T309+T310+T311+T312+T313+T314+T315+T316+T317+T318+T319+T320+T321+T322+T323+T324, "NA")</f>
        <v>19854.75</v>
      </c>
      <c r="U325" s="15">
        <f>IFERROR(T325/T445, "NA")</f>
        <v>4.5019890516505845E-2</v>
      </c>
      <c r="V325" s="2"/>
      <c r="W325" s="14">
        <f t="shared" si="78"/>
        <v>-1491.3899999999994</v>
      </c>
      <c r="X325" s="15">
        <f>IFERROR(W325/W445, "NA")</f>
        <v>-0.23593948492897529</v>
      </c>
      <c r="Y325" s="2"/>
      <c r="Z325" s="14">
        <f>IFERROR(Z298+Z299+Z300+Z301+Z302+Z303+Z304+Z305+Z306+Z307+Z308+Z309+Z310+Z311+Z312+Z313+Z314+Z315+Z316+Z317+Z318+Z319+Z320+Z321+Z322+Z323+Z324, "NA")</f>
        <v>23216.81</v>
      </c>
      <c r="AA325" s="15">
        <f>IFERROR(Z325/Z445, "NA")</f>
        <v>5.6556165857642414E-2</v>
      </c>
      <c r="AB325" s="2"/>
      <c r="AC325" s="14">
        <f t="shared" si="79"/>
        <v>1870.6700000000019</v>
      </c>
      <c r="AD325" s="15">
        <f>IFERROR(AC325/AC445, "NA")</f>
        <v>5.0786653269584106E-2</v>
      </c>
    </row>
    <row r="326" spans="1:30" ht="16.5" customHeight="1" x14ac:dyDescent="0.45">
      <c r="A326" s="21" t="s">
        <v>298</v>
      </c>
      <c r="B326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20296.200000000004</v>
      </c>
      <c r="C326" s="15">
        <f>IFERROR(B326/B445, "NA")</f>
        <v>0.23253914177449592</v>
      </c>
      <c r="D326" s="2"/>
      <c r="E326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21805.629999999997</v>
      </c>
      <c r="F326" s="15">
        <f>IFERROR(E326/E445, "NA")</f>
        <v>0.23370735432912546</v>
      </c>
      <c r="G326" s="2"/>
      <c r="H326" s="14">
        <f t="shared" si="76"/>
        <v>1509.429999999993</v>
      </c>
      <c r="I326" s="15">
        <f>IFERROR(H326/H445, "NA")</f>
        <v>-0.25063803996778528</v>
      </c>
      <c r="J326" s="2"/>
      <c r="K326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20572.680000000004</v>
      </c>
      <c r="L326" s="15">
        <f>IFERROR(K326/K445, "NA")</f>
        <v>0.24116410468558214</v>
      </c>
      <c r="M326" s="2"/>
      <c r="N326" s="14">
        <f t="shared" si="77"/>
        <v>276.47999999999956</v>
      </c>
      <c r="O326" s="15">
        <f>IFERROR(N326/N445, "NA")</f>
        <v>0.13998562069000431</v>
      </c>
      <c r="P326" s="2"/>
      <c r="Q326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116349.53000000003</v>
      </c>
      <c r="R326" s="15">
        <f>IFERROR(Q326/Q445, "NA")</f>
        <v>0.26009031552536449</v>
      </c>
      <c r="S326" s="2"/>
      <c r="T326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104553.34999999999</v>
      </c>
      <c r="U326" s="15">
        <f>IFERROR(T326/T445, "NA")</f>
        <v>0.23707074479073853</v>
      </c>
      <c r="V326" s="2"/>
      <c r="W326" s="14">
        <f t="shared" si="78"/>
        <v>-11796.180000000037</v>
      </c>
      <c r="X326" s="15">
        <f>IFERROR(W326/W445, "NA")</f>
        <v>-1.8661682278475042</v>
      </c>
      <c r="Y326" s="2"/>
      <c r="Z326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111520.71999999997</v>
      </c>
      <c r="AA326" s="15">
        <f>IFERROR(Z326/Z445, "NA")</f>
        <v>0.27166455412624291</v>
      </c>
      <c r="AB326" s="2"/>
      <c r="AC326" s="14">
        <f t="shared" si="79"/>
        <v>-4828.8100000000559</v>
      </c>
      <c r="AD326" s="15">
        <f>IFERROR(AC326/AC445, "NA")</f>
        <v>-0.13109693274318987</v>
      </c>
    </row>
    <row r="327" spans="1:30" ht="16.5" customHeight="1" x14ac:dyDescent="0.45">
      <c r="A327" s="1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customHeight="1" x14ac:dyDescent="0.45">
      <c r="A328" s="5" t="s">
        <v>300</v>
      </c>
      <c r="B328" s="2"/>
      <c r="C328" s="3"/>
      <c r="D328" s="4"/>
      <c r="E328" s="2"/>
      <c r="F328" s="3"/>
      <c r="G328" s="4"/>
      <c r="H328" s="2"/>
      <c r="I328" s="3"/>
      <c r="J328" s="4"/>
      <c r="K328" s="2"/>
      <c r="L328" s="3"/>
      <c r="M328" s="4"/>
      <c r="N328" s="2"/>
      <c r="O328" s="3"/>
      <c r="P328" s="4"/>
      <c r="Q328" s="2"/>
      <c r="R328" s="3"/>
      <c r="S328" s="4"/>
      <c r="T328" s="2"/>
      <c r="U328" s="3"/>
      <c r="V328" s="4"/>
      <c r="W328" s="2"/>
      <c r="X328" s="3"/>
      <c r="Y328" s="4"/>
      <c r="Z328" s="2"/>
      <c r="AA328" s="3"/>
      <c r="AB328" s="4"/>
      <c r="AC328" s="2"/>
      <c r="AD328" s="3"/>
    </row>
    <row r="329" spans="1:30" ht="16.5" hidden="1" customHeight="1" x14ac:dyDescent="0.45">
      <c r="A329" s="6" t="s">
        <v>300</v>
      </c>
      <c r="B329" s="7">
        <v>0</v>
      </c>
      <c r="C329" s="8">
        <f>IFERROR(B329/B445, "NA")</f>
        <v>0</v>
      </c>
      <c r="D329" s="9"/>
      <c r="E329" s="7">
        <v>0</v>
      </c>
      <c r="F329" s="8">
        <f>IFERROR(E329/E445, "NA")</f>
        <v>0</v>
      </c>
      <c r="G329" s="9"/>
      <c r="H329" s="10">
        <f t="shared" ref="H329:H336" si="80">IFERROR(-(B329-E329), "NA")</f>
        <v>0</v>
      </c>
      <c r="I329" s="8">
        <f>IFERROR(H329/H445, "NA")</f>
        <v>0</v>
      </c>
      <c r="J329" s="9"/>
      <c r="K329" s="7">
        <v>0</v>
      </c>
      <c r="L329" s="8">
        <f>IFERROR(K329/K445, "NA")</f>
        <v>0</v>
      </c>
      <c r="M329" s="9"/>
      <c r="N329" s="10">
        <f t="shared" ref="N329:N336" si="81">IFERROR(-(B329-K329), "NA")</f>
        <v>0</v>
      </c>
      <c r="O329" s="8">
        <f>IFERROR(N329/N445, "NA")</f>
        <v>0</v>
      </c>
      <c r="P329" s="9"/>
      <c r="Q329" s="7">
        <v>0</v>
      </c>
      <c r="R329" s="8">
        <f>IFERROR(Q329/Q445, "NA")</f>
        <v>0</v>
      </c>
      <c r="S329" s="9"/>
      <c r="T329" s="7">
        <v>0</v>
      </c>
      <c r="U329" s="8">
        <f>IFERROR(T329/T445, "NA")</f>
        <v>0</v>
      </c>
      <c r="V329" s="9"/>
      <c r="W329" s="10">
        <f t="shared" ref="W329:W336" si="82">IFERROR(-(Q329-T329), "NA")</f>
        <v>0</v>
      </c>
      <c r="X329" s="8">
        <f>IFERROR(W329/W445, "NA")</f>
        <v>0</v>
      </c>
      <c r="Y329" s="9"/>
      <c r="Z329" s="7">
        <v>0</v>
      </c>
      <c r="AA329" s="8">
        <f>IFERROR(Z329/Z445, "NA")</f>
        <v>0</v>
      </c>
      <c r="AB329" s="9"/>
      <c r="AC329" s="10">
        <f t="shared" ref="AC329:AC336" si="83">IFERROR(-(Q329-Z329), "NA")</f>
        <v>0</v>
      </c>
      <c r="AD329" s="8">
        <f>IFERROR(AC329/AC445, "NA")</f>
        <v>0</v>
      </c>
    </row>
    <row r="330" spans="1:30" ht="16.5" customHeight="1" x14ac:dyDescent="0.45">
      <c r="A330" s="6" t="s">
        <v>301</v>
      </c>
      <c r="B330" s="7">
        <v>4735.7</v>
      </c>
      <c r="C330" s="8">
        <f>IFERROR(B330/B445, "NA")</f>
        <v>5.4258216498727842E-2</v>
      </c>
      <c r="D330" s="9"/>
      <c r="E330" s="7">
        <v>4735.7</v>
      </c>
      <c r="F330" s="8">
        <f>IFERROR(E330/E445, "NA")</f>
        <v>5.0756062443343276E-2</v>
      </c>
      <c r="G330" s="9"/>
      <c r="H330" s="10">
        <f t="shared" si="80"/>
        <v>0</v>
      </c>
      <c r="I330" s="8">
        <f>IFERROR(H330/H445, "NA")</f>
        <v>0</v>
      </c>
      <c r="J330" s="9"/>
      <c r="K330" s="7">
        <v>4597.76</v>
      </c>
      <c r="L330" s="8">
        <f>IFERROR(K330/K445, "NA")</f>
        <v>5.3897434556858026E-2</v>
      </c>
      <c r="M330" s="9"/>
      <c r="N330" s="10">
        <f t="shared" si="81"/>
        <v>-137.9399999999996</v>
      </c>
      <c r="O330" s="8">
        <f>IFERROR(N330/N445, "NA")</f>
        <v>-6.9840916225329744E-2</v>
      </c>
      <c r="P330" s="9"/>
      <c r="Q330" s="7">
        <v>23678.5</v>
      </c>
      <c r="R330" s="8">
        <f>IFERROR(Q330/Q445, "NA")</f>
        <v>5.2931443179592925E-2</v>
      </c>
      <c r="S330" s="9"/>
      <c r="T330" s="7">
        <v>23678.5</v>
      </c>
      <c r="U330" s="8">
        <f>IFERROR(T330/T445, "NA")</f>
        <v>5.3690098218062865E-2</v>
      </c>
      <c r="V330" s="9"/>
      <c r="W330" s="10">
        <f t="shared" si="82"/>
        <v>0</v>
      </c>
      <c r="X330" s="8">
        <f>IFERROR(W330/W445, "NA")</f>
        <v>0</v>
      </c>
      <c r="Y330" s="9"/>
      <c r="Z330" s="7">
        <v>22988.799999999999</v>
      </c>
      <c r="AA330" s="8">
        <f>IFERROR(Z330/Z445, "NA")</f>
        <v>5.6000733333656509E-2</v>
      </c>
      <c r="AB330" s="9"/>
      <c r="AC330" s="10">
        <f t="shared" si="83"/>
        <v>-689.70000000000073</v>
      </c>
      <c r="AD330" s="8">
        <f>IFERROR(AC330/AC445, "NA")</f>
        <v>-1.8724603890601849E-2</v>
      </c>
    </row>
    <row r="331" spans="1:30" ht="16.5" customHeight="1" x14ac:dyDescent="0.45">
      <c r="A331" s="6" t="s">
        <v>302</v>
      </c>
      <c r="B331" s="7">
        <v>1736.6</v>
      </c>
      <c r="C331" s="8">
        <f>IFERROR(B331/B445, "NA")</f>
        <v>1.9896703501423394E-2</v>
      </c>
      <c r="D331" s="9"/>
      <c r="E331" s="7">
        <v>1736.6</v>
      </c>
      <c r="F331" s="8">
        <f>IFERROR(E331/E445, "NA")</f>
        <v>1.8612449698906165E-2</v>
      </c>
      <c r="G331" s="9"/>
      <c r="H331" s="10">
        <f t="shared" si="80"/>
        <v>0</v>
      </c>
      <c r="I331" s="8">
        <f>IFERROR(H331/H445, "NA")</f>
        <v>0</v>
      </c>
      <c r="J331" s="9"/>
      <c r="K331" s="7">
        <v>1686.02</v>
      </c>
      <c r="L331" s="8">
        <f>IFERROR(K331/K445, "NA")</f>
        <v>1.9764440208178278E-2</v>
      </c>
      <c r="M331" s="9"/>
      <c r="N331" s="10">
        <f t="shared" si="81"/>
        <v>-50.579999999999927</v>
      </c>
      <c r="O331" s="8">
        <f>IFERROR(N331/N445, "NA")</f>
        <v>-2.5609348576752091E-2</v>
      </c>
      <c r="P331" s="9"/>
      <c r="Q331" s="7">
        <v>11540.59</v>
      </c>
      <c r="R331" s="8">
        <f>IFERROR(Q331/Q445, "NA")</f>
        <v>2.579809041298977E-2</v>
      </c>
      <c r="S331" s="9"/>
      <c r="T331" s="7">
        <v>8683</v>
      </c>
      <c r="U331" s="8">
        <f>IFERROR(T331/T445, "NA")</f>
        <v>1.9688372271361776E-2</v>
      </c>
      <c r="V331" s="9"/>
      <c r="W331" s="10">
        <f t="shared" si="82"/>
        <v>-2857.59</v>
      </c>
      <c r="X331" s="8">
        <f>IFERROR(W331/W445, "NA")</f>
        <v>-0.45207377864823473</v>
      </c>
      <c r="Y331" s="9"/>
      <c r="Z331" s="7">
        <v>9681.2099999999991</v>
      </c>
      <c r="AA331" s="8">
        <f>IFERROR(Z331/Z445, "NA")</f>
        <v>2.3583434522773207E-2</v>
      </c>
      <c r="AB331" s="9"/>
      <c r="AC331" s="10">
        <f t="shared" si="83"/>
        <v>-1859.380000000001</v>
      </c>
      <c r="AD331" s="8">
        <f>IFERROR(AC331/AC445, "NA")</f>
        <v>-5.0480142064821293E-2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IFERROR(B332/B445, "NA")</f>
        <v>0</v>
      </c>
      <c r="D332" s="9"/>
      <c r="E332" s="7">
        <v>0</v>
      </c>
      <c r="F332" s="8">
        <f>IFERROR(E332/E445, "NA")</f>
        <v>0</v>
      </c>
      <c r="G332" s="9"/>
      <c r="H332" s="10">
        <f t="shared" si="80"/>
        <v>0</v>
      </c>
      <c r="I332" s="8">
        <f>IFERROR(H332/H445, "NA")</f>
        <v>0</v>
      </c>
      <c r="J332" s="9"/>
      <c r="K332" s="7">
        <v>0</v>
      </c>
      <c r="L332" s="8">
        <f>IFERROR(K332/K445, "NA")</f>
        <v>0</v>
      </c>
      <c r="M332" s="9"/>
      <c r="N332" s="10">
        <f t="shared" si="81"/>
        <v>0</v>
      </c>
      <c r="O332" s="8">
        <f>IFERROR(N332/N445, "NA")</f>
        <v>0</v>
      </c>
      <c r="P332" s="9"/>
      <c r="Q332" s="7">
        <v>0</v>
      </c>
      <c r="R332" s="8">
        <f>IFERROR(Q332/Q445, "NA")</f>
        <v>0</v>
      </c>
      <c r="S332" s="9"/>
      <c r="T332" s="7">
        <v>0</v>
      </c>
      <c r="U332" s="8">
        <f>IFERROR(T332/T445, "NA")</f>
        <v>0</v>
      </c>
      <c r="V332" s="9"/>
      <c r="W332" s="10">
        <f t="shared" si="82"/>
        <v>0</v>
      </c>
      <c r="X332" s="8">
        <f>IFERROR(W332/W445, "NA")</f>
        <v>0</v>
      </c>
      <c r="Y332" s="9"/>
      <c r="Z332" s="7">
        <v>0</v>
      </c>
      <c r="AA332" s="8">
        <f>IFERROR(Z332/Z445, "NA")</f>
        <v>0</v>
      </c>
      <c r="AB332" s="9"/>
      <c r="AC332" s="10">
        <f t="shared" si="83"/>
        <v>0</v>
      </c>
      <c r="AD332" s="8">
        <f>IFERROR(AC332/AC445, "NA")</f>
        <v>0</v>
      </c>
    </row>
    <row r="333" spans="1:30" ht="16.5" hidden="1" customHeight="1" x14ac:dyDescent="0.45">
      <c r="A333" s="6" t="s">
        <v>304</v>
      </c>
      <c r="B333" s="7">
        <v>0</v>
      </c>
      <c r="C333" s="8">
        <f>IFERROR(B333/B445, "NA")</f>
        <v>0</v>
      </c>
      <c r="D333" s="9"/>
      <c r="E333" s="7">
        <v>0</v>
      </c>
      <c r="F333" s="8">
        <f>IFERROR(E333/E445, "NA")</f>
        <v>0</v>
      </c>
      <c r="G333" s="9"/>
      <c r="H333" s="10">
        <f t="shared" si="80"/>
        <v>0</v>
      </c>
      <c r="I333" s="8">
        <f>IFERROR(H333/H445, "NA")</f>
        <v>0</v>
      </c>
      <c r="J333" s="9"/>
      <c r="K333" s="7">
        <v>0</v>
      </c>
      <c r="L333" s="8">
        <f>IFERROR(K333/K445, "NA")</f>
        <v>0</v>
      </c>
      <c r="M333" s="9"/>
      <c r="N333" s="10">
        <f t="shared" si="81"/>
        <v>0</v>
      </c>
      <c r="O333" s="8">
        <f>IFERROR(N333/N445, "NA")</f>
        <v>0</v>
      </c>
      <c r="P333" s="9"/>
      <c r="Q333" s="7">
        <v>0</v>
      </c>
      <c r="R333" s="8">
        <f>IFERROR(Q333/Q445, "NA")</f>
        <v>0</v>
      </c>
      <c r="S333" s="9"/>
      <c r="T333" s="7">
        <v>0</v>
      </c>
      <c r="U333" s="8">
        <f>IFERROR(T333/T445, "NA")</f>
        <v>0</v>
      </c>
      <c r="V333" s="9"/>
      <c r="W333" s="10">
        <f t="shared" si="82"/>
        <v>0</v>
      </c>
      <c r="X333" s="8">
        <f>IFERROR(W333/W445, "NA")</f>
        <v>0</v>
      </c>
      <c r="Y333" s="9"/>
      <c r="Z333" s="7">
        <v>0</v>
      </c>
      <c r="AA333" s="8">
        <f>IFERROR(Z333/Z445, "NA")</f>
        <v>0</v>
      </c>
      <c r="AB333" s="9"/>
      <c r="AC333" s="10">
        <f t="shared" si="83"/>
        <v>0</v>
      </c>
      <c r="AD333" s="8">
        <f>IFERROR(AC333/AC445, "NA")</f>
        <v>0</v>
      </c>
    </row>
    <row r="334" spans="1:30" ht="16.5" customHeight="1" x14ac:dyDescent="0.45">
      <c r="A334" s="6" t="s">
        <v>305</v>
      </c>
      <c r="B334" s="7">
        <v>1881.98</v>
      </c>
      <c r="C334" s="8">
        <f>IFERROR(B334/B445, "NA")</f>
        <v>2.1562362118858001E-2</v>
      </c>
      <c r="D334" s="9"/>
      <c r="E334" s="7">
        <v>1914</v>
      </c>
      <c r="F334" s="8">
        <f>IFERROR(E334/E445, "NA")</f>
        <v>2.0513779064670279E-2</v>
      </c>
      <c r="G334" s="9"/>
      <c r="H334" s="10">
        <f t="shared" si="80"/>
        <v>32.019999999999982</v>
      </c>
      <c r="I334" s="8">
        <f>IFERROR(H334/H445, "NA")</f>
        <v>-5.3168613581077075E-3</v>
      </c>
      <c r="J334" s="9"/>
      <c r="K334" s="7">
        <v>1913.97</v>
      </c>
      <c r="L334" s="8">
        <f>IFERROR(K334/K445, "NA")</f>
        <v>2.2436593649688013E-2</v>
      </c>
      <c r="M334" s="9"/>
      <c r="N334" s="10">
        <f t="shared" si="81"/>
        <v>31.990000000000009</v>
      </c>
      <c r="O334" s="8">
        <f>IFERROR(N334/N445, "NA")</f>
        <v>1.6196976294391079E-2</v>
      </c>
      <c r="P334" s="9"/>
      <c r="Q334" s="7">
        <v>9025.69</v>
      </c>
      <c r="R334" s="8">
        <f>IFERROR(Q334/Q445, "NA")</f>
        <v>2.0176227269109955E-2</v>
      </c>
      <c r="S334" s="9"/>
      <c r="T334" s="7">
        <v>9570</v>
      </c>
      <c r="U334" s="8">
        <f>IFERROR(T334/T445, "NA")</f>
        <v>2.1699611037306485E-2</v>
      </c>
      <c r="V334" s="9"/>
      <c r="W334" s="10">
        <f t="shared" si="82"/>
        <v>544.30999999999949</v>
      </c>
      <c r="X334" s="8">
        <f>IFERROR(W334/W445, "NA")</f>
        <v>8.6110421178692678E-2</v>
      </c>
      <c r="Y334" s="9"/>
      <c r="Z334" s="7">
        <v>8811.11</v>
      </c>
      <c r="AA334" s="8">
        <f>IFERROR(Z334/Z445, "NA")</f>
        <v>2.1463870296993069E-2</v>
      </c>
      <c r="AB334" s="9"/>
      <c r="AC334" s="10">
        <f t="shared" si="83"/>
        <v>-214.57999999999993</v>
      </c>
      <c r="AD334" s="8">
        <f>IFERROR(AC334/AC445, "NA")</f>
        <v>-5.8256133142603143E-3</v>
      </c>
    </row>
    <row r="335" spans="1:30" ht="16.5" customHeight="1" x14ac:dyDescent="0.45">
      <c r="A335" s="6" t="s">
        <v>306</v>
      </c>
      <c r="B335" s="7">
        <v>-364.65</v>
      </c>
      <c r="C335" s="8">
        <f>IFERROR(B335/B445, "NA")</f>
        <v>-4.1778952734043773E-3</v>
      </c>
      <c r="D335" s="9"/>
      <c r="E335" s="7">
        <v>-364.65</v>
      </c>
      <c r="F335" s="8">
        <f>IFERROR(E335/E445, "NA")</f>
        <v>-3.9082285976656302E-3</v>
      </c>
      <c r="G335" s="9"/>
      <c r="H335" s="10">
        <f t="shared" si="80"/>
        <v>0</v>
      </c>
      <c r="I335" s="8">
        <f>IFERROR(H335/H445, "NA")</f>
        <v>0</v>
      </c>
      <c r="J335" s="9"/>
      <c r="K335" s="7">
        <v>-354.03</v>
      </c>
      <c r="L335" s="8">
        <f>IFERROR(K335/K445, "NA")</f>
        <v>-4.150131532782147E-3</v>
      </c>
      <c r="M335" s="9"/>
      <c r="N335" s="10">
        <f t="shared" si="81"/>
        <v>10.620000000000005</v>
      </c>
      <c r="O335" s="8">
        <f>IFERROR(N335/N445, "NA")</f>
        <v>5.3770518363999154E-3</v>
      </c>
      <c r="P335" s="9"/>
      <c r="Q335" s="7">
        <v>-729.3</v>
      </c>
      <c r="R335" s="8">
        <f>IFERROR(Q335/Q445, "NA")</f>
        <v>-1.6302933678601734E-3</v>
      </c>
      <c r="S335" s="9"/>
      <c r="T335" s="7">
        <v>-729.3</v>
      </c>
      <c r="U335" s="8">
        <f>IFERROR(T335/T445, "NA")</f>
        <v>-1.6536600135326665E-3</v>
      </c>
      <c r="V335" s="9"/>
      <c r="W335" s="10">
        <f t="shared" si="82"/>
        <v>0</v>
      </c>
      <c r="X335" s="8">
        <f>IFERROR(W335/W445, "NA")</f>
        <v>0</v>
      </c>
      <c r="Y335" s="9"/>
      <c r="Z335" s="7">
        <v>-708.06</v>
      </c>
      <c r="AA335" s="8">
        <f>IFERROR(Z335/Z445, "NA")</f>
        <v>-1.7248346692401877E-3</v>
      </c>
      <c r="AB335" s="9"/>
      <c r="AC335" s="10">
        <f t="shared" si="83"/>
        <v>21.240000000000009</v>
      </c>
      <c r="AD335" s="8">
        <f>IFERROR(AC335/AC445, "NA")</f>
        <v>5.7664286883628096E-4</v>
      </c>
    </row>
    <row r="336" spans="1:30" ht="16.5" hidden="1" customHeight="1" x14ac:dyDescent="0.45">
      <c r="A336" s="6" t="s">
        <v>307</v>
      </c>
      <c r="B336" s="7">
        <v>0</v>
      </c>
      <c r="C336" s="8">
        <f>IFERROR(B336/B445, "NA")</f>
        <v>0</v>
      </c>
      <c r="D336" s="9"/>
      <c r="E336" s="7">
        <v>0</v>
      </c>
      <c r="F336" s="8">
        <f>IFERROR(E336/E445, "NA")</f>
        <v>0</v>
      </c>
      <c r="G336" s="9"/>
      <c r="H336" s="10">
        <f t="shared" si="80"/>
        <v>0</v>
      </c>
      <c r="I336" s="8">
        <f>IFERROR(H336/H445, "NA")</f>
        <v>0</v>
      </c>
      <c r="J336" s="9"/>
      <c r="K336" s="7">
        <v>0</v>
      </c>
      <c r="L336" s="8">
        <f>IFERROR(K336/K445, "NA")</f>
        <v>0</v>
      </c>
      <c r="M336" s="9"/>
      <c r="N336" s="10">
        <f t="shared" si="81"/>
        <v>0</v>
      </c>
      <c r="O336" s="8">
        <f>IFERROR(N336/N445, "NA")</f>
        <v>0</v>
      </c>
      <c r="P336" s="9"/>
      <c r="Q336" s="7">
        <v>0</v>
      </c>
      <c r="R336" s="8">
        <f>IFERROR(Q336/Q445, "NA")</f>
        <v>0</v>
      </c>
      <c r="S336" s="9"/>
      <c r="T336" s="7">
        <v>0</v>
      </c>
      <c r="U336" s="8">
        <f>IFERROR(T336/T445, "NA")</f>
        <v>0</v>
      </c>
      <c r="V336" s="9"/>
      <c r="W336" s="10">
        <f t="shared" si="82"/>
        <v>0</v>
      </c>
      <c r="X336" s="8">
        <f>IFERROR(W336/W445, "NA")</f>
        <v>0</v>
      </c>
      <c r="Y336" s="9"/>
      <c r="Z336" s="7">
        <v>0</v>
      </c>
      <c r="AA336" s="8">
        <f>IFERROR(Z336/Z445, "NA")</f>
        <v>0</v>
      </c>
      <c r="AB336" s="9"/>
      <c r="AC336" s="10">
        <f t="shared" si="83"/>
        <v>0</v>
      </c>
      <c r="AD336" s="8">
        <f>IFERROR(AC336/AC445, "NA")</f>
        <v>0</v>
      </c>
    </row>
    <row r="337" spans="1:30" ht="16.5" customHeight="1" x14ac:dyDescent="0.45">
      <c r="A337" s="11" t="s">
        <v>308</v>
      </c>
      <c r="B337" s="2"/>
      <c r="C337" s="3"/>
      <c r="D337" s="4"/>
      <c r="E337" s="2"/>
      <c r="F337" s="3"/>
      <c r="G337" s="4"/>
      <c r="H337" s="2"/>
      <c r="I337" s="3"/>
      <c r="J337" s="4"/>
      <c r="K337" s="2"/>
      <c r="L337" s="3"/>
      <c r="M337" s="4"/>
      <c r="N337" s="2"/>
      <c r="O337" s="3"/>
      <c r="P337" s="4"/>
      <c r="Q337" s="2"/>
      <c r="R337" s="3"/>
      <c r="S337" s="4"/>
      <c r="T337" s="2"/>
      <c r="U337" s="3"/>
      <c r="V337" s="4"/>
      <c r="W337" s="2"/>
      <c r="X337" s="3"/>
      <c r="Y337" s="4"/>
      <c r="Z337" s="2"/>
      <c r="AA337" s="3"/>
      <c r="AB337" s="4"/>
      <c r="AC337" s="2"/>
      <c r="AD337" s="3"/>
    </row>
    <row r="338" spans="1:30" ht="16.5" hidden="1" customHeight="1" x14ac:dyDescent="0.45">
      <c r="A338" s="12" t="s">
        <v>308</v>
      </c>
      <c r="B338" s="7">
        <v>0</v>
      </c>
      <c r="C338" s="8">
        <f>IFERROR(B338/B445, "NA")</f>
        <v>0</v>
      </c>
      <c r="D338" s="9"/>
      <c r="E338" s="7">
        <v>0</v>
      </c>
      <c r="F338" s="8">
        <f>IFERROR(E338/E445, "NA")</f>
        <v>0</v>
      </c>
      <c r="G338" s="9"/>
      <c r="H338" s="10">
        <f t="shared" ref="H338:H345" si="84">IFERROR(-(B338-E338), "NA")</f>
        <v>0</v>
      </c>
      <c r="I338" s="8">
        <f>IFERROR(H338/H445, "NA")</f>
        <v>0</v>
      </c>
      <c r="J338" s="9"/>
      <c r="K338" s="7">
        <v>0</v>
      </c>
      <c r="L338" s="8">
        <f>IFERROR(K338/K445, "NA")</f>
        <v>0</v>
      </c>
      <c r="M338" s="9"/>
      <c r="N338" s="10">
        <f t="shared" ref="N338:N345" si="85">IFERROR(-(B338-K338), "NA")</f>
        <v>0</v>
      </c>
      <c r="O338" s="8">
        <f>IFERROR(N338/N445, "NA")</f>
        <v>0</v>
      </c>
      <c r="P338" s="9"/>
      <c r="Q338" s="7">
        <v>0</v>
      </c>
      <c r="R338" s="8">
        <f>IFERROR(Q338/Q445, "NA")</f>
        <v>0</v>
      </c>
      <c r="S338" s="9"/>
      <c r="T338" s="7">
        <v>0</v>
      </c>
      <c r="U338" s="8">
        <f>IFERROR(T338/T445, "NA")</f>
        <v>0</v>
      </c>
      <c r="V338" s="9"/>
      <c r="W338" s="10">
        <f t="shared" ref="W338:W345" si="86">IFERROR(-(Q338-T338), "NA")</f>
        <v>0</v>
      </c>
      <c r="X338" s="8">
        <f>IFERROR(W338/W445, "NA")</f>
        <v>0</v>
      </c>
      <c r="Y338" s="9"/>
      <c r="Z338" s="7">
        <v>0</v>
      </c>
      <c r="AA338" s="8">
        <f>IFERROR(Z338/Z445, "NA")</f>
        <v>0</v>
      </c>
      <c r="AB338" s="9"/>
      <c r="AC338" s="10">
        <f t="shared" ref="AC338:AC345" si="87">IFERROR(-(Q338-Z338), "NA")</f>
        <v>0</v>
      </c>
      <c r="AD338" s="8">
        <f>IFERROR(AC338/AC445, "NA")</f>
        <v>0</v>
      </c>
    </row>
    <row r="339" spans="1:30" ht="16.5" customHeight="1" x14ac:dyDescent="0.45">
      <c r="A339" s="12" t="s">
        <v>309</v>
      </c>
      <c r="B339" s="7">
        <v>2113.37</v>
      </c>
      <c r="C339" s="8">
        <f>IFERROR(B339/B445, "NA")</f>
        <v>2.4213460945988231E-2</v>
      </c>
      <c r="D339" s="9"/>
      <c r="E339" s="7">
        <v>2705.79</v>
      </c>
      <c r="F339" s="8">
        <f>IFERROR(E339/E445, "NA")</f>
        <v>2.8999988639181917E-2</v>
      </c>
      <c r="G339" s="9"/>
      <c r="H339" s="10">
        <f t="shared" si="84"/>
        <v>592.42000000000007</v>
      </c>
      <c r="I339" s="8">
        <f>IFERROR(H339/H445, "NA")</f>
        <v>-9.8370237531860402E-2</v>
      </c>
      <c r="J339" s="9"/>
      <c r="K339" s="7">
        <v>2674.69</v>
      </c>
      <c r="L339" s="8">
        <f>IFERROR(K339/K445, "NA")</f>
        <v>3.1354165775265043E-2</v>
      </c>
      <c r="M339" s="9"/>
      <c r="N339" s="10">
        <f t="shared" si="85"/>
        <v>561.32000000000016</v>
      </c>
      <c r="O339" s="8">
        <f>IFERROR(N339/N445, "NA")</f>
        <v>0.28420402418154428</v>
      </c>
      <c r="P339" s="9"/>
      <c r="Q339" s="7">
        <v>11182.26</v>
      </c>
      <c r="R339" s="8">
        <f>IFERROR(Q339/Q445, "NA")</f>
        <v>2.4997071596994522E-2</v>
      </c>
      <c r="S339" s="9"/>
      <c r="T339" s="7">
        <v>12789.63</v>
      </c>
      <c r="U339" s="8">
        <f>IFERROR(T339/T445, "NA")</f>
        <v>2.8999999614531466E-2</v>
      </c>
      <c r="V339" s="9"/>
      <c r="W339" s="10">
        <f t="shared" si="86"/>
        <v>1607.369999999999</v>
      </c>
      <c r="X339" s="8">
        <f>IFERROR(W339/W445, "NA")</f>
        <v>0.25428764433869538</v>
      </c>
      <c r="Y339" s="9"/>
      <c r="Z339" s="7">
        <v>12003.21</v>
      </c>
      <c r="AA339" s="8">
        <f>IFERROR(Z339/Z445, "NA")</f>
        <v>2.9239828192766874E-2</v>
      </c>
      <c r="AB339" s="9"/>
      <c r="AC339" s="10">
        <f t="shared" si="87"/>
        <v>820.94999999999891</v>
      </c>
      <c r="AD339" s="8">
        <f>IFERROR(AC339/AC445, "NA")</f>
        <v>2.2287898454385311E-2</v>
      </c>
    </row>
    <row r="340" spans="1:30" ht="16.5" customHeight="1" x14ac:dyDescent="0.45">
      <c r="A340" s="12" t="s">
        <v>310</v>
      </c>
      <c r="B340" s="7">
        <v>382.41</v>
      </c>
      <c r="C340" s="8">
        <f>IFERROR(B340/B445, "NA")</f>
        <v>4.3813764747088115E-3</v>
      </c>
      <c r="D340" s="9"/>
      <c r="E340" s="7">
        <v>373.21</v>
      </c>
      <c r="F340" s="8">
        <f>IFERROR(E340/E445, "NA")</f>
        <v>3.9999725625525567E-3</v>
      </c>
      <c r="G340" s="9"/>
      <c r="H340" s="10">
        <f t="shared" si="84"/>
        <v>-9.2000000000000455</v>
      </c>
      <c r="I340" s="8">
        <f>IFERROR(H340/H445, "NA")</f>
        <v>1.5276428636661829E-3</v>
      </c>
      <c r="J340" s="9"/>
      <c r="K340" s="7">
        <v>340.29</v>
      </c>
      <c r="L340" s="8">
        <f>IFERROR(K340/K445, "NA")</f>
        <v>3.9890638061476063E-3</v>
      </c>
      <c r="M340" s="9"/>
      <c r="N340" s="10">
        <f t="shared" si="85"/>
        <v>-42.120000000000005</v>
      </c>
      <c r="O340" s="8">
        <f>IFERROR(N340/N445, "NA")</f>
        <v>-2.1325934401992878E-2</v>
      </c>
      <c r="P340" s="9"/>
      <c r="Q340" s="7">
        <v>2051.46</v>
      </c>
      <c r="R340" s="8">
        <f>IFERROR(Q340/Q445, "NA")</f>
        <v>4.5858791065822458E-3</v>
      </c>
      <c r="S340" s="9"/>
      <c r="T340" s="7">
        <v>1764.09</v>
      </c>
      <c r="U340" s="8">
        <f>IFERROR(T340/T445, "NA")</f>
        <v>4.0000069837828629E-3</v>
      </c>
      <c r="V340" s="9"/>
      <c r="W340" s="10">
        <f t="shared" si="86"/>
        <v>-287.37000000000012</v>
      </c>
      <c r="X340" s="8">
        <f>IFERROR(W340/W445, "NA")</f>
        <v>-4.5462239779024721E-2</v>
      </c>
      <c r="Y340" s="9"/>
      <c r="Z340" s="7">
        <v>1620.48</v>
      </c>
      <c r="AA340" s="8">
        <f>IFERROR(Z340/Z445, "NA")</f>
        <v>3.9474904454570798E-3</v>
      </c>
      <c r="AB340" s="9"/>
      <c r="AC340" s="10">
        <f t="shared" si="87"/>
        <v>-430.98</v>
      </c>
      <c r="AD340" s="8">
        <f>IFERROR(AC340/AC445, "NA")</f>
        <v>-1.1700637646471765E-2</v>
      </c>
    </row>
    <row r="341" spans="1:30" ht="16.5" customHeight="1" x14ac:dyDescent="0.45">
      <c r="A341" s="12" t="s">
        <v>311</v>
      </c>
      <c r="B341" s="7">
        <v>803.12</v>
      </c>
      <c r="C341" s="8">
        <f>IFERROR(B341/B445, "NA")</f>
        <v>9.2015665761045473E-3</v>
      </c>
      <c r="D341" s="9"/>
      <c r="E341" s="7">
        <v>373.21</v>
      </c>
      <c r="F341" s="8">
        <f>IFERROR(E341/E445, "NA")</f>
        <v>3.9999725625525567E-3</v>
      </c>
      <c r="G341" s="9"/>
      <c r="H341" s="10">
        <f t="shared" si="84"/>
        <v>-429.91</v>
      </c>
      <c r="I341" s="8">
        <f>IFERROR(H341/H445, "NA")</f>
        <v>7.138575473029625E-2</v>
      </c>
      <c r="J341" s="9"/>
      <c r="K341" s="7">
        <v>461.55</v>
      </c>
      <c r="L341" s="8">
        <f>IFERROR(K341/K445, "NA")</f>
        <v>5.4105392451362887E-3</v>
      </c>
      <c r="M341" s="9"/>
      <c r="N341" s="10">
        <f t="shared" si="85"/>
        <v>-341.57</v>
      </c>
      <c r="O341" s="8">
        <f>IFERROR(N341/N445, "NA")</f>
        <v>-0.17294158152157424</v>
      </c>
      <c r="P341" s="9"/>
      <c r="Q341" s="7">
        <v>3069.96</v>
      </c>
      <c r="R341" s="8">
        <f>IFERROR(Q341/Q445, "NA")</f>
        <v>6.8626565577896868E-3</v>
      </c>
      <c r="S341" s="9"/>
      <c r="T341" s="7">
        <v>1764.09</v>
      </c>
      <c r="U341" s="8">
        <f>IFERROR(T341/T445, "NA")</f>
        <v>4.0000069837828629E-3</v>
      </c>
      <c r="V341" s="9"/>
      <c r="W341" s="10">
        <f t="shared" si="86"/>
        <v>-1305.8700000000001</v>
      </c>
      <c r="X341" s="8">
        <f>IFERROR(W341/W445, "NA")</f>
        <v>-0.20659002352449801</v>
      </c>
      <c r="Y341" s="9"/>
      <c r="Z341" s="7">
        <v>2164.21</v>
      </c>
      <c r="AA341" s="8">
        <f>IFERROR(Z341/Z445, "NA")</f>
        <v>5.2720171165103339E-3</v>
      </c>
      <c r="AB341" s="9"/>
      <c r="AC341" s="10">
        <f t="shared" si="87"/>
        <v>-905.75</v>
      </c>
      <c r="AD341" s="8">
        <f>IFERROR(AC341/AC445, "NA")</f>
        <v>-2.4590126103976519E-2</v>
      </c>
    </row>
    <row r="342" spans="1:30" ht="16.5" hidden="1" customHeight="1" x14ac:dyDescent="0.45">
      <c r="A342" s="12" t="s">
        <v>312</v>
      </c>
      <c r="B342" s="7">
        <v>0</v>
      </c>
      <c r="C342" s="8">
        <f>IFERROR(B342/B445, "NA")</f>
        <v>0</v>
      </c>
      <c r="D342" s="9"/>
      <c r="E342" s="7">
        <v>0</v>
      </c>
      <c r="F342" s="8">
        <f>IFERROR(E342/E445, "NA")</f>
        <v>0</v>
      </c>
      <c r="G342" s="9"/>
      <c r="H342" s="10">
        <f t="shared" si="84"/>
        <v>0</v>
      </c>
      <c r="I342" s="8">
        <f>IFERROR(H342/H445, "NA")</f>
        <v>0</v>
      </c>
      <c r="J342" s="9"/>
      <c r="K342" s="7">
        <v>0</v>
      </c>
      <c r="L342" s="8">
        <f>IFERROR(K342/K445, "NA")</f>
        <v>0</v>
      </c>
      <c r="M342" s="9"/>
      <c r="N342" s="10">
        <f t="shared" si="85"/>
        <v>0</v>
      </c>
      <c r="O342" s="8">
        <f>IFERROR(N342/N445, "NA")</f>
        <v>0</v>
      </c>
      <c r="P342" s="9"/>
      <c r="Q342" s="7">
        <v>0</v>
      </c>
      <c r="R342" s="8">
        <f>IFERROR(Q342/Q445, "NA")</f>
        <v>0</v>
      </c>
      <c r="S342" s="9"/>
      <c r="T342" s="7">
        <v>0</v>
      </c>
      <c r="U342" s="8">
        <f>IFERROR(T342/T445, "NA")</f>
        <v>0</v>
      </c>
      <c r="V342" s="9"/>
      <c r="W342" s="10">
        <f t="shared" si="86"/>
        <v>0</v>
      </c>
      <c r="X342" s="8">
        <f>IFERROR(W342/W445, "NA")</f>
        <v>0</v>
      </c>
      <c r="Y342" s="9"/>
      <c r="Z342" s="7">
        <v>0</v>
      </c>
      <c r="AA342" s="8">
        <f>IFERROR(Z342/Z445, "NA")</f>
        <v>0</v>
      </c>
      <c r="AB342" s="9"/>
      <c r="AC342" s="10">
        <f t="shared" si="87"/>
        <v>0</v>
      </c>
      <c r="AD342" s="8">
        <f>IFERROR(AC342/AC445, "NA")</f>
        <v>0</v>
      </c>
    </row>
    <row r="343" spans="1:30" ht="16.5" customHeight="1" x14ac:dyDescent="0.45">
      <c r="A343" s="13" t="s">
        <v>313</v>
      </c>
      <c r="B343" s="14">
        <f>IFERROR(B338+B339+B340+B341+B342, "NA")</f>
        <v>3298.8999999999996</v>
      </c>
      <c r="C343" s="15">
        <f>IFERROR(B343/B445, "NA")</f>
        <v>3.7796403996801585E-2</v>
      </c>
      <c r="D343" s="2"/>
      <c r="E343" s="14">
        <f>IFERROR(E338+E339+E340+E341+E342, "NA")</f>
        <v>3452.21</v>
      </c>
      <c r="F343" s="15">
        <f>IFERROR(E343/E445, "NA")</f>
        <v>3.6999933764287035E-2</v>
      </c>
      <c r="G343" s="2"/>
      <c r="H343" s="14">
        <f t="shared" si="84"/>
        <v>153.3100000000004</v>
      </c>
      <c r="I343" s="15">
        <f>IFERROR(H343/H445, "NA")</f>
        <v>-2.5456839937898039E-2</v>
      </c>
      <c r="J343" s="2"/>
      <c r="K343" s="14">
        <f>IFERROR(K338+K339+K340+K341+K342, "NA")</f>
        <v>3476.53</v>
      </c>
      <c r="L343" s="15">
        <f>IFERROR(K343/K445, "NA")</f>
        <v>4.0753768826548936E-2</v>
      </c>
      <c r="M343" s="2"/>
      <c r="N343" s="14">
        <f t="shared" si="85"/>
        <v>177.63000000000056</v>
      </c>
      <c r="O343" s="15">
        <f>IFERROR(N343/N445, "NA")</f>
        <v>8.993650825797736E-2</v>
      </c>
      <c r="P343" s="2"/>
      <c r="Q343" s="14">
        <f>IFERROR(Q338+Q339+Q340+Q341+Q342, "NA")</f>
        <v>16303.68</v>
      </c>
      <c r="R343" s="15">
        <f>IFERROR(Q343/Q445, "NA")</f>
        <v>3.6445607261366454E-2</v>
      </c>
      <c r="S343" s="2"/>
      <c r="T343" s="14">
        <f>IFERROR(T338+T339+T340+T341+T342, "NA")</f>
        <v>16317.81</v>
      </c>
      <c r="U343" s="15">
        <f>IFERROR(T343/T445, "NA")</f>
        <v>3.7000013582097188E-2</v>
      </c>
      <c r="V343" s="2"/>
      <c r="W343" s="14">
        <f t="shared" si="86"/>
        <v>14.1299999999992</v>
      </c>
      <c r="X343" s="15">
        <f>IFERROR(W343/W445, "NA")</f>
        <v>2.2353810351727135E-3</v>
      </c>
      <c r="Y343" s="2"/>
      <c r="Z343" s="14">
        <f>IFERROR(Z338+Z339+Z340+Z341+Z342, "NA")</f>
        <v>15787.899999999998</v>
      </c>
      <c r="AA343" s="15">
        <f>IFERROR(Z343/Z445, "NA")</f>
        <v>3.8459335754734286E-2</v>
      </c>
      <c r="AB343" s="2"/>
      <c r="AC343" s="14">
        <f t="shared" si="87"/>
        <v>-515.78000000000247</v>
      </c>
      <c r="AD343" s="15">
        <f>IFERROR(AC343/AC445, "NA")</f>
        <v>-1.4002865296063009E-2</v>
      </c>
    </row>
    <row r="344" spans="1:30" ht="16.5" customHeight="1" x14ac:dyDescent="0.45">
      <c r="A344" s="19" t="s">
        <v>314</v>
      </c>
      <c r="B344" s="14">
        <f>IFERROR(B329+B330+B331+B332+B333+B334+B335+B336+B338+B339+B340+B341+B342, "NA")</f>
        <v>11288.53</v>
      </c>
      <c r="C344" s="15">
        <f>IFERROR(B344/B445, "NA")</f>
        <v>0.12933579084240646</v>
      </c>
      <c r="D344" s="2"/>
      <c r="E344" s="14">
        <f>IFERROR(E329+E330+E331+E332+E333+E334+E335+E336+E338+E339+E340+E341+E342, "NA")</f>
        <v>11473.859999999997</v>
      </c>
      <c r="F344" s="15">
        <f>IFERROR(E344/E445, "NA")</f>
        <v>0.12297399637354109</v>
      </c>
      <c r="G344" s="2"/>
      <c r="H344" s="14">
        <f t="shared" si="84"/>
        <v>185.32999999999629</v>
      </c>
      <c r="I344" s="15">
        <f>IFERROR(H344/H445, "NA")</f>
        <v>-3.0773701296005065E-2</v>
      </c>
      <c r="J344" s="2"/>
      <c r="K344" s="14">
        <f>IFERROR(K329+K330+K331+K332+K333+K334+K335+K336+K338+K339+K340+K341+K342, "NA")</f>
        <v>11320.25</v>
      </c>
      <c r="L344" s="15">
        <f>IFERROR(K344/K445, "NA")</f>
        <v>0.13270210570849111</v>
      </c>
      <c r="M344" s="2"/>
      <c r="N344" s="14">
        <f t="shared" si="85"/>
        <v>31.719999999999345</v>
      </c>
      <c r="O344" s="15">
        <f>IFERROR(N344/N445, "NA")</f>
        <v>1.6060271586685663E-2</v>
      </c>
      <c r="P344" s="2"/>
      <c r="Q344" s="14">
        <f>IFERROR(Q329+Q330+Q331+Q332+Q333+Q334+Q335+Q336+Q338+Q339+Q340+Q341+Q342, "NA")</f>
        <v>59819.159999999996</v>
      </c>
      <c r="R344" s="15">
        <f>IFERROR(Q344/Q445, "NA")</f>
        <v>0.13372107475519893</v>
      </c>
      <c r="S344" s="2"/>
      <c r="T344" s="14">
        <f>IFERROR(T329+T330+T331+T332+T333+T334+T335+T336+T338+T339+T340+T341+T342, "NA")</f>
        <v>57520.009999999987</v>
      </c>
      <c r="U344" s="15">
        <f>IFERROR(T344/T445, "NA")</f>
        <v>0.13042443509529561</v>
      </c>
      <c r="V344" s="2"/>
      <c r="W344" s="14">
        <f t="shared" si="86"/>
        <v>-2299.1500000000087</v>
      </c>
      <c r="X344" s="15">
        <f>IFERROR(W344/W445, "NA")</f>
        <v>-0.36372797643437049</v>
      </c>
      <c r="Y344" s="2"/>
      <c r="Z344" s="14">
        <f>IFERROR(Z329+Z330+Z331+Z332+Z333+Z334+Z335+Z336+Z338+Z339+Z340+Z341+Z342, "NA")</f>
        <v>56560.959999999999</v>
      </c>
      <c r="AA344" s="15">
        <f>IFERROR(Z344/Z445, "NA")</f>
        <v>0.1377825392389169</v>
      </c>
      <c r="AB344" s="2"/>
      <c r="AC344" s="14">
        <f t="shared" si="87"/>
        <v>-3258.1999999999971</v>
      </c>
      <c r="AD344" s="15">
        <f>IFERROR(AC344/AC445, "NA")</f>
        <v>-8.8456581696909994E-2</v>
      </c>
    </row>
    <row r="345" spans="1:30" ht="16.5" customHeight="1" x14ac:dyDescent="0.45">
      <c r="A345" s="21" t="s">
        <v>315</v>
      </c>
      <c r="B345" s="14">
        <f>IFERROR(B329+B330+B331+B332+B333+B334+B335+B336+B338+B339+B340+B341+B342, "NA")</f>
        <v>11288.53</v>
      </c>
      <c r="C345" s="15">
        <f>IFERROR(B345/B445, "NA")</f>
        <v>0.12933579084240646</v>
      </c>
      <c r="D345" s="2"/>
      <c r="E345" s="14">
        <f>IFERROR(E329+E330+E331+E332+E333+E334+E335+E336+E338+E339+E340+E341+E342, "NA")</f>
        <v>11473.859999999997</v>
      </c>
      <c r="F345" s="15">
        <f>IFERROR(E345/E445, "NA")</f>
        <v>0.12297399637354109</v>
      </c>
      <c r="G345" s="2"/>
      <c r="H345" s="14">
        <f t="shared" si="84"/>
        <v>185.32999999999629</v>
      </c>
      <c r="I345" s="15">
        <f>IFERROR(H345/H445, "NA")</f>
        <v>-3.0773701296005065E-2</v>
      </c>
      <c r="J345" s="2"/>
      <c r="K345" s="14">
        <f>IFERROR(K329+K330+K331+K332+K333+K334+K335+K336+K338+K339+K340+K341+K342, "NA")</f>
        <v>11320.25</v>
      </c>
      <c r="L345" s="15">
        <f>IFERROR(K345/K445, "NA")</f>
        <v>0.13270210570849111</v>
      </c>
      <c r="M345" s="2"/>
      <c r="N345" s="14">
        <f t="shared" si="85"/>
        <v>31.719999999999345</v>
      </c>
      <c r="O345" s="15">
        <f>IFERROR(N345/N445, "NA")</f>
        <v>1.6060271586685663E-2</v>
      </c>
      <c r="P345" s="2"/>
      <c r="Q345" s="14">
        <f>IFERROR(Q329+Q330+Q331+Q332+Q333+Q334+Q335+Q336+Q338+Q339+Q340+Q341+Q342, "NA")</f>
        <v>59819.159999999996</v>
      </c>
      <c r="R345" s="15">
        <f>IFERROR(Q345/Q445, "NA")</f>
        <v>0.13372107475519893</v>
      </c>
      <c r="S345" s="2"/>
      <c r="T345" s="14">
        <f>IFERROR(T329+T330+T331+T332+T333+T334+T335+T336+T338+T339+T340+T341+T342, "NA")</f>
        <v>57520.009999999987</v>
      </c>
      <c r="U345" s="15">
        <f>IFERROR(T345/T445, "NA")</f>
        <v>0.13042443509529561</v>
      </c>
      <c r="V345" s="2"/>
      <c r="W345" s="14">
        <f t="shared" si="86"/>
        <v>-2299.1500000000087</v>
      </c>
      <c r="X345" s="15">
        <f>IFERROR(W345/W445, "NA")</f>
        <v>-0.36372797643437049</v>
      </c>
      <c r="Y345" s="2"/>
      <c r="Z345" s="14">
        <f>IFERROR(Z329+Z330+Z331+Z332+Z333+Z334+Z335+Z336+Z338+Z339+Z340+Z341+Z342, "NA")</f>
        <v>56560.959999999999</v>
      </c>
      <c r="AA345" s="15">
        <f>IFERROR(Z345/Z445, "NA")</f>
        <v>0.1377825392389169</v>
      </c>
      <c r="AB345" s="2"/>
      <c r="AC345" s="14">
        <f t="shared" si="87"/>
        <v>-3258.1999999999971</v>
      </c>
      <c r="AD345" s="15">
        <f>IFERROR(AC345/AC445, "NA")</f>
        <v>-8.8456581696909994E-2</v>
      </c>
    </row>
    <row r="346" spans="1:30" ht="16.5" customHeight="1" x14ac:dyDescent="0.45">
      <c r="A346" s="22" t="s">
        <v>316</v>
      </c>
      <c r="B346" s="23">
        <f>IFERROR(B198-B326-B345, "NA")</f>
        <v>6009.4</v>
      </c>
      <c r="C346" s="24">
        <f>IFERROR(B346/B445, "NA")</f>
        <v>6.8851347472908983E-2</v>
      </c>
      <c r="D346" s="25"/>
      <c r="E346" s="23">
        <f>IFERROR(E198-E326-E345, "NA")</f>
        <v>7204.3999999999833</v>
      </c>
      <c r="F346" s="24">
        <f>IFERROR(E346/E445, "NA")</f>
        <v>7.721497904572111E-2</v>
      </c>
      <c r="G346" s="25"/>
      <c r="H346" s="23">
        <f>IFERROR(B346-E346, "NA")</f>
        <v>-1194.9999999999836</v>
      </c>
      <c r="I346" s="24">
        <f>IFERROR(H346/H445, "NA")</f>
        <v>0.19842752413924505</v>
      </c>
      <c r="J346" s="25"/>
      <c r="K346" s="23">
        <f>IFERROR(K198-K326-K345, "NA")</f>
        <v>376.09000000001106</v>
      </c>
      <c r="L346" s="24">
        <f>IFERROR(K346/K445, "NA")</f>
        <v>4.4087308085870797E-3</v>
      </c>
      <c r="M346" s="25"/>
      <c r="N346" s="23">
        <f>IFERROR(B346-K346, "NA")</f>
        <v>5633.3099999999886</v>
      </c>
      <c r="O346" s="24">
        <f>IFERROR(N346/N445, "NA")</f>
        <v>2.8522222109708038</v>
      </c>
      <c r="P346" s="25"/>
      <c r="Q346" s="23">
        <f>IFERROR(Q198-Q326-Q345, "NA")</f>
        <v>15140.049999999879</v>
      </c>
      <c r="R346" s="24">
        <f>IFERROR(Q346/Q445, "NA")</f>
        <v>3.3844402994750063E-2</v>
      </c>
      <c r="S346" s="25"/>
      <c r="T346" s="23">
        <f>IFERROR(T198-T326-T345, "NA")</f>
        <v>30862.110000000022</v>
      </c>
      <c r="U346" s="24">
        <f>IFERROR(T346/T445, "NA")</f>
        <v>6.9978660688669522E-2</v>
      </c>
      <c r="V346" s="25"/>
      <c r="W346" s="23">
        <f>IFERROR(Q346-T346, "NA")</f>
        <v>-15722.060000000143</v>
      </c>
      <c r="X346" s="24">
        <f>IFERROR(W346/W445, "NA")</f>
        <v>-2.4872466212207942</v>
      </c>
      <c r="Y346" s="25"/>
      <c r="Z346" s="23">
        <f>IFERROR(Z198-Z326-Z345, "NA")</f>
        <v>870.61999999984255</v>
      </c>
      <c r="AA346" s="24">
        <f>IFERROR(Z346/Z445, "NA")</f>
        <v>2.120830946153745E-3</v>
      </c>
      <c r="AB346" s="25"/>
      <c r="AC346" s="23">
        <f>IFERROR(Q346-Z346, "NA")</f>
        <v>14269.430000000037</v>
      </c>
      <c r="AD346" s="24">
        <f>IFERROR(AC346/AC445, "NA")</f>
        <v>0.38739948455077733</v>
      </c>
    </row>
    <row r="347" spans="1:30" ht="16.5" customHeight="1" x14ac:dyDescent="0.45">
      <c r="A347" s="1" t="s">
        <v>317</v>
      </c>
      <c r="B347" s="2"/>
      <c r="C347" s="3"/>
      <c r="D347" s="4"/>
      <c r="E347" s="2"/>
      <c r="F347" s="3"/>
      <c r="G347" s="4"/>
      <c r="H347" s="2"/>
      <c r="I347" s="3"/>
      <c r="J347" s="4"/>
      <c r="K347" s="2"/>
      <c r="L347" s="3"/>
      <c r="M347" s="4"/>
      <c r="N347" s="2"/>
      <c r="O347" s="3"/>
      <c r="P347" s="4"/>
      <c r="Q347" s="2"/>
      <c r="R347" s="3"/>
      <c r="S347" s="4"/>
      <c r="T347" s="2"/>
      <c r="U347" s="3"/>
      <c r="V347" s="4"/>
      <c r="W347" s="2"/>
      <c r="X347" s="3"/>
      <c r="Y347" s="4"/>
      <c r="Z347" s="2"/>
      <c r="AA347" s="3"/>
      <c r="AB347" s="4"/>
      <c r="AC347" s="2"/>
      <c r="AD347" s="3"/>
    </row>
    <row r="348" spans="1:30" ht="16.5" hidden="1" customHeight="1" x14ac:dyDescent="0.45">
      <c r="A348" s="20" t="s">
        <v>318</v>
      </c>
      <c r="B348" s="7">
        <v>0</v>
      </c>
      <c r="C348" s="8">
        <f>IFERROR(B348/B445, "NA")</f>
        <v>0</v>
      </c>
      <c r="D348" s="9"/>
      <c r="E348" s="7">
        <v>0</v>
      </c>
      <c r="F348" s="8">
        <f>IFERROR(E348/E445, "NA")</f>
        <v>0</v>
      </c>
      <c r="G348" s="9"/>
      <c r="H348" s="10">
        <f>IFERROR(-(B348-E348), "NA")</f>
        <v>0</v>
      </c>
      <c r="I348" s="8">
        <f>IFERROR(H348/H445, "NA")</f>
        <v>0</v>
      </c>
      <c r="J348" s="9"/>
      <c r="K348" s="7">
        <v>0</v>
      </c>
      <c r="L348" s="8">
        <f>IFERROR(K348/K445, "NA")</f>
        <v>0</v>
      </c>
      <c r="M348" s="9"/>
      <c r="N348" s="10">
        <f>IFERROR(-(B348-K348), "NA")</f>
        <v>0</v>
      </c>
      <c r="O348" s="8">
        <f>IFERROR(N348/N445, "NA")</f>
        <v>0</v>
      </c>
      <c r="P348" s="9"/>
      <c r="Q348" s="7">
        <v>0</v>
      </c>
      <c r="R348" s="8">
        <f>IFERROR(Q348/Q445, "NA")</f>
        <v>0</v>
      </c>
      <c r="S348" s="9"/>
      <c r="T348" s="7">
        <v>0</v>
      </c>
      <c r="U348" s="8">
        <f>IFERROR(T348/T445, "NA")</f>
        <v>0</v>
      </c>
      <c r="V348" s="9"/>
      <c r="W348" s="10">
        <f>IFERROR(-(Q348-T348), "NA")</f>
        <v>0</v>
      </c>
      <c r="X348" s="8">
        <f>IFERROR(W348/W445, "NA")</f>
        <v>0</v>
      </c>
      <c r="Y348" s="9"/>
      <c r="Z348" s="7">
        <v>0</v>
      </c>
      <c r="AA348" s="8">
        <f>IFERROR(Z348/Z445, "NA")</f>
        <v>0</v>
      </c>
      <c r="AB348" s="9"/>
      <c r="AC348" s="10">
        <f>IFERROR(-(Q348-Z348), "NA")</f>
        <v>0</v>
      </c>
      <c r="AD348" s="8">
        <f>IFERROR(AC348/AC445, "NA")</f>
        <v>0</v>
      </c>
    </row>
    <row r="349" spans="1:30" ht="16.5" customHeight="1" x14ac:dyDescent="0.45">
      <c r="A349" s="5" t="s">
        <v>319</v>
      </c>
      <c r="B349" s="2"/>
      <c r="C349" s="3"/>
      <c r="D349" s="4"/>
      <c r="E349" s="2"/>
      <c r="F349" s="3"/>
      <c r="G349" s="4"/>
      <c r="H349" s="2"/>
      <c r="I349" s="3"/>
      <c r="J349" s="4"/>
      <c r="K349" s="2"/>
      <c r="L349" s="3"/>
      <c r="M349" s="4"/>
      <c r="N349" s="2"/>
      <c r="O349" s="3"/>
      <c r="P349" s="4"/>
      <c r="Q349" s="2"/>
      <c r="R349" s="3"/>
      <c r="S349" s="4"/>
      <c r="T349" s="2"/>
      <c r="U349" s="3"/>
      <c r="V349" s="4"/>
      <c r="W349" s="2"/>
      <c r="X349" s="3"/>
      <c r="Y349" s="4"/>
      <c r="Z349" s="2"/>
      <c r="AA349" s="3"/>
      <c r="AB349" s="4"/>
      <c r="AC349" s="2"/>
      <c r="AD349" s="3"/>
    </row>
    <row r="350" spans="1:30" ht="16.5" hidden="1" customHeight="1" x14ac:dyDescent="0.45">
      <c r="A350" s="6" t="s">
        <v>319</v>
      </c>
      <c r="B350" s="7">
        <v>0</v>
      </c>
      <c r="C350" s="8">
        <f>IFERROR(B350/B445, "NA")</f>
        <v>0</v>
      </c>
      <c r="D350" s="9"/>
      <c r="E350" s="7">
        <v>0</v>
      </c>
      <c r="F350" s="8">
        <f>IFERROR(E350/E445, "NA")</f>
        <v>0</v>
      </c>
      <c r="G350" s="9"/>
      <c r="H350" s="10">
        <f t="shared" ref="H350:H359" si="88">IFERROR(-(B350-E350), "NA")</f>
        <v>0</v>
      </c>
      <c r="I350" s="8">
        <f>IFERROR(H350/H445, "NA")</f>
        <v>0</v>
      </c>
      <c r="J350" s="9"/>
      <c r="K350" s="7">
        <v>0</v>
      </c>
      <c r="L350" s="8">
        <f>IFERROR(K350/K445, "NA")</f>
        <v>0</v>
      </c>
      <c r="M350" s="9"/>
      <c r="N350" s="10">
        <f t="shared" ref="N350:N359" si="89">IFERROR(-(B350-K350), "NA")</f>
        <v>0</v>
      </c>
      <c r="O350" s="8">
        <f>IFERROR(N350/N445, "NA")</f>
        <v>0</v>
      </c>
      <c r="P350" s="9"/>
      <c r="Q350" s="7">
        <v>0</v>
      </c>
      <c r="R350" s="8">
        <f>IFERROR(Q350/Q445, "NA")</f>
        <v>0</v>
      </c>
      <c r="S350" s="9"/>
      <c r="T350" s="7">
        <v>0</v>
      </c>
      <c r="U350" s="8">
        <f>IFERROR(T350/T445, "NA")</f>
        <v>0</v>
      </c>
      <c r="V350" s="9"/>
      <c r="W350" s="10">
        <f t="shared" ref="W350:W359" si="90">IFERROR(-(Q350-T350), "NA")</f>
        <v>0</v>
      </c>
      <c r="X350" s="8">
        <f>IFERROR(W350/W445, "NA")</f>
        <v>0</v>
      </c>
      <c r="Y350" s="9"/>
      <c r="Z350" s="7">
        <v>0</v>
      </c>
      <c r="AA350" s="8">
        <f>IFERROR(Z350/Z445, "NA")</f>
        <v>0</v>
      </c>
      <c r="AB350" s="9"/>
      <c r="AC350" s="10">
        <f t="shared" ref="AC350:AC359" si="91">IFERROR(-(Q350-Z350), "NA")</f>
        <v>0</v>
      </c>
      <c r="AD350" s="8">
        <f>IFERROR(AC350/AC445,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IFERROR(B351/B445, "NA")</f>
        <v>0</v>
      </c>
      <c r="D351" s="9"/>
      <c r="E351" s="7">
        <v>0</v>
      </c>
      <c r="F351" s="8">
        <f>IFERROR(E351/E445, "NA")</f>
        <v>0</v>
      </c>
      <c r="G351" s="9"/>
      <c r="H351" s="10">
        <f t="shared" si="88"/>
        <v>0</v>
      </c>
      <c r="I351" s="8">
        <f>IFERROR(H351/H445, "NA")</f>
        <v>0</v>
      </c>
      <c r="J351" s="9"/>
      <c r="K351" s="7">
        <v>0</v>
      </c>
      <c r="L351" s="8">
        <f>IFERROR(K351/K445, "NA")</f>
        <v>0</v>
      </c>
      <c r="M351" s="9"/>
      <c r="N351" s="10">
        <f t="shared" si="89"/>
        <v>0</v>
      </c>
      <c r="O351" s="8">
        <f>IFERROR(N351/N445, "NA")</f>
        <v>0</v>
      </c>
      <c r="P351" s="9"/>
      <c r="Q351" s="7">
        <v>0</v>
      </c>
      <c r="R351" s="8">
        <f>IFERROR(Q351/Q445, "NA")</f>
        <v>0</v>
      </c>
      <c r="S351" s="9"/>
      <c r="T351" s="7">
        <v>0</v>
      </c>
      <c r="U351" s="8">
        <f>IFERROR(T351/T445, "NA")</f>
        <v>0</v>
      </c>
      <c r="V351" s="9"/>
      <c r="W351" s="10">
        <f t="shared" si="90"/>
        <v>0</v>
      </c>
      <c r="X351" s="8">
        <f>IFERROR(W351/W445, "NA")</f>
        <v>0</v>
      </c>
      <c r="Y351" s="9"/>
      <c r="Z351" s="7">
        <v>0</v>
      </c>
      <c r="AA351" s="8">
        <f>IFERROR(Z351/Z445, "NA")</f>
        <v>0</v>
      </c>
      <c r="AB351" s="9"/>
      <c r="AC351" s="10">
        <f t="shared" si="91"/>
        <v>0</v>
      </c>
      <c r="AD351" s="8">
        <f>IFERROR(AC351/AC445,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IFERROR(B352/B445, "NA")</f>
        <v>0</v>
      </c>
      <c r="D352" s="9"/>
      <c r="E352" s="7">
        <v>0</v>
      </c>
      <c r="F352" s="8">
        <f>IFERROR(E352/E445, "NA")</f>
        <v>0</v>
      </c>
      <c r="G352" s="9"/>
      <c r="H352" s="10">
        <f t="shared" si="88"/>
        <v>0</v>
      </c>
      <c r="I352" s="8">
        <f>IFERROR(H352/H445, "NA")</f>
        <v>0</v>
      </c>
      <c r="J352" s="9"/>
      <c r="K352" s="7">
        <v>0</v>
      </c>
      <c r="L352" s="8">
        <f>IFERROR(K352/K445, "NA")</f>
        <v>0</v>
      </c>
      <c r="M352" s="9"/>
      <c r="N352" s="10">
        <f t="shared" si="89"/>
        <v>0</v>
      </c>
      <c r="O352" s="8">
        <f>IFERROR(N352/N445, "NA")</f>
        <v>0</v>
      </c>
      <c r="P352" s="9"/>
      <c r="Q352" s="7">
        <v>0</v>
      </c>
      <c r="R352" s="8">
        <f>IFERROR(Q352/Q445, "NA")</f>
        <v>0</v>
      </c>
      <c r="S352" s="9"/>
      <c r="T352" s="7">
        <v>0</v>
      </c>
      <c r="U352" s="8">
        <f>IFERROR(T352/T445, "NA")</f>
        <v>0</v>
      </c>
      <c r="V352" s="9"/>
      <c r="W352" s="10">
        <f t="shared" si="90"/>
        <v>0</v>
      </c>
      <c r="X352" s="8">
        <f>IFERROR(W352/W445, "NA")</f>
        <v>0</v>
      </c>
      <c r="Y352" s="9"/>
      <c r="Z352" s="7">
        <v>0</v>
      </c>
      <c r="AA352" s="8">
        <f>IFERROR(Z352/Z445, "NA")</f>
        <v>0</v>
      </c>
      <c r="AB352" s="9"/>
      <c r="AC352" s="10">
        <f t="shared" si="91"/>
        <v>0</v>
      </c>
      <c r="AD352" s="8">
        <f>IFERROR(AC352/AC445,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IFERROR(B353/B445, "NA")</f>
        <v>0</v>
      </c>
      <c r="D353" s="9"/>
      <c r="E353" s="7">
        <v>0</v>
      </c>
      <c r="F353" s="8">
        <f>IFERROR(E353/E445, "NA")</f>
        <v>0</v>
      </c>
      <c r="G353" s="9"/>
      <c r="H353" s="10">
        <f t="shared" si="88"/>
        <v>0</v>
      </c>
      <c r="I353" s="8">
        <f>IFERROR(H353/H445, "NA")</f>
        <v>0</v>
      </c>
      <c r="J353" s="9"/>
      <c r="K353" s="7">
        <v>0</v>
      </c>
      <c r="L353" s="8">
        <f>IFERROR(K353/K445, "NA")</f>
        <v>0</v>
      </c>
      <c r="M353" s="9"/>
      <c r="N353" s="10">
        <f t="shared" si="89"/>
        <v>0</v>
      </c>
      <c r="O353" s="8">
        <f>IFERROR(N353/N445, "NA")</f>
        <v>0</v>
      </c>
      <c r="P353" s="9"/>
      <c r="Q353" s="7">
        <v>0</v>
      </c>
      <c r="R353" s="8">
        <f>IFERROR(Q353/Q445, "NA")</f>
        <v>0</v>
      </c>
      <c r="S353" s="9"/>
      <c r="T353" s="7">
        <v>0</v>
      </c>
      <c r="U353" s="8">
        <f>IFERROR(T353/T445, "NA")</f>
        <v>0</v>
      </c>
      <c r="V353" s="9"/>
      <c r="W353" s="10">
        <f t="shared" si="90"/>
        <v>0</v>
      </c>
      <c r="X353" s="8">
        <f>IFERROR(W353/W445, "NA")</f>
        <v>0</v>
      </c>
      <c r="Y353" s="9"/>
      <c r="Z353" s="7">
        <v>0</v>
      </c>
      <c r="AA353" s="8">
        <f>IFERROR(Z353/Z445, "NA")</f>
        <v>0</v>
      </c>
      <c r="AB353" s="9"/>
      <c r="AC353" s="10">
        <f t="shared" si="91"/>
        <v>0</v>
      </c>
      <c r="AD353" s="8">
        <f>IFERROR(AC353/AC445,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IFERROR(B354/B445, "NA")</f>
        <v>0</v>
      </c>
      <c r="D354" s="9"/>
      <c r="E354" s="7">
        <v>0</v>
      </c>
      <c r="F354" s="8">
        <f>IFERROR(E354/E445, "NA")</f>
        <v>0</v>
      </c>
      <c r="G354" s="9"/>
      <c r="H354" s="10">
        <f t="shared" si="88"/>
        <v>0</v>
      </c>
      <c r="I354" s="8">
        <f>IFERROR(H354/H445, "NA")</f>
        <v>0</v>
      </c>
      <c r="J354" s="9"/>
      <c r="K354" s="7">
        <v>0</v>
      </c>
      <c r="L354" s="8">
        <f>IFERROR(K354/K445, "NA")</f>
        <v>0</v>
      </c>
      <c r="M354" s="9"/>
      <c r="N354" s="10">
        <f t="shared" si="89"/>
        <v>0</v>
      </c>
      <c r="O354" s="8">
        <f>IFERROR(N354/N445, "NA")</f>
        <v>0</v>
      </c>
      <c r="P354" s="9"/>
      <c r="Q354" s="7">
        <v>0</v>
      </c>
      <c r="R354" s="8">
        <f>IFERROR(Q354/Q445, "NA")</f>
        <v>0</v>
      </c>
      <c r="S354" s="9"/>
      <c r="T354" s="7">
        <v>0</v>
      </c>
      <c r="U354" s="8">
        <f>IFERROR(T354/T445, "NA")</f>
        <v>0</v>
      </c>
      <c r="V354" s="9"/>
      <c r="W354" s="10">
        <f t="shared" si="90"/>
        <v>0</v>
      </c>
      <c r="X354" s="8">
        <f>IFERROR(W354/W445, "NA")</f>
        <v>0</v>
      </c>
      <c r="Y354" s="9"/>
      <c r="Z354" s="7">
        <v>0</v>
      </c>
      <c r="AA354" s="8">
        <f>IFERROR(Z354/Z445, "NA")</f>
        <v>0</v>
      </c>
      <c r="AB354" s="9"/>
      <c r="AC354" s="10">
        <f t="shared" si="91"/>
        <v>0</v>
      </c>
      <c r="AD354" s="8">
        <f>IFERROR(AC354/AC445,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IFERROR(B355/B445, "NA")</f>
        <v>0</v>
      </c>
      <c r="D355" s="9"/>
      <c r="E355" s="7">
        <v>0</v>
      </c>
      <c r="F355" s="8">
        <f>IFERROR(E355/E445, "NA")</f>
        <v>0</v>
      </c>
      <c r="G355" s="9"/>
      <c r="H355" s="10">
        <f t="shared" si="88"/>
        <v>0</v>
      </c>
      <c r="I355" s="8">
        <f>IFERROR(H355/H445, "NA")</f>
        <v>0</v>
      </c>
      <c r="J355" s="9"/>
      <c r="K355" s="7">
        <v>0</v>
      </c>
      <c r="L355" s="8">
        <f>IFERROR(K355/K445, "NA")</f>
        <v>0</v>
      </c>
      <c r="M355" s="9"/>
      <c r="N355" s="10">
        <f t="shared" si="89"/>
        <v>0</v>
      </c>
      <c r="O355" s="8">
        <f>IFERROR(N355/N445, "NA")</f>
        <v>0</v>
      </c>
      <c r="P355" s="9"/>
      <c r="Q355" s="7">
        <v>0</v>
      </c>
      <c r="R355" s="8">
        <f>IFERROR(Q355/Q445, "NA")</f>
        <v>0</v>
      </c>
      <c r="S355" s="9"/>
      <c r="T355" s="7">
        <v>0</v>
      </c>
      <c r="U355" s="8">
        <f>IFERROR(T355/T445, "NA")</f>
        <v>0</v>
      </c>
      <c r="V355" s="9"/>
      <c r="W355" s="10">
        <f t="shared" si="90"/>
        <v>0</v>
      </c>
      <c r="X355" s="8">
        <f>IFERROR(W355/W445, "NA")</f>
        <v>0</v>
      </c>
      <c r="Y355" s="9"/>
      <c r="Z355" s="7">
        <v>0</v>
      </c>
      <c r="AA355" s="8">
        <f>IFERROR(Z355/Z445, "NA")</f>
        <v>0</v>
      </c>
      <c r="AB355" s="9"/>
      <c r="AC355" s="10">
        <f t="shared" si="91"/>
        <v>0</v>
      </c>
      <c r="AD355" s="8">
        <f>IFERROR(AC355/AC445,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IFERROR(B356/B445, "NA")</f>
        <v>0</v>
      </c>
      <c r="D356" s="9"/>
      <c r="E356" s="7">
        <v>0</v>
      </c>
      <c r="F356" s="8">
        <f>IFERROR(E356/E445, "NA")</f>
        <v>0</v>
      </c>
      <c r="G356" s="9"/>
      <c r="H356" s="10">
        <f t="shared" si="88"/>
        <v>0</v>
      </c>
      <c r="I356" s="8">
        <f>IFERROR(H356/H445, "NA")</f>
        <v>0</v>
      </c>
      <c r="J356" s="9"/>
      <c r="K356" s="7">
        <v>0</v>
      </c>
      <c r="L356" s="8">
        <f>IFERROR(K356/K445, "NA")</f>
        <v>0</v>
      </c>
      <c r="M356" s="9"/>
      <c r="N356" s="10">
        <f t="shared" si="89"/>
        <v>0</v>
      </c>
      <c r="O356" s="8">
        <f>IFERROR(N356/N445, "NA")</f>
        <v>0</v>
      </c>
      <c r="P356" s="9"/>
      <c r="Q356" s="7">
        <v>0</v>
      </c>
      <c r="R356" s="8">
        <f>IFERROR(Q356/Q445, "NA")</f>
        <v>0</v>
      </c>
      <c r="S356" s="9"/>
      <c r="T356" s="7">
        <v>0</v>
      </c>
      <c r="U356" s="8">
        <f>IFERROR(T356/T445, "NA")</f>
        <v>0</v>
      </c>
      <c r="V356" s="9"/>
      <c r="W356" s="10">
        <f t="shared" si="90"/>
        <v>0</v>
      </c>
      <c r="X356" s="8">
        <f>IFERROR(W356/W445, "NA")</f>
        <v>0</v>
      </c>
      <c r="Y356" s="9"/>
      <c r="Z356" s="7">
        <v>0</v>
      </c>
      <c r="AA356" s="8">
        <f>IFERROR(Z356/Z445, "NA")</f>
        <v>0</v>
      </c>
      <c r="AB356" s="9"/>
      <c r="AC356" s="10">
        <f t="shared" si="91"/>
        <v>0</v>
      </c>
      <c r="AD356" s="8">
        <f>IFERROR(AC356/AC445,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IFERROR(B357/B445, "NA")</f>
        <v>0</v>
      </c>
      <c r="D357" s="9"/>
      <c r="E357" s="7">
        <v>0</v>
      </c>
      <c r="F357" s="8">
        <f>IFERROR(E357/E445, "NA")</f>
        <v>0</v>
      </c>
      <c r="G357" s="9"/>
      <c r="H357" s="10">
        <f t="shared" si="88"/>
        <v>0</v>
      </c>
      <c r="I357" s="8">
        <f>IFERROR(H357/H445, "NA")</f>
        <v>0</v>
      </c>
      <c r="J357" s="9"/>
      <c r="K357" s="7">
        <v>0</v>
      </c>
      <c r="L357" s="8">
        <f>IFERROR(K357/K445, "NA")</f>
        <v>0</v>
      </c>
      <c r="M357" s="9"/>
      <c r="N357" s="10">
        <f t="shared" si="89"/>
        <v>0</v>
      </c>
      <c r="O357" s="8">
        <f>IFERROR(N357/N445, "NA")</f>
        <v>0</v>
      </c>
      <c r="P357" s="9"/>
      <c r="Q357" s="7">
        <v>0</v>
      </c>
      <c r="R357" s="8">
        <f>IFERROR(Q357/Q445, "NA")</f>
        <v>0</v>
      </c>
      <c r="S357" s="9"/>
      <c r="T357" s="7">
        <v>0</v>
      </c>
      <c r="U357" s="8">
        <f>IFERROR(T357/T445, "NA")</f>
        <v>0</v>
      </c>
      <c r="V357" s="9"/>
      <c r="W357" s="10">
        <f t="shared" si="90"/>
        <v>0</v>
      </c>
      <c r="X357" s="8">
        <f>IFERROR(W357/W445, "NA")</f>
        <v>0</v>
      </c>
      <c r="Y357" s="9"/>
      <c r="Z357" s="7">
        <v>0</v>
      </c>
      <c r="AA357" s="8">
        <f>IFERROR(Z357/Z445, "NA")</f>
        <v>0</v>
      </c>
      <c r="AB357" s="9"/>
      <c r="AC357" s="10">
        <f t="shared" si="91"/>
        <v>0</v>
      </c>
      <c r="AD357" s="8">
        <f>IFERROR(AC357/AC445, "NA")</f>
        <v>0</v>
      </c>
    </row>
    <row r="358" spans="1:30" ht="16.5" hidden="1" customHeight="1" x14ac:dyDescent="0.45">
      <c r="A358" s="6" t="s">
        <v>327</v>
      </c>
      <c r="B358" s="7">
        <v>0</v>
      </c>
      <c r="C358" s="8">
        <f>IFERROR(B358/B445, "NA")</f>
        <v>0</v>
      </c>
      <c r="D358" s="9"/>
      <c r="E358" s="7">
        <v>0</v>
      </c>
      <c r="F358" s="8">
        <f>IFERROR(E358/E445, "NA")</f>
        <v>0</v>
      </c>
      <c r="G358" s="9"/>
      <c r="H358" s="10">
        <f t="shared" si="88"/>
        <v>0</v>
      </c>
      <c r="I358" s="8">
        <f>IFERROR(H358/H445, "NA")</f>
        <v>0</v>
      </c>
      <c r="J358" s="9"/>
      <c r="K358" s="7">
        <v>0</v>
      </c>
      <c r="L358" s="8">
        <f>IFERROR(K358/K445, "NA")</f>
        <v>0</v>
      </c>
      <c r="M358" s="9"/>
      <c r="N358" s="10">
        <f t="shared" si="89"/>
        <v>0</v>
      </c>
      <c r="O358" s="8">
        <f>IFERROR(N358/N445, "NA")</f>
        <v>0</v>
      </c>
      <c r="P358" s="9"/>
      <c r="Q358" s="7">
        <v>0</v>
      </c>
      <c r="R358" s="8">
        <f>IFERROR(Q358/Q445, "NA")</f>
        <v>0</v>
      </c>
      <c r="S358" s="9"/>
      <c r="T358" s="7">
        <v>0</v>
      </c>
      <c r="U358" s="8">
        <f>IFERROR(T358/T445, "NA")</f>
        <v>0</v>
      </c>
      <c r="V358" s="9"/>
      <c r="W358" s="10">
        <f t="shared" si="90"/>
        <v>0</v>
      </c>
      <c r="X358" s="8">
        <f>IFERROR(W358/W445, "NA")</f>
        <v>0</v>
      </c>
      <c r="Y358" s="9"/>
      <c r="Z358" s="7">
        <v>0</v>
      </c>
      <c r="AA358" s="8">
        <f>IFERROR(Z358/Z445, "NA")</f>
        <v>0</v>
      </c>
      <c r="AB358" s="9"/>
      <c r="AC358" s="10">
        <f t="shared" si="91"/>
        <v>0</v>
      </c>
      <c r="AD358" s="8">
        <f>IFERROR(AC358/AC445, "NA")</f>
        <v>0</v>
      </c>
    </row>
    <row r="359" spans="1:30" ht="16.5" customHeight="1" x14ac:dyDescent="0.45">
      <c r="A359" s="19" t="s">
        <v>328</v>
      </c>
      <c r="B359" s="14">
        <f>IFERROR(B350+B351+B352+B353+B354+B355+B356+B357+B358, "NA")</f>
        <v>0</v>
      </c>
      <c r="C359" s="15">
        <f>IFERROR(B359/B445, "NA")</f>
        <v>0</v>
      </c>
      <c r="D359" s="2"/>
      <c r="E359" s="14">
        <f>IFERROR(E350+E351+E352+E353+E354+E355+E356+E357+E358, "NA")</f>
        <v>0</v>
      </c>
      <c r="F359" s="15">
        <f>IFERROR(E359/E445, "NA")</f>
        <v>0</v>
      </c>
      <c r="G359" s="2"/>
      <c r="H359" s="14">
        <f t="shared" si="88"/>
        <v>0</v>
      </c>
      <c r="I359" s="15">
        <f>IFERROR(H359/H445, "NA")</f>
        <v>0</v>
      </c>
      <c r="J359" s="2"/>
      <c r="K359" s="14">
        <f>IFERROR(K350+K351+K352+K353+K354+K355+K356+K357+K358, "NA")</f>
        <v>0</v>
      </c>
      <c r="L359" s="15">
        <f>IFERROR(K359/K445, "NA")</f>
        <v>0</v>
      </c>
      <c r="M359" s="2"/>
      <c r="N359" s="14">
        <f t="shared" si="89"/>
        <v>0</v>
      </c>
      <c r="O359" s="15">
        <f>IFERROR(N359/N445, "NA")</f>
        <v>0</v>
      </c>
      <c r="P359" s="2"/>
      <c r="Q359" s="14">
        <f>IFERROR(Q350+Q351+Q352+Q353+Q354+Q355+Q356+Q357+Q358, "NA")</f>
        <v>0</v>
      </c>
      <c r="R359" s="15">
        <f>IFERROR(Q359/Q445, "NA")</f>
        <v>0</v>
      </c>
      <c r="S359" s="2"/>
      <c r="T359" s="14">
        <f>IFERROR(T350+T351+T352+T353+T354+T355+T356+T357+T358, "NA")</f>
        <v>0</v>
      </c>
      <c r="U359" s="15">
        <f>IFERROR(T359/T445, "NA")</f>
        <v>0</v>
      </c>
      <c r="V359" s="2"/>
      <c r="W359" s="14">
        <f t="shared" si="90"/>
        <v>0</v>
      </c>
      <c r="X359" s="15">
        <f>IFERROR(W359/W445, "NA")</f>
        <v>0</v>
      </c>
      <c r="Y359" s="2"/>
      <c r="Z359" s="14">
        <f>IFERROR(Z350+Z351+Z352+Z353+Z354+Z355+Z356+Z357+Z358, "NA")</f>
        <v>0</v>
      </c>
      <c r="AA359" s="15">
        <f>IFERROR(Z359/Z445, "NA")</f>
        <v>0</v>
      </c>
      <c r="AB359" s="2"/>
      <c r="AC359" s="14">
        <f t="shared" si="91"/>
        <v>0</v>
      </c>
      <c r="AD359" s="15">
        <f>IFERROR(AC359/AC445, "NA")</f>
        <v>0</v>
      </c>
    </row>
    <row r="360" spans="1:30" ht="16.5" customHeight="1" x14ac:dyDescent="0.45">
      <c r="A360" s="5" t="s">
        <v>329</v>
      </c>
      <c r="B360" s="2"/>
      <c r="C360" s="3"/>
      <c r="D360" s="4"/>
      <c r="E360" s="2"/>
      <c r="F360" s="3"/>
      <c r="G360" s="4"/>
      <c r="H360" s="2"/>
      <c r="I360" s="3"/>
      <c r="J360" s="4"/>
      <c r="K360" s="2"/>
      <c r="L360" s="3"/>
      <c r="M360" s="4"/>
      <c r="N360" s="2"/>
      <c r="O360" s="3"/>
      <c r="P360" s="4"/>
      <c r="Q360" s="2"/>
      <c r="R360" s="3"/>
      <c r="S360" s="4"/>
      <c r="T360" s="2"/>
      <c r="U360" s="3"/>
      <c r="V360" s="4"/>
      <c r="W360" s="2"/>
      <c r="X360" s="3"/>
      <c r="Y360" s="4"/>
      <c r="Z360" s="2"/>
      <c r="AA360" s="3"/>
      <c r="AB360" s="4"/>
      <c r="AC360" s="2"/>
      <c r="AD360" s="3"/>
    </row>
    <row r="361" spans="1:30" ht="16.5" hidden="1" customHeight="1" x14ac:dyDescent="0.45">
      <c r="A361" s="6" t="s">
        <v>329</v>
      </c>
      <c r="B361" s="7">
        <v>0</v>
      </c>
      <c r="C361" s="8">
        <f>IFERROR(B361/B445, "NA")</f>
        <v>0</v>
      </c>
      <c r="D361" s="9"/>
      <c r="E361" s="7">
        <v>0</v>
      </c>
      <c r="F361" s="8">
        <f>IFERROR(E361/E445, "NA")</f>
        <v>0</v>
      </c>
      <c r="G361" s="9"/>
      <c r="H361" s="10">
        <f t="shared" ref="H361:H384" si="92">IFERROR(-(B361-E361), "NA")</f>
        <v>0</v>
      </c>
      <c r="I361" s="8">
        <f>IFERROR(H361/H445, "NA")</f>
        <v>0</v>
      </c>
      <c r="J361" s="9"/>
      <c r="K361" s="7">
        <v>0</v>
      </c>
      <c r="L361" s="8">
        <f>IFERROR(K361/K445, "NA")</f>
        <v>0</v>
      </c>
      <c r="M361" s="9"/>
      <c r="N361" s="10">
        <f t="shared" ref="N361:N384" si="93">IFERROR(-(B361-K361), "NA")</f>
        <v>0</v>
      </c>
      <c r="O361" s="8">
        <f>IFERROR(N361/N445, "NA")</f>
        <v>0</v>
      </c>
      <c r="P361" s="9"/>
      <c r="Q361" s="7">
        <v>0</v>
      </c>
      <c r="R361" s="8">
        <f>IFERROR(Q361/Q445, "NA")</f>
        <v>0</v>
      </c>
      <c r="S361" s="9"/>
      <c r="T361" s="7">
        <v>0</v>
      </c>
      <c r="U361" s="8">
        <f>IFERROR(T361/T445, "NA")</f>
        <v>0</v>
      </c>
      <c r="V361" s="9"/>
      <c r="W361" s="10">
        <f t="shared" ref="W361:W384" si="94">IFERROR(-(Q361-T361), "NA")</f>
        <v>0</v>
      </c>
      <c r="X361" s="8">
        <f>IFERROR(W361/W445, "NA")</f>
        <v>0</v>
      </c>
      <c r="Y361" s="9"/>
      <c r="Z361" s="7">
        <v>0</v>
      </c>
      <c r="AA361" s="8">
        <f>IFERROR(Z361/Z445, "NA")</f>
        <v>0</v>
      </c>
      <c r="AB361" s="9"/>
      <c r="AC361" s="10">
        <f t="shared" ref="AC361:AC384" si="95">IFERROR(-(Q361-Z361), "NA")</f>
        <v>0</v>
      </c>
      <c r="AD361" s="8">
        <f>IFERROR(AC361/AC445,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IFERROR(B362/B445, "NA")</f>
        <v>0</v>
      </c>
      <c r="D362" s="9"/>
      <c r="E362" s="7">
        <v>0</v>
      </c>
      <c r="F362" s="8">
        <f>IFERROR(E362/E445, "NA")</f>
        <v>0</v>
      </c>
      <c r="G362" s="9"/>
      <c r="H362" s="10">
        <f t="shared" si="92"/>
        <v>0</v>
      </c>
      <c r="I362" s="8">
        <f>IFERROR(H362/H445, "NA")</f>
        <v>0</v>
      </c>
      <c r="J362" s="9"/>
      <c r="K362" s="7">
        <v>0</v>
      </c>
      <c r="L362" s="8">
        <f>IFERROR(K362/K445, "NA")</f>
        <v>0</v>
      </c>
      <c r="M362" s="9"/>
      <c r="N362" s="10">
        <f t="shared" si="93"/>
        <v>0</v>
      </c>
      <c r="O362" s="8">
        <f>IFERROR(N362/N445, "NA")</f>
        <v>0</v>
      </c>
      <c r="P362" s="9"/>
      <c r="Q362" s="7">
        <v>0</v>
      </c>
      <c r="R362" s="8">
        <f>IFERROR(Q362/Q445, "NA")</f>
        <v>0</v>
      </c>
      <c r="S362" s="9"/>
      <c r="T362" s="7">
        <v>0</v>
      </c>
      <c r="U362" s="8">
        <f>IFERROR(T362/T445, "NA")</f>
        <v>0</v>
      </c>
      <c r="V362" s="9"/>
      <c r="W362" s="10">
        <f t="shared" si="94"/>
        <v>0</v>
      </c>
      <c r="X362" s="8">
        <f>IFERROR(W362/W445, "NA")</f>
        <v>0</v>
      </c>
      <c r="Y362" s="9"/>
      <c r="Z362" s="7">
        <v>0</v>
      </c>
      <c r="AA362" s="8">
        <f>IFERROR(Z362/Z445, "NA")</f>
        <v>0</v>
      </c>
      <c r="AB362" s="9"/>
      <c r="AC362" s="10">
        <f t="shared" si="95"/>
        <v>0</v>
      </c>
      <c r="AD362" s="8">
        <f>IFERROR(AC362/AC445,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IFERROR(B363/B445, "NA")</f>
        <v>0</v>
      </c>
      <c r="D363" s="9"/>
      <c r="E363" s="7">
        <v>0</v>
      </c>
      <c r="F363" s="8">
        <f>IFERROR(E363/E445, "NA")</f>
        <v>0</v>
      </c>
      <c r="G363" s="9"/>
      <c r="H363" s="10">
        <f t="shared" si="92"/>
        <v>0</v>
      </c>
      <c r="I363" s="8">
        <f>IFERROR(H363/H445, "NA")</f>
        <v>0</v>
      </c>
      <c r="J363" s="9"/>
      <c r="K363" s="7">
        <v>0</v>
      </c>
      <c r="L363" s="8">
        <f>IFERROR(K363/K445, "NA")</f>
        <v>0</v>
      </c>
      <c r="M363" s="9"/>
      <c r="N363" s="10">
        <f t="shared" si="93"/>
        <v>0</v>
      </c>
      <c r="O363" s="8">
        <f>IFERROR(N363/N445, "NA")</f>
        <v>0</v>
      </c>
      <c r="P363" s="9"/>
      <c r="Q363" s="7">
        <v>0</v>
      </c>
      <c r="R363" s="8">
        <f>IFERROR(Q363/Q445, "NA")</f>
        <v>0</v>
      </c>
      <c r="S363" s="9"/>
      <c r="T363" s="7">
        <v>0</v>
      </c>
      <c r="U363" s="8">
        <f>IFERROR(T363/T445, "NA")</f>
        <v>0</v>
      </c>
      <c r="V363" s="9"/>
      <c r="W363" s="10">
        <f t="shared" si="94"/>
        <v>0</v>
      </c>
      <c r="X363" s="8">
        <f>IFERROR(W363/W445, "NA")</f>
        <v>0</v>
      </c>
      <c r="Y363" s="9"/>
      <c r="Z363" s="7">
        <v>0</v>
      </c>
      <c r="AA363" s="8">
        <f>IFERROR(Z363/Z445, "NA")</f>
        <v>0</v>
      </c>
      <c r="AB363" s="9"/>
      <c r="AC363" s="10">
        <f t="shared" si="95"/>
        <v>0</v>
      </c>
      <c r="AD363" s="8">
        <f>IFERROR(AC363/AC445,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IFERROR(B364/B445, "NA")</f>
        <v>0</v>
      </c>
      <c r="D364" s="9"/>
      <c r="E364" s="7">
        <v>0</v>
      </c>
      <c r="F364" s="8">
        <f>IFERROR(E364/E445, "NA")</f>
        <v>0</v>
      </c>
      <c r="G364" s="9"/>
      <c r="H364" s="10">
        <f t="shared" si="92"/>
        <v>0</v>
      </c>
      <c r="I364" s="8">
        <f>IFERROR(H364/H445, "NA")</f>
        <v>0</v>
      </c>
      <c r="J364" s="9"/>
      <c r="K364" s="7">
        <v>0</v>
      </c>
      <c r="L364" s="8">
        <f>IFERROR(K364/K445, "NA")</f>
        <v>0</v>
      </c>
      <c r="M364" s="9"/>
      <c r="N364" s="10">
        <f t="shared" si="93"/>
        <v>0</v>
      </c>
      <c r="O364" s="8">
        <f>IFERROR(N364/N445, "NA")</f>
        <v>0</v>
      </c>
      <c r="P364" s="9"/>
      <c r="Q364" s="7">
        <v>0</v>
      </c>
      <c r="R364" s="8">
        <f>IFERROR(Q364/Q445, "NA")</f>
        <v>0</v>
      </c>
      <c r="S364" s="9"/>
      <c r="T364" s="7">
        <v>0</v>
      </c>
      <c r="U364" s="8">
        <f>IFERROR(T364/T445, "NA")</f>
        <v>0</v>
      </c>
      <c r="V364" s="9"/>
      <c r="W364" s="10">
        <f t="shared" si="94"/>
        <v>0</v>
      </c>
      <c r="X364" s="8">
        <f>IFERROR(W364/W445, "NA")</f>
        <v>0</v>
      </c>
      <c r="Y364" s="9"/>
      <c r="Z364" s="7">
        <v>0</v>
      </c>
      <c r="AA364" s="8">
        <f>IFERROR(Z364/Z445, "NA")</f>
        <v>0</v>
      </c>
      <c r="AB364" s="9"/>
      <c r="AC364" s="10">
        <f t="shared" si="95"/>
        <v>0</v>
      </c>
      <c r="AD364" s="8">
        <f>IFERROR(AC364/AC445,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IFERROR(B365/B445, "NA")</f>
        <v>0</v>
      </c>
      <c r="D365" s="9"/>
      <c r="E365" s="7">
        <v>0</v>
      </c>
      <c r="F365" s="8">
        <f>IFERROR(E365/E445, "NA")</f>
        <v>0</v>
      </c>
      <c r="G365" s="9"/>
      <c r="H365" s="10">
        <f t="shared" si="92"/>
        <v>0</v>
      </c>
      <c r="I365" s="8">
        <f>IFERROR(H365/H445, "NA")</f>
        <v>0</v>
      </c>
      <c r="J365" s="9"/>
      <c r="K365" s="7">
        <v>0</v>
      </c>
      <c r="L365" s="8">
        <f>IFERROR(K365/K445, "NA")</f>
        <v>0</v>
      </c>
      <c r="M365" s="9"/>
      <c r="N365" s="10">
        <f t="shared" si="93"/>
        <v>0</v>
      </c>
      <c r="O365" s="8">
        <f>IFERROR(N365/N445, "NA")</f>
        <v>0</v>
      </c>
      <c r="P365" s="9"/>
      <c r="Q365" s="7">
        <v>0</v>
      </c>
      <c r="R365" s="8">
        <f>IFERROR(Q365/Q445, "NA")</f>
        <v>0</v>
      </c>
      <c r="S365" s="9"/>
      <c r="T365" s="7">
        <v>0</v>
      </c>
      <c r="U365" s="8">
        <f>IFERROR(T365/T445, "NA")</f>
        <v>0</v>
      </c>
      <c r="V365" s="9"/>
      <c r="W365" s="10">
        <f t="shared" si="94"/>
        <v>0</v>
      </c>
      <c r="X365" s="8">
        <f>IFERROR(W365/W445, "NA")</f>
        <v>0</v>
      </c>
      <c r="Y365" s="9"/>
      <c r="Z365" s="7">
        <v>0</v>
      </c>
      <c r="AA365" s="8">
        <f>IFERROR(Z365/Z445, "NA")</f>
        <v>0</v>
      </c>
      <c r="AB365" s="9"/>
      <c r="AC365" s="10">
        <f t="shared" si="95"/>
        <v>0</v>
      </c>
      <c r="AD365" s="8">
        <f>IFERROR(AC365/AC445,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IFERROR(B366/B445, "NA")</f>
        <v>0</v>
      </c>
      <c r="D366" s="9"/>
      <c r="E366" s="7">
        <v>0</v>
      </c>
      <c r="F366" s="8">
        <f>IFERROR(E366/E445, "NA")</f>
        <v>0</v>
      </c>
      <c r="G366" s="9"/>
      <c r="H366" s="10">
        <f t="shared" si="92"/>
        <v>0</v>
      </c>
      <c r="I366" s="8">
        <f>IFERROR(H366/H445, "NA")</f>
        <v>0</v>
      </c>
      <c r="J366" s="9"/>
      <c r="K366" s="7">
        <v>0</v>
      </c>
      <c r="L366" s="8">
        <f>IFERROR(K366/K445, "NA")</f>
        <v>0</v>
      </c>
      <c r="M366" s="9"/>
      <c r="N366" s="10">
        <f t="shared" si="93"/>
        <v>0</v>
      </c>
      <c r="O366" s="8">
        <f>IFERROR(N366/N445, "NA")</f>
        <v>0</v>
      </c>
      <c r="P366" s="9"/>
      <c r="Q366" s="7">
        <v>0</v>
      </c>
      <c r="R366" s="8">
        <f>IFERROR(Q366/Q445, "NA")</f>
        <v>0</v>
      </c>
      <c r="S366" s="9"/>
      <c r="T366" s="7">
        <v>0</v>
      </c>
      <c r="U366" s="8">
        <f>IFERROR(T366/T445, "NA")</f>
        <v>0</v>
      </c>
      <c r="V366" s="9"/>
      <c r="W366" s="10">
        <f t="shared" si="94"/>
        <v>0</v>
      </c>
      <c r="X366" s="8">
        <f>IFERROR(W366/W445, "NA")</f>
        <v>0</v>
      </c>
      <c r="Y366" s="9"/>
      <c r="Z366" s="7">
        <v>0</v>
      </c>
      <c r="AA366" s="8">
        <f>IFERROR(Z366/Z445, "NA")</f>
        <v>0</v>
      </c>
      <c r="AB366" s="9"/>
      <c r="AC366" s="10">
        <f t="shared" si="95"/>
        <v>0</v>
      </c>
      <c r="AD366" s="8">
        <f>IFERROR(AC366/AC445,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IFERROR(B367/B445, "NA")</f>
        <v>0</v>
      </c>
      <c r="D367" s="9"/>
      <c r="E367" s="7">
        <v>0</v>
      </c>
      <c r="F367" s="8">
        <f>IFERROR(E367/E445, "NA")</f>
        <v>0</v>
      </c>
      <c r="G367" s="9"/>
      <c r="H367" s="10">
        <f t="shared" si="92"/>
        <v>0</v>
      </c>
      <c r="I367" s="8">
        <f>IFERROR(H367/H445, "NA")</f>
        <v>0</v>
      </c>
      <c r="J367" s="9"/>
      <c r="K367" s="7">
        <v>0</v>
      </c>
      <c r="L367" s="8">
        <f>IFERROR(K367/K445, "NA")</f>
        <v>0</v>
      </c>
      <c r="M367" s="9"/>
      <c r="N367" s="10">
        <f t="shared" si="93"/>
        <v>0</v>
      </c>
      <c r="O367" s="8">
        <f>IFERROR(N367/N445, "NA")</f>
        <v>0</v>
      </c>
      <c r="P367" s="9"/>
      <c r="Q367" s="7">
        <v>0</v>
      </c>
      <c r="R367" s="8">
        <f>IFERROR(Q367/Q445, "NA")</f>
        <v>0</v>
      </c>
      <c r="S367" s="9"/>
      <c r="T367" s="7">
        <v>0</v>
      </c>
      <c r="U367" s="8">
        <f>IFERROR(T367/T445, "NA")</f>
        <v>0</v>
      </c>
      <c r="V367" s="9"/>
      <c r="W367" s="10">
        <f t="shared" si="94"/>
        <v>0</v>
      </c>
      <c r="X367" s="8">
        <f>IFERROR(W367/W445, "NA")</f>
        <v>0</v>
      </c>
      <c r="Y367" s="9"/>
      <c r="Z367" s="7">
        <v>0</v>
      </c>
      <c r="AA367" s="8">
        <f>IFERROR(Z367/Z445, "NA")</f>
        <v>0</v>
      </c>
      <c r="AB367" s="9"/>
      <c r="AC367" s="10">
        <f t="shared" si="95"/>
        <v>0</v>
      </c>
      <c r="AD367" s="8">
        <f>IFERROR(AC367/AC445, "NA")</f>
        <v>0</v>
      </c>
    </row>
    <row r="368" spans="1:30" ht="16.5" hidden="1" customHeight="1" x14ac:dyDescent="0.45">
      <c r="A368" s="6" t="s">
        <v>336</v>
      </c>
      <c r="B368" s="7">
        <v>0</v>
      </c>
      <c r="C368" s="8">
        <f>IFERROR(B368/B445, "NA")</f>
        <v>0</v>
      </c>
      <c r="D368" s="9"/>
      <c r="E368" s="7">
        <v>0</v>
      </c>
      <c r="F368" s="8">
        <f>IFERROR(E368/E445, "NA")</f>
        <v>0</v>
      </c>
      <c r="G368" s="9"/>
      <c r="H368" s="10">
        <f t="shared" si="92"/>
        <v>0</v>
      </c>
      <c r="I368" s="8">
        <f>IFERROR(H368/H445, "NA")</f>
        <v>0</v>
      </c>
      <c r="J368" s="9"/>
      <c r="K368" s="7">
        <v>0</v>
      </c>
      <c r="L368" s="8">
        <f>IFERROR(K368/K445, "NA")</f>
        <v>0</v>
      </c>
      <c r="M368" s="9"/>
      <c r="N368" s="10">
        <f t="shared" si="93"/>
        <v>0</v>
      </c>
      <c r="O368" s="8">
        <f>IFERROR(N368/N445, "NA")</f>
        <v>0</v>
      </c>
      <c r="P368" s="9"/>
      <c r="Q368" s="7">
        <v>0</v>
      </c>
      <c r="R368" s="8">
        <f>IFERROR(Q368/Q445, "NA")</f>
        <v>0</v>
      </c>
      <c r="S368" s="9"/>
      <c r="T368" s="7">
        <v>0</v>
      </c>
      <c r="U368" s="8">
        <f>IFERROR(T368/T445, "NA")</f>
        <v>0</v>
      </c>
      <c r="V368" s="9"/>
      <c r="W368" s="10">
        <f t="shared" si="94"/>
        <v>0</v>
      </c>
      <c r="X368" s="8">
        <f>IFERROR(W368/W445, "NA")</f>
        <v>0</v>
      </c>
      <c r="Y368" s="9"/>
      <c r="Z368" s="7">
        <v>0</v>
      </c>
      <c r="AA368" s="8">
        <f>IFERROR(Z368/Z445, "NA")</f>
        <v>0</v>
      </c>
      <c r="AB368" s="9"/>
      <c r="AC368" s="10">
        <f t="shared" si="95"/>
        <v>0</v>
      </c>
      <c r="AD368" s="8">
        <f>IFERROR(AC368/AC445, "NA")</f>
        <v>0</v>
      </c>
    </row>
    <row r="369" spans="1:30" ht="16.5" customHeight="1" x14ac:dyDescent="0.45">
      <c r="A369" s="19" t="s">
        <v>337</v>
      </c>
      <c r="B369" s="14">
        <f>IFERROR(B361+B362+B363+B364+B365+B366+B367+B368, "NA")</f>
        <v>0</v>
      </c>
      <c r="C369" s="15">
        <f>IFERROR(B369/B445, "NA")</f>
        <v>0</v>
      </c>
      <c r="D369" s="2"/>
      <c r="E369" s="14">
        <f>IFERROR(E361+E362+E363+E364+E365+E366+E367+E368, "NA")</f>
        <v>0</v>
      </c>
      <c r="F369" s="15">
        <f>IFERROR(E369/E445, "NA")</f>
        <v>0</v>
      </c>
      <c r="G369" s="2"/>
      <c r="H369" s="14">
        <f t="shared" si="92"/>
        <v>0</v>
      </c>
      <c r="I369" s="15">
        <f>IFERROR(H369/H445, "NA")</f>
        <v>0</v>
      </c>
      <c r="J369" s="2"/>
      <c r="K369" s="14">
        <f>IFERROR(K361+K362+K363+K364+K365+K366+K367+K368, "NA")</f>
        <v>0</v>
      </c>
      <c r="L369" s="15">
        <f>IFERROR(K369/K445, "NA")</f>
        <v>0</v>
      </c>
      <c r="M369" s="2"/>
      <c r="N369" s="14">
        <f t="shared" si="93"/>
        <v>0</v>
      </c>
      <c r="O369" s="15">
        <f>IFERROR(N369/N445, "NA")</f>
        <v>0</v>
      </c>
      <c r="P369" s="2"/>
      <c r="Q369" s="14">
        <f>IFERROR(Q361+Q362+Q363+Q364+Q365+Q366+Q367+Q368, "NA")</f>
        <v>0</v>
      </c>
      <c r="R369" s="15">
        <f>IFERROR(Q369/Q445, "NA")</f>
        <v>0</v>
      </c>
      <c r="S369" s="2"/>
      <c r="T369" s="14">
        <f>IFERROR(T361+T362+T363+T364+T365+T366+T367+T368, "NA")</f>
        <v>0</v>
      </c>
      <c r="U369" s="15">
        <f>IFERROR(T369/T445, "NA")</f>
        <v>0</v>
      </c>
      <c r="V369" s="2"/>
      <c r="W369" s="14">
        <f t="shared" si="94"/>
        <v>0</v>
      </c>
      <c r="X369" s="15">
        <f>IFERROR(W369/W445, "NA")</f>
        <v>0</v>
      </c>
      <c r="Y369" s="2"/>
      <c r="Z369" s="14">
        <f>IFERROR(Z361+Z362+Z363+Z364+Z365+Z366+Z367+Z368, "NA")</f>
        <v>0</v>
      </c>
      <c r="AA369" s="15">
        <f>IFERROR(Z369/Z445, "NA")</f>
        <v>0</v>
      </c>
      <c r="AB369" s="2"/>
      <c r="AC369" s="14">
        <f t="shared" si="95"/>
        <v>0</v>
      </c>
      <c r="AD369" s="15">
        <f>IFERROR(AC369/AC445,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IFERROR(B370/B445, "NA")</f>
        <v>0</v>
      </c>
      <c r="D370" s="9"/>
      <c r="E370" s="7">
        <v>0</v>
      </c>
      <c r="F370" s="8">
        <f>IFERROR(E370/E445, "NA")</f>
        <v>0</v>
      </c>
      <c r="G370" s="9"/>
      <c r="H370" s="10">
        <f t="shared" si="92"/>
        <v>0</v>
      </c>
      <c r="I370" s="8">
        <f>IFERROR(H370/H445, "NA")</f>
        <v>0</v>
      </c>
      <c r="J370" s="9"/>
      <c r="K370" s="7">
        <v>0</v>
      </c>
      <c r="L370" s="8">
        <f>IFERROR(K370/K445, "NA")</f>
        <v>0</v>
      </c>
      <c r="M370" s="9"/>
      <c r="N370" s="10">
        <f t="shared" si="93"/>
        <v>0</v>
      </c>
      <c r="O370" s="8">
        <f>IFERROR(N370/N445, "NA")</f>
        <v>0</v>
      </c>
      <c r="P370" s="9"/>
      <c r="Q370" s="7">
        <v>0</v>
      </c>
      <c r="R370" s="8">
        <f>IFERROR(Q370/Q445, "NA")</f>
        <v>0</v>
      </c>
      <c r="S370" s="9"/>
      <c r="T370" s="7">
        <v>0</v>
      </c>
      <c r="U370" s="8">
        <f>IFERROR(T370/T445, "NA")</f>
        <v>0</v>
      </c>
      <c r="V370" s="9"/>
      <c r="W370" s="10">
        <f t="shared" si="94"/>
        <v>0</v>
      </c>
      <c r="X370" s="8">
        <f>IFERROR(W370/W445, "NA")</f>
        <v>0</v>
      </c>
      <c r="Y370" s="9"/>
      <c r="Z370" s="7">
        <v>0</v>
      </c>
      <c r="AA370" s="8">
        <f>IFERROR(Z370/Z445, "NA")</f>
        <v>0</v>
      </c>
      <c r="AB370" s="9"/>
      <c r="AC370" s="10">
        <f t="shared" si="95"/>
        <v>0</v>
      </c>
      <c r="AD370" s="8">
        <f>IFERROR(AC370/AC445,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IFERROR(B371/B445, "NA")</f>
        <v>0</v>
      </c>
      <c r="D371" s="9"/>
      <c r="E371" s="7">
        <v>0</v>
      </c>
      <c r="F371" s="8">
        <f>IFERROR(E371/E445, "NA")</f>
        <v>0</v>
      </c>
      <c r="G371" s="9"/>
      <c r="H371" s="10">
        <f t="shared" si="92"/>
        <v>0</v>
      </c>
      <c r="I371" s="8">
        <f>IFERROR(H371/H445, "NA")</f>
        <v>0</v>
      </c>
      <c r="J371" s="9"/>
      <c r="K371" s="7">
        <v>0</v>
      </c>
      <c r="L371" s="8">
        <f>IFERROR(K371/K445, "NA")</f>
        <v>0</v>
      </c>
      <c r="M371" s="9"/>
      <c r="N371" s="10">
        <f t="shared" si="93"/>
        <v>0</v>
      </c>
      <c r="O371" s="8">
        <f>IFERROR(N371/N445, "NA")</f>
        <v>0</v>
      </c>
      <c r="P371" s="9"/>
      <c r="Q371" s="7">
        <v>0</v>
      </c>
      <c r="R371" s="8">
        <f>IFERROR(Q371/Q445, "NA")</f>
        <v>0</v>
      </c>
      <c r="S371" s="9"/>
      <c r="T371" s="7">
        <v>0</v>
      </c>
      <c r="U371" s="8">
        <f>IFERROR(T371/T445, "NA")</f>
        <v>0</v>
      </c>
      <c r="V371" s="9"/>
      <c r="W371" s="10">
        <f t="shared" si="94"/>
        <v>0</v>
      </c>
      <c r="X371" s="8">
        <f>IFERROR(W371/W445, "NA")</f>
        <v>0</v>
      </c>
      <c r="Y371" s="9"/>
      <c r="Z371" s="7">
        <v>0</v>
      </c>
      <c r="AA371" s="8">
        <f>IFERROR(Z371/Z445, "NA")</f>
        <v>0</v>
      </c>
      <c r="AB371" s="9"/>
      <c r="AC371" s="10">
        <f t="shared" si="95"/>
        <v>0</v>
      </c>
      <c r="AD371" s="8">
        <f>IFERROR(AC371/AC445,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IFERROR(B372/B445, "NA")</f>
        <v>0</v>
      </c>
      <c r="D372" s="9"/>
      <c r="E372" s="7">
        <v>0</v>
      </c>
      <c r="F372" s="8">
        <f>IFERROR(E372/E445, "NA")</f>
        <v>0</v>
      </c>
      <c r="G372" s="9"/>
      <c r="H372" s="10">
        <f t="shared" si="92"/>
        <v>0</v>
      </c>
      <c r="I372" s="8">
        <f>IFERROR(H372/H445, "NA")</f>
        <v>0</v>
      </c>
      <c r="J372" s="9"/>
      <c r="K372" s="7">
        <v>0</v>
      </c>
      <c r="L372" s="8">
        <f>IFERROR(K372/K445, "NA")</f>
        <v>0</v>
      </c>
      <c r="M372" s="9"/>
      <c r="N372" s="10">
        <f t="shared" si="93"/>
        <v>0</v>
      </c>
      <c r="O372" s="8">
        <f>IFERROR(N372/N445, "NA")</f>
        <v>0</v>
      </c>
      <c r="P372" s="9"/>
      <c r="Q372" s="7">
        <v>0</v>
      </c>
      <c r="R372" s="8">
        <f>IFERROR(Q372/Q445, "NA")</f>
        <v>0</v>
      </c>
      <c r="S372" s="9"/>
      <c r="T372" s="7">
        <v>0</v>
      </c>
      <c r="U372" s="8">
        <f>IFERROR(T372/T445, "NA")</f>
        <v>0</v>
      </c>
      <c r="V372" s="9"/>
      <c r="W372" s="10">
        <f t="shared" si="94"/>
        <v>0</v>
      </c>
      <c r="X372" s="8">
        <f>IFERROR(W372/W445, "NA")</f>
        <v>0</v>
      </c>
      <c r="Y372" s="9"/>
      <c r="Z372" s="7">
        <v>0</v>
      </c>
      <c r="AA372" s="8">
        <f>IFERROR(Z372/Z445, "NA")</f>
        <v>0</v>
      </c>
      <c r="AB372" s="9"/>
      <c r="AC372" s="10">
        <f t="shared" si="95"/>
        <v>0</v>
      </c>
      <c r="AD372" s="8">
        <f>IFERROR(AC372/AC445,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IFERROR(B373/B445, "NA")</f>
        <v>0</v>
      </c>
      <c r="D373" s="9"/>
      <c r="E373" s="7">
        <v>0</v>
      </c>
      <c r="F373" s="8">
        <f>IFERROR(E373/E445, "NA")</f>
        <v>0</v>
      </c>
      <c r="G373" s="9"/>
      <c r="H373" s="10">
        <f t="shared" si="92"/>
        <v>0</v>
      </c>
      <c r="I373" s="8">
        <f>IFERROR(H373/H445, "NA")</f>
        <v>0</v>
      </c>
      <c r="J373" s="9"/>
      <c r="K373" s="7">
        <v>0</v>
      </c>
      <c r="L373" s="8">
        <f>IFERROR(K373/K445, "NA")</f>
        <v>0</v>
      </c>
      <c r="M373" s="9"/>
      <c r="N373" s="10">
        <f t="shared" si="93"/>
        <v>0</v>
      </c>
      <c r="O373" s="8">
        <f>IFERROR(N373/N445, "NA")</f>
        <v>0</v>
      </c>
      <c r="P373" s="9"/>
      <c r="Q373" s="7">
        <v>0</v>
      </c>
      <c r="R373" s="8">
        <f>IFERROR(Q373/Q445, "NA")</f>
        <v>0</v>
      </c>
      <c r="S373" s="9"/>
      <c r="T373" s="7">
        <v>0</v>
      </c>
      <c r="U373" s="8">
        <f>IFERROR(T373/T445, "NA")</f>
        <v>0</v>
      </c>
      <c r="V373" s="9"/>
      <c r="W373" s="10">
        <f t="shared" si="94"/>
        <v>0</v>
      </c>
      <c r="X373" s="8">
        <f>IFERROR(W373/W445, "NA")</f>
        <v>0</v>
      </c>
      <c r="Y373" s="9"/>
      <c r="Z373" s="7">
        <v>0</v>
      </c>
      <c r="AA373" s="8">
        <f>IFERROR(Z373/Z445, "NA")</f>
        <v>0</v>
      </c>
      <c r="AB373" s="9"/>
      <c r="AC373" s="10">
        <f t="shared" si="95"/>
        <v>0</v>
      </c>
      <c r="AD373" s="8">
        <f>IFERROR(AC373/AC445,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IFERROR(B374/B445, "NA")</f>
        <v>0</v>
      </c>
      <c r="D374" s="9"/>
      <c r="E374" s="7">
        <v>0</v>
      </c>
      <c r="F374" s="8">
        <f>IFERROR(E374/E445, "NA")</f>
        <v>0</v>
      </c>
      <c r="G374" s="9"/>
      <c r="H374" s="10">
        <f t="shared" si="92"/>
        <v>0</v>
      </c>
      <c r="I374" s="8">
        <f>IFERROR(H374/H445, "NA")</f>
        <v>0</v>
      </c>
      <c r="J374" s="9"/>
      <c r="K374" s="7">
        <v>0</v>
      </c>
      <c r="L374" s="8">
        <f>IFERROR(K374/K445, "NA")</f>
        <v>0</v>
      </c>
      <c r="M374" s="9"/>
      <c r="N374" s="10">
        <f t="shared" si="93"/>
        <v>0</v>
      </c>
      <c r="O374" s="8">
        <f>IFERROR(N374/N445, "NA")</f>
        <v>0</v>
      </c>
      <c r="P374" s="9"/>
      <c r="Q374" s="7">
        <v>0</v>
      </c>
      <c r="R374" s="8">
        <f>IFERROR(Q374/Q445, "NA")</f>
        <v>0</v>
      </c>
      <c r="S374" s="9"/>
      <c r="T374" s="7">
        <v>0</v>
      </c>
      <c r="U374" s="8">
        <f>IFERROR(T374/T445, "NA")</f>
        <v>0</v>
      </c>
      <c r="V374" s="9"/>
      <c r="W374" s="10">
        <f t="shared" si="94"/>
        <v>0</v>
      </c>
      <c r="X374" s="8">
        <f>IFERROR(W374/W445, "NA")</f>
        <v>0</v>
      </c>
      <c r="Y374" s="9"/>
      <c r="Z374" s="7">
        <v>0</v>
      </c>
      <c r="AA374" s="8">
        <f>IFERROR(Z374/Z445, "NA")</f>
        <v>0</v>
      </c>
      <c r="AB374" s="9"/>
      <c r="AC374" s="10">
        <f t="shared" si="95"/>
        <v>0</v>
      </c>
      <c r="AD374" s="8">
        <f>IFERROR(AC374/AC445,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IFERROR(B375/B445, "NA")</f>
        <v>0</v>
      </c>
      <c r="D375" s="9"/>
      <c r="E375" s="7">
        <v>0</v>
      </c>
      <c r="F375" s="8">
        <f>IFERROR(E375/E445, "NA")</f>
        <v>0</v>
      </c>
      <c r="G375" s="9"/>
      <c r="H375" s="10">
        <f t="shared" si="92"/>
        <v>0</v>
      </c>
      <c r="I375" s="8">
        <f>IFERROR(H375/H445, "NA")</f>
        <v>0</v>
      </c>
      <c r="J375" s="9"/>
      <c r="K375" s="7">
        <v>0</v>
      </c>
      <c r="L375" s="8">
        <f>IFERROR(K375/K445, "NA")</f>
        <v>0</v>
      </c>
      <c r="M375" s="9"/>
      <c r="N375" s="10">
        <f t="shared" si="93"/>
        <v>0</v>
      </c>
      <c r="O375" s="8">
        <f>IFERROR(N375/N445, "NA")</f>
        <v>0</v>
      </c>
      <c r="P375" s="9"/>
      <c r="Q375" s="7">
        <v>0</v>
      </c>
      <c r="R375" s="8">
        <f>IFERROR(Q375/Q445, "NA")</f>
        <v>0</v>
      </c>
      <c r="S375" s="9"/>
      <c r="T375" s="7">
        <v>0</v>
      </c>
      <c r="U375" s="8">
        <f>IFERROR(T375/T445, "NA")</f>
        <v>0</v>
      </c>
      <c r="V375" s="9"/>
      <c r="W375" s="10">
        <f t="shared" si="94"/>
        <v>0</v>
      </c>
      <c r="X375" s="8">
        <f>IFERROR(W375/W445, "NA")</f>
        <v>0</v>
      </c>
      <c r="Y375" s="9"/>
      <c r="Z375" s="7">
        <v>0</v>
      </c>
      <c r="AA375" s="8">
        <f>IFERROR(Z375/Z445, "NA")</f>
        <v>0</v>
      </c>
      <c r="AB375" s="9"/>
      <c r="AC375" s="10">
        <f t="shared" si="95"/>
        <v>0</v>
      </c>
      <c r="AD375" s="8">
        <f>IFERROR(AC375/AC445,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IFERROR(B376/B445, "NA")</f>
        <v>0</v>
      </c>
      <c r="D376" s="9"/>
      <c r="E376" s="7">
        <v>0</v>
      </c>
      <c r="F376" s="8">
        <f>IFERROR(E376/E445, "NA")</f>
        <v>0</v>
      </c>
      <c r="G376" s="9"/>
      <c r="H376" s="10">
        <f t="shared" si="92"/>
        <v>0</v>
      </c>
      <c r="I376" s="8">
        <f>IFERROR(H376/H445, "NA")</f>
        <v>0</v>
      </c>
      <c r="J376" s="9"/>
      <c r="K376" s="7">
        <v>0</v>
      </c>
      <c r="L376" s="8">
        <f>IFERROR(K376/K445, "NA")</f>
        <v>0</v>
      </c>
      <c r="M376" s="9"/>
      <c r="N376" s="10">
        <f t="shared" si="93"/>
        <v>0</v>
      </c>
      <c r="O376" s="8">
        <f>IFERROR(N376/N445, "NA")</f>
        <v>0</v>
      </c>
      <c r="P376" s="9"/>
      <c r="Q376" s="7">
        <v>0</v>
      </c>
      <c r="R376" s="8">
        <f>IFERROR(Q376/Q445, "NA")</f>
        <v>0</v>
      </c>
      <c r="S376" s="9"/>
      <c r="T376" s="7">
        <v>0</v>
      </c>
      <c r="U376" s="8">
        <f>IFERROR(T376/T445, "NA")</f>
        <v>0</v>
      </c>
      <c r="V376" s="9"/>
      <c r="W376" s="10">
        <f t="shared" si="94"/>
        <v>0</v>
      </c>
      <c r="X376" s="8">
        <f>IFERROR(W376/W445, "NA")</f>
        <v>0</v>
      </c>
      <c r="Y376" s="9"/>
      <c r="Z376" s="7">
        <v>0</v>
      </c>
      <c r="AA376" s="8">
        <f>IFERROR(Z376/Z445, "NA")</f>
        <v>0</v>
      </c>
      <c r="AB376" s="9"/>
      <c r="AC376" s="10">
        <f t="shared" si="95"/>
        <v>0</v>
      </c>
      <c r="AD376" s="8">
        <f>IFERROR(AC376/AC445,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IFERROR(B377/B445, "NA")</f>
        <v>0</v>
      </c>
      <c r="D377" s="9"/>
      <c r="E377" s="7">
        <v>0</v>
      </c>
      <c r="F377" s="8">
        <f>IFERROR(E377/E445, "NA")</f>
        <v>0</v>
      </c>
      <c r="G377" s="9"/>
      <c r="H377" s="10">
        <f t="shared" si="92"/>
        <v>0</v>
      </c>
      <c r="I377" s="8">
        <f>IFERROR(H377/H445, "NA")</f>
        <v>0</v>
      </c>
      <c r="J377" s="9"/>
      <c r="K377" s="7">
        <v>0</v>
      </c>
      <c r="L377" s="8">
        <f>IFERROR(K377/K445, "NA")</f>
        <v>0</v>
      </c>
      <c r="M377" s="9"/>
      <c r="N377" s="10">
        <f t="shared" si="93"/>
        <v>0</v>
      </c>
      <c r="O377" s="8">
        <f>IFERROR(N377/N445, "NA")</f>
        <v>0</v>
      </c>
      <c r="P377" s="9"/>
      <c r="Q377" s="7">
        <v>0</v>
      </c>
      <c r="R377" s="8">
        <f>IFERROR(Q377/Q445, "NA")</f>
        <v>0</v>
      </c>
      <c r="S377" s="9"/>
      <c r="T377" s="7">
        <v>0</v>
      </c>
      <c r="U377" s="8">
        <f>IFERROR(T377/T445, "NA")</f>
        <v>0</v>
      </c>
      <c r="V377" s="9"/>
      <c r="W377" s="10">
        <f t="shared" si="94"/>
        <v>0</v>
      </c>
      <c r="X377" s="8">
        <f>IFERROR(W377/W445, "NA")</f>
        <v>0</v>
      </c>
      <c r="Y377" s="9"/>
      <c r="Z377" s="7">
        <v>0</v>
      </c>
      <c r="AA377" s="8">
        <f>IFERROR(Z377/Z445, "NA")</f>
        <v>0</v>
      </c>
      <c r="AB377" s="9"/>
      <c r="AC377" s="10">
        <f t="shared" si="95"/>
        <v>0</v>
      </c>
      <c r="AD377" s="8">
        <f>IFERROR(AC377/AC445,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IFERROR(B378/B445, "NA")</f>
        <v>0</v>
      </c>
      <c r="D378" s="9"/>
      <c r="E378" s="7">
        <v>0</v>
      </c>
      <c r="F378" s="8">
        <f>IFERROR(E378/E445, "NA")</f>
        <v>0</v>
      </c>
      <c r="G378" s="9"/>
      <c r="H378" s="10">
        <f t="shared" si="92"/>
        <v>0</v>
      </c>
      <c r="I378" s="8">
        <f>IFERROR(H378/H445, "NA")</f>
        <v>0</v>
      </c>
      <c r="J378" s="9"/>
      <c r="K378" s="7">
        <v>0</v>
      </c>
      <c r="L378" s="8">
        <f>IFERROR(K378/K445, "NA")</f>
        <v>0</v>
      </c>
      <c r="M378" s="9"/>
      <c r="N378" s="10">
        <f t="shared" si="93"/>
        <v>0</v>
      </c>
      <c r="O378" s="8">
        <f>IFERROR(N378/N445, "NA")</f>
        <v>0</v>
      </c>
      <c r="P378" s="9"/>
      <c r="Q378" s="7">
        <v>0</v>
      </c>
      <c r="R378" s="8">
        <f>IFERROR(Q378/Q445, "NA")</f>
        <v>0</v>
      </c>
      <c r="S378" s="9"/>
      <c r="T378" s="7">
        <v>0</v>
      </c>
      <c r="U378" s="8">
        <f>IFERROR(T378/T445, "NA")</f>
        <v>0</v>
      </c>
      <c r="V378" s="9"/>
      <c r="W378" s="10">
        <f t="shared" si="94"/>
        <v>0</v>
      </c>
      <c r="X378" s="8">
        <f>IFERROR(W378/W445, "NA")</f>
        <v>0</v>
      </c>
      <c r="Y378" s="9"/>
      <c r="Z378" s="7">
        <v>0</v>
      </c>
      <c r="AA378" s="8">
        <f>IFERROR(Z378/Z445, "NA")</f>
        <v>0</v>
      </c>
      <c r="AB378" s="9"/>
      <c r="AC378" s="10">
        <f t="shared" si="95"/>
        <v>0</v>
      </c>
      <c r="AD378" s="8">
        <f>IFERROR(AC378/AC445,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IFERROR(B379/B445, "NA")</f>
        <v>0</v>
      </c>
      <c r="D379" s="9"/>
      <c r="E379" s="7">
        <v>0</v>
      </c>
      <c r="F379" s="8">
        <f>IFERROR(E379/E445, "NA")</f>
        <v>0</v>
      </c>
      <c r="G379" s="9"/>
      <c r="H379" s="10">
        <f t="shared" si="92"/>
        <v>0</v>
      </c>
      <c r="I379" s="8">
        <f>IFERROR(H379/H445, "NA")</f>
        <v>0</v>
      </c>
      <c r="J379" s="9"/>
      <c r="K379" s="7">
        <v>0</v>
      </c>
      <c r="L379" s="8">
        <f>IFERROR(K379/K445, "NA")</f>
        <v>0</v>
      </c>
      <c r="M379" s="9"/>
      <c r="N379" s="10">
        <f t="shared" si="93"/>
        <v>0</v>
      </c>
      <c r="O379" s="8">
        <f>IFERROR(N379/N445, "NA")</f>
        <v>0</v>
      </c>
      <c r="P379" s="9"/>
      <c r="Q379" s="7">
        <v>0</v>
      </c>
      <c r="R379" s="8">
        <f>IFERROR(Q379/Q445, "NA")</f>
        <v>0</v>
      </c>
      <c r="S379" s="9"/>
      <c r="T379" s="7">
        <v>0</v>
      </c>
      <c r="U379" s="8">
        <f>IFERROR(T379/T445, "NA")</f>
        <v>0</v>
      </c>
      <c r="V379" s="9"/>
      <c r="W379" s="10">
        <f t="shared" si="94"/>
        <v>0</v>
      </c>
      <c r="X379" s="8">
        <f>IFERROR(W379/W445, "NA")</f>
        <v>0</v>
      </c>
      <c r="Y379" s="9"/>
      <c r="Z379" s="7">
        <v>0</v>
      </c>
      <c r="AA379" s="8">
        <f>IFERROR(Z379/Z445, "NA")</f>
        <v>0</v>
      </c>
      <c r="AB379" s="9"/>
      <c r="AC379" s="10">
        <f t="shared" si="95"/>
        <v>0</v>
      </c>
      <c r="AD379" s="8">
        <f>IFERROR(AC379/AC445,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IFERROR(B380/B445, "NA")</f>
        <v>0</v>
      </c>
      <c r="D380" s="9"/>
      <c r="E380" s="7">
        <v>0</v>
      </c>
      <c r="F380" s="8">
        <f>IFERROR(E380/E445, "NA")</f>
        <v>0</v>
      </c>
      <c r="G380" s="9"/>
      <c r="H380" s="10">
        <f t="shared" si="92"/>
        <v>0</v>
      </c>
      <c r="I380" s="8">
        <f>IFERROR(H380/H445, "NA")</f>
        <v>0</v>
      </c>
      <c r="J380" s="9"/>
      <c r="K380" s="7">
        <v>0</v>
      </c>
      <c r="L380" s="8">
        <f>IFERROR(K380/K445, "NA")</f>
        <v>0</v>
      </c>
      <c r="M380" s="9"/>
      <c r="N380" s="10">
        <f t="shared" si="93"/>
        <v>0</v>
      </c>
      <c r="O380" s="8">
        <f>IFERROR(N380/N445, "NA")</f>
        <v>0</v>
      </c>
      <c r="P380" s="9"/>
      <c r="Q380" s="7">
        <v>0</v>
      </c>
      <c r="R380" s="8">
        <f>IFERROR(Q380/Q445, "NA")</f>
        <v>0</v>
      </c>
      <c r="S380" s="9"/>
      <c r="T380" s="7">
        <v>0</v>
      </c>
      <c r="U380" s="8">
        <f>IFERROR(T380/T445, "NA")</f>
        <v>0</v>
      </c>
      <c r="V380" s="9"/>
      <c r="W380" s="10">
        <f t="shared" si="94"/>
        <v>0</v>
      </c>
      <c r="X380" s="8">
        <f>IFERROR(W380/W445, "NA")</f>
        <v>0</v>
      </c>
      <c r="Y380" s="9"/>
      <c r="Z380" s="7">
        <v>0</v>
      </c>
      <c r="AA380" s="8">
        <f>IFERROR(Z380/Z445, "NA")</f>
        <v>0</v>
      </c>
      <c r="AB380" s="9"/>
      <c r="AC380" s="10">
        <f t="shared" si="95"/>
        <v>0</v>
      </c>
      <c r="AD380" s="8">
        <f>IFERROR(AC380/AC445,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IFERROR(B381/B445, "NA")</f>
        <v>0</v>
      </c>
      <c r="D381" s="9"/>
      <c r="E381" s="7">
        <v>0</v>
      </c>
      <c r="F381" s="8">
        <f>IFERROR(E381/E445, "NA")</f>
        <v>0</v>
      </c>
      <c r="G381" s="9"/>
      <c r="H381" s="10">
        <f t="shared" si="92"/>
        <v>0</v>
      </c>
      <c r="I381" s="8">
        <f>IFERROR(H381/H445, "NA")</f>
        <v>0</v>
      </c>
      <c r="J381" s="9"/>
      <c r="K381" s="7">
        <v>0</v>
      </c>
      <c r="L381" s="8">
        <f>IFERROR(K381/K445, "NA")</f>
        <v>0</v>
      </c>
      <c r="M381" s="9"/>
      <c r="N381" s="10">
        <f t="shared" si="93"/>
        <v>0</v>
      </c>
      <c r="O381" s="8">
        <f>IFERROR(N381/N445, "NA")</f>
        <v>0</v>
      </c>
      <c r="P381" s="9"/>
      <c r="Q381" s="7">
        <v>0</v>
      </c>
      <c r="R381" s="8">
        <f>IFERROR(Q381/Q445, "NA")</f>
        <v>0</v>
      </c>
      <c r="S381" s="9"/>
      <c r="T381" s="7">
        <v>0</v>
      </c>
      <c r="U381" s="8">
        <f>IFERROR(T381/T445, "NA")</f>
        <v>0</v>
      </c>
      <c r="V381" s="9"/>
      <c r="W381" s="10">
        <f t="shared" si="94"/>
        <v>0</v>
      </c>
      <c r="X381" s="8">
        <f>IFERROR(W381/W445, "NA")</f>
        <v>0</v>
      </c>
      <c r="Y381" s="9"/>
      <c r="Z381" s="7">
        <v>0</v>
      </c>
      <c r="AA381" s="8">
        <f>IFERROR(Z381/Z445, "NA")</f>
        <v>0</v>
      </c>
      <c r="AB381" s="9"/>
      <c r="AC381" s="10">
        <f t="shared" si="95"/>
        <v>0</v>
      </c>
      <c r="AD381" s="8">
        <f>IFERROR(AC381/AC445,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IFERROR(B382/B445, "NA")</f>
        <v>0</v>
      </c>
      <c r="D382" s="9"/>
      <c r="E382" s="7">
        <v>0</v>
      </c>
      <c r="F382" s="8">
        <f>IFERROR(E382/E445, "NA")</f>
        <v>0</v>
      </c>
      <c r="G382" s="9"/>
      <c r="H382" s="10">
        <f t="shared" si="92"/>
        <v>0</v>
      </c>
      <c r="I382" s="8">
        <f>IFERROR(H382/H445, "NA")</f>
        <v>0</v>
      </c>
      <c r="J382" s="9"/>
      <c r="K382" s="7">
        <v>0</v>
      </c>
      <c r="L382" s="8">
        <f>IFERROR(K382/K445, "NA")</f>
        <v>0</v>
      </c>
      <c r="M382" s="9"/>
      <c r="N382" s="10">
        <f t="shared" si="93"/>
        <v>0</v>
      </c>
      <c r="O382" s="8">
        <f>IFERROR(N382/N445, "NA")</f>
        <v>0</v>
      </c>
      <c r="P382" s="9"/>
      <c r="Q382" s="7">
        <v>0</v>
      </c>
      <c r="R382" s="8">
        <f>IFERROR(Q382/Q445, "NA")</f>
        <v>0</v>
      </c>
      <c r="S382" s="9"/>
      <c r="T382" s="7">
        <v>0</v>
      </c>
      <c r="U382" s="8">
        <f>IFERROR(T382/T445, "NA")</f>
        <v>0</v>
      </c>
      <c r="V382" s="9"/>
      <c r="W382" s="10">
        <f t="shared" si="94"/>
        <v>0</v>
      </c>
      <c r="X382" s="8">
        <f>IFERROR(W382/W445, "NA")</f>
        <v>0</v>
      </c>
      <c r="Y382" s="9"/>
      <c r="Z382" s="7">
        <v>0</v>
      </c>
      <c r="AA382" s="8">
        <f>IFERROR(Z382/Z445, "NA")</f>
        <v>0</v>
      </c>
      <c r="AB382" s="9"/>
      <c r="AC382" s="10">
        <f t="shared" si="95"/>
        <v>0</v>
      </c>
      <c r="AD382" s="8">
        <f>IFERROR(AC382/AC445,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IFERROR(B383/B445, "NA")</f>
        <v>0</v>
      </c>
      <c r="D383" s="9"/>
      <c r="E383" s="7">
        <v>0</v>
      </c>
      <c r="F383" s="8">
        <f>IFERROR(E383/E445, "NA")</f>
        <v>0</v>
      </c>
      <c r="G383" s="9"/>
      <c r="H383" s="10">
        <f t="shared" si="92"/>
        <v>0</v>
      </c>
      <c r="I383" s="8">
        <f>IFERROR(H383/H445, "NA")</f>
        <v>0</v>
      </c>
      <c r="J383" s="9"/>
      <c r="K383" s="7">
        <v>0</v>
      </c>
      <c r="L383" s="8">
        <f>IFERROR(K383/K445, "NA")</f>
        <v>0</v>
      </c>
      <c r="M383" s="9"/>
      <c r="N383" s="10">
        <f t="shared" si="93"/>
        <v>0</v>
      </c>
      <c r="O383" s="8">
        <f>IFERROR(N383/N445, "NA")</f>
        <v>0</v>
      </c>
      <c r="P383" s="9"/>
      <c r="Q383" s="7">
        <v>0</v>
      </c>
      <c r="R383" s="8">
        <f>IFERROR(Q383/Q445, "NA")</f>
        <v>0</v>
      </c>
      <c r="S383" s="9"/>
      <c r="T383" s="7">
        <v>0</v>
      </c>
      <c r="U383" s="8">
        <f>IFERROR(T383/T445, "NA")</f>
        <v>0</v>
      </c>
      <c r="V383" s="9"/>
      <c r="W383" s="10">
        <f t="shared" si="94"/>
        <v>0</v>
      </c>
      <c r="X383" s="8">
        <f>IFERROR(W383/W445, "NA")</f>
        <v>0</v>
      </c>
      <c r="Y383" s="9"/>
      <c r="Z383" s="7">
        <v>0</v>
      </c>
      <c r="AA383" s="8">
        <f>IFERROR(Z383/Z445, "NA")</f>
        <v>0</v>
      </c>
      <c r="AB383" s="9"/>
      <c r="AC383" s="10">
        <f t="shared" si="95"/>
        <v>0</v>
      </c>
      <c r="AD383" s="8">
        <f>IFERROR(AC383/AC445, "NA")</f>
        <v>0</v>
      </c>
    </row>
    <row r="384" spans="1:30" ht="16.5" hidden="1" customHeight="1" x14ac:dyDescent="0.45">
      <c r="A384" s="20" t="s">
        <v>352</v>
      </c>
      <c r="B384" s="7">
        <v>0</v>
      </c>
      <c r="C384" s="8">
        <f>IFERROR(B384/B445, "NA")</f>
        <v>0</v>
      </c>
      <c r="D384" s="9"/>
      <c r="E384" s="7">
        <v>0</v>
      </c>
      <c r="F384" s="8">
        <f>IFERROR(E384/E445, "NA")</f>
        <v>0</v>
      </c>
      <c r="G384" s="9"/>
      <c r="H384" s="10">
        <f t="shared" si="92"/>
        <v>0</v>
      </c>
      <c r="I384" s="8">
        <f>IFERROR(H384/H445, "NA")</f>
        <v>0</v>
      </c>
      <c r="J384" s="9"/>
      <c r="K384" s="7">
        <v>0</v>
      </c>
      <c r="L384" s="8">
        <f>IFERROR(K384/K445, "NA")</f>
        <v>0</v>
      </c>
      <c r="M384" s="9"/>
      <c r="N384" s="10">
        <f t="shared" si="93"/>
        <v>0</v>
      </c>
      <c r="O384" s="8">
        <f>IFERROR(N384/N445, "NA")</f>
        <v>0</v>
      </c>
      <c r="P384" s="9"/>
      <c r="Q384" s="7">
        <v>0</v>
      </c>
      <c r="R384" s="8">
        <f>IFERROR(Q384/Q445, "NA")</f>
        <v>0</v>
      </c>
      <c r="S384" s="9"/>
      <c r="T384" s="7">
        <v>0</v>
      </c>
      <c r="U384" s="8">
        <f>IFERROR(T384/T445, "NA")</f>
        <v>0</v>
      </c>
      <c r="V384" s="9"/>
      <c r="W384" s="10">
        <f t="shared" si="94"/>
        <v>0</v>
      </c>
      <c r="X384" s="8">
        <f>IFERROR(W384/W445, "NA")</f>
        <v>0</v>
      </c>
      <c r="Y384" s="9"/>
      <c r="Z384" s="7">
        <v>0</v>
      </c>
      <c r="AA384" s="8">
        <f>IFERROR(Z384/Z445, "NA")</f>
        <v>0</v>
      </c>
      <c r="AB384" s="9"/>
      <c r="AC384" s="10">
        <f t="shared" si="95"/>
        <v>0</v>
      </c>
      <c r="AD384" s="8">
        <f>IFERROR(AC384/AC445, "NA")</f>
        <v>0</v>
      </c>
    </row>
    <row r="385" spans="1:30" ht="16.5" customHeight="1" x14ac:dyDescent="0.45">
      <c r="A385" s="5" t="s">
        <v>353</v>
      </c>
      <c r="B385" s="2"/>
      <c r="C385" s="3"/>
      <c r="D385" s="4"/>
      <c r="E385" s="2"/>
      <c r="F385" s="3"/>
      <c r="G385" s="4"/>
      <c r="H385" s="2"/>
      <c r="I385" s="3"/>
      <c r="J385" s="4"/>
      <c r="K385" s="2"/>
      <c r="L385" s="3"/>
      <c r="M385" s="4"/>
      <c r="N385" s="2"/>
      <c r="O385" s="3"/>
      <c r="P385" s="4"/>
      <c r="Q385" s="2"/>
      <c r="R385" s="3"/>
      <c r="S385" s="4"/>
      <c r="T385" s="2"/>
      <c r="U385" s="3"/>
      <c r="V385" s="4"/>
      <c r="W385" s="2"/>
      <c r="X385" s="3"/>
      <c r="Y385" s="4"/>
      <c r="Z385" s="2"/>
      <c r="AA385" s="3"/>
      <c r="AB385" s="4"/>
      <c r="AC385" s="2"/>
      <c r="AD385" s="3"/>
    </row>
    <row r="386" spans="1:30" ht="16.5" hidden="1" customHeight="1" x14ac:dyDescent="0.45">
      <c r="A386" s="6" t="s">
        <v>353</v>
      </c>
      <c r="B386" s="7">
        <v>0</v>
      </c>
      <c r="C386" s="8">
        <f>IFERROR(B386/B445, "NA")</f>
        <v>0</v>
      </c>
      <c r="D386" s="9"/>
      <c r="E386" s="7">
        <v>0</v>
      </c>
      <c r="F386" s="8">
        <f>IFERROR(E386/E445, "NA")</f>
        <v>0</v>
      </c>
      <c r="G386" s="9"/>
      <c r="H386" s="10">
        <f>IFERROR(-(B386-E386), "NA")</f>
        <v>0</v>
      </c>
      <c r="I386" s="8">
        <f>IFERROR(H386/H445, "NA")</f>
        <v>0</v>
      </c>
      <c r="J386" s="9"/>
      <c r="K386" s="7">
        <v>0</v>
      </c>
      <c r="L386" s="8">
        <f>IFERROR(K386/K445, "NA")</f>
        <v>0</v>
      </c>
      <c r="M386" s="9"/>
      <c r="N386" s="10">
        <f>IFERROR(-(B386-K386), "NA")</f>
        <v>0</v>
      </c>
      <c r="O386" s="8">
        <f>IFERROR(N386/N445, "NA")</f>
        <v>0</v>
      </c>
      <c r="P386" s="9"/>
      <c r="Q386" s="7">
        <v>0</v>
      </c>
      <c r="R386" s="8">
        <f>IFERROR(Q386/Q445, "NA")</f>
        <v>0</v>
      </c>
      <c r="S386" s="9"/>
      <c r="T386" s="7">
        <v>0</v>
      </c>
      <c r="U386" s="8">
        <f>IFERROR(T386/T445, "NA")</f>
        <v>0</v>
      </c>
      <c r="V386" s="9"/>
      <c r="W386" s="10">
        <f>IFERROR(-(Q386-T386), "NA")</f>
        <v>0</v>
      </c>
      <c r="X386" s="8">
        <f>IFERROR(W386/W445, "NA")</f>
        <v>0</v>
      </c>
      <c r="Y386" s="9"/>
      <c r="Z386" s="7">
        <v>0</v>
      </c>
      <c r="AA386" s="8">
        <f>IFERROR(Z386/Z445, "NA")</f>
        <v>0</v>
      </c>
      <c r="AB386" s="9"/>
      <c r="AC386" s="10">
        <f>IFERROR(-(Q386-Z386), "NA")</f>
        <v>0</v>
      </c>
      <c r="AD386" s="8">
        <f>IFERROR(AC386/AC445, "NA")</f>
        <v>0</v>
      </c>
    </row>
    <row r="387" spans="1:30" ht="16.5" hidden="1" customHeight="1" x14ac:dyDescent="0.45">
      <c r="A387" s="6" t="s">
        <v>354</v>
      </c>
      <c r="B387" s="7">
        <v>0</v>
      </c>
      <c r="C387" s="8">
        <f>IFERROR(B387/B445, "NA")</f>
        <v>0</v>
      </c>
      <c r="D387" s="9"/>
      <c r="E387" s="7">
        <v>0</v>
      </c>
      <c r="F387" s="8">
        <f>IFERROR(E387/E445, "NA")</f>
        <v>0</v>
      </c>
      <c r="G387" s="9"/>
      <c r="H387" s="10">
        <f>IFERROR(-(B387-E387), "NA")</f>
        <v>0</v>
      </c>
      <c r="I387" s="8">
        <f>IFERROR(H387/H445, "NA")</f>
        <v>0</v>
      </c>
      <c r="J387" s="9"/>
      <c r="K387" s="7">
        <v>0</v>
      </c>
      <c r="L387" s="8">
        <f>IFERROR(K387/K445, "NA")</f>
        <v>0</v>
      </c>
      <c r="M387" s="9"/>
      <c r="N387" s="10">
        <f>IFERROR(-(B387-K387), "NA")</f>
        <v>0</v>
      </c>
      <c r="O387" s="8">
        <f>IFERROR(N387/N445, "NA")</f>
        <v>0</v>
      </c>
      <c r="P387" s="9"/>
      <c r="Q387" s="7">
        <v>0</v>
      </c>
      <c r="R387" s="8">
        <f>IFERROR(Q387/Q445, "NA")</f>
        <v>0</v>
      </c>
      <c r="S387" s="9"/>
      <c r="T387" s="7">
        <v>0</v>
      </c>
      <c r="U387" s="8">
        <f>IFERROR(T387/T445, "NA")</f>
        <v>0</v>
      </c>
      <c r="V387" s="9"/>
      <c r="W387" s="10">
        <f>IFERROR(-(Q387-T387), "NA")</f>
        <v>0</v>
      </c>
      <c r="X387" s="8">
        <f>IFERROR(W387/W445, "NA")</f>
        <v>0</v>
      </c>
      <c r="Y387" s="9"/>
      <c r="Z387" s="7">
        <v>0</v>
      </c>
      <c r="AA387" s="8">
        <f>IFERROR(Z387/Z445, "NA")</f>
        <v>0</v>
      </c>
      <c r="AB387" s="9"/>
      <c r="AC387" s="10">
        <f>IFERROR(-(Q387-Z387), "NA")</f>
        <v>0</v>
      </c>
      <c r="AD387" s="8">
        <f>IFERROR(AC387/AC445, "NA")</f>
        <v>0</v>
      </c>
    </row>
    <row r="388" spans="1:30" ht="16.5" customHeight="1" x14ac:dyDescent="0.45">
      <c r="A388" s="11" t="s">
        <v>355</v>
      </c>
      <c r="B388" s="2"/>
      <c r="C388" s="3"/>
      <c r="D388" s="4"/>
      <c r="E388" s="2"/>
      <c r="F388" s="3"/>
      <c r="G388" s="4"/>
      <c r="H388" s="2"/>
      <c r="I388" s="3"/>
      <c r="J388" s="4"/>
      <c r="K388" s="2"/>
      <c r="L388" s="3"/>
      <c r="M388" s="4"/>
      <c r="N388" s="2"/>
      <c r="O388" s="3"/>
      <c r="P388" s="4"/>
      <c r="Q388" s="2"/>
      <c r="R388" s="3"/>
      <c r="S388" s="4"/>
      <c r="T388" s="2"/>
      <c r="U388" s="3"/>
      <c r="V388" s="4"/>
      <c r="W388" s="2"/>
      <c r="X388" s="3"/>
      <c r="Y388" s="4"/>
      <c r="Z388" s="2"/>
      <c r="AA388" s="3"/>
      <c r="AB388" s="4"/>
      <c r="AC388" s="2"/>
      <c r="AD388" s="3"/>
    </row>
    <row r="389" spans="1:30" ht="16.5" hidden="1" customHeight="1" x14ac:dyDescent="0.45">
      <c r="A389" s="12" t="s">
        <v>355</v>
      </c>
      <c r="B389" s="7">
        <v>0</v>
      </c>
      <c r="C389" s="8">
        <f>IFERROR(B389/B445, "NA")</f>
        <v>0</v>
      </c>
      <c r="D389" s="9"/>
      <c r="E389" s="7">
        <v>0</v>
      </c>
      <c r="F389" s="8">
        <f>IFERROR(E389/E445, "NA")</f>
        <v>0</v>
      </c>
      <c r="G389" s="9"/>
      <c r="H389" s="10">
        <f t="shared" ref="H389:H404" si="96">IFERROR(-(B389-E389), "NA")</f>
        <v>0</v>
      </c>
      <c r="I389" s="8">
        <f>IFERROR(H389/H445, "NA")</f>
        <v>0</v>
      </c>
      <c r="J389" s="9"/>
      <c r="K389" s="7">
        <v>0</v>
      </c>
      <c r="L389" s="8">
        <f>IFERROR(K389/K445, "NA")</f>
        <v>0</v>
      </c>
      <c r="M389" s="9"/>
      <c r="N389" s="10">
        <f t="shared" ref="N389:N404" si="97">IFERROR(-(B389-K389), "NA")</f>
        <v>0</v>
      </c>
      <c r="O389" s="8">
        <f>IFERROR(N389/N445, "NA")</f>
        <v>0</v>
      </c>
      <c r="P389" s="9"/>
      <c r="Q389" s="7">
        <v>0</v>
      </c>
      <c r="R389" s="8">
        <f>IFERROR(Q389/Q445, "NA")</f>
        <v>0</v>
      </c>
      <c r="S389" s="9"/>
      <c r="T389" s="7">
        <v>0</v>
      </c>
      <c r="U389" s="8">
        <f>IFERROR(T389/T445, "NA")</f>
        <v>0</v>
      </c>
      <c r="V389" s="9"/>
      <c r="W389" s="10">
        <f t="shared" ref="W389:W404" si="98">IFERROR(-(Q389-T389), "NA")</f>
        <v>0</v>
      </c>
      <c r="X389" s="8">
        <f>IFERROR(W389/W445, "NA")</f>
        <v>0</v>
      </c>
      <c r="Y389" s="9"/>
      <c r="Z389" s="7">
        <v>0</v>
      </c>
      <c r="AA389" s="8">
        <f>IFERROR(Z389/Z445, "NA")</f>
        <v>0</v>
      </c>
      <c r="AB389" s="9"/>
      <c r="AC389" s="10">
        <f t="shared" ref="AC389:AC404" si="99">IFERROR(-(Q389-Z389), "NA")</f>
        <v>0</v>
      </c>
      <c r="AD389" s="8">
        <f>IFERROR(AC389/AC445,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IFERROR(B390/B445, "NA")</f>
        <v>0</v>
      </c>
      <c r="D390" s="9"/>
      <c r="E390" s="7">
        <v>0</v>
      </c>
      <c r="F390" s="8">
        <f>IFERROR(E390/E445, "NA")</f>
        <v>0</v>
      </c>
      <c r="G390" s="9"/>
      <c r="H390" s="10">
        <f t="shared" si="96"/>
        <v>0</v>
      </c>
      <c r="I390" s="8">
        <f>IFERROR(H390/H445, "NA")</f>
        <v>0</v>
      </c>
      <c r="J390" s="9"/>
      <c r="K390" s="7">
        <v>0</v>
      </c>
      <c r="L390" s="8">
        <f>IFERROR(K390/K445, "NA")</f>
        <v>0</v>
      </c>
      <c r="M390" s="9"/>
      <c r="N390" s="10">
        <f t="shared" si="97"/>
        <v>0</v>
      </c>
      <c r="O390" s="8">
        <f>IFERROR(N390/N445, "NA")</f>
        <v>0</v>
      </c>
      <c r="P390" s="9"/>
      <c r="Q390" s="7">
        <v>0</v>
      </c>
      <c r="R390" s="8">
        <f>IFERROR(Q390/Q445, "NA")</f>
        <v>0</v>
      </c>
      <c r="S390" s="9"/>
      <c r="T390" s="7">
        <v>0</v>
      </c>
      <c r="U390" s="8">
        <f>IFERROR(T390/T445, "NA")</f>
        <v>0</v>
      </c>
      <c r="V390" s="9"/>
      <c r="W390" s="10">
        <f t="shared" si="98"/>
        <v>0</v>
      </c>
      <c r="X390" s="8">
        <f>IFERROR(W390/W445, "NA")</f>
        <v>0</v>
      </c>
      <c r="Y390" s="9"/>
      <c r="Z390" s="7">
        <v>0</v>
      </c>
      <c r="AA390" s="8">
        <f>IFERROR(Z390/Z445, "NA")</f>
        <v>0</v>
      </c>
      <c r="AB390" s="9"/>
      <c r="AC390" s="10">
        <f t="shared" si="99"/>
        <v>0</v>
      </c>
      <c r="AD390" s="8">
        <f>IFERROR(AC390/AC445,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IFERROR(B391/B445, "NA")</f>
        <v>0</v>
      </c>
      <c r="D391" s="9"/>
      <c r="E391" s="7">
        <v>0</v>
      </c>
      <c r="F391" s="8">
        <f>IFERROR(E391/E445, "NA")</f>
        <v>0</v>
      </c>
      <c r="G391" s="9"/>
      <c r="H391" s="10">
        <f t="shared" si="96"/>
        <v>0</v>
      </c>
      <c r="I391" s="8">
        <f>IFERROR(H391/H445, "NA")</f>
        <v>0</v>
      </c>
      <c r="J391" s="9"/>
      <c r="K391" s="7">
        <v>0</v>
      </c>
      <c r="L391" s="8">
        <f>IFERROR(K391/K445, "NA")</f>
        <v>0</v>
      </c>
      <c r="M391" s="9"/>
      <c r="N391" s="10">
        <f t="shared" si="97"/>
        <v>0</v>
      </c>
      <c r="O391" s="8">
        <f>IFERROR(N391/N445, "NA")</f>
        <v>0</v>
      </c>
      <c r="P391" s="9"/>
      <c r="Q391" s="7">
        <v>0</v>
      </c>
      <c r="R391" s="8">
        <f>IFERROR(Q391/Q445, "NA")</f>
        <v>0</v>
      </c>
      <c r="S391" s="9"/>
      <c r="T391" s="7">
        <v>0</v>
      </c>
      <c r="U391" s="8">
        <f>IFERROR(T391/T445, "NA")</f>
        <v>0</v>
      </c>
      <c r="V391" s="9"/>
      <c r="W391" s="10">
        <f t="shared" si="98"/>
        <v>0</v>
      </c>
      <c r="X391" s="8">
        <f>IFERROR(W391/W445, "NA")</f>
        <v>0</v>
      </c>
      <c r="Y391" s="9"/>
      <c r="Z391" s="7">
        <v>0</v>
      </c>
      <c r="AA391" s="8">
        <f>IFERROR(Z391/Z445, "NA")</f>
        <v>0</v>
      </c>
      <c r="AB391" s="9"/>
      <c r="AC391" s="10">
        <f t="shared" si="99"/>
        <v>0</v>
      </c>
      <c r="AD391" s="8">
        <f>IFERROR(AC391/AC445,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IFERROR(B392/B445, "NA")</f>
        <v>0</v>
      </c>
      <c r="D392" s="9"/>
      <c r="E392" s="7">
        <v>0</v>
      </c>
      <c r="F392" s="8">
        <f>IFERROR(E392/E445, "NA")</f>
        <v>0</v>
      </c>
      <c r="G392" s="9"/>
      <c r="H392" s="10">
        <f t="shared" si="96"/>
        <v>0</v>
      </c>
      <c r="I392" s="8">
        <f>IFERROR(H392/H445, "NA")</f>
        <v>0</v>
      </c>
      <c r="J392" s="9"/>
      <c r="K392" s="7">
        <v>0</v>
      </c>
      <c r="L392" s="8">
        <f>IFERROR(K392/K445, "NA")</f>
        <v>0</v>
      </c>
      <c r="M392" s="9"/>
      <c r="N392" s="10">
        <f t="shared" si="97"/>
        <v>0</v>
      </c>
      <c r="O392" s="8">
        <f>IFERROR(N392/N445, "NA")</f>
        <v>0</v>
      </c>
      <c r="P392" s="9"/>
      <c r="Q392" s="7">
        <v>0</v>
      </c>
      <c r="R392" s="8">
        <f>IFERROR(Q392/Q445, "NA")</f>
        <v>0</v>
      </c>
      <c r="S392" s="9"/>
      <c r="T392" s="7">
        <v>0</v>
      </c>
      <c r="U392" s="8">
        <f>IFERROR(T392/T445, "NA")</f>
        <v>0</v>
      </c>
      <c r="V392" s="9"/>
      <c r="W392" s="10">
        <f t="shared" si="98"/>
        <v>0</v>
      </c>
      <c r="X392" s="8">
        <f>IFERROR(W392/W445, "NA")</f>
        <v>0</v>
      </c>
      <c r="Y392" s="9"/>
      <c r="Z392" s="7">
        <v>0</v>
      </c>
      <c r="AA392" s="8">
        <f>IFERROR(Z392/Z445, "NA")</f>
        <v>0</v>
      </c>
      <c r="AB392" s="9"/>
      <c r="AC392" s="10">
        <f t="shared" si="99"/>
        <v>0</v>
      </c>
      <c r="AD392" s="8">
        <f>IFERROR(AC392/AC445, "NA")</f>
        <v>0</v>
      </c>
    </row>
    <row r="393" spans="1:30" ht="16.5" hidden="1" customHeight="1" x14ac:dyDescent="0.45">
      <c r="A393" s="12" t="s">
        <v>359</v>
      </c>
      <c r="B393" s="7">
        <v>0</v>
      </c>
      <c r="C393" s="8">
        <f>IFERROR(B393/B445, "NA")</f>
        <v>0</v>
      </c>
      <c r="D393" s="9"/>
      <c r="E393" s="7">
        <v>0</v>
      </c>
      <c r="F393" s="8">
        <f>IFERROR(E393/E445, "NA")</f>
        <v>0</v>
      </c>
      <c r="G393" s="9"/>
      <c r="H393" s="10">
        <f t="shared" si="96"/>
        <v>0</v>
      </c>
      <c r="I393" s="8">
        <f>IFERROR(H393/H445, "NA")</f>
        <v>0</v>
      </c>
      <c r="J393" s="9"/>
      <c r="K393" s="7">
        <v>0</v>
      </c>
      <c r="L393" s="8">
        <f>IFERROR(K393/K445, "NA")</f>
        <v>0</v>
      </c>
      <c r="M393" s="9"/>
      <c r="N393" s="10">
        <f t="shared" si="97"/>
        <v>0</v>
      </c>
      <c r="O393" s="8">
        <f>IFERROR(N393/N445, "NA")</f>
        <v>0</v>
      </c>
      <c r="P393" s="9"/>
      <c r="Q393" s="7">
        <v>0</v>
      </c>
      <c r="R393" s="8">
        <f>IFERROR(Q393/Q445, "NA")</f>
        <v>0</v>
      </c>
      <c r="S393" s="9"/>
      <c r="T393" s="7">
        <v>0</v>
      </c>
      <c r="U393" s="8">
        <f>IFERROR(T393/T445, "NA")</f>
        <v>0</v>
      </c>
      <c r="V393" s="9"/>
      <c r="W393" s="10">
        <f t="shared" si="98"/>
        <v>0</v>
      </c>
      <c r="X393" s="8">
        <f>IFERROR(W393/W445, "NA")</f>
        <v>0</v>
      </c>
      <c r="Y393" s="9"/>
      <c r="Z393" s="7">
        <v>0</v>
      </c>
      <c r="AA393" s="8">
        <f>IFERROR(Z393/Z445, "NA")</f>
        <v>0</v>
      </c>
      <c r="AB393" s="9"/>
      <c r="AC393" s="10">
        <f t="shared" si="99"/>
        <v>0</v>
      </c>
      <c r="AD393" s="8">
        <f>IFERROR(AC393/AC445, "NA")</f>
        <v>0</v>
      </c>
    </row>
    <row r="394" spans="1:30" ht="16.5" customHeight="1" x14ac:dyDescent="0.45">
      <c r="A394" s="13" t="s">
        <v>360</v>
      </c>
      <c r="B394" s="14">
        <f>IFERROR(B389+B390+B391+B392+B393, "NA")</f>
        <v>0</v>
      </c>
      <c r="C394" s="15">
        <f>IFERROR(B394/B445, "NA")</f>
        <v>0</v>
      </c>
      <c r="D394" s="2"/>
      <c r="E394" s="14">
        <f>IFERROR(E389+E390+E391+E392+E393, "NA")</f>
        <v>0</v>
      </c>
      <c r="F394" s="15">
        <f>IFERROR(E394/E445, "NA")</f>
        <v>0</v>
      </c>
      <c r="G394" s="2"/>
      <c r="H394" s="14">
        <f t="shared" si="96"/>
        <v>0</v>
      </c>
      <c r="I394" s="15">
        <f>IFERROR(H394/H445, "NA")</f>
        <v>0</v>
      </c>
      <c r="J394" s="2"/>
      <c r="K394" s="14">
        <f>IFERROR(K389+K390+K391+K392+K393, "NA")</f>
        <v>0</v>
      </c>
      <c r="L394" s="15">
        <f>IFERROR(K394/K445, "NA")</f>
        <v>0</v>
      </c>
      <c r="M394" s="2"/>
      <c r="N394" s="14">
        <f t="shared" si="97"/>
        <v>0</v>
      </c>
      <c r="O394" s="15">
        <f>IFERROR(N394/N445, "NA")</f>
        <v>0</v>
      </c>
      <c r="P394" s="2"/>
      <c r="Q394" s="14">
        <f>IFERROR(Q389+Q390+Q391+Q392+Q393, "NA")</f>
        <v>0</v>
      </c>
      <c r="R394" s="15">
        <f>IFERROR(Q394/Q445, "NA")</f>
        <v>0</v>
      </c>
      <c r="S394" s="2"/>
      <c r="T394" s="14">
        <f>IFERROR(T389+T390+T391+T392+T393, "NA")</f>
        <v>0</v>
      </c>
      <c r="U394" s="15">
        <f>IFERROR(T394/T445, "NA")</f>
        <v>0</v>
      </c>
      <c r="V394" s="2"/>
      <c r="W394" s="14">
        <f t="shared" si="98"/>
        <v>0</v>
      </c>
      <c r="X394" s="15">
        <f>IFERROR(W394/W445, "NA")</f>
        <v>0</v>
      </c>
      <c r="Y394" s="2"/>
      <c r="Z394" s="14">
        <f>IFERROR(Z389+Z390+Z391+Z392+Z393, "NA")</f>
        <v>0</v>
      </c>
      <c r="AA394" s="15">
        <f>IFERROR(Z394/Z445, "NA")</f>
        <v>0</v>
      </c>
      <c r="AB394" s="2"/>
      <c r="AC394" s="14">
        <f t="shared" si="99"/>
        <v>0</v>
      </c>
      <c r="AD394" s="15">
        <f>IFERROR(AC394/AC445,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IFERROR(B395/B445, "NA")</f>
        <v>0</v>
      </c>
      <c r="D395" s="9"/>
      <c r="E395" s="7">
        <v>0</v>
      </c>
      <c r="F395" s="8">
        <f>IFERROR(E395/E445, "NA")</f>
        <v>0</v>
      </c>
      <c r="G395" s="9"/>
      <c r="H395" s="10">
        <f t="shared" si="96"/>
        <v>0</v>
      </c>
      <c r="I395" s="8">
        <f>IFERROR(H395/H445, "NA")</f>
        <v>0</v>
      </c>
      <c r="J395" s="9"/>
      <c r="K395" s="7">
        <v>0</v>
      </c>
      <c r="L395" s="8">
        <f>IFERROR(K395/K445, "NA")</f>
        <v>0</v>
      </c>
      <c r="M395" s="9"/>
      <c r="N395" s="10">
        <f t="shared" si="97"/>
        <v>0</v>
      </c>
      <c r="O395" s="8">
        <f>IFERROR(N395/N445, "NA")</f>
        <v>0</v>
      </c>
      <c r="P395" s="9"/>
      <c r="Q395" s="7">
        <v>0</v>
      </c>
      <c r="R395" s="8">
        <f>IFERROR(Q395/Q445, "NA")</f>
        <v>0</v>
      </c>
      <c r="S395" s="9"/>
      <c r="T395" s="7">
        <v>0</v>
      </c>
      <c r="U395" s="8">
        <f>IFERROR(T395/T445, "NA")</f>
        <v>0</v>
      </c>
      <c r="V395" s="9"/>
      <c r="W395" s="10">
        <f t="shared" si="98"/>
        <v>0</v>
      </c>
      <c r="X395" s="8">
        <f>IFERROR(W395/W445, "NA")</f>
        <v>0</v>
      </c>
      <c r="Y395" s="9"/>
      <c r="Z395" s="7">
        <v>0</v>
      </c>
      <c r="AA395" s="8">
        <f>IFERROR(Z395/Z445, "NA")</f>
        <v>0</v>
      </c>
      <c r="AB395" s="9"/>
      <c r="AC395" s="10">
        <f t="shared" si="99"/>
        <v>0</v>
      </c>
      <c r="AD395" s="8">
        <f>IFERROR(AC395/AC445, "NA")</f>
        <v>0</v>
      </c>
    </row>
    <row r="396" spans="1:30" ht="16.5" hidden="1" customHeight="1" x14ac:dyDescent="0.45">
      <c r="A396" s="6" t="s">
        <v>362</v>
      </c>
      <c r="B396" s="7">
        <v>0</v>
      </c>
      <c r="C396" s="8">
        <f>IFERROR(B396/B445, "NA")</f>
        <v>0</v>
      </c>
      <c r="D396" s="9"/>
      <c r="E396" s="7">
        <v>0</v>
      </c>
      <c r="F396" s="8">
        <f>IFERROR(E396/E445, "NA")</f>
        <v>0</v>
      </c>
      <c r="G396" s="9"/>
      <c r="H396" s="10">
        <f t="shared" si="96"/>
        <v>0</v>
      </c>
      <c r="I396" s="8">
        <f>IFERROR(H396/H445, "NA")</f>
        <v>0</v>
      </c>
      <c r="J396" s="9"/>
      <c r="K396" s="7">
        <v>0</v>
      </c>
      <c r="L396" s="8">
        <f>IFERROR(K396/K445, "NA")</f>
        <v>0</v>
      </c>
      <c r="M396" s="9"/>
      <c r="N396" s="10">
        <f t="shared" si="97"/>
        <v>0</v>
      </c>
      <c r="O396" s="8">
        <f>IFERROR(N396/N445, "NA")</f>
        <v>0</v>
      </c>
      <c r="P396" s="9"/>
      <c r="Q396" s="7">
        <v>0</v>
      </c>
      <c r="R396" s="8">
        <f>IFERROR(Q396/Q445, "NA")</f>
        <v>0</v>
      </c>
      <c r="S396" s="9"/>
      <c r="T396" s="7">
        <v>0</v>
      </c>
      <c r="U396" s="8">
        <f>IFERROR(T396/T445, "NA")</f>
        <v>0</v>
      </c>
      <c r="V396" s="9"/>
      <c r="W396" s="10">
        <f t="shared" si="98"/>
        <v>0</v>
      </c>
      <c r="X396" s="8">
        <f>IFERROR(W396/W445, "NA")</f>
        <v>0</v>
      </c>
      <c r="Y396" s="9"/>
      <c r="Z396" s="7">
        <v>0</v>
      </c>
      <c r="AA396" s="8">
        <f>IFERROR(Z396/Z445, "NA")</f>
        <v>0</v>
      </c>
      <c r="AB396" s="9"/>
      <c r="AC396" s="10">
        <f t="shared" si="99"/>
        <v>0</v>
      </c>
      <c r="AD396" s="8">
        <f>IFERROR(AC396/AC445, "NA")</f>
        <v>0</v>
      </c>
    </row>
    <row r="397" spans="1:30" ht="16.5" customHeight="1" x14ac:dyDescent="0.45">
      <c r="A397" s="19" t="s">
        <v>363</v>
      </c>
      <c r="B397" s="14">
        <f>IFERROR(B386+B387+B389+B390+B391+B392+B393+B395+B396, "NA")</f>
        <v>0</v>
      </c>
      <c r="C397" s="15">
        <f>IFERROR(B397/B445, "NA")</f>
        <v>0</v>
      </c>
      <c r="D397" s="2"/>
      <c r="E397" s="14">
        <f>IFERROR(E386+E387+E389+E390+E391+E392+E393+E395+E396, "NA")</f>
        <v>0</v>
      </c>
      <c r="F397" s="15">
        <f>IFERROR(E397/E445, "NA")</f>
        <v>0</v>
      </c>
      <c r="G397" s="2"/>
      <c r="H397" s="14">
        <f t="shared" si="96"/>
        <v>0</v>
      </c>
      <c r="I397" s="15">
        <f>IFERROR(H397/H445, "NA")</f>
        <v>0</v>
      </c>
      <c r="J397" s="2"/>
      <c r="K397" s="14">
        <f>IFERROR(K386+K387+K389+K390+K391+K392+K393+K395+K396, "NA")</f>
        <v>0</v>
      </c>
      <c r="L397" s="15">
        <f>IFERROR(K397/K445, "NA")</f>
        <v>0</v>
      </c>
      <c r="M397" s="2"/>
      <c r="N397" s="14">
        <f t="shared" si="97"/>
        <v>0</v>
      </c>
      <c r="O397" s="15">
        <f>IFERROR(N397/N445, "NA")</f>
        <v>0</v>
      </c>
      <c r="P397" s="2"/>
      <c r="Q397" s="14">
        <f>IFERROR(Q386+Q387+Q389+Q390+Q391+Q392+Q393+Q395+Q396, "NA")</f>
        <v>0</v>
      </c>
      <c r="R397" s="15">
        <f>IFERROR(Q397/Q445, "NA")</f>
        <v>0</v>
      </c>
      <c r="S397" s="2"/>
      <c r="T397" s="14">
        <f>IFERROR(T386+T387+T389+T390+T391+T392+T393+T395+T396, "NA")</f>
        <v>0</v>
      </c>
      <c r="U397" s="15">
        <f>IFERROR(T397/T445, "NA")</f>
        <v>0</v>
      </c>
      <c r="V397" s="2"/>
      <c r="W397" s="14">
        <f t="shared" si="98"/>
        <v>0</v>
      </c>
      <c r="X397" s="15">
        <f>IFERROR(W397/W445, "NA")</f>
        <v>0</v>
      </c>
      <c r="Y397" s="2"/>
      <c r="Z397" s="14">
        <f>IFERROR(Z386+Z387+Z389+Z390+Z391+Z392+Z393+Z395+Z396, "NA")</f>
        <v>0</v>
      </c>
      <c r="AA397" s="15">
        <f>IFERROR(Z397/Z445, "NA")</f>
        <v>0</v>
      </c>
      <c r="AB397" s="2"/>
      <c r="AC397" s="14">
        <f t="shared" si="99"/>
        <v>0</v>
      </c>
      <c r="AD397" s="15">
        <f>IFERROR(AC397/AC445,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IFERROR(B398/B445, "NA")</f>
        <v>0</v>
      </c>
      <c r="D398" s="9"/>
      <c r="E398" s="7">
        <v>0</v>
      </c>
      <c r="F398" s="8">
        <f>IFERROR(E398/E445, "NA")</f>
        <v>0</v>
      </c>
      <c r="G398" s="9"/>
      <c r="H398" s="10">
        <f t="shared" si="96"/>
        <v>0</v>
      </c>
      <c r="I398" s="8">
        <f>IFERROR(H398/H445, "NA")</f>
        <v>0</v>
      </c>
      <c r="J398" s="9"/>
      <c r="K398" s="7">
        <v>0</v>
      </c>
      <c r="L398" s="8">
        <f>IFERROR(K398/K445, "NA")</f>
        <v>0</v>
      </c>
      <c r="M398" s="9"/>
      <c r="N398" s="10">
        <f t="shared" si="97"/>
        <v>0</v>
      </c>
      <c r="O398" s="8">
        <f>IFERROR(N398/N445, "NA")</f>
        <v>0</v>
      </c>
      <c r="P398" s="9"/>
      <c r="Q398" s="7">
        <v>0</v>
      </c>
      <c r="R398" s="8">
        <f>IFERROR(Q398/Q445, "NA")</f>
        <v>0</v>
      </c>
      <c r="S398" s="9"/>
      <c r="T398" s="7">
        <v>0</v>
      </c>
      <c r="U398" s="8">
        <f>IFERROR(T398/T445, "NA")</f>
        <v>0</v>
      </c>
      <c r="V398" s="9"/>
      <c r="W398" s="10">
        <f t="shared" si="98"/>
        <v>0</v>
      </c>
      <c r="X398" s="8">
        <f>IFERROR(W398/W445, "NA")</f>
        <v>0</v>
      </c>
      <c r="Y398" s="9"/>
      <c r="Z398" s="7">
        <v>0</v>
      </c>
      <c r="AA398" s="8">
        <f>IFERROR(Z398/Z445, "NA")</f>
        <v>0</v>
      </c>
      <c r="AB398" s="9"/>
      <c r="AC398" s="10">
        <f t="shared" si="99"/>
        <v>0</v>
      </c>
      <c r="AD398" s="8">
        <f>IFERROR(AC398/AC445,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IFERROR(B399/B445, "NA")</f>
        <v>0</v>
      </c>
      <c r="D399" s="9"/>
      <c r="E399" s="7">
        <v>0</v>
      </c>
      <c r="F399" s="8">
        <f>IFERROR(E399/E445, "NA")</f>
        <v>0</v>
      </c>
      <c r="G399" s="9"/>
      <c r="H399" s="10">
        <f t="shared" si="96"/>
        <v>0</v>
      </c>
      <c r="I399" s="8">
        <f>IFERROR(H399/H445, "NA")</f>
        <v>0</v>
      </c>
      <c r="J399" s="9"/>
      <c r="K399" s="7">
        <v>0</v>
      </c>
      <c r="L399" s="8">
        <f>IFERROR(K399/K445, "NA")</f>
        <v>0</v>
      </c>
      <c r="M399" s="9"/>
      <c r="N399" s="10">
        <f t="shared" si="97"/>
        <v>0</v>
      </c>
      <c r="O399" s="8">
        <f>IFERROR(N399/N445, "NA")</f>
        <v>0</v>
      </c>
      <c r="P399" s="9"/>
      <c r="Q399" s="7">
        <v>0</v>
      </c>
      <c r="R399" s="8">
        <f>IFERROR(Q399/Q445, "NA")</f>
        <v>0</v>
      </c>
      <c r="S399" s="9"/>
      <c r="T399" s="7">
        <v>0</v>
      </c>
      <c r="U399" s="8">
        <f>IFERROR(T399/T445, "NA")</f>
        <v>0</v>
      </c>
      <c r="V399" s="9"/>
      <c r="W399" s="10">
        <f t="shared" si="98"/>
        <v>0</v>
      </c>
      <c r="X399" s="8">
        <f>IFERROR(W399/W445, "NA")</f>
        <v>0</v>
      </c>
      <c r="Y399" s="9"/>
      <c r="Z399" s="7">
        <v>0</v>
      </c>
      <c r="AA399" s="8">
        <f>IFERROR(Z399/Z445, "NA")</f>
        <v>0</v>
      </c>
      <c r="AB399" s="9"/>
      <c r="AC399" s="10">
        <f t="shared" si="99"/>
        <v>0</v>
      </c>
      <c r="AD399" s="8">
        <f>IFERROR(AC399/AC445,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IFERROR(B400/B445, "NA")</f>
        <v>0</v>
      </c>
      <c r="D400" s="9"/>
      <c r="E400" s="7">
        <v>0</v>
      </c>
      <c r="F400" s="8">
        <f>IFERROR(E400/E445, "NA")</f>
        <v>0</v>
      </c>
      <c r="G400" s="9"/>
      <c r="H400" s="10">
        <f t="shared" si="96"/>
        <v>0</v>
      </c>
      <c r="I400" s="8">
        <f>IFERROR(H400/H445, "NA")</f>
        <v>0</v>
      </c>
      <c r="J400" s="9"/>
      <c r="K400" s="7">
        <v>0</v>
      </c>
      <c r="L400" s="8">
        <f>IFERROR(K400/K445, "NA")</f>
        <v>0</v>
      </c>
      <c r="M400" s="9"/>
      <c r="N400" s="10">
        <f t="shared" si="97"/>
        <v>0</v>
      </c>
      <c r="O400" s="8">
        <f>IFERROR(N400/N445, "NA")</f>
        <v>0</v>
      </c>
      <c r="P400" s="9"/>
      <c r="Q400" s="7">
        <v>0</v>
      </c>
      <c r="R400" s="8">
        <f>IFERROR(Q400/Q445, "NA")</f>
        <v>0</v>
      </c>
      <c r="S400" s="9"/>
      <c r="T400" s="7">
        <v>0</v>
      </c>
      <c r="U400" s="8">
        <f>IFERROR(T400/T445, "NA")</f>
        <v>0</v>
      </c>
      <c r="V400" s="9"/>
      <c r="W400" s="10">
        <f t="shared" si="98"/>
        <v>0</v>
      </c>
      <c r="X400" s="8">
        <f>IFERROR(W400/W445, "NA")</f>
        <v>0</v>
      </c>
      <c r="Y400" s="9"/>
      <c r="Z400" s="7">
        <v>0</v>
      </c>
      <c r="AA400" s="8">
        <f>IFERROR(Z400/Z445, "NA")</f>
        <v>0</v>
      </c>
      <c r="AB400" s="9"/>
      <c r="AC400" s="10">
        <f t="shared" si="99"/>
        <v>0</v>
      </c>
      <c r="AD400" s="8">
        <f>IFERROR(AC400/AC445,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IFERROR(B401/B445, "NA")</f>
        <v>0</v>
      </c>
      <c r="D401" s="9"/>
      <c r="E401" s="7">
        <v>0</v>
      </c>
      <c r="F401" s="8">
        <f>IFERROR(E401/E445, "NA")</f>
        <v>0</v>
      </c>
      <c r="G401" s="9"/>
      <c r="H401" s="10">
        <f t="shared" si="96"/>
        <v>0</v>
      </c>
      <c r="I401" s="8">
        <f>IFERROR(H401/H445, "NA")</f>
        <v>0</v>
      </c>
      <c r="J401" s="9"/>
      <c r="K401" s="7">
        <v>0</v>
      </c>
      <c r="L401" s="8">
        <f>IFERROR(K401/K445, "NA")</f>
        <v>0</v>
      </c>
      <c r="M401" s="9"/>
      <c r="N401" s="10">
        <f t="shared" si="97"/>
        <v>0</v>
      </c>
      <c r="O401" s="8">
        <f>IFERROR(N401/N445, "NA")</f>
        <v>0</v>
      </c>
      <c r="P401" s="9"/>
      <c r="Q401" s="7">
        <v>0</v>
      </c>
      <c r="R401" s="8">
        <f>IFERROR(Q401/Q445, "NA")</f>
        <v>0</v>
      </c>
      <c r="S401" s="9"/>
      <c r="T401" s="7">
        <v>0</v>
      </c>
      <c r="U401" s="8">
        <f>IFERROR(T401/T445, "NA")</f>
        <v>0</v>
      </c>
      <c r="V401" s="9"/>
      <c r="W401" s="10">
        <f t="shared" si="98"/>
        <v>0</v>
      </c>
      <c r="X401" s="8">
        <f>IFERROR(W401/W445, "NA")</f>
        <v>0</v>
      </c>
      <c r="Y401" s="9"/>
      <c r="Z401" s="7">
        <v>0</v>
      </c>
      <c r="AA401" s="8">
        <f>IFERROR(Z401/Z445, "NA")</f>
        <v>0</v>
      </c>
      <c r="AB401" s="9"/>
      <c r="AC401" s="10">
        <f t="shared" si="99"/>
        <v>0</v>
      </c>
      <c r="AD401" s="8">
        <f>IFERROR(AC401/AC445,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IFERROR(B402/B445, "NA")</f>
        <v>0</v>
      </c>
      <c r="D402" s="9"/>
      <c r="E402" s="7">
        <v>0</v>
      </c>
      <c r="F402" s="8">
        <f>IFERROR(E402/E445, "NA")</f>
        <v>0</v>
      </c>
      <c r="G402" s="9"/>
      <c r="H402" s="10">
        <f t="shared" si="96"/>
        <v>0</v>
      </c>
      <c r="I402" s="8">
        <f>IFERROR(H402/H445, "NA")</f>
        <v>0</v>
      </c>
      <c r="J402" s="9"/>
      <c r="K402" s="7">
        <v>0</v>
      </c>
      <c r="L402" s="8">
        <f>IFERROR(K402/K445, "NA")</f>
        <v>0</v>
      </c>
      <c r="M402" s="9"/>
      <c r="N402" s="10">
        <f t="shared" si="97"/>
        <v>0</v>
      </c>
      <c r="O402" s="8">
        <f>IFERROR(N402/N445, "NA")</f>
        <v>0</v>
      </c>
      <c r="P402" s="9"/>
      <c r="Q402" s="7">
        <v>0</v>
      </c>
      <c r="R402" s="8">
        <f>IFERROR(Q402/Q445, "NA")</f>
        <v>0</v>
      </c>
      <c r="S402" s="9"/>
      <c r="T402" s="7">
        <v>0</v>
      </c>
      <c r="U402" s="8">
        <f>IFERROR(T402/T445, "NA")</f>
        <v>0</v>
      </c>
      <c r="V402" s="9"/>
      <c r="W402" s="10">
        <f t="shared" si="98"/>
        <v>0</v>
      </c>
      <c r="X402" s="8">
        <f>IFERROR(W402/W445, "NA")</f>
        <v>0</v>
      </c>
      <c r="Y402" s="9"/>
      <c r="Z402" s="7">
        <v>0</v>
      </c>
      <c r="AA402" s="8">
        <f>IFERROR(Z402/Z445, "NA")</f>
        <v>0</v>
      </c>
      <c r="AB402" s="9"/>
      <c r="AC402" s="10">
        <f t="shared" si="99"/>
        <v>0</v>
      </c>
      <c r="AD402" s="8">
        <f>IFERROR(AC402/AC445, "NA")</f>
        <v>0</v>
      </c>
    </row>
    <row r="403" spans="1:30" ht="16.5" hidden="1" customHeight="1" x14ac:dyDescent="0.45">
      <c r="A403" s="20" t="s">
        <v>369</v>
      </c>
      <c r="B403" s="7">
        <v>0</v>
      </c>
      <c r="C403" s="8">
        <f>IFERROR(B403/B445, "NA")</f>
        <v>0</v>
      </c>
      <c r="D403" s="9"/>
      <c r="E403" s="7">
        <v>0</v>
      </c>
      <c r="F403" s="8">
        <f>IFERROR(E403/E445, "NA")</f>
        <v>0</v>
      </c>
      <c r="G403" s="9"/>
      <c r="H403" s="10">
        <f t="shared" si="96"/>
        <v>0</v>
      </c>
      <c r="I403" s="8">
        <f>IFERROR(H403/H445, "NA")</f>
        <v>0</v>
      </c>
      <c r="J403" s="9"/>
      <c r="K403" s="7">
        <v>0</v>
      </c>
      <c r="L403" s="8">
        <f>IFERROR(K403/K445, "NA")</f>
        <v>0</v>
      </c>
      <c r="M403" s="9"/>
      <c r="N403" s="10">
        <f t="shared" si="97"/>
        <v>0</v>
      </c>
      <c r="O403" s="8">
        <f>IFERROR(N403/N445, "NA")</f>
        <v>0</v>
      </c>
      <c r="P403" s="9"/>
      <c r="Q403" s="7">
        <v>0</v>
      </c>
      <c r="R403" s="8">
        <f>IFERROR(Q403/Q445, "NA")</f>
        <v>0</v>
      </c>
      <c r="S403" s="9"/>
      <c r="T403" s="7">
        <v>0</v>
      </c>
      <c r="U403" s="8">
        <f>IFERROR(T403/T445, "NA")</f>
        <v>0</v>
      </c>
      <c r="V403" s="9"/>
      <c r="W403" s="10">
        <f t="shared" si="98"/>
        <v>0</v>
      </c>
      <c r="X403" s="8">
        <f>IFERROR(W403/W445, "NA")</f>
        <v>0</v>
      </c>
      <c r="Y403" s="9"/>
      <c r="Z403" s="7">
        <v>0</v>
      </c>
      <c r="AA403" s="8">
        <f>IFERROR(Z403/Z445, "NA")</f>
        <v>0</v>
      </c>
      <c r="AB403" s="9"/>
      <c r="AC403" s="10">
        <f t="shared" si="99"/>
        <v>0</v>
      </c>
      <c r="AD403" s="8">
        <f>IFERROR(AC403/AC445, "NA")</f>
        <v>0</v>
      </c>
    </row>
    <row r="404" spans="1:30" ht="16.5" customHeight="1" x14ac:dyDescent="0.45">
      <c r="A404" s="21" t="s">
        <v>370</v>
      </c>
      <c r="B404" s="14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5">
        <f>IFERROR(B404/B445, "NA")</f>
        <v>0</v>
      </c>
      <c r="D404" s="2"/>
      <c r="E404" s="14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5">
        <f>IFERROR(E404/E445, "NA")</f>
        <v>0</v>
      </c>
      <c r="G404" s="2"/>
      <c r="H404" s="14">
        <f t="shared" si="96"/>
        <v>0</v>
      </c>
      <c r="I404" s="15">
        <f>IFERROR(H404/H445, "NA")</f>
        <v>0</v>
      </c>
      <c r="J404" s="2"/>
      <c r="K404" s="14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5">
        <f>IFERROR(K404/K445, "NA")</f>
        <v>0</v>
      </c>
      <c r="M404" s="2"/>
      <c r="N404" s="14">
        <f t="shared" si="97"/>
        <v>0</v>
      </c>
      <c r="O404" s="15">
        <f>IFERROR(N404/N445, "NA")</f>
        <v>0</v>
      </c>
      <c r="P404" s="2"/>
      <c r="Q404" s="14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5">
        <f>IFERROR(Q404/Q445, "NA")</f>
        <v>0</v>
      </c>
      <c r="S404" s="2"/>
      <c r="T404" s="14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5">
        <f>IFERROR(T404/T445, "NA")</f>
        <v>0</v>
      </c>
      <c r="V404" s="2"/>
      <c r="W404" s="14">
        <f t="shared" si="98"/>
        <v>0</v>
      </c>
      <c r="X404" s="15">
        <f>IFERROR(W404/W445, "NA")</f>
        <v>0</v>
      </c>
      <c r="Y404" s="2"/>
      <c r="Z404" s="14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5">
        <f>IFERROR(Z404/Z445, "NA")</f>
        <v>0</v>
      </c>
      <c r="AB404" s="2"/>
      <c r="AC404" s="14">
        <f t="shared" si="99"/>
        <v>0</v>
      </c>
      <c r="AD404" s="15">
        <f>IFERROR(AC404/AC445, "NA")</f>
        <v>0</v>
      </c>
    </row>
    <row r="405" spans="1:30" ht="16.5" customHeight="1" x14ac:dyDescent="0.45">
      <c r="A405" s="22" t="s">
        <v>371</v>
      </c>
      <c r="B405" s="23">
        <f>IFERROR(B346-B404, "NA")</f>
        <v>6009.4</v>
      </c>
      <c r="C405" s="24">
        <f>IFERROR(B405/B445, "NA")</f>
        <v>6.8851347472908983E-2</v>
      </c>
      <c r="D405" s="25"/>
      <c r="E405" s="23">
        <f>IFERROR(E346-E404, "NA")</f>
        <v>7204.3999999999833</v>
      </c>
      <c r="F405" s="24">
        <f>IFERROR(E405/E445, "NA")</f>
        <v>7.721497904572111E-2</v>
      </c>
      <c r="G405" s="25"/>
      <c r="H405" s="23">
        <f>IFERROR(B405-E405, "NA")</f>
        <v>-1194.9999999999836</v>
      </c>
      <c r="I405" s="24">
        <f>IFERROR(H405/H445, "NA")</f>
        <v>0.19842752413924505</v>
      </c>
      <c r="J405" s="25"/>
      <c r="K405" s="23">
        <f>IFERROR(K346-K404, "NA")</f>
        <v>376.09000000001106</v>
      </c>
      <c r="L405" s="24">
        <f>IFERROR(K405/K445, "NA")</f>
        <v>4.4087308085870797E-3</v>
      </c>
      <c r="M405" s="25"/>
      <c r="N405" s="23">
        <f>IFERROR(B405-K405, "NA")</f>
        <v>5633.3099999999886</v>
      </c>
      <c r="O405" s="24">
        <f>IFERROR(N405/N445, "NA")</f>
        <v>2.8522222109708038</v>
      </c>
      <c r="P405" s="25"/>
      <c r="Q405" s="23">
        <f>IFERROR(Q346-Q404, "NA")</f>
        <v>15140.049999999879</v>
      </c>
      <c r="R405" s="24">
        <f>IFERROR(Q405/Q445, "NA")</f>
        <v>3.3844402994750063E-2</v>
      </c>
      <c r="S405" s="25"/>
      <c r="T405" s="23">
        <f>IFERROR(T346-T404, "NA")</f>
        <v>30862.110000000022</v>
      </c>
      <c r="U405" s="24">
        <f>IFERROR(T405/T445, "NA")</f>
        <v>6.9978660688669522E-2</v>
      </c>
      <c r="V405" s="25"/>
      <c r="W405" s="23">
        <f>IFERROR(Q405-T405, "NA")</f>
        <v>-15722.060000000143</v>
      </c>
      <c r="X405" s="24">
        <f>IFERROR(W405/W445, "NA")</f>
        <v>-2.4872466212207942</v>
      </c>
      <c r="Y405" s="25"/>
      <c r="Z405" s="23">
        <f>IFERROR(Z346-Z404, "NA")</f>
        <v>870.61999999984255</v>
      </c>
      <c r="AA405" s="24">
        <f>IFERROR(Z405/Z445, "NA")</f>
        <v>2.120830946153745E-3</v>
      </c>
      <c r="AB405" s="25"/>
      <c r="AC405" s="23">
        <f>IFERROR(Q405-Z405, "NA")</f>
        <v>14269.430000000037</v>
      </c>
      <c r="AD405" s="24">
        <f>IFERROR(AC405/AC445, "NA")</f>
        <v>0.38739948455077733</v>
      </c>
    </row>
    <row r="406" spans="1:30" ht="16.5" customHeight="1" x14ac:dyDescent="0.45">
      <c r="A406" s="1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5" t="s">
        <v>373</v>
      </c>
      <c r="B407" s="2"/>
      <c r="C407" s="3"/>
      <c r="D407" s="4"/>
      <c r="E407" s="2"/>
      <c r="F407" s="3"/>
      <c r="G407" s="4"/>
      <c r="H407" s="2"/>
      <c r="I407" s="3"/>
      <c r="J407" s="4"/>
      <c r="K407" s="2"/>
      <c r="L407" s="3"/>
      <c r="M407" s="4"/>
      <c r="N407" s="2"/>
      <c r="O407" s="3"/>
      <c r="P407" s="4"/>
      <c r="Q407" s="2"/>
      <c r="R407" s="3"/>
      <c r="S407" s="4"/>
      <c r="T407" s="2"/>
      <c r="U407" s="3"/>
      <c r="V407" s="4"/>
      <c r="W407" s="2"/>
      <c r="X407" s="3"/>
      <c r="Y407" s="4"/>
      <c r="Z407" s="2"/>
      <c r="AA407" s="3"/>
      <c r="AB407" s="4"/>
      <c r="AC407" s="2"/>
      <c r="AD407" s="3"/>
    </row>
    <row r="408" spans="1:30" ht="16.5" customHeight="1" x14ac:dyDescent="0.45">
      <c r="A408" s="6" t="s">
        <v>373</v>
      </c>
      <c r="B408" s="7">
        <v>0</v>
      </c>
      <c r="C408" s="8">
        <f>IFERROR(B408/B445, "NA")</f>
        <v>0</v>
      </c>
      <c r="D408" s="9"/>
      <c r="E408" s="7">
        <v>4147.8999999999996</v>
      </c>
      <c r="F408" s="8">
        <f>IFERROR(E408/E445, "NA")</f>
        <v>4.4456167284402215E-2</v>
      </c>
      <c r="G408" s="9"/>
      <c r="H408" s="10">
        <f t="shared" ref="H408:H430" si="100">IFERROR(-(B408-E408), "NA")</f>
        <v>4147.8999999999996</v>
      </c>
      <c r="I408" s="8">
        <f>IFERROR(H408/H445, "NA")</f>
        <v>-0.68875106893488347</v>
      </c>
      <c r="J408" s="9"/>
      <c r="K408" s="7">
        <v>0</v>
      </c>
      <c r="L408" s="8">
        <f>IFERROR(K408/K445, "NA")</f>
        <v>0</v>
      </c>
      <c r="M408" s="9"/>
      <c r="N408" s="10">
        <f t="shared" ref="N408:N430" si="101">IFERROR(-(B408-K408), "NA")</f>
        <v>0</v>
      </c>
      <c r="O408" s="8">
        <f>IFERROR(N408/N445, "NA")</f>
        <v>0</v>
      </c>
      <c r="P408" s="9"/>
      <c r="Q408" s="7">
        <v>0</v>
      </c>
      <c r="R408" s="8">
        <f>IFERROR(Q408/Q445, "NA")</f>
        <v>0</v>
      </c>
      <c r="S408" s="9"/>
      <c r="T408" s="7">
        <v>20342.599999999999</v>
      </c>
      <c r="U408" s="8">
        <f>IFERROR(T408/T445, "NA")</f>
        <v>4.612607183777543E-2</v>
      </c>
      <c r="V408" s="9"/>
      <c r="W408" s="10">
        <f t="shared" ref="W408:W430" si="102">IFERROR(-(Q408-T408), "NA")</f>
        <v>20342.599999999999</v>
      </c>
      <c r="X408" s="8">
        <f>IFERROR(W408/W445, "NA")</f>
        <v>3.2182209657542118</v>
      </c>
      <c r="Y408" s="9"/>
      <c r="Z408" s="7">
        <v>0</v>
      </c>
      <c r="AA408" s="8">
        <f>IFERROR(Z408/Z445, "NA")</f>
        <v>0</v>
      </c>
      <c r="AB408" s="9"/>
      <c r="AC408" s="10">
        <f t="shared" ref="AC408:AC430" si="103">IFERROR(-(Q408-Z408), "NA")</f>
        <v>0</v>
      </c>
      <c r="AD408" s="8">
        <f>IFERROR(AC408/AC445,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IFERROR(B409/B445, "NA")</f>
        <v>0</v>
      </c>
      <c r="D409" s="9"/>
      <c r="E409" s="7">
        <v>0</v>
      </c>
      <c r="F409" s="8">
        <f>IFERROR(E409/E445, "NA")</f>
        <v>0</v>
      </c>
      <c r="G409" s="9"/>
      <c r="H409" s="10">
        <f t="shared" si="100"/>
        <v>0</v>
      </c>
      <c r="I409" s="8">
        <f>IFERROR(H409/H445, "NA")</f>
        <v>0</v>
      </c>
      <c r="J409" s="9"/>
      <c r="K409" s="7">
        <v>0</v>
      </c>
      <c r="L409" s="8">
        <f>IFERROR(K409/K445, "NA")</f>
        <v>0</v>
      </c>
      <c r="M409" s="9"/>
      <c r="N409" s="10">
        <f t="shared" si="101"/>
        <v>0</v>
      </c>
      <c r="O409" s="8">
        <f>IFERROR(N409/N445, "NA")</f>
        <v>0</v>
      </c>
      <c r="P409" s="9"/>
      <c r="Q409" s="7">
        <v>0</v>
      </c>
      <c r="R409" s="8">
        <f>IFERROR(Q409/Q445, "NA")</f>
        <v>0</v>
      </c>
      <c r="S409" s="9"/>
      <c r="T409" s="7">
        <v>0</v>
      </c>
      <c r="U409" s="8">
        <f>IFERROR(T409/T445, "NA")</f>
        <v>0</v>
      </c>
      <c r="V409" s="9"/>
      <c r="W409" s="10">
        <f t="shared" si="102"/>
        <v>0</v>
      </c>
      <c r="X409" s="8">
        <f>IFERROR(W409/W445, "NA")</f>
        <v>0</v>
      </c>
      <c r="Y409" s="9"/>
      <c r="Z409" s="7">
        <v>0</v>
      </c>
      <c r="AA409" s="8">
        <f>IFERROR(Z409/Z445, "NA")</f>
        <v>0</v>
      </c>
      <c r="AB409" s="9"/>
      <c r="AC409" s="10">
        <f t="shared" si="103"/>
        <v>0</v>
      </c>
      <c r="AD409" s="8">
        <f>IFERROR(AC409/AC445, "NA")</f>
        <v>0</v>
      </c>
    </row>
    <row r="410" spans="1:30" ht="16.5" hidden="1" customHeight="1" x14ac:dyDescent="0.45">
      <c r="A410" s="6" t="s">
        <v>375</v>
      </c>
      <c r="B410" s="7">
        <v>0</v>
      </c>
      <c r="C410" s="8">
        <f>IFERROR(B410/B445, "NA")</f>
        <v>0</v>
      </c>
      <c r="D410" s="9"/>
      <c r="E410" s="7">
        <v>0</v>
      </c>
      <c r="F410" s="8">
        <f>IFERROR(E410/E445, "NA")</f>
        <v>0</v>
      </c>
      <c r="G410" s="9"/>
      <c r="H410" s="10">
        <f t="shared" si="100"/>
        <v>0</v>
      </c>
      <c r="I410" s="8">
        <f>IFERROR(H410/H445, "NA")</f>
        <v>0</v>
      </c>
      <c r="J410" s="9"/>
      <c r="K410" s="7">
        <v>0</v>
      </c>
      <c r="L410" s="8">
        <f>IFERROR(K410/K445, "NA")</f>
        <v>0</v>
      </c>
      <c r="M410" s="9"/>
      <c r="N410" s="10">
        <f t="shared" si="101"/>
        <v>0</v>
      </c>
      <c r="O410" s="8">
        <f>IFERROR(N410/N445, "NA")</f>
        <v>0</v>
      </c>
      <c r="P410" s="9"/>
      <c r="Q410" s="7">
        <v>0</v>
      </c>
      <c r="R410" s="8">
        <f>IFERROR(Q410/Q445, "NA")</f>
        <v>0</v>
      </c>
      <c r="S410" s="9"/>
      <c r="T410" s="7">
        <v>0</v>
      </c>
      <c r="U410" s="8">
        <f>IFERROR(T410/T445, "NA")</f>
        <v>0</v>
      </c>
      <c r="V410" s="9"/>
      <c r="W410" s="10">
        <f t="shared" si="102"/>
        <v>0</v>
      </c>
      <c r="X410" s="8">
        <f>IFERROR(W410/W445, "NA")</f>
        <v>0</v>
      </c>
      <c r="Y410" s="9"/>
      <c r="Z410" s="7">
        <v>0</v>
      </c>
      <c r="AA410" s="8">
        <f>IFERROR(Z410/Z445, "NA")</f>
        <v>0</v>
      </c>
      <c r="AB410" s="9"/>
      <c r="AC410" s="10">
        <f t="shared" si="103"/>
        <v>0</v>
      </c>
      <c r="AD410" s="8">
        <f>IFERROR(AC410/AC445, "NA")</f>
        <v>0</v>
      </c>
    </row>
    <row r="411" spans="1:30" ht="16.5" customHeight="1" x14ac:dyDescent="0.45">
      <c r="A411" s="6" t="s">
        <v>376</v>
      </c>
      <c r="B411" s="7">
        <v>5570.32</v>
      </c>
      <c r="C411" s="8">
        <f>IFERROR(B411/B445, "NA")</f>
        <v>6.3820687232551396E-2</v>
      </c>
      <c r="D411" s="9"/>
      <c r="E411" s="7">
        <v>0</v>
      </c>
      <c r="F411" s="8">
        <f>IFERROR(E411/E445, "NA")</f>
        <v>0</v>
      </c>
      <c r="G411" s="9"/>
      <c r="H411" s="10">
        <f t="shared" si="100"/>
        <v>-5570.32</v>
      </c>
      <c r="I411" s="8">
        <f>IFERROR(H411/H445, "NA")</f>
        <v>0.92494126047140968</v>
      </c>
      <c r="J411" s="9"/>
      <c r="K411" s="7">
        <v>3879.26</v>
      </c>
      <c r="L411" s="8">
        <f>IFERROR(K411/K445, "NA")</f>
        <v>4.5474788153152201E-2</v>
      </c>
      <c r="M411" s="9"/>
      <c r="N411" s="10">
        <f t="shared" si="101"/>
        <v>-1691.0599999999995</v>
      </c>
      <c r="O411" s="8">
        <f>IFERROR(N411/N445, "NA")</f>
        <v>-0.85620690004354372</v>
      </c>
      <c r="P411" s="9"/>
      <c r="Q411" s="7">
        <v>26008.12</v>
      </c>
      <c r="R411" s="8">
        <f>IFERROR(Q411/Q445, "NA")</f>
        <v>5.8139127309079303E-2</v>
      </c>
      <c r="S411" s="9"/>
      <c r="T411" s="7">
        <v>0</v>
      </c>
      <c r="U411" s="8">
        <f>IFERROR(T411/T445, "NA")</f>
        <v>0</v>
      </c>
      <c r="V411" s="9"/>
      <c r="W411" s="10">
        <f t="shared" si="102"/>
        <v>-26008.12</v>
      </c>
      <c r="X411" s="8">
        <f>IFERROR(W411/W445, "NA")</f>
        <v>-4.1145122582094444</v>
      </c>
      <c r="Y411" s="9"/>
      <c r="Z411" s="7">
        <v>19303.75</v>
      </c>
      <c r="AA411" s="8">
        <f>IFERROR(Z411/Z445, "NA")</f>
        <v>4.7023948883350673E-2</v>
      </c>
      <c r="AB411" s="9"/>
      <c r="AC411" s="10">
        <f t="shared" si="103"/>
        <v>-6704.369999999999</v>
      </c>
      <c r="AD411" s="8">
        <f>IFERROR(AC411/AC445, "NA")</f>
        <v>-0.18201634418737733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IFERROR(B412/B445, "NA")</f>
        <v>0</v>
      </c>
      <c r="D412" s="9"/>
      <c r="E412" s="7">
        <v>0</v>
      </c>
      <c r="F412" s="8">
        <f>IFERROR(E412/E445, "NA")</f>
        <v>0</v>
      </c>
      <c r="G412" s="9"/>
      <c r="H412" s="10">
        <f t="shared" si="100"/>
        <v>0</v>
      </c>
      <c r="I412" s="8">
        <f>IFERROR(H412/H445, "NA")</f>
        <v>0</v>
      </c>
      <c r="J412" s="9"/>
      <c r="K412" s="7">
        <v>0</v>
      </c>
      <c r="L412" s="8">
        <f>IFERROR(K412/K445, "NA")</f>
        <v>0</v>
      </c>
      <c r="M412" s="9"/>
      <c r="N412" s="10">
        <f t="shared" si="101"/>
        <v>0</v>
      </c>
      <c r="O412" s="8">
        <f>IFERROR(N412/N445, "NA")</f>
        <v>0</v>
      </c>
      <c r="P412" s="9"/>
      <c r="Q412" s="7">
        <v>0</v>
      </c>
      <c r="R412" s="8">
        <f>IFERROR(Q412/Q445, "NA")</f>
        <v>0</v>
      </c>
      <c r="S412" s="9"/>
      <c r="T412" s="7">
        <v>0</v>
      </c>
      <c r="U412" s="8">
        <f>IFERROR(T412/T445, "NA")</f>
        <v>0</v>
      </c>
      <c r="V412" s="9"/>
      <c r="W412" s="10">
        <f t="shared" si="102"/>
        <v>0</v>
      </c>
      <c r="X412" s="8">
        <f>IFERROR(W412/W445, "NA")</f>
        <v>0</v>
      </c>
      <c r="Y412" s="9"/>
      <c r="Z412" s="7">
        <v>0</v>
      </c>
      <c r="AA412" s="8">
        <f>IFERROR(Z412/Z445, "NA")</f>
        <v>0</v>
      </c>
      <c r="AB412" s="9"/>
      <c r="AC412" s="10">
        <f t="shared" si="103"/>
        <v>0</v>
      </c>
      <c r="AD412" s="8">
        <f>IFERROR(AC412/AC445,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IFERROR(B413/B445, "NA")</f>
        <v>0</v>
      </c>
      <c r="D413" s="9"/>
      <c r="E413" s="7">
        <v>0</v>
      </c>
      <c r="F413" s="8">
        <f>IFERROR(E413/E445, "NA")</f>
        <v>0</v>
      </c>
      <c r="G413" s="9"/>
      <c r="H413" s="10">
        <f t="shared" si="100"/>
        <v>0</v>
      </c>
      <c r="I413" s="8">
        <f>IFERROR(H413/H445, "NA")</f>
        <v>0</v>
      </c>
      <c r="J413" s="9"/>
      <c r="K413" s="7">
        <v>0</v>
      </c>
      <c r="L413" s="8">
        <f>IFERROR(K413/K445, "NA")</f>
        <v>0</v>
      </c>
      <c r="M413" s="9"/>
      <c r="N413" s="10">
        <f t="shared" si="101"/>
        <v>0</v>
      </c>
      <c r="O413" s="8">
        <f>IFERROR(N413/N445, "NA")</f>
        <v>0</v>
      </c>
      <c r="P413" s="9"/>
      <c r="Q413" s="7">
        <v>0</v>
      </c>
      <c r="R413" s="8">
        <f>IFERROR(Q413/Q445, "NA")</f>
        <v>0</v>
      </c>
      <c r="S413" s="9"/>
      <c r="T413" s="7">
        <v>0</v>
      </c>
      <c r="U413" s="8">
        <f>IFERROR(T413/T445, "NA")</f>
        <v>0</v>
      </c>
      <c r="V413" s="9"/>
      <c r="W413" s="10">
        <f t="shared" si="102"/>
        <v>0</v>
      </c>
      <c r="X413" s="8">
        <f>IFERROR(W413/W445, "NA")</f>
        <v>0</v>
      </c>
      <c r="Y413" s="9"/>
      <c r="Z413" s="7">
        <v>0</v>
      </c>
      <c r="AA413" s="8">
        <f>IFERROR(Z413/Z445, "NA")</f>
        <v>0</v>
      </c>
      <c r="AB413" s="9"/>
      <c r="AC413" s="10">
        <f t="shared" si="103"/>
        <v>0</v>
      </c>
      <c r="AD413" s="8">
        <f>IFERROR(AC413/AC445,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IFERROR(B414/B445, "NA")</f>
        <v>0</v>
      </c>
      <c r="D414" s="9"/>
      <c r="E414" s="7">
        <v>0</v>
      </c>
      <c r="F414" s="8">
        <f>IFERROR(E414/E445, "NA")</f>
        <v>0</v>
      </c>
      <c r="G414" s="9"/>
      <c r="H414" s="10">
        <f t="shared" si="100"/>
        <v>0</v>
      </c>
      <c r="I414" s="8">
        <f>IFERROR(H414/H445, "NA")</f>
        <v>0</v>
      </c>
      <c r="J414" s="9"/>
      <c r="K414" s="7">
        <v>0</v>
      </c>
      <c r="L414" s="8">
        <f>IFERROR(K414/K445, "NA")</f>
        <v>0</v>
      </c>
      <c r="M414" s="9"/>
      <c r="N414" s="10">
        <f t="shared" si="101"/>
        <v>0</v>
      </c>
      <c r="O414" s="8">
        <f>IFERROR(N414/N445, "NA")</f>
        <v>0</v>
      </c>
      <c r="P414" s="9"/>
      <c r="Q414" s="7">
        <v>0</v>
      </c>
      <c r="R414" s="8">
        <f>IFERROR(Q414/Q445, "NA")</f>
        <v>0</v>
      </c>
      <c r="S414" s="9"/>
      <c r="T414" s="7">
        <v>0</v>
      </c>
      <c r="U414" s="8">
        <f>IFERROR(T414/T445, "NA")</f>
        <v>0</v>
      </c>
      <c r="V414" s="9"/>
      <c r="W414" s="10">
        <f t="shared" si="102"/>
        <v>0</v>
      </c>
      <c r="X414" s="8">
        <f>IFERROR(W414/W445, "NA")</f>
        <v>0</v>
      </c>
      <c r="Y414" s="9"/>
      <c r="Z414" s="7">
        <v>0</v>
      </c>
      <c r="AA414" s="8">
        <f>IFERROR(Z414/Z445, "NA")</f>
        <v>0</v>
      </c>
      <c r="AB414" s="9"/>
      <c r="AC414" s="10">
        <f t="shared" si="103"/>
        <v>0</v>
      </c>
      <c r="AD414" s="8">
        <f>IFERROR(AC414/AC445,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IFERROR(B415/B445, "NA")</f>
        <v>0</v>
      </c>
      <c r="D415" s="9"/>
      <c r="E415" s="7">
        <v>0</v>
      </c>
      <c r="F415" s="8">
        <f>IFERROR(E415/E445, "NA")</f>
        <v>0</v>
      </c>
      <c r="G415" s="9"/>
      <c r="H415" s="10">
        <f t="shared" si="100"/>
        <v>0</v>
      </c>
      <c r="I415" s="8">
        <f>IFERROR(H415/H445, "NA")</f>
        <v>0</v>
      </c>
      <c r="J415" s="9"/>
      <c r="K415" s="7">
        <v>0</v>
      </c>
      <c r="L415" s="8">
        <f>IFERROR(K415/K445, "NA")</f>
        <v>0</v>
      </c>
      <c r="M415" s="9"/>
      <c r="N415" s="10">
        <f t="shared" si="101"/>
        <v>0</v>
      </c>
      <c r="O415" s="8">
        <f>IFERROR(N415/N445, "NA")</f>
        <v>0</v>
      </c>
      <c r="P415" s="9"/>
      <c r="Q415" s="7">
        <v>0</v>
      </c>
      <c r="R415" s="8">
        <f>IFERROR(Q415/Q445, "NA")</f>
        <v>0</v>
      </c>
      <c r="S415" s="9"/>
      <c r="T415" s="7">
        <v>0</v>
      </c>
      <c r="U415" s="8">
        <f>IFERROR(T415/T445, "NA")</f>
        <v>0</v>
      </c>
      <c r="V415" s="9"/>
      <c r="W415" s="10">
        <f t="shared" si="102"/>
        <v>0</v>
      </c>
      <c r="X415" s="8">
        <f>IFERROR(W415/W445, "NA")</f>
        <v>0</v>
      </c>
      <c r="Y415" s="9"/>
      <c r="Z415" s="7">
        <v>0</v>
      </c>
      <c r="AA415" s="8">
        <f>IFERROR(Z415/Z445, "NA")</f>
        <v>0</v>
      </c>
      <c r="AB415" s="9"/>
      <c r="AC415" s="10">
        <f t="shared" si="103"/>
        <v>0</v>
      </c>
      <c r="AD415" s="8">
        <f>IFERROR(AC415/AC445,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IFERROR(B416/B445, "NA")</f>
        <v>0</v>
      </c>
      <c r="D416" s="9"/>
      <c r="E416" s="7">
        <v>0</v>
      </c>
      <c r="F416" s="8">
        <f>IFERROR(E416/E445, "NA")</f>
        <v>0</v>
      </c>
      <c r="G416" s="9"/>
      <c r="H416" s="10">
        <f t="shared" si="100"/>
        <v>0</v>
      </c>
      <c r="I416" s="8">
        <f>IFERROR(H416/H445, "NA")</f>
        <v>0</v>
      </c>
      <c r="J416" s="9"/>
      <c r="K416" s="7">
        <v>0</v>
      </c>
      <c r="L416" s="8">
        <f>IFERROR(K416/K445, "NA")</f>
        <v>0</v>
      </c>
      <c r="M416" s="9"/>
      <c r="N416" s="10">
        <f t="shared" si="101"/>
        <v>0</v>
      </c>
      <c r="O416" s="8">
        <f>IFERROR(N416/N445, "NA")</f>
        <v>0</v>
      </c>
      <c r="P416" s="9"/>
      <c r="Q416" s="7">
        <v>0</v>
      </c>
      <c r="R416" s="8">
        <f>IFERROR(Q416/Q445, "NA")</f>
        <v>0</v>
      </c>
      <c r="S416" s="9"/>
      <c r="T416" s="7">
        <v>0</v>
      </c>
      <c r="U416" s="8">
        <f>IFERROR(T416/T445, "NA")</f>
        <v>0</v>
      </c>
      <c r="V416" s="9"/>
      <c r="W416" s="10">
        <f t="shared" si="102"/>
        <v>0</v>
      </c>
      <c r="X416" s="8">
        <f>IFERROR(W416/W445, "NA")</f>
        <v>0</v>
      </c>
      <c r="Y416" s="9"/>
      <c r="Z416" s="7">
        <v>0</v>
      </c>
      <c r="AA416" s="8">
        <f>IFERROR(Z416/Z445, "NA")</f>
        <v>0</v>
      </c>
      <c r="AB416" s="9"/>
      <c r="AC416" s="10">
        <f t="shared" si="103"/>
        <v>0</v>
      </c>
      <c r="AD416" s="8">
        <f>IFERROR(AC416/AC445, "NA")</f>
        <v>0</v>
      </c>
    </row>
    <row r="417" spans="1:30" ht="16.5" customHeight="1" x14ac:dyDescent="0.45">
      <c r="A417" s="6" t="s">
        <v>382</v>
      </c>
      <c r="B417" s="7">
        <v>0</v>
      </c>
      <c r="C417" s="8">
        <f>IFERROR(B417/B445, "NA")</f>
        <v>0</v>
      </c>
      <c r="D417" s="9"/>
      <c r="E417" s="7">
        <v>0</v>
      </c>
      <c r="F417" s="8">
        <f>IFERROR(E417/E445, "NA")</f>
        <v>0</v>
      </c>
      <c r="G417" s="9"/>
      <c r="H417" s="10">
        <f t="shared" si="100"/>
        <v>0</v>
      </c>
      <c r="I417" s="8">
        <f>IFERROR(H417/H445, "NA")</f>
        <v>0</v>
      </c>
      <c r="J417" s="9"/>
      <c r="K417" s="7">
        <v>0</v>
      </c>
      <c r="L417" s="8">
        <f>IFERROR(K417/K445, "NA")</f>
        <v>0</v>
      </c>
      <c r="M417" s="9"/>
      <c r="N417" s="10">
        <f t="shared" si="101"/>
        <v>0</v>
      </c>
      <c r="O417" s="8">
        <f>IFERROR(N417/N445, "NA")</f>
        <v>0</v>
      </c>
      <c r="P417" s="9"/>
      <c r="Q417" s="7">
        <v>-21.24</v>
      </c>
      <c r="R417" s="8">
        <f>IFERROR(Q417/Q445, "NA")</f>
        <v>-4.7480366287330429E-5</v>
      </c>
      <c r="S417" s="9"/>
      <c r="T417" s="7">
        <v>0</v>
      </c>
      <c r="U417" s="8">
        <f>IFERROR(T417/T445, "NA")</f>
        <v>0</v>
      </c>
      <c r="V417" s="9"/>
      <c r="W417" s="10">
        <f t="shared" si="102"/>
        <v>21.24</v>
      </c>
      <c r="X417" s="8">
        <f>IFERROR(W417/W445, "NA")</f>
        <v>3.3601906006419761E-3</v>
      </c>
      <c r="Y417" s="9"/>
      <c r="Z417" s="7">
        <v>0</v>
      </c>
      <c r="AA417" s="8">
        <f>IFERROR(Z417/Z445, "NA")</f>
        <v>0</v>
      </c>
      <c r="AB417" s="9"/>
      <c r="AC417" s="10">
        <f t="shared" si="103"/>
        <v>21.24</v>
      </c>
      <c r="AD417" s="8">
        <f>IFERROR(AC417/AC445, "NA")</f>
        <v>5.7664286883628063E-4</v>
      </c>
    </row>
    <row r="418" spans="1:30" ht="16.5" customHeight="1" x14ac:dyDescent="0.45">
      <c r="A418" s="6" t="s">
        <v>383</v>
      </c>
      <c r="B418" s="7">
        <v>-95.77</v>
      </c>
      <c r="C418" s="8">
        <f>IFERROR(B418/B445, "NA")</f>
        <v>-1.09726321221428E-3</v>
      </c>
      <c r="D418" s="9"/>
      <c r="E418" s="7">
        <v>0</v>
      </c>
      <c r="F418" s="8">
        <f>IFERROR(E418/E445, "NA")</f>
        <v>0</v>
      </c>
      <c r="G418" s="9"/>
      <c r="H418" s="10">
        <f t="shared" si="100"/>
        <v>95.77</v>
      </c>
      <c r="I418" s="8">
        <f>IFERROR(H418/H445, "NA")</f>
        <v>-1.5902430114490176E-2</v>
      </c>
      <c r="J418" s="9"/>
      <c r="K418" s="7">
        <v>-3.5</v>
      </c>
      <c r="L418" s="8">
        <f>IFERROR(K418/K445, "NA")</f>
        <v>-4.1028896886528025E-5</v>
      </c>
      <c r="M418" s="9"/>
      <c r="N418" s="10">
        <f t="shared" si="101"/>
        <v>92.27</v>
      </c>
      <c r="O418" s="8">
        <f>IFERROR(N418/N445, "NA")</f>
        <v>4.6717568073881353E-2</v>
      </c>
      <c r="P418" s="9"/>
      <c r="Q418" s="7">
        <v>-85.3</v>
      </c>
      <c r="R418" s="8">
        <f>IFERROR(Q418/Q445, "NA")</f>
        <v>-1.9068150867746167E-4</v>
      </c>
      <c r="S418" s="9"/>
      <c r="T418" s="7">
        <v>0</v>
      </c>
      <c r="U418" s="8">
        <f>IFERROR(T418/T445, "NA")</f>
        <v>0</v>
      </c>
      <c r="V418" s="9"/>
      <c r="W418" s="10">
        <f t="shared" si="102"/>
        <v>85.3</v>
      </c>
      <c r="X418" s="8">
        <f>IFERROR(W418/W445, "NA")</f>
        <v>1.3494550764348426E-2</v>
      </c>
      <c r="Y418" s="9"/>
      <c r="Z418" s="7">
        <v>112.19</v>
      </c>
      <c r="AA418" s="8">
        <f>IFERROR(Z418/Z445, "NA")</f>
        <v>2.732949206875924E-4</v>
      </c>
      <c r="AB418" s="9"/>
      <c r="AC418" s="10">
        <f t="shared" si="103"/>
        <v>197.49</v>
      </c>
      <c r="AD418" s="8">
        <f>IFERROR(AC418/AC445, "NA")</f>
        <v>5.3616384259170006E-3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IFERROR(B419/B445, "NA")</f>
        <v>0</v>
      </c>
      <c r="D419" s="9"/>
      <c r="E419" s="7">
        <v>0</v>
      </c>
      <c r="F419" s="8">
        <f>IFERROR(E419/E445, "NA")</f>
        <v>0</v>
      </c>
      <c r="G419" s="9"/>
      <c r="H419" s="10">
        <f t="shared" si="100"/>
        <v>0</v>
      </c>
      <c r="I419" s="8">
        <f>IFERROR(H419/H445, "NA")</f>
        <v>0</v>
      </c>
      <c r="J419" s="9"/>
      <c r="K419" s="7">
        <v>0</v>
      </c>
      <c r="L419" s="8">
        <f>IFERROR(K419/K445, "NA")</f>
        <v>0</v>
      </c>
      <c r="M419" s="9"/>
      <c r="N419" s="10">
        <f t="shared" si="101"/>
        <v>0</v>
      </c>
      <c r="O419" s="8">
        <f>IFERROR(N419/N445, "NA")</f>
        <v>0</v>
      </c>
      <c r="P419" s="9"/>
      <c r="Q419" s="7">
        <v>0</v>
      </c>
      <c r="R419" s="8">
        <f>IFERROR(Q419/Q445, "NA")</f>
        <v>0</v>
      </c>
      <c r="S419" s="9"/>
      <c r="T419" s="7">
        <v>0</v>
      </c>
      <c r="U419" s="8">
        <f>IFERROR(T419/T445, "NA")</f>
        <v>0</v>
      </c>
      <c r="V419" s="9"/>
      <c r="W419" s="10">
        <f t="shared" si="102"/>
        <v>0</v>
      </c>
      <c r="X419" s="8">
        <f>IFERROR(W419/W445, "NA")</f>
        <v>0</v>
      </c>
      <c r="Y419" s="9"/>
      <c r="Z419" s="7">
        <v>0</v>
      </c>
      <c r="AA419" s="8">
        <f>IFERROR(Z419/Z445, "NA")</f>
        <v>0</v>
      </c>
      <c r="AB419" s="9"/>
      <c r="AC419" s="10">
        <f t="shared" si="103"/>
        <v>0</v>
      </c>
      <c r="AD419" s="8">
        <f>IFERROR(AC419/AC445,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IFERROR(B420/B445, "NA")</f>
        <v>0</v>
      </c>
      <c r="D420" s="9"/>
      <c r="E420" s="7">
        <v>0</v>
      </c>
      <c r="F420" s="8">
        <f>IFERROR(E420/E445, "NA")</f>
        <v>0</v>
      </c>
      <c r="G420" s="9"/>
      <c r="H420" s="10">
        <f t="shared" si="100"/>
        <v>0</v>
      </c>
      <c r="I420" s="8">
        <f>IFERROR(H420/H445, "NA")</f>
        <v>0</v>
      </c>
      <c r="J420" s="9"/>
      <c r="K420" s="7">
        <v>0</v>
      </c>
      <c r="L420" s="8">
        <f>IFERROR(K420/K445, "NA")</f>
        <v>0</v>
      </c>
      <c r="M420" s="9"/>
      <c r="N420" s="10">
        <f t="shared" si="101"/>
        <v>0</v>
      </c>
      <c r="O420" s="8">
        <f>IFERROR(N420/N445, "NA")</f>
        <v>0</v>
      </c>
      <c r="P420" s="9"/>
      <c r="Q420" s="7">
        <v>0</v>
      </c>
      <c r="R420" s="8">
        <f>IFERROR(Q420/Q445, "NA")</f>
        <v>0</v>
      </c>
      <c r="S420" s="9"/>
      <c r="T420" s="7">
        <v>0</v>
      </c>
      <c r="U420" s="8">
        <f>IFERROR(T420/T445, "NA")</f>
        <v>0</v>
      </c>
      <c r="V420" s="9"/>
      <c r="W420" s="10">
        <f t="shared" si="102"/>
        <v>0</v>
      </c>
      <c r="X420" s="8">
        <f>IFERROR(W420/W445, "NA")</f>
        <v>0</v>
      </c>
      <c r="Y420" s="9"/>
      <c r="Z420" s="7">
        <v>0</v>
      </c>
      <c r="AA420" s="8">
        <f>IFERROR(Z420/Z445, "NA")</f>
        <v>0</v>
      </c>
      <c r="AB420" s="9"/>
      <c r="AC420" s="10">
        <f t="shared" si="103"/>
        <v>0</v>
      </c>
      <c r="AD420" s="8">
        <f>IFERROR(AC420/AC445,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IFERROR(B421/B445, "NA")</f>
        <v>0</v>
      </c>
      <c r="D421" s="9"/>
      <c r="E421" s="7">
        <v>0</v>
      </c>
      <c r="F421" s="8">
        <f>IFERROR(E421/E445, "NA")</f>
        <v>0</v>
      </c>
      <c r="G421" s="9"/>
      <c r="H421" s="10">
        <f t="shared" si="100"/>
        <v>0</v>
      </c>
      <c r="I421" s="8">
        <f>IFERROR(H421/H445, "NA")</f>
        <v>0</v>
      </c>
      <c r="J421" s="9"/>
      <c r="K421" s="7">
        <v>0</v>
      </c>
      <c r="L421" s="8">
        <f>IFERROR(K421/K445, "NA")</f>
        <v>0</v>
      </c>
      <c r="M421" s="9"/>
      <c r="N421" s="10">
        <f t="shared" si="101"/>
        <v>0</v>
      </c>
      <c r="O421" s="8">
        <f>IFERROR(N421/N445, "NA")</f>
        <v>0</v>
      </c>
      <c r="P421" s="9"/>
      <c r="Q421" s="7">
        <v>0</v>
      </c>
      <c r="R421" s="8">
        <f>IFERROR(Q421/Q445, "NA")</f>
        <v>0</v>
      </c>
      <c r="S421" s="9"/>
      <c r="T421" s="7">
        <v>0</v>
      </c>
      <c r="U421" s="8">
        <f>IFERROR(T421/T445, "NA")</f>
        <v>0</v>
      </c>
      <c r="V421" s="9"/>
      <c r="W421" s="10">
        <f t="shared" si="102"/>
        <v>0</v>
      </c>
      <c r="X421" s="8">
        <f>IFERROR(W421/W445, "NA")</f>
        <v>0</v>
      </c>
      <c r="Y421" s="9"/>
      <c r="Z421" s="7">
        <v>0</v>
      </c>
      <c r="AA421" s="8">
        <f>IFERROR(Z421/Z445, "NA")</f>
        <v>0</v>
      </c>
      <c r="AB421" s="9"/>
      <c r="AC421" s="10">
        <f t="shared" si="103"/>
        <v>0</v>
      </c>
      <c r="AD421" s="8">
        <f>IFERROR(AC421/AC445,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IFERROR(B422/B445, "NA")</f>
        <v>0</v>
      </c>
      <c r="D422" s="9"/>
      <c r="E422" s="7">
        <v>0</v>
      </c>
      <c r="F422" s="8">
        <f>IFERROR(E422/E445, "NA")</f>
        <v>0</v>
      </c>
      <c r="G422" s="9"/>
      <c r="H422" s="10">
        <f t="shared" si="100"/>
        <v>0</v>
      </c>
      <c r="I422" s="8">
        <f>IFERROR(H422/H445, "NA")</f>
        <v>0</v>
      </c>
      <c r="J422" s="9"/>
      <c r="K422" s="7">
        <v>0</v>
      </c>
      <c r="L422" s="8">
        <f>IFERROR(K422/K445, "NA")</f>
        <v>0</v>
      </c>
      <c r="M422" s="9"/>
      <c r="N422" s="10">
        <f t="shared" si="101"/>
        <v>0</v>
      </c>
      <c r="O422" s="8">
        <f>IFERROR(N422/N445, "NA")</f>
        <v>0</v>
      </c>
      <c r="P422" s="9"/>
      <c r="Q422" s="7">
        <v>0</v>
      </c>
      <c r="R422" s="8">
        <f>IFERROR(Q422/Q445, "NA")</f>
        <v>0</v>
      </c>
      <c r="S422" s="9"/>
      <c r="T422" s="7">
        <v>0</v>
      </c>
      <c r="U422" s="8">
        <f>IFERROR(T422/T445, "NA")</f>
        <v>0</v>
      </c>
      <c r="V422" s="9"/>
      <c r="W422" s="10">
        <f t="shared" si="102"/>
        <v>0</v>
      </c>
      <c r="X422" s="8">
        <f>IFERROR(W422/W445, "NA")</f>
        <v>0</v>
      </c>
      <c r="Y422" s="9"/>
      <c r="Z422" s="7">
        <v>0</v>
      </c>
      <c r="AA422" s="8">
        <f>IFERROR(Z422/Z445, "NA")</f>
        <v>0</v>
      </c>
      <c r="AB422" s="9"/>
      <c r="AC422" s="10">
        <f t="shared" si="103"/>
        <v>0</v>
      </c>
      <c r="AD422" s="8">
        <f>IFERROR(AC422/AC445,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IFERROR(B423/B445, "NA")</f>
        <v>0</v>
      </c>
      <c r="D423" s="9"/>
      <c r="E423" s="7">
        <v>0</v>
      </c>
      <c r="F423" s="8">
        <f>IFERROR(E423/E445, "NA")</f>
        <v>0</v>
      </c>
      <c r="G423" s="9"/>
      <c r="H423" s="10">
        <f t="shared" si="100"/>
        <v>0</v>
      </c>
      <c r="I423" s="8">
        <f>IFERROR(H423/H445, "NA")</f>
        <v>0</v>
      </c>
      <c r="J423" s="9"/>
      <c r="K423" s="7">
        <v>0</v>
      </c>
      <c r="L423" s="8">
        <f>IFERROR(K423/K445, "NA")</f>
        <v>0</v>
      </c>
      <c r="M423" s="9"/>
      <c r="N423" s="10">
        <f t="shared" si="101"/>
        <v>0</v>
      </c>
      <c r="O423" s="8">
        <f>IFERROR(N423/N445, "NA")</f>
        <v>0</v>
      </c>
      <c r="P423" s="9"/>
      <c r="Q423" s="7">
        <v>0</v>
      </c>
      <c r="R423" s="8">
        <f>IFERROR(Q423/Q445, "NA")</f>
        <v>0</v>
      </c>
      <c r="S423" s="9"/>
      <c r="T423" s="7">
        <v>0</v>
      </c>
      <c r="U423" s="8">
        <f>IFERROR(T423/T445, "NA")</f>
        <v>0</v>
      </c>
      <c r="V423" s="9"/>
      <c r="W423" s="10">
        <f t="shared" si="102"/>
        <v>0</v>
      </c>
      <c r="X423" s="8">
        <f>IFERROR(W423/W445, "NA")</f>
        <v>0</v>
      </c>
      <c r="Y423" s="9"/>
      <c r="Z423" s="7">
        <v>0</v>
      </c>
      <c r="AA423" s="8">
        <f>IFERROR(Z423/Z445, "NA")</f>
        <v>0</v>
      </c>
      <c r="AB423" s="9"/>
      <c r="AC423" s="10">
        <f t="shared" si="103"/>
        <v>0</v>
      </c>
      <c r="AD423" s="8">
        <f>IFERROR(AC423/AC445,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IFERROR(B424/B445, "NA")</f>
        <v>0</v>
      </c>
      <c r="D424" s="9"/>
      <c r="E424" s="7">
        <v>0</v>
      </c>
      <c r="F424" s="8">
        <f>IFERROR(E424/E445, "NA")</f>
        <v>0</v>
      </c>
      <c r="G424" s="9"/>
      <c r="H424" s="10">
        <f t="shared" si="100"/>
        <v>0</v>
      </c>
      <c r="I424" s="8">
        <f>IFERROR(H424/H445, "NA")</f>
        <v>0</v>
      </c>
      <c r="J424" s="9"/>
      <c r="K424" s="7">
        <v>0</v>
      </c>
      <c r="L424" s="8">
        <f>IFERROR(K424/K445, "NA")</f>
        <v>0</v>
      </c>
      <c r="M424" s="9"/>
      <c r="N424" s="10">
        <f t="shared" si="101"/>
        <v>0</v>
      </c>
      <c r="O424" s="8">
        <f>IFERROR(N424/N445, "NA")</f>
        <v>0</v>
      </c>
      <c r="P424" s="9"/>
      <c r="Q424" s="7">
        <v>0</v>
      </c>
      <c r="R424" s="8">
        <f>IFERROR(Q424/Q445, "NA")</f>
        <v>0</v>
      </c>
      <c r="S424" s="9"/>
      <c r="T424" s="7">
        <v>0</v>
      </c>
      <c r="U424" s="8">
        <f>IFERROR(T424/T445, "NA")</f>
        <v>0</v>
      </c>
      <c r="V424" s="9"/>
      <c r="W424" s="10">
        <f t="shared" si="102"/>
        <v>0</v>
      </c>
      <c r="X424" s="8">
        <f>IFERROR(W424/W445, "NA")</f>
        <v>0</v>
      </c>
      <c r="Y424" s="9"/>
      <c r="Z424" s="7">
        <v>0</v>
      </c>
      <c r="AA424" s="8">
        <f>IFERROR(Z424/Z445, "NA")</f>
        <v>0</v>
      </c>
      <c r="AB424" s="9"/>
      <c r="AC424" s="10">
        <f t="shared" si="103"/>
        <v>0</v>
      </c>
      <c r="AD424" s="8">
        <f>IFERROR(AC424/AC445, "NA")</f>
        <v>0</v>
      </c>
    </row>
    <row r="425" spans="1:30" ht="16.5" customHeight="1" x14ac:dyDescent="0.45">
      <c r="A425" s="6" t="s">
        <v>390</v>
      </c>
      <c r="B425" s="7">
        <v>67.08</v>
      </c>
      <c r="C425" s="8">
        <f>IFERROR(B425/B445, "NA")</f>
        <v>7.6855399681877309E-4</v>
      </c>
      <c r="D425" s="9"/>
      <c r="E425" s="7">
        <v>0</v>
      </c>
      <c r="F425" s="8">
        <f>IFERROR(E425/E445, "NA")</f>
        <v>0</v>
      </c>
      <c r="G425" s="9"/>
      <c r="H425" s="10">
        <f t="shared" si="100"/>
        <v>-67.08</v>
      </c>
      <c r="I425" s="8">
        <f>IFERROR(H425/H445, "NA")</f>
        <v>1.1138509053774679E-2</v>
      </c>
      <c r="J425" s="9"/>
      <c r="K425" s="7">
        <v>47.92</v>
      </c>
      <c r="L425" s="8">
        <f>IFERROR(K425/K445, "NA")</f>
        <v>5.6174421108640658E-4</v>
      </c>
      <c r="M425" s="9"/>
      <c r="N425" s="10">
        <f t="shared" si="101"/>
        <v>-19.159999999999997</v>
      </c>
      <c r="O425" s="8">
        <f>IFERROR(N425/N445, "NA")</f>
        <v>-9.7009711097384484E-3</v>
      </c>
      <c r="P425" s="9"/>
      <c r="Q425" s="7">
        <v>335.4</v>
      </c>
      <c r="R425" s="8">
        <f>IFERROR(Q425/Q445, "NA")</f>
        <v>7.4976058628863584E-4</v>
      </c>
      <c r="S425" s="9"/>
      <c r="T425" s="7">
        <v>0</v>
      </c>
      <c r="U425" s="8">
        <f>IFERROR(T425/T445, "NA")</f>
        <v>0</v>
      </c>
      <c r="V425" s="9"/>
      <c r="W425" s="10">
        <f t="shared" si="102"/>
        <v>-335.4</v>
      </c>
      <c r="X425" s="8">
        <f>IFERROR(W425/W445, "NA")</f>
        <v>-5.3060636885843629E-2</v>
      </c>
      <c r="Y425" s="9"/>
      <c r="Z425" s="7">
        <v>239.6</v>
      </c>
      <c r="AA425" s="8">
        <f>IFERROR(Z425/Z445, "NA")</f>
        <v>5.8366577232148262E-4</v>
      </c>
      <c r="AB425" s="9"/>
      <c r="AC425" s="10">
        <f t="shared" si="103"/>
        <v>-95.799999999999983</v>
      </c>
      <c r="AD425" s="8">
        <f>IFERROR(AC425/AC445, "NA")</f>
        <v>-2.6008656701749381E-3</v>
      </c>
    </row>
    <row r="426" spans="1:30" ht="16.5" customHeight="1" x14ac:dyDescent="0.45">
      <c r="A426" s="6" t="s">
        <v>391</v>
      </c>
      <c r="B426" s="7">
        <v>0</v>
      </c>
      <c r="C426" s="8">
        <f>IFERROR(B426/B445, "NA")</f>
        <v>0</v>
      </c>
      <c r="D426" s="9"/>
      <c r="E426" s="7">
        <v>0</v>
      </c>
      <c r="F426" s="8">
        <f>IFERROR(E426/E445, "NA")</f>
        <v>0</v>
      </c>
      <c r="G426" s="9"/>
      <c r="H426" s="10">
        <f t="shared" si="100"/>
        <v>0</v>
      </c>
      <c r="I426" s="8">
        <f>IFERROR(H426/H445, "NA")</f>
        <v>0</v>
      </c>
      <c r="J426" s="9"/>
      <c r="K426" s="7">
        <v>0</v>
      </c>
      <c r="L426" s="8">
        <f>IFERROR(K426/K445, "NA")</f>
        <v>0</v>
      </c>
      <c r="M426" s="9"/>
      <c r="N426" s="10">
        <f t="shared" si="101"/>
        <v>0</v>
      </c>
      <c r="O426" s="8">
        <f>IFERROR(N426/N445, "NA")</f>
        <v>0</v>
      </c>
      <c r="P426" s="9"/>
      <c r="Q426" s="7">
        <v>12875.21</v>
      </c>
      <c r="R426" s="8">
        <f>IFERROR(Q426/Q445, "NA")</f>
        <v>2.8781529511596026E-2</v>
      </c>
      <c r="S426" s="9"/>
      <c r="T426" s="7">
        <v>0</v>
      </c>
      <c r="U426" s="8">
        <f>IFERROR(T426/T445, "NA")</f>
        <v>0</v>
      </c>
      <c r="V426" s="9"/>
      <c r="W426" s="10">
        <f t="shared" si="102"/>
        <v>-12875.21</v>
      </c>
      <c r="X426" s="8">
        <f>IFERROR(W426/W445, "NA")</f>
        <v>-2.0368719220005449</v>
      </c>
      <c r="Y426" s="9"/>
      <c r="Z426" s="7">
        <v>0</v>
      </c>
      <c r="AA426" s="8">
        <f>IFERROR(Z426/Z445, "NA")</f>
        <v>0</v>
      </c>
      <c r="AB426" s="9"/>
      <c r="AC426" s="10">
        <f t="shared" si="103"/>
        <v>-12875.21</v>
      </c>
      <c r="AD426" s="8">
        <f>IFERROR(AC426/AC445, "NA")</f>
        <v>-0.34954792990911343</v>
      </c>
    </row>
    <row r="427" spans="1:30" ht="16.5" customHeight="1" x14ac:dyDescent="0.45">
      <c r="A427" s="6" t="s">
        <v>392</v>
      </c>
      <c r="B427" s="7">
        <v>-109.87</v>
      </c>
      <c r="C427" s="8">
        <f>IFERROR(B427/B445, "NA")</f>
        <v>-1.2588107875742189E-3</v>
      </c>
      <c r="D427" s="9"/>
      <c r="E427" s="7">
        <v>0</v>
      </c>
      <c r="F427" s="8">
        <f>IFERROR(E427/E445, "NA")</f>
        <v>0</v>
      </c>
      <c r="G427" s="9"/>
      <c r="H427" s="10">
        <f t="shared" si="100"/>
        <v>109.87</v>
      </c>
      <c r="I427" s="8">
        <f>IFERROR(H427/H445, "NA")</f>
        <v>-1.8243708851195944E-2</v>
      </c>
      <c r="J427" s="9"/>
      <c r="K427" s="7">
        <v>-131.31</v>
      </c>
      <c r="L427" s="8">
        <f>IFERROR(K427/K445, "NA")</f>
        <v>-1.5392869857628556E-3</v>
      </c>
      <c r="M427" s="9"/>
      <c r="N427" s="10">
        <f t="shared" si="101"/>
        <v>-21.439999999999998</v>
      </c>
      <c r="O427" s="8">
        <f>IFERROR(N427/N445, "NA")</f>
        <v>-1.0855366419248034E-2</v>
      </c>
      <c r="P427" s="9"/>
      <c r="Q427" s="7">
        <v>-554.44000000000005</v>
      </c>
      <c r="R427" s="8">
        <f>IFERROR(Q427/Q445, "NA")</f>
        <v>-1.2394074521820851E-3</v>
      </c>
      <c r="S427" s="9"/>
      <c r="T427" s="7">
        <v>0</v>
      </c>
      <c r="U427" s="8">
        <f>IFERROR(T427/T445, "NA")</f>
        <v>0</v>
      </c>
      <c r="V427" s="9"/>
      <c r="W427" s="10">
        <f t="shared" si="102"/>
        <v>554.44000000000005</v>
      </c>
      <c r="X427" s="8">
        <f>IFERROR(W427/W445, "NA")</f>
        <v>8.7712997957624175E-2</v>
      </c>
      <c r="Y427" s="9"/>
      <c r="Z427" s="7">
        <v>-666.83</v>
      </c>
      <c r="AA427" s="8">
        <f>IFERROR(Z427/Z445, "NA")</f>
        <v>-1.6243983595873718E-3</v>
      </c>
      <c r="AB427" s="9"/>
      <c r="AC427" s="10">
        <f t="shared" si="103"/>
        <v>-112.38999999999999</v>
      </c>
      <c r="AD427" s="8">
        <f>IFERROR(AC427/AC445, "NA")</f>
        <v>-3.0512661030371742E-3</v>
      </c>
    </row>
    <row r="428" spans="1:30" ht="16.5" hidden="1" customHeight="1" x14ac:dyDescent="0.45">
      <c r="A428" s="6" t="s">
        <v>393</v>
      </c>
      <c r="B428" s="7">
        <v>0</v>
      </c>
      <c r="C428" s="8">
        <f>IFERROR(B428/B445, "NA")</f>
        <v>0</v>
      </c>
      <c r="D428" s="9"/>
      <c r="E428" s="7">
        <v>0</v>
      </c>
      <c r="F428" s="8">
        <f>IFERROR(E428/E445, "NA")</f>
        <v>0</v>
      </c>
      <c r="G428" s="9"/>
      <c r="H428" s="10">
        <f t="shared" si="100"/>
        <v>0</v>
      </c>
      <c r="I428" s="8">
        <f>IFERROR(H428/H445, "NA")</f>
        <v>0</v>
      </c>
      <c r="J428" s="9"/>
      <c r="K428" s="7">
        <v>0</v>
      </c>
      <c r="L428" s="8">
        <f>IFERROR(K428/K445, "NA")</f>
        <v>0</v>
      </c>
      <c r="M428" s="9"/>
      <c r="N428" s="10">
        <f t="shared" si="101"/>
        <v>0</v>
      </c>
      <c r="O428" s="8">
        <f>IFERROR(N428/N445, "NA")</f>
        <v>0</v>
      </c>
      <c r="P428" s="9"/>
      <c r="Q428" s="7">
        <v>0</v>
      </c>
      <c r="R428" s="8">
        <f>IFERROR(Q428/Q445, "NA")</f>
        <v>0</v>
      </c>
      <c r="S428" s="9"/>
      <c r="T428" s="7">
        <v>0</v>
      </c>
      <c r="U428" s="8">
        <f>IFERROR(T428/T445, "NA")</f>
        <v>0</v>
      </c>
      <c r="V428" s="9"/>
      <c r="W428" s="10">
        <f t="shared" si="102"/>
        <v>0</v>
      </c>
      <c r="X428" s="8">
        <f>IFERROR(W428/W445, "NA")</f>
        <v>0</v>
      </c>
      <c r="Y428" s="9"/>
      <c r="Z428" s="7">
        <v>0</v>
      </c>
      <c r="AA428" s="8">
        <f>IFERROR(Z428/Z445, "NA")</f>
        <v>0</v>
      </c>
      <c r="AB428" s="9"/>
      <c r="AC428" s="10">
        <f t="shared" si="103"/>
        <v>0</v>
      </c>
      <c r="AD428" s="8">
        <f>IFERROR(AC428/AC445, "NA")</f>
        <v>0</v>
      </c>
    </row>
    <row r="429" spans="1:30" ht="16.5" customHeight="1" x14ac:dyDescent="0.45">
      <c r="A429" s="19" t="s">
        <v>394</v>
      </c>
      <c r="B429" s="14">
        <f>IFERROR(B408+B409+B410+B411+B412+B413+B414+B415+B416+B417+B418+B419+B420+B421+B422+B423+B424+B425+B426+B427+B428, "NA")</f>
        <v>5431.7599999999993</v>
      </c>
      <c r="C429" s="15">
        <f>IFERROR(B429/B445, "NA")</f>
        <v>6.2233167229581672E-2</v>
      </c>
      <c r="D429" s="2"/>
      <c r="E429" s="14">
        <f>IFERROR(E408+E409+E410+E411+E412+E413+E414+E415+E416+E417+E418+E419+E420+E421+E422+E423+E424+E425+E426+E427+E428, "NA")</f>
        <v>4147.8999999999996</v>
      </c>
      <c r="F429" s="15">
        <f>IFERROR(E429/E445, "NA")</f>
        <v>4.4456167284402215E-2</v>
      </c>
      <c r="G429" s="2"/>
      <c r="H429" s="14">
        <f t="shared" si="100"/>
        <v>-1283.8599999999997</v>
      </c>
      <c r="I429" s="15">
        <f>IFERROR(H429/H445, "NA")</f>
        <v>0.21318256162461471</v>
      </c>
      <c r="J429" s="2"/>
      <c r="K429" s="14">
        <f>IFERROR(K408+K409+K410+K411+K412+K413+K414+K415+K416+K417+K418+K419+K420+K421+K422+K423+K424+K425+K426+K427+K428, "NA")</f>
        <v>3792.3700000000003</v>
      </c>
      <c r="L429" s="15">
        <f>IFERROR(K429/K445, "NA")</f>
        <v>4.4456216481589227E-2</v>
      </c>
      <c r="M429" s="2"/>
      <c r="N429" s="14">
        <f t="shared" si="101"/>
        <v>-1639.389999999999</v>
      </c>
      <c r="O429" s="15">
        <f>IFERROR(N429/N445, "NA")</f>
        <v>-0.83004566949864855</v>
      </c>
      <c r="P429" s="2"/>
      <c r="Q429" s="14">
        <f>IFERROR(Q408+Q409+Q410+Q411+Q412+Q413+Q414+Q415+Q416+Q417+Q418+Q419+Q420+Q421+Q422+Q423+Q424+Q425+Q426+Q427+Q428, "NA")</f>
        <v>38557.75</v>
      </c>
      <c r="R429" s="15">
        <f>IFERROR(Q429/Q445, "NA")</f>
        <v>8.6192848079817086E-2</v>
      </c>
      <c r="S429" s="2"/>
      <c r="T429" s="14">
        <f>IFERROR(T408+T409+T410+T411+T412+T413+T414+T415+T416+T417+T418+T419+T420+T421+T422+T423+T424+T425+T426+T427+T428, "NA")</f>
        <v>20342.599999999999</v>
      </c>
      <c r="U429" s="15">
        <f>IFERROR(T429/T445, "NA")</f>
        <v>4.612607183777543E-2</v>
      </c>
      <c r="V429" s="2"/>
      <c r="W429" s="14">
        <f t="shared" si="102"/>
        <v>-18215.150000000001</v>
      </c>
      <c r="X429" s="15">
        <f>IFERROR(W429/W445, "NA")</f>
        <v>-2.8816561120190065</v>
      </c>
      <c r="Y429" s="2"/>
      <c r="Z429" s="14">
        <f>IFERROR(Z408+Z409+Z410+Z411+Z412+Z413+Z414+Z415+Z416+Z417+Z418+Z419+Z420+Z421+Z422+Z423+Z424+Z425+Z426+Z427+Z428, "NA")</f>
        <v>18988.709999999995</v>
      </c>
      <c r="AA429" s="15">
        <f>IFERROR(Z429/Z445, "NA")</f>
        <v>4.6256511216772364E-2</v>
      </c>
      <c r="AB429" s="2"/>
      <c r="AC429" s="14">
        <f t="shared" si="103"/>
        <v>-19569.040000000005</v>
      </c>
      <c r="AD429" s="15">
        <f>IFERROR(AC429/AC445, "NA")</f>
        <v>-0.53127812457494983</v>
      </c>
    </row>
    <row r="430" spans="1:30" ht="16.5" customHeight="1" x14ac:dyDescent="0.45">
      <c r="A430" s="21" t="s">
        <v>395</v>
      </c>
      <c r="B430" s="14">
        <f>IFERROR(B408+B409+B410+B411+B412+B413+B414+B415+B416+B417+B418+B419+B420+B421+B422+B423+B424+B425+B426+B427+B428, "NA")</f>
        <v>5431.7599999999993</v>
      </c>
      <c r="C430" s="15">
        <f>IFERROR(B430/B445, "NA")</f>
        <v>6.2233167229581672E-2</v>
      </c>
      <c r="D430" s="2"/>
      <c r="E430" s="14">
        <f>IFERROR(E408+E409+E410+E411+E412+E413+E414+E415+E416+E417+E418+E419+E420+E421+E422+E423+E424+E425+E426+E427+E428, "NA")</f>
        <v>4147.8999999999996</v>
      </c>
      <c r="F430" s="15">
        <f>IFERROR(E430/E445, "NA")</f>
        <v>4.4456167284402215E-2</v>
      </c>
      <c r="G430" s="2"/>
      <c r="H430" s="14">
        <f t="shared" si="100"/>
        <v>-1283.8599999999997</v>
      </c>
      <c r="I430" s="15">
        <f>IFERROR(H430/H445, "NA")</f>
        <v>0.21318256162461471</v>
      </c>
      <c r="J430" s="2"/>
      <c r="K430" s="14">
        <f>IFERROR(K408+K409+K410+K411+K412+K413+K414+K415+K416+K417+K418+K419+K420+K421+K422+K423+K424+K425+K426+K427+K428, "NA")</f>
        <v>3792.3700000000003</v>
      </c>
      <c r="L430" s="15">
        <f>IFERROR(K430/K445, "NA")</f>
        <v>4.4456216481589227E-2</v>
      </c>
      <c r="M430" s="2"/>
      <c r="N430" s="14">
        <f t="shared" si="101"/>
        <v>-1639.389999999999</v>
      </c>
      <c r="O430" s="15">
        <f>IFERROR(N430/N445, "NA")</f>
        <v>-0.83004566949864855</v>
      </c>
      <c r="P430" s="2"/>
      <c r="Q430" s="14">
        <f>IFERROR(Q408+Q409+Q410+Q411+Q412+Q413+Q414+Q415+Q416+Q417+Q418+Q419+Q420+Q421+Q422+Q423+Q424+Q425+Q426+Q427+Q428, "NA")</f>
        <v>38557.75</v>
      </c>
      <c r="R430" s="15">
        <f>IFERROR(Q430/Q445, "NA")</f>
        <v>8.6192848079817086E-2</v>
      </c>
      <c r="S430" s="2"/>
      <c r="T430" s="14">
        <f>IFERROR(T408+T409+T410+T411+T412+T413+T414+T415+T416+T417+T418+T419+T420+T421+T422+T423+T424+T425+T426+T427+T428, "NA")</f>
        <v>20342.599999999999</v>
      </c>
      <c r="U430" s="15">
        <f>IFERROR(T430/T445, "NA")</f>
        <v>4.612607183777543E-2</v>
      </c>
      <c r="V430" s="2"/>
      <c r="W430" s="14">
        <f t="shared" si="102"/>
        <v>-18215.150000000001</v>
      </c>
      <c r="X430" s="15">
        <f>IFERROR(W430/W445, "NA")</f>
        <v>-2.8816561120190065</v>
      </c>
      <c r="Y430" s="2"/>
      <c r="Z430" s="14">
        <f>IFERROR(Z408+Z409+Z410+Z411+Z412+Z413+Z414+Z415+Z416+Z417+Z418+Z419+Z420+Z421+Z422+Z423+Z424+Z425+Z426+Z427+Z428, "NA")</f>
        <v>18988.709999999995</v>
      </c>
      <c r="AA430" s="15">
        <f>IFERROR(Z430/Z445, "NA")</f>
        <v>4.6256511216772364E-2</v>
      </c>
      <c r="AB430" s="2"/>
      <c r="AC430" s="14">
        <f t="shared" si="103"/>
        <v>-19569.040000000005</v>
      </c>
      <c r="AD430" s="15">
        <f>IFERROR(AC430/AC445, "NA")</f>
        <v>-0.53127812457494983</v>
      </c>
    </row>
    <row r="431" spans="1:30" ht="16.5" customHeight="1" x14ac:dyDescent="0.45">
      <c r="A431" s="1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customHeight="1" x14ac:dyDescent="0.45">
      <c r="A432" s="5" t="s">
        <v>397</v>
      </c>
      <c r="B432" s="2"/>
      <c r="C432" s="3"/>
      <c r="D432" s="4"/>
      <c r="E432" s="2"/>
      <c r="F432" s="3"/>
      <c r="G432" s="4"/>
      <c r="H432" s="2"/>
      <c r="I432" s="3"/>
      <c r="J432" s="4"/>
      <c r="K432" s="2"/>
      <c r="L432" s="3"/>
      <c r="M432" s="4"/>
      <c r="N432" s="2"/>
      <c r="O432" s="3"/>
      <c r="P432" s="4"/>
      <c r="Q432" s="2"/>
      <c r="R432" s="3"/>
      <c r="S432" s="4"/>
      <c r="T432" s="2"/>
      <c r="U432" s="3"/>
      <c r="V432" s="4"/>
      <c r="W432" s="2"/>
      <c r="X432" s="3"/>
      <c r="Y432" s="4"/>
      <c r="Z432" s="2"/>
      <c r="AA432" s="3"/>
      <c r="AB432" s="4"/>
      <c r="AC432" s="2"/>
      <c r="AD432" s="3"/>
    </row>
    <row r="433" spans="1:30" ht="16.5" hidden="1" customHeight="1" x14ac:dyDescent="0.45">
      <c r="A433" s="6" t="s">
        <v>397</v>
      </c>
      <c r="B433" s="7">
        <v>0</v>
      </c>
      <c r="C433" s="8">
        <f>IFERROR(B433/B445, "NA")</f>
        <v>0</v>
      </c>
      <c r="D433" s="9"/>
      <c r="E433" s="7">
        <v>0</v>
      </c>
      <c r="F433" s="8">
        <f>IFERROR(E433/E445, "NA")</f>
        <v>0</v>
      </c>
      <c r="G433" s="9"/>
      <c r="H433" s="10">
        <f t="shared" ref="H433:H443" si="104">IFERROR(-(B433-E433), "NA")</f>
        <v>0</v>
      </c>
      <c r="I433" s="8">
        <f>IFERROR(H433/H445, "NA")</f>
        <v>0</v>
      </c>
      <c r="J433" s="9"/>
      <c r="K433" s="7">
        <v>0</v>
      </c>
      <c r="L433" s="8">
        <f>IFERROR(K433/K445, "NA")</f>
        <v>0</v>
      </c>
      <c r="M433" s="9"/>
      <c r="N433" s="10">
        <f t="shared" ref="N433:N443" si="105">IFERROR(-(B433-K433), "NA")</f>
        <v>0</v>
      </c>
      <c r="O433" s="8">
        <f>IFERROR(N433/N445, "NA")</f>
        <v>0</v>
      </c>
      <c r="P433" s="9"/>
      <c r="Q433" s="7">
        <v>0</v>
      </c>
      <c r="R433" s="8">
        <f>IFERROR(Q433/Q445, "NA")</f>
        <v>0</v>
      </c>
      <c r="S433" s="9"/>
      <c r="T433" s="7">
        <v>0</v>
      </c>
      <c r="U433" s="8">
        <f>IFERROR(T433/T445, "NA")</f>
        <v>0</v>
      </c>
      <c r="V433" s="9"/>
      <c r="W433" s="10">
        <f t="shared" ref="W433:W443" si="106">IFERROR(-(Q433-T433), "NA")</f>
        <v>0</v>
      </c>
      <c r="X433" s="8">
        <f>IFERROR(W433/W445, "NA")</f>
        <v>0</v>
      </c>
      <c r="Y433" s="9"/>
      <c r="Z433" s="7">
        <v>0</v>
      </c>
      <c r="AA433" s="8">
        <f>IFERROR(Z433/Z445, "NA")</f>
        <v>0</v>
      </c>
      <c r="AB433" s="9"/>
      <c r="AC433" s="10">
        <f t="shared" ref="AC433:AC443" si="107">IFERROR(-(Q433-Z433), "NA")</f>
        <v>0</v>
      </c>
      <c r="AD433" s="8">
        <f>IFERROR(AC433/AC445,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IFERROR(B434/B445, "NA")</f>
        <v>0</v>
      </c>
      <c r="D434" s="9"/>
      <c r="E434" s="7">
        <v>0</v>
      </c>
      <c r="F434" s="8">
        <f>IFERROR(E434/E445, "NA")</f>
        <v>0</v>
      </c>
      <c r="G434" s="9"/>
      <c r="H434" s="10">
        <f t="shared" si="104"/>
        <v>0</v>
      </c>
      <c r="I434" s="8">
        <f>IFERROR(H434/H445, "NA")</f>
        <v>0</v>
      </c>
      <c r="J434" s="9"/>
      <c r="K434" s="7">
        <v>0</v>
      </c>
      <c r="L434" s="8">
        <f>IFERROR(K434/K445, "NA")</f>
        <v>0</v>
      </c>
      <c r="M434" s="9"/>
      <c r="N434" s="10">
        <f t="shared" si="105"/>
        <v>0</v>
      </c>
      <c r="O434" s="8">
        <f>IFERROR(N434/N445, "NA")</f>
        <v>0</v>
      </c>
      <c r="P434" s="9"/>
      <c r="Q434" s="7">
        <v>0</v>
      </c>
      <c r="R434" s="8">
        <f>IFERROR(Q434/Q445, "NA")</f>
        <v>0</v>
      </c>
      <c r="S434" s="9"/>
      <c r="T434" s="7">
        <v>0</v>
      </c>
      <c r="U434" s="8">
        <f>IFERROR(T434/T445, "NA")</f>
        <v>0</v>
      </c>
      <c r="V434" s="9"/>
      <c r="W434" s="10">
        <f t="shared" si="106"/>
        <v>0</v>
      </c>
      <c r="X434" s="8">
        <f>IFERROR(W434/W445, "NA")</f>
        <v>0</v>
      </c>
      <c r="Y434" s="9"/>
      <c r="Z434" s="7">
        <v>0</v>
      </c>
      <c r="AA434" s="8">
        <f>IFERROR(Z434/Z445, "NA")</f>
        <v>0</v>
      </c>
      <c r="AB434" s="9"/>
      <c r="AC434" s="10">
        <f t="shared" si="107"/>
        <v>0</v>
      </c>
      <c r="AD434" s="8">
        <f>IFERROR(AC434/AC445,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IFERROR(B435/B445, "NA")</f>
        <v>0</v>
      </c>
      <c r="D435" s="9"/>
      <c r="E435" s="7">
        <v>0</v>
      </c>
      <c r="F435" s="8">
        <f>IFERROR(E435/E445, "NA")</f>
        <v>0</v>
      </c>
      <c r="G435" s="9"/>
      <c r="H435" s="10">
        <f t="shared" si="104"/>
        <v>0</v>
      </c>
      <c r="I435" s="8">
        <f>IFERROR(H435/H445, "NA")</f>
        <v>0</v>
      </c>
      <c r="J435" s="9"/>
      <c r="K435" s="7">
        <v>0</v>
      </c>
      <c r="L435" s="8">
        <f>IFERROR(K435/K445, "NA")</f>
        <v>0</v>
      </c>
      <c r="M435" s="9"/>
      <c r="N435" s="10">
        <f t="shared" si="105"/>
        <v>0</v>
      </c>
      <c r="O435" s="8">
        <f>IFERROR(N435/N445, "NA")</f>
        <v>0</v>
      </c>
      <c r="P435" s="9"/>
      <c r="Q435" s="7">
        <v>0</v>
      </c>
      <c r="R435" s="8">
        <f>IFERROR(Q435/Q445, "NA")</f>
        <v>0</v>
      </c>
      <c r="S435" s="9"/>
      <c r="T435" s="7">
        <v>0</v>
      </c>
      <c r="U435" s="8">
        <f>IFERROR(T435/T445, "NA")</f>
        <v>0</v>
      </c>
      <c r="V435" s="9"/>
      <c r="W435" s="10">
        <f t="shared" si="106"/>
        <v>0</v>
      </c>
      <c r="X435" s="8">
        <f>IFERROR(W435/W445, "NA")</f>
        <v>0</v>
      </c>
      <c r="Y435" s="9"/>
      <c r="Z435" s="7">
        <v>0</v>
      </c>
      <c r="AA435" s="8">
        <f>IFERROR(Z435/Z445, "NA")</f>
        <v>0</v>
      </c>
      <c r="AB435" s="9"/>
      <c r="AC435" s="10">
        <f t="shared" si="107"/>
        <v>0</v>
      </c>
      <c r="AD435" s="8">
        <f>IFERROR(AC435/AC445,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IFERROR(B436/B445, "NA")</f>
        <v>0</v>
      </c>
      <c r="D436" s="9"/>
      <c r="E436" s="7">
        <v>0</v>
      </c>
      <c r="F436" s="8">
        <f>IFERROR(E436/E445, "NA")</f>
        <v>0</v>
      </c>
      <c r="G436" s="9"/>
      <c r="H436" s="10">
        <f t="shared" si="104"/>
        <v>0</v>
      </c>
      <c r="I436" s="8">
        <f>IFERROR(H436/H445, "NA")</f>
        <v>0</v>
      </c>
      <c r="J436" s="9"/>
      <c r="K436" s="7">
        <v>0</v>
      </c>
      <c r="L436" s="8">
        <f>IFERROR(K436/K445, "NA")</f>
        <v>0</v>
      </c>
      <c r="M436" s="9"/>
      <c r="N436" s="10">
        <f t="shared" si="105"/>
        <v>0</v>
      </c>
      <c r="O436" s="8">
        <f>IFERROR(N436/N445, "NA")</f>
        <v>0</v>
      </c>
      <c r="P436" s="9"/>
      <c r="Q436" s="7">
        <v>0</v>
      </c>
      <c r="R436" s="8">
        <f>IFERROR(Q436/Q445, "NA")</f>
        <v>0</v>
      </c>
      <c r="S436" s="9"/>
      <c r="T436" s="7">
        <v>0</v>
      </c>
      <c r="U436" s="8">
        <f>IFERROR(T436/T445, "NA")</f>
        <v>0</v>
      </c>
      <c r="V436" s="9"/>
      <c r="W436" s="10">
        <f t="shared" si="106"/>
        <v>0</v>
      </c>
      <c r="X436" s="8">
        <f>IFERROR(W436/W445, "NA")</f>
        <v>0</v>
      </c>
      <c r="Y436" s="9"/>
      <c r="Z436" s="7">
        <v>0</v>
      </c>
      <c r="AA436" s="8">
        <f>IFERROR(Z436/Z445, "NA")</f>
        <v>0</v>
      </c>
      <c r="AB436" s="9"/>
      <c r="AC436" s="10">
        <f t="shared" si="107"/>
        <v>0</v>
      </c>
      <c r="AD436" s="8">
        <f>IFERROR(AC436/AC445,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IFERROR(B437/B445, "NA")</f>
        <v>0</v>
      </c>
      <c r="D437" s="9"/>
      <c r="E437" s="7">
        <v>0</v>
      </c>
      <c r="F437" s="8">
        <f>IFERROR(E437/E445, "NA")</f>
        <v>0</v>
      </c>
      <c r="G437" s="9"/>
      <c r="H437" s="10">
        <f t="shared" si="104"/>
        <v>0</v>
      </c>
      <c r="I437" s="8">
        <f>IFERROR(H437/H445, "NA")</f>
        <v>0</v>
      </c>
      <c r="J437" s="9"/>
      <c r="K437" s="7">
        <v>0</v>
      </c>
      <c r="L437" s="8">
        <f>IFERROR(K437/K445, "NA")</f>
        <v>0</v>
      </c>
      <c r="M437" s="9"/>
      <c r="N437" s="10">
        <f t="shared" si="105"/>
        <v>0</v>
      </c>
      <c r="O437" s="8">
        <f>IFERROR(N437/N445, "NA")</f>
        <v>0</v>
      </c>
      <c r="P437" s="9"/>
      <c r="Q437" s="7">
        <v>0</v>
      </c>
      <c r="R437" s="8">
        <f>IFERROR(Q437/Q445, "NA")</f>
        <v>0</v>
      </c>
      <c r="S437" s="9"/>
      <c r="T437" s="7">
        <v>0</v>
      </c>
      <c r="U437" s="8">
        <f>IFERROR(T437/T445, "NA")</f>
        <v>0</v>
      </c>
      <c r="V437" s="9"/>
      <c r="W437" s="10">
        <f t="shared" si="106"/>
        <v>0</v>
      </c>
      <c r="X437" s="8">
        <f>IFERROR(W437/W445, "NA")</f>
        <v>0</v>
      </c>
      <c r="Y437" s="9"/>
      <c r="Z437" s="7">
        <v>0</v>
      </c>
      <c r="AA437" s="8">
        <f>IFERROR(Z437/Z445, "NA")</f>
        <v>0</v>
      </c>
      <c r="AB437" s="9"/>
      <c r="AC437" s="10">
        <f t="shared" si="107"/>
        <v>0</v>
      </c>
      <c r="AD437" s="8">
        <f>IFERROR(AC437/AC445, "NA")</f>
        <v>0</v>
      </c>
    </row>
    <row r="438" spans="1:30" ht="16.5" hidden="1" customHeight="1" x14ac:dyDescent="0.45">
      <c r="A438" s="6" t="s">
        <v>402</v>
      </c>
      <c r="B438" s="7">
        <v>0</v>
      </c>
      <c r="C438" s="8">
        <f>IFERROR(B438/B445, "NA")</f>
        <v>0</v>
      </c>
      <c r="D438" s="9"/>
      <c r="E438" s="7">
        <v>0</v>
      </c>
      <c r="F438" s="8">
        <f>IFERROR(E438/E445, "NA")</f>
        <v>0</v>
      </c>
      <c r="G438" s="9"/>
      <c r="H438" s="10">
        <f t="shared" si="104"/>
        <v>0</v>
      </c>
      <c r="I438" s="8">
        <f>IFERROR(H438/H445, "NA")</f>
        <v>0</v>
      </c>
      <c r="J438" s="9"/>
      <c r="K438" s="7">
        <v>0</v>
      </c>
      <c r="L438" s="8">
        <f>IFERROR(K438/K445, "NA")</f>
        <v>0</v>
      </c>
      <c r="M438" s="9"/>
      <c r="N438" s="10">
        <f t="shared" si="105"/>
        <v>0</v>
      </c>
      <c r="O438" s="8">
        <f>IFERROR(N438/N445, "NA")</f>
        <v>0</v>
      </c>
      <c r="P438" s="9"/>
      <c r="Q438" s="7">
        <v>0</v>
      </c>
      <c r="R438" s="8">
        <f>IFERROR(Q438/Q445, "NA")</f>
        <v>0</v>
      </c>
      <c r="S438" s="9"/>
      <c r="T438" s="7">
        <v>0</v>
      </c>
      <c r="U438" s="8">
        <f>IFERROR(T438/T445, "NA")</f>
        <v>0</v>
      </c>
      <c r="V438" s="9"/>
      <c r="W438" s="10">
        <f t="shared" si="106"/>
        <v>0</v>
      </c>
      <c r="X438" s="8">
        <f>IFERROR(W438/W445, "NA")</f>
        <v>0</v>
      </c>
      <c r="Y438" s="9"/>
      <c r="Z438" s="7">
        <v>0</v>
      </c>
      <c r="AA438" s="8">
        <f>IFERROR(Z438/Z445, "NA")</f>
        <v>0</v>
      </c>
      <c r="AB438" s="9"/>
      <c r="AC438" s="10">
        <f t="shared" si="107"/>
        <v>0</v>
      </c>
      <c r="AD438" s="8">
        <f>IFERROR(AC438/AC445, "NA")</f>
        <v>0</v>
      </c>
    </row>
    <row r="439" spans="1:30" ht="30.75" hidden="1" customHeight="1" x14ac:dyDescent="0.45">
      <c r="A439" s="6" t="s">
        <v>403</v>
      </c>
      <c r="B439" s="7">
        <v>0</v>
      </c>
      <c r="C439" s="8">
        <f>IFERROR(B439/B445, "NA")</f>
        <v>0</v>
      </c>
      <c r="D439" s="9"/>
      <c r="E439" s="7">
        <v>0</v>
      </c>
      <c r="F439" s="8">
        <f>IFERROR(E439/E445, "NA")</f>
        <v>0</v>
      </c>
      <c r="G439" s="9"/>
      <c r="H439" s="10">
        <f t="shared" si="104"/>
        <v>0</v>
      </c>
      <c r="I439" s="8">
        <f>IFERROR(H439/H445, "NA")</f>
        <v>0</v>
      </c>
      <c r="J439" s="9"/>
      <c r="K439" s="7">
        <v>0</v>
      </c>
      <c r="L439" s="8">
        <f>IFERROR(K439/K445, "NA")</f>
        <v>0</v>
      </c>
      <c r="M439" s="9"/>
      <c r="N439" s="10">
        <f t="shared" si="105"/>
        <v>0</v>
      </c>
      <c r="O439" s="8">
        <f>IFERROR(N439/N445, "NA")</f>
        <v>0</v>
      </c>
      <c r="P439" s="9"/>
      <c r="Q439" s="7">
        <v>0</v>
      </c>
      <c r="R439" s="8">
        <f>IFERROR(Q439/Q445, "NA")</f>
        <v>0</v>
      </c>
      <c r="S439" s="9"/>
      <c r="T439" s="7">
        <v>0</v>
      </c>
      <c r="U439" s="8">
        <f>IFERROR(T439/T445, "NA")</f>
        <v>0</v>
      </c>
      <c r="V439" s="9"/>
      <c r="W439" s="10">
        <f t="shared" si="106"/>
        <v>0</v>
      </c>
      <c r="X439" s="8">
        <f>IFERROR(W439/W445, "NA")</f>
        <v>0</v>
      </c>
      <c r="Y439" s="9"/>
      <c r="Z439" s="7">
        <v>0</v>
      </c>
      <c r="AA439" s="8">
        <f>IFERROR(Z439/Z445, "NA")</f>
        <v>0</v>
      </c>
      <c r="AB439" s="9"/>
      <c r="AC439" s="10">
        <f t="shared" si="107"/>
        <v>0</v>
      </c>
      <c r="AD439" s="8">
        <f>IFERROR(AC439/AC445, "NA")</f>
        <v>0</v>
      </c>
    </row>
    <row r="440" spans="1:30" ht="16.5" hidden="1" customHeight="1" x14ac:dyDescent="0.45">
      <c r="A440" s="6" t="s">
        <v>404</v>
      </c>
      <c r="B440" s="7">
        <v>0</v>
      </c>
      <c r="C440" s="8">
        <f>IFERROR(B440/B445, "NA")</f>
        <v>0</v>
      </c>
      <c r="D440" s="9"/>
      <c r="E440" s="7">
        <v>0</v>
      </c>
      <c r="F440" s="8">
        <f>IFERROR(E440/E445, "NA")</f>
        <v>0</v>
      </c>
      <c r="G440" s="9"/>
      <c r="H440" s="10">
        <f t="shared" si="104"/>
        <v>0</v>
      </c>
      <c r="I440" s="8">
        <f>IFERROR(H440/H445, "NA")</f>
        <v>0</v>
      </c>
      <c r="J440" s="9"/>
      <c r="K440" s="7">
        <v>0</v>
      </c>
      <c r="L440" s="8">
        <f>IFERROR(K440/K445, "NA")</f>
        <v>0</v>
      </c>
      <c r="M440" s="9"/>
      <c r="N440" s="10">
        <f t="shared" si="105"/>
        <v>0</v>
      </c>
      <c r="O440" s="8">
        <f>IFERROR(N440/N445, "NA")</f>
        <v>0</v>
      </c>
      <c r="P440" s="9"/>
      <c r="Q440" s="7">
        <v>0</v>
      </c>
      <c r="R440" s="8">
        <f>IFERROR(Q440/Q445, "NA")</f>
        <v>0</v>
      </c>
      <c r="S440" s="9"/>
      <c r="T440" s="7">
        <v>0</v>
      </c>
      <c r="U440" s="8">
        <f>IFERROR(T440/T445, "NA")</f>
        <v>0</v>
      </c>
      <c r="V440" s="9"/>
      <c r="W440" s="10">
        <f t="shared" si="106"/>
        <v>0</v>
      </c>
      <c r="X440" s="8">
        <f>IFERROR(W440/W445, "NA")</f>
        <v>0</v>
      </c>
      <c r="Y440" s="9"/>
      <c r="Z440" s="7">
        <v>0</v>
      </c>
      <c r="AA440" s="8">
        <f>IFERROR(Z440/Z445, "NA")</f>
        <v>0</v>
      </c>
      <c r="AB440" s="9"/>
      <c r="AC440" s="10">
        <f t="shared" si="107"/>
        <v>0</v>
      </c>
      <c r="AD440" s="8">
        <f>IFERROR(AC440/AC445, "NA")</f>
        <v>0</v>
      </c>
    </row>
    <row r="441" spans="1:30" ht="30.75" hidden="1" customHeight="1" x14ac:dyDescent="0.45">
      <c r="A441" s="6" t="s">
        <v>405</v>
      </c>
      <c r="B441" s="7">
        <v>0</v>
      </c>
      <c r="C441" s="8">
        <f>IFERROR(B441/B445, "NA")</f>
        <v>0</v>
      </c>
      <c r="D441" s="9"/>
      <c r="E441" s="7">
        <v>0</v>
      </c>
      <c r="F441" s="8">
        <f>IFERROR(E441/E445, "NA")</f>
        <v>0</v>
      </c>
      <c r="G441" s="9"/>
      <c r="H441" s="10">
        <f t="shared" si="104"/>
        <v>0</v>
      </c>
      <c r="I441" s="8">
        <f>IFERROR(H441/H445, "NA")</f>
        <v>0</v>
      </c>
      <c r="J441" s="9"/>
      <c r="K441" s="7">
        <v>0</v>
      </c>
      <c r="L441" s="8">
        <f>IFERROR(K441/K445, "NA")</f>
        <v>0</v>
      </c>
      <c r="M441" s="9"/>
      <c r="N441" s="10">
        <f t="shared" si="105"/>
        <v>0</v>
      </c>
      <c r="O441" s="8">
        <f>IFERROR(N441/N445, "NA")</f>
        <v>0</v>
      </c>
      <c r="P441" s="9"/>
      <c r="Q441" s="7">
        <v>0</v>
      </c>
      <c r="R441" s="8">
        <f>IFERROR(Q441/Q445, "NA")</f>
        <v>0</v>
      </c>
      <c r="S441" s="9"/>
      <c r="T441" s="7">
        <v>0</v>
      </c>
      <c r="U441" s="8">
        <f>IFERROR(T441/T445, "NA")</f>
        <v>0</v>
      </c>
      <c r="V441" s="9"/>
      <c r="W441" s="10">
        <f t="shared" si="106"/>
        <v>0</v>
      </c>
      <c r="X441" s="8">
        <f>IFERROR(W441/W445, "NA")</f>
        <v>0</v>
      </c>
      <c r="Y441" s="9"/>
      <c r="Z441" s="7">
        <v>0</v>
      </c>
      <c r="AA441" s="8">
        <f>IFERROR(Z441/Z445, "NA")</f>
        <v>0</v>
      </c>
      <c r="AB441" s="9"/>
      <c r="AC441" s="10">
        <f t="shared" si="107"/>
        <v>0</v>
      </c>
      <c r="AD441" s="8">
        <f>IFERROR(AC441/AC445, "NA")</f>
        <v>0</v>
      </c>
    </row>
    <row r="442" spans="1:30" ht="16.5" customHeight="1" x14ac:dyDescent="0.45">
      <c r="A442" s="19" t="s">
        <v>406</v>
      </c>
      <c r="B442" s="14">
        <f>IFERROR(B433+B434+B435+B436+B437+B438+B439+B440+B441, "NA")</f>
        <v>0</v>
      </c>
      <c r="C442" s="15">
        <f>IFERROR(B442/B445, "NA")</f>
        <v>0</v>
      </c>
      <c r="D442" s="2"/>
      <c r="E442" s="14">
        <f>IFERROR(E433+E434+E435+E436+E437+E438+E439+E440+E441, "NA")</f>
        <v>0</v>
      </c>
      <c r="F442" s="15">
        <f>IFERROR(E442/E445, "NA")</f>
        <v>0</v>
      </c>
      <c r="G442" s="2"/>
      <c r="H442" s="14">
        <f t="shared" si="104"/>
        <v>0</v>
      </c>
      <c r="I442" s="15">
        <f>IFERROR(H442/H445, "NA")</f>
        <v>0</v>
      </c>
      <c r="J442" s="2"/>
      <c r="K442" s="14">
        <f>IFERROR(K433+K434+K435+K436+K437+K438+K439+K440+K441, "NA")</f>
        <v>0</v>
      </c>
      <c r="L442" s="15">
        <f>IFERROR(K442/K445, "NA")</f>
        <v>0</v>
      </c>
      <c r="M442" s="2"/>
      <c r="N442" s="14">
        <f t="shared" si="105"/>
        <v>0</v>
      </c>
      <c r="O442" s="15">
        <f>IFERROR(N442/N445, "NA")</f>
        <v>0</v>
      </c>
      <c r="P442" s="2"/>
      <c r="Q442" s="14">
        <f>IFERROR(Q433+Q434+Q435+Q436+Q437+Q438+Q439+Q440+Q441, "NA")</f>
        <v>0</v>
      </c>
      <c r="R442" s="15">
        <f>IFERROR(Q442/Q445, "NA")</f>
        <v>0</v>
      </c>
      <c r="S442" s="2"/>
      <c r="T442" s="14">
        <f>IFERROR(T433+T434+T435+T436+T437+T438+T439+T440+T441, "NA")</f>
        <v>0</v>
      </c>
      <c r="U442" s="15">
        <f>IFERROR(T442/T445, "NA")</f>
        <v>0</v>
      </c>
      <c r="V442" s="2"/>
      <c r="W442" s="14">
        <f t="shared" si="106"/>
        <v>0</v>
      </c>
      <c r="X442" s="15">
        <f>IFERROR(W442/W445, "NA")</f>
        <v>0</v>
      </c>
      <c r="Y442" s="2"/>
      <c r="Z442" s="14">
        <f>IFERROR(Z433+Z434+Z435+Z436+Z437+Z438+Z439+Z440+Z441, "NA")</f>
        <v>0</v>
      </c>
      <c r="AA442" s="15">
        <f>IFERROR(Z442/Z445, "NA")</f>
        <v>0</v>
      </c>
      <c r="AB442" s="2"/>
      <c r="AC442" s="14">
        <f t="shared" si="107"/>
        <v>0</v>
      </c>
      <c r="AD442" s="15">
        <f>IFERROR(AC442/AC445, "NA")</f>
        <v>0</v>
      </c>
    </row>
    <row r="443" spans="1:30" ht="16.5" customHeight="1" x14ac:dyDescent="0.45">
      <c r="A443" s="21" t="s">
        <v>407</v>
      </c>
      <c r="B443" s="14">
        <f>IFERROR(B433+B434+B435+B436+B437+B438+B439+B440+B441, "NA")</f>
        <v>0</v>
      </c>
      <c r="C443" s="15">
        <f>IFERROR(B443/B445, "NA")</f>
        <v>0</v>
      </c>
      <c r="D443" s="2"/>
      <c r="E443" s="14">
        <f>IFERROR(E433+E434+E435+E436+E437+E438+E439+E440+E441, "NA")</f>
        <v>0</v>
      </c>
      <c r="F443" s="15">
        <f>IFERROR(E443/E445, "NA")</f>
        <v>0</v>
      </c>
      <c r="G443" s="2"/>
      <c r="H443" s="14">
        <f t="shared" si="104"/>
        <v>0</v>
      </c>
      <c r="I443" s="15">
        <f>IFERROR(H443/H445, "NA")</f>
        <v>0</v>
      </c>
      <c r="J443" s="2"/>
      <c r="K443" s="14">
        <f>IFERROR(K433+K434+K435+K436+K437+K438+K439+K440+K441, "NA")</f>
        <v>0</v>
      </c>
      <c r="L443" s="15">
        <f>IFERROR(K443/K445, "NA")</f>
        <v>0</v>
      </c>
      <c r="M443" s="2"/>
      <c r="N443" s="14">
        <f t="shared" si="105"/>
        <v>0</v>
      </c>
      <c r="O443" s="15">
        <f>IFERROR(N443/N445, "NA")</f>
        <v>0</v>
      </c>
      <c r="P443" s="2"/>
      <c r="Q443" s="14">
        <f>IFERROR(Q433+Q434+Q435+Q436+Q437+Q438+Q439+Q440+Q441, "NA")</f>
        <v>0</v>
      </c>
      <c r="R443" s="15">
        <f>IFERROR(Q443/Q445, "NA")</f>
        <v>0</v>
      </c>
      <c r="S443" s="2"/>
      <c r="T443" s="14">
        <f>IFERROR(T433+T434+T435+T436+T437+T438+T439+T440+T441, "NA")</f>
        <v>0</v>
      </c>
      <c r="U443" s="15">
        <f>IFERROR(T443/T445, "NA")</f>
        <v>0</v>
      </c>
      <c r="V443" s="2"/>
      <c r="W443" s="14">
        <f t="shared" si="106"/>
        <v>0</v>
      </c>
      <c r="X443" s="15">
        <f>IFERROR(W443/W445, "NA")</f>
        <v>0</v>
      </c>
      <c r="Y443" s="2"/>
      <c r="Z443" s="14">
        <f>IFERROR(Z433+Z434+Z435+Z436+Z437+Z438+Z439+Z440+Z441, "NA")</f>
        <v>0</v>
      </c>
      <c r="AA443" s="15">
        <f>IFERROR(Z443/Z445, "NA")</f>
        <v>0</v>
      </c>
      <c r="AB443" s="2"/>
      <c r="AC443" s="14">
        <f t="shared" si="107"/>
        <v>0</v>
      </c>
      <c r="AD443" s="15">
        <f>IFERROR(AC443/AC445, "NA")</f>
        <v>0</v>
      </c>
    </row>
    <row r="444" spans="1:30" ht="16.5" customHeight="1" x14ac:dyDescent="0.45">
      <c r="A444" s="22" t="s">
        <v>408</v>
      </c>
      <c r="B444" s="23">
        <f>IFERROR(B405-B430-B443, "NA")</f>
        <v>577.64000000000033</v>
      </c>
      <c r="C444" s="24">
        <f>IFERROR(B444/B445, "NA")</f>
        <v>6.6181802433273162E-3</v>
      </c>
      <c r="D444" s="25"/>
      <c r="E444" s="23">
        <f>IFERROR(E405-E430-E443, "NA")</f>
        <v>3056.4999999999836</v>
      </c>
      <c r="F444" s="24">
        <f>IFERROR(E444/E445, "NA")</f>
        <v>3.2758811761318896E-2</v>
      </c>
      <c r="G444" s="25"/>
      <c r="H444" s="23">
        <f>IFERROR(B444-E444, "NA")</f>
        <v>-2478.8599999999833</v>
      </c>
      <c r="I444" s="24">
        <f>IFERROR(H444/H445, "NA")</f>
        <v>0.41161008576385977</v>
      </c>
      <c r="J444" s="25"/>
      <c r="K444" s="23">
        <f>IFERROR(K405-K430-K443, "NA")</f>
        <v>-3416.2799999999893</v>
      </c>
      <c r="L444" s="24">
        <f>IFERROR(K444/K445, "NA")</f>
        <v>-4.0047485673002148E-2</v>
      </c>
      <c r="M444" s="25"/>
      <c r="N444" s="23">
        <f>IFERROR(B444-K444, "NA")</f>
        <v>3993.9199999999896</v>
      </c>
      <c r="O444" s="24">
        <f>IFERROR(N444/N445, "NA")</f>
        <v>2.0221765414721551</v>
      </c>
      <c r="P444" s="25"/>
      <c r="Q444" s="23">
        <f>IFERROR(Q405-Q430-Q443, "NA")</f>
        <v>-23417.700000000121</v>
      </c>
      <c r="R444" s="24">
        <f>IFERROR(Q444/Q445, "NA")</f>
        <v>-5.2348445085067023E-2</v>
      </c>
      <c r="S444" s="25"/>
      <c r="T444" s="23">
        <f>IFERROR(T405-T430-T443, "NA")</f>
        <v>10519.510000000024</v>
      </c>
      <c r="U444" s="24">
        <f>IFERROR(T444/T445, "NA")</f>
        <v>2.3852588850894092E-2</v>
      </c>
      <c r="V444" s="25"/>
      <c r="W444" s="23">
        <f>IFERROR(Q444-T444, "NA")</f>
        <v>-33937.210000000145</v>
      </c>
      <c r="X444" s="24">
        <f>IFERROR(W444/W445, "NA")</f>
        <v>-5.3689027332398007</v>
      </c>
      <c r="Y444" s="25"/>
      <c r="Z444" s="23">
        <f>IFERROR(Z405-Z430-Z443, "NA")</f>
        <v>-18118.090000000153</v>
      </c>
      <c r="AA444" s="24">
        <f>IFERROR(Z444/Z445, "NA")</f>
        <v>-4.4135680270618621E-2</v>
      </c>
      <c r="AB444" s="25"/>
      <c r="AC444" s="23">
        <f>IFERROR(Q444-Z444, "NA")</f>
        <v>-5299.6099999999678</v>
      </c>
      <c r="AD444" s="24">
        <f>IFERROR(AC444/AC445, "NA")</f>
        <v>-0.14387864002417247</v>
      </c>
    </row>
    <row r="445" spans="1:30" ht="15.75" hidden="1" x14ac:dyDescent="0.45">
      <c r="A445" s="26" t="s">
        <v>117</v>
      </c>
      <c r="B445" s="7">
        <v>87280.79</v>
      </c>
      <c r="C445" s="27"/>
      <c r="D445" s="9"/>
      <c r="E445" s="7">
        <v>93303.14</v>
      </c>
      <c r="F445" s="27"/>
      <c r="G445" s="9"/>
      <c r="H445" s="10">
        <f>IFERROR(B445-E445, "NA")</f>
        <v>-6022.3500000000058</v>
      </c>
      <c r="I445" s="27"/>
      <c r="J445" s="9"/>
      <c r="K445" s="7">
        <v>85305.73</v>
      </c>
      <c r="L445" s="27"/>
      <c r="M445" s="9"/>
      <c r="N445" s="10">
        <f>IFERROR(B445-K445, "NA")</f>
        <v>1975.0599999999977</v>
      </c>
      <c r="O445" s="27"/>
      <c r="P445" s="9"/>
      <c r="Q445" s="7">
        <v>447342.8</v>
      </c>
      <c r="R445" s="27"/>
      <c r="S445" s="9"/>
      <c r="T445" s="7">
        <v>441021.73</v>
      </c>
      <c r="U445" s="27"/>
      <c r="V445" s="9"/>
      <c r="W445" s="10">
        <f>IFERROR(Q445-T445, "NA")</f>
        <v>6321.070000000007</v>
      </c>
      <c r="X445" s="27"/>
      <c r="Y445" s="9"/>
      <c r="Z445" s="7">
        <v>410508.91</v>
      </c>
      <c r="AA445" s="27"/>
      <c r="AB445" s="9"/>
      <c r="AC445" s="10">
        <f>IFERROR(Q445-Z445, "NA")</f>
        <v>36833.890000000014</v>
      </c>
      <c r="AD445" s="27"/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  <row r="450" spans="1:1" ht="15.75" x14ac:dyDescent="0.5">
      <c r="A450" s="28" t="s">
        <v>411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IFERROR(B8/B445, "NA")</f>
        <v>0</v>
      </c>
      <c r="D8" s="9"/>
      <c r="E8" s="7">
        <v>0</v>
      </c>
      <c r="F8" s="8">
        <f>IFERROR(E8/E445, "NA")</f>
        <v>0</v>
      </c>
      <c r="G8" s="9"/>
      <c r="H8" s="10">
        <f>IFERROR(B8-E8, "NA")</f>
        <v>0</v>
      </c>
      <c r="I8" s="8">
        <f>IFERROR(H8/H445, "NA")</f>
        <v>0</v>
      </c>
      <c r="J8" s="9"/>
      <c r="K8" s="7">
        <v>0</v>
      </c>
      <c r="L8" s="8">
        <f>IFERROR(K8/K445, "NA")</f>
        <v>0</v>
      </c>
      <c r="M8" s="9"/>
      <c r="N8" s="10">
        <f>IFERROR(B8-K8, "NA")</f>
        <v>0</v>
      </c>
      <c r="O8" s="8">
        <f>IFERROR(N8/N445, "NA")</f>
        <v>0</v>
      </c>
      <c r="P8" s="9"/>
      <c r="Q8" s="7">
        <v>0</v>
      </c>
      <c r="R8" s="8">
        <f>IFERROR(Q8/Q445, "NA")</f>
        <v>0</v>
      </c>
      <c r="S8" s="9"/>
      <c r="T8" s="7">
        <v>0</v>
      </c>
      <c r="U8" s="8">
        <f>IFERROR(T8/T445, "NA")</f>
        <v>0</v>
      </c>
      <c r="V8" s="9"/>
      <c r="W8" s="10">
        <f>IFERROR(Q8-T8, "NA")</f>
        <v>0</v>
      </c>
      <c r="X8" s="8">
        <f>IFERROR(W8/W445, "NA")</f>
        <v>0</v>
      </c>
      <c r="Y8" s="9"/>
      <c r="Z8" s="7">
        <v>0</v>
      </c>
      <c r="AA8" s="8">
        <f>IFERROR(Z8/Z445, "NA")</f>
        <v>0</v>
      </c>
      <c r="AB8" s="9"/>
      <c r="AC8" s="10">
        <f>IFERROR(Q8-Z8, "NA")</f>
        <v>0</v>
      </c>
      <c r="AD8" s="8">
        <f>IFERROR(AC8/AC445,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IFERROR(B10/B445, "NA")</f>
        <v>0</v>
      </c>
      <c r="D10" s="9"/>
      <c r="E10" s="7">
        <v>53923.48</v>
      </c>
      <c r="F10" s="8">
        <f>IFERROR(E10/E445, "NA")</f>
        <v>0.28000002492420967</v>
      </c>
      <c r="G10" s="9"/>
      <c r="H10" s="10">
        <f t="shared" ref="H10:H19" si="0">IFERROR(B10-E10, "NA")</f>
        <v>-53923.48</v>
      </c>
      <c r="I10" s="8">
        <f>IFERROR(H10/H445, "NA")</f>
        <v>1.6647051868335014</v>
      </c>
      <c r="J10" s="9"/>
      <c r="K10" s="7">
        <v>0</v>
      </c>
      <c r="L10" s="8">
        <f>IFERROR(K10/K445, "NA")</f>
        <v>0</v>
      </c>
      <c r="M10" s="9"/>
      <c r="N10" s="10">
        <f t="shared" ref="N10:N19" si="1">IFERROR(B10-K10, "NA")</f>
        <v>0</v>
      </c>
      <c r="O10" s="8">
        <f>IFERROR(N10/N445, "NA")</f>
        <v>0</v>
      </c>
      <c r="P10" s="9"/>
      <c r="Q10" s="7">
        <v>0</v>
      </c>
      <c r="R10" s="8">
        <f>IFERROR(Q10/Q445, "NA")</f>
        <v>0</v>
      </c>
      <c r="S10" s="9"/>
      <c r="T10" s="7">
        <v>268770.69</v>
      </c>
      <c r="U10" s="8">
        <f>IFERROR(T10/T445, "NA")</f>
        <v>0.28000000625068172</v>
      </c>
      <c r="V10" s="9"/>
      <c r="W10" s="10">
        <f t="shared" ref="W10:W19" si="2">IFERROR(Q10-T10, "NA")</f>
        <v>-268770.69</v>
      </c>
      <c r="X10" s="8">
        <f>IFERROR(W10/W445, "NA")</f>
        <v>8.1567916641123244</v>
      </c>
      <c r="Y10" s="9"/>
      <c r="Z10" s="7">
        <v>0</v>
      </c>
      <c r="AA10" s="8">
        <f>IFERROR(Z10/Z445, "NA")</f>
        <v>0</v>
      </c>
      <c r="AB10" s="9"/>
      <c r="AC10" s="10">
        <f t="shared" ref="AC10:AC19" si="3">IFERROR(Q10-Z10, "NA")</f>
        <v>0</v>
      </c>
      <c r="AD10" s="8">
        <f>IFERROR(AC10/AC445, "NA")</f>
        <v>0</v>
      </c>
    </row>
    <row r="11" spans="1:30" ht="16.5" customHeight="1" x14ac:dyDescent="0.45">
      <c r="A11" s="12" t="s">
        <v>13</v>
      </c>
      <c r="B11" s="7">
        <v>44342.99</v>
      </c>
      <c r="C11" s="8">
        <f>IFERROR(B11/B445, "NA")</f>
        <v>0.27681215304445056</v>
      </c>
      <c r="D11" s="9"/>
      <c r="E11" s="7">
        <v>0</v>
      </c>
      <c r="F11" s="8">
        <f>IFERROR(E11/E445, "NA")</f>
        <v>0</v>
      </c>
      <c r="G11" s="9"/>
      <c r="H11" s="10">
        <f t="shared" si="0"/>
        <v>44342.99</v>
      </c>
      <c r="I11" s="8">
        <f>IFERROR(H11/H445, "NA")</f>
        <v>-1.3689399395718911</v>
      </c>
      <c r="J11" s="9"/>
      <c r="K11" s="7">
        <v>46276.47</v>
      </c>
      <c r="L11" s="8">
        <f>IFERROR(K11/K445, "NA")</f>
        <v>0.26203905948208117</v>
      </c>
      <c r="M11" s="9"/>
      <c r="N11" s="10">
        <f t="shared" si="1"/>
        <v>-1933.4800000000032</v>
      </c>
      <c r="O11" s="8">
        <f>IFERROR(N11/N445, "NA")</f>
        <v>0.11782478630134829</v>
      </c>
      <c r="P11" s="9"/>
      <c r="Q11" s="7">
        <v>224651.77</v>
      </c>
      <c r="R11" s="8">
        <f>IFERROR(Q11/Q445, "NA")</f>
        <v>0.24235723604500445</v>
      </c>
      <c r="S11" s="9"/>
      <c r="T11" s="7">
        <v>0</v>
      </c>
      <c r="U11" s="8">
        <f>IFERROR(T11/T445, "NA")</f>
        <v>0</v>
      </c>
      <c r="V11" s="9"/>
      <c r="W11" s="10">
        <f t="shared" si="2"/>
        <v>224651.77</v>
      </c>
      <c r="X11" s="8">
        <f>IFERROR(W11/W445, "NA")</f>
        <v>-6.8178479017339244</v>
      </c>
      <c r="Y11" s="9"/>
      <c r="Z11" s="7">
        <v>225047.56</v>
      </c>
      <c r="AA11" s="8">
        <f>IFERROR(Z11/Z445, "NA")</f>
        <v>0.2522501280431273</v>
      </c>
      <c r="AB11" s="9"/>
      <c r="AC11" s="10">
        <f t="shared" si="3"/>
        <v>-395.79000000000815</v>
      </c>
      <c r="AD11" s="8">
        <f>IFERROR(AC11/AC445, "NA")</f>
        <v>-1.137836997138396E-2</v>
      </c>
    </row>
    <row r="12" spans="1:30" ht="16.5" customHeight="1" x14ac:dyDescent="0.45">
      <c r="A12" s="12" t="s">
        <v>14</v>
      </c>
      <c r="B12" s="7">
        <v>5320.45</v>
      </c>
      <c r="C12" s="8">
        <f>IFERROR(B12/B445, "NA")</f>
        <v>3.321303366474266E-2</v>
      </c>
      <c r="D12" s="9"/>
      <c r="E12" s="7">
        <v>0</v>
      </c>
      <c r="F12" s="8">
        <f>IFERROR(E12/E445, "NA")</f>
        <v>0</v>
      </c>
      <c r="G12" s="9"/>
      <c r="H12" s="10">
        <f t="shared" si="0"/>
        <v>5320.45</v>
      </c>
      <c r="I12" s="8">
        <f>IFERROR(H12/H445, "NA")</f>
        <v>-0.16425091094432895</v>
      </c>
      <c r="J12" s="9"/>
      <c r="K12" s="7">
        <v>5300</v>
      </c>
      <c r="L12" s="8">
        <f>IFERROR(K12/K445, "NA")</f>
        <v>3.0011083716087898E-2</v>
      </c>
      <c r="M12" s="9"/>
      <c r="N12" s="10">
        <f t="shared" si="1"/>
        <v>20.449999999999818</v>
      </c>
      <c r="O12" s="8">
        <f>IFERROR(N12/N445, "NA")</f>
        <v>-1.246207294547938E-3</v>
      </c>
      <c r="P12" s="9"/>
      <c r="Q12" s="7">
        <v>23722.25</v>
      </c>
      <c r="R12" s="8">
        <f>IFERROR(Q12/Q445, "NA")</f>
        <v>2.5591870221047475E-2</v>
      </c>
      <c r="S12" s="9"/>
      <c r="T12" s="7">
        <v>0</v>
      </c>
      <c r="U12" s="8">
        <f>IFERROR(T12/T445, "NA")</f>
        <v>0</v>
      </c>
      <c r="V12" s="9"/>
      <c r="W12" s="10">
        <f t="shared" si="2"/>
        <v>23722.25</v>
      </c>
      <c r="X12" s="8">
        <f>IFERROR(W12/W445, "NA")</f>
        <v>-0.71993509059335514</v>
      </c>
      <c r="Y12" s="9"/>
      <c r="Z12" s="7">
        <v>21051.49</v>
      </c>
      <c r="AA12" s="8">
        <f>IFERROR(Z12/Z445, "NA")</f>
        <v>2.35960836367149E-2</v>
      </c>
      <c r="AB12" s="9"/>
      <c r="AC12" s="10">
        <f t="shared" si="3"/>
        <v>2670.7599999999984</v>
      </c>
      <c r="AD12" s="8">
        <f>IFERROR(AC12/AC445, "NA")</f>
        <v>7.6780351663187002E-2</v>
      </c>
    </row>
    <row r="13" spans="1:30" ht="16.5" customHeight="1" x14ac:dyDescent="0.45">
      <c r="A13" s="12" t="s">
        <v>15</v>
      </c>
      <c r="B13" s="7">
        <v>160</v>
      </c>
      <c r="C13" s="8">
        <f>IFERROR(B13/B445, "NA")</f>
        <v>9.9880374523937361E-4</v>
      </c>
      <c r="D13" s="9"/>
      <c r="E13" s="7">
        <v>0</v>
      </c>
      <c r="F13" s="8">
        <f>IFERROR(E13/E445, "NA")</f>
        <v>0</v>
      </c>
      <c r="G13" s="9"/>
      <c r="H13" s="10">
        <f t="shared" si="0"/>
        <v>160</v>
      </c>
      <c r="I13" s="8">
        <f>IFERROR(H13/H445, "NA")</f>
        <v>-4.9394592094827751E-3</v>
      </c>
      <c r="J13" s="9"/>
      <c r="K13" s="7">
        <v>231</v>
      </c>
      <c r="L13" s="8">
        <f>IFERROR(K13/K445, "NA")</f>
        <v>1.3080302525313781E-3</v>
      </c>
      <c r="M13" s="9"/>
      <c r="N13" s="10">
        <f t="shared" si="1"/>
        <v>-71</v>
      </c>
      <c r="O13" s="8">
        <f>IFERROR(N13/N445, "NA")</f>
        <v>4.3266854725136621E-3</v>
      </c>
      <c r="P13" s="9"/>
      <c r="Q13" s="7">
        <v>706</v>
      </c>
      <c r="R13" s="8">
        <f>IFERROR(Q13/Q445, "NA")</f>
        <v>7.6164193430469358E-4</v>
      </c>
      <c r="S13" s="9"/>
      <c r="T13" s="7">
        <v>0</v>
      </c>
      <c r="U13" s="8">
        <f>IFERROR(T13/T445, "NA")</f>
        <v>0</v>
      </c>
      <c r="V13" s="9"/>
      <c r="W13" s="10">
        <f t="shared" si="2"/>
        <v>706</v>
      </c>
      <c r="X13" s="8">
        <f>IFERROR(W13/W445, "NA")</f>
        <v>-2.1426052501719219E-2</v>
      </c>
      <c r="Y13" s="9"/>
      <c r="Z13" s="7">
        <v>1628</v>
      </c>
      <c r="AA13" s="8">
        <f>IFERROR(Z13/Z445, "NA")</f>
        <v>1.8247840965447983E-3</v>
      </c>
      <c r="AB13" s="9"/>
      <c r="AC13" s="10">
        <f t="shared" si="3"/>
        <v>-922</v>
      </c>
      <c r="AD13" s="8">
        <f>IFERROR(AC13/AC445, "NA")</f>
        <v>-2.6506119693816912E-2</v>
      </c>
    </row>
    <row r="14" spans="1:30" ht="16.5" customHeight="1" x14ac:dyDescent="0.45">
      <c r="A14" s="12" t="s">
        <v>16</v>
      </c>
      <c r="B14" s="7">
        <v>10</v>
      </c>
      <c r="C14" s="8">
        <f>IFERROR(B14/B445, "NA")</f>
        <v>6.2425234077460851E-5</v>
      </c>
      <c r="D14" s="9"/>
      <c r="E14" s="7">
        <v>0</v>
      </c>
      <c r="F14" s="8">
        <f>IFERROR(E14/E445, "NA")</f>
        <v>0</v>
      </c>
      <c r="G14" s="9"/>
      <c r="H14" s="10">
        <f t="shared" si="0"/>
        <v>10</v>
      </c>
      <c r="I14" s="8">
        <f>IFERROR(H14/H445, "NA")</f>
        <v>-3.0871620059267344E-4</v>
      </c>
      <c r="J14" s="9"/>
      <c r="K14" s="7">
        <v>645</v>
      </c>
      <c r="L14" s="8">
        <f>IFERROR(K14/K445, "NA")</f>
        <v>3.6522922635616405E-3</v>
      </c>
      <c r="M14" s="9"/>
      <c r="N14" s="10">
        <f t="shared" si="1"/>
        <v>-635</v>
      </c>
      <c r="O14" s="8">
        <f>IFERROR(N14/N445, "NA")</f>
        <v>3.8696412324594018E-2</v>
      </c>
      <c r="P14" s="9"/>
      <c r="Q14" s="7">
        <v>140</v>
      </c>
      <c r="R14" s="8">
        <f>IFERROR(Q14/Q445, "NA")</f>
        <v>1.5103381133520837E-4</v>
      </c>
      <c r="S14" s="9"/>
      <c r="T14" s="7">
        <v>0</v>
      </c>
      <c r="U14" s="8">
        <f>IFERROR(T14/T445, "NA")</f>
        <v>0</v>
      </c>
      <c r="V14" s="9"/>
      <c r="W14" s="10">
        <f t="shared" si="2"/>
        <v>140</v>
      </c>
      <c r="X14" s="8">
        <f>IFERROR(W14/W445, "NA")</f>
        <v>-4.2487922807941791E-3</v>
      </c>
      <c r="Y14" s="9"/>
      <c r="Z14" s="7">
        <v>2285</v>
      </c>
      <c r="AA14" s="8">
        <f>IFERROR(Z14/Z445, "NA")</f>
        <v>2.5611988087253464E-3</v>
      </c>
      <c r="AB14" s="9"/>
      <c r="AC14" s="10">
        <f t="shared" si="3"/>
        <v>-2145</v>
      </c>
      <c r="AD14" s="8">
        <f>IFERROR(AC14/AC445, "NA")</f>
        <v>-6.166553876706863E-2</v>
      </c>
    </row>
    <row r="15" spans="1:30" ht="16.5" customHeight="1" x14ac:dyDescent="0.45">
      <c r="A15" s="12" t="s">
        <v>17</v>
      </c>
      <c r="B15" s="7">
        <v>65</v>
      </c>
      <c r="C15" s="8">
        <f>IFERROR(B15/B445, "NA")</f>
        <v>4.0576402150349552E-4</v>
      </c>
      <c r="D15" s="9"/>
      <c r="E15" s="7">
        <v>0</v>
      </c>
      <c r="F15" s="8">
        <f>IFERROR(E15/E445, "NA")</f>
        <v>0</v>
      </c>
      <c r="G15" s="9"/>
      <c r="H15" s="10">
        <f t="shared" si="0"/>
        <v>65</v>
      </c>
      <c r="I15" s="8">
        <f>IFERROR(H15/H445, "NA")</f>
        <v>-2.0066553038523773E-3</v>
      </c>
      <c r="J15" s="9"/>
      <c r="K15" s="7">
        <v>192</v>
      </c>
      <c r="L15" s="8">
        <f>IFERROR(K15/K445, "NA")</f>
        <v>1.0871939761299767E-3</v>
      </c>
      <c r="M15" s="9"/>
      <c r="N15" s="10">
        <f t="shared" si="1"/>
        <v>-127</v>
      </c>
      <c r="O15" s="8">
        <f>IFERROR(N15/N445, "NA")</f>
        <v>7.7392824649188041E-3</v>
      </c>
      <c r="P15" s="9"/>
      <c r="Q15" s="7">
        <v>225</v>
      </c>
      <c r="R15" s="8">
        <f>IFERROR(Q15/Q445, "NA")</f>
        <v>2.4273291107444202E-4</v>
      </c>
      <c r="S15" s="9"/>
      <c r="T15" s="7">
        <v>0</v>
      </c>
      <c r="U15" s="8">
        <f>IFERROR(T15/T445, "NA")</f>
        <v>0</v>
      </c>
      <c r="V15" s="9"/>
      <c r="W15" s="10">
        <f t="shared" si="2"/>
        <v>225</v>
      </c>
      <c r="X15" s="8">
        <f>IFERROR(W15/W445, "NA")</f>
        <v>-6.8284161655620739E-3</v>
      </c>
      <c r="Y15" s="9"/>
      <c r="Z15" s="7">
        <v>506</v>
      </c>
      <c r="AA15" s="8">
        <f>IFERROR(Z15/Z445, "NA")</f>
        <v>5.6716262460176166E-4</v>
      </c>
      <c r="AB15" s="9"/>
      <c r="AC15" s="10">
        <f t="shared" si="3"/>
        <v>-281</v>
      </c>
      <c r="AD15" s="8">
        <f>IFERROR(AC15/AC445, "NA")</f>
        <v>-8.0783293210005998E-3</v>
      </c>
    </row>
    <row r="16" spans="1:30" ht="16.5" customHeight="1" x14ac:dyDescent="0.45">
      <c r="A16" s="12" t="s">
        <v>18</v>
      </c>
      <c r="B16" s="7">
        <v>0</v>
      </c>
      <c r="C16" s="8">
        <f>IFERROR(B16/B445, "NA")</f>
        <v>0</v>
      </c>
      <c r="D16" s="9"/>
      <c r="E16" s="7">
        <v>0</v>
      </c>
      <c r="F16" s="8">
        <f>IFERROR(E16/E445, "NA")</f>
        <v>0</v>
      </c>
      <c r="G16" s="9"/>
      <c r="H16" s="10">
        <f t="shared" si="0"/>
        <v>0</v>
      </c>
      <c r="I16" s="8">
        <f>IFERROR(H16/H445, "NA")</f>
        <v>0</v>
      </c>
      <c r="J16" s="9"/>
      <c r="K16" s="7">
        <v>0</v>
      </c>
      <c r="L16" s="8">
        <f>IFERROR(K16/K445, "NA")</f>
        <v>0</v>
      </c>
      <c r="M16" s="9"/>
      <c r="N16" s="10">
        <f t="shared" si="1"/>
        <v>0</v>
      </c>
      <c r="O16" s="8">
        <f>IFERROR(N16/N445, "NA")</f>
        <v>0</v>
      </c>
      <c r="P16" s="9"/>
      <c r="Q16" s="7">
        <v>0.48</v>
      </c>
      <c r="R16" s="8">
        <f>IFERROR(Q16/Q445, "NA")</f>
        <v>5.1783021029214298E-7</v>
      </c>
      <c r="S16" s="9"/>
      <c r="T16" s="7">
        <v>0</v>
      </c>
      <c r="U16" s="8">
        <f>IFERROR(T16/T445, "NA")</f>
        <v>0</v>
      </c>
      <c r="V16" s="9"/>
      <c r="W16" s="10">
        <f t="shared" si="2"/>
        <v>0.48</v>
      </c>
      <c r="X16" s="8">
        <f>IFERROR(W16/W445, "NA")</f>
        <v>-1.4567287819865758E-5</v>
      </c>
      <c r="Y16" s="9"/>
      <c r="Z16" s="7">
        <v>0.6</v>
      </c>
      <c r="AA16" s="8">
        <f>IFERROR(Z16/Z445, "NA")</f>
        <v>6.7252485130643668E-7</v>
      </c>
      <c r="AB16" s="9"/>
      <c r="AC16" s="10">
        <f t="shared" si="3"/>
        <v>-0.12</v>
      </c>
      <c r="AD16" s="8">
        <f>IFERROR(AC16/AC445, "NA")</f>
        <v>-3.449820350605238E-6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IFERROR(B17/B445, "NA")</f>
        <v>0</v>
      </c>
      <c r="D17" s="9"/>
      <c r="E17" s="7">
        <v>0</v>
      </c>
      <c r="F17" s="8">
        <f>IFERROR(E17/E445, "NA")</f>
        <v>0</v>
      </c>
      <c r="G17" s="9"/>
      <c r="H17" s="10">
        <f t="shared" si="0"/>
        <v>0</v>
      </c>
      <c r="I17" s="8">
        <f>IFERROR(H17/H445, "NA")</f>
        <v>0</v>
      </c>
      <c r="J17" s="9"/>
      <c r="K17" s="7">
        <v>0</v>
      </c>
      <c r="L17" s="8">
        <f>IFERROR(K17/K445, "NA")</f>
        <v>0</v>
      </c>
      <c r="M17" s="9"/>
      <c r="N17" s="10">
        <f t="shared" si="1"/>
        <v>0</v>
      </c>
      <c r="O17" s="8">
        <f>IFERROR(N17/N445, "NA")</f>
        <v>0</v>
      </c>
      <c r="P17" s="9"/>
      <c r="Q17" s="7">
        <v>0</v>
      </c>
      <c r="R17" s="8">
        <f>IFERROR(Q17/Q445, "NA")</f>
        <v>0</v>
      </c>
      <c r="S17" s="9"/>
      <c r="T17" s="7">
        <v>0</v>
      </c>
      <c r="U17" s="8">
        <f>IFERROR(T17/T445, "NA")</f>
        <v>0</v>
      </c>
      <c r="V17" s="9"/>
      <c r="W17" s="10">
        <f t="shared" si="2"/>
        <v>0</v>
      </c>
      <c r="X17" s="8">
        <f>IFERROR(W17/W445, "NA")</f>
        <v>0</v>
      </c>
      <c r="Y17" s="9"/>
      <c r="Z17" s="7">
        <v>0</v>
      </c>
      <c r="AA17" s="8">
        <f>IFERROR(Z17/Z445, "NA")</f>
        <v>0</v>
      </c>
      <c r="AB17" s="9"/>
      <c r="AC17" s="10">
        <f t="shared" si="3"/>
        <v>0</v>
      </c>
      <c r="AD17" s="8">
        <f>IFERROR(AC17/AC445,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49898.439999999995</v>
      </c>
      <c r="C18" s="15">
        <f>IFERROR(B18/B445, "NA")</f>
        <v>0.31149217971001353</v>
      </c>
      <c r="D18" s="2"/>
      <c r="E18" s="14">
        <f>IFERROR(E10+E11+E12+E13+E14+E15+E16+E17, "NA")</f>
        <v>53923.48</v>
      </c>
      <c r="F18" s="15">
        <f>IFERROR(E18/E445, "NA")</f>
        <v>0.28000002492420967</v>
      </c>
      <c r="G18" s="2"/>
      <c r="H18" s="14">
        <f t="shared" si="0"/>
        <v>-4025.0400000000081</v>
      </c>
      <c r="I18" s="15">
        <f>IFERROR(H18/H445, "NA")</f>
        <v>0.12425950560335368</v>
      </c>
      <c r="J18" s="2"/>
      <c r="K18" s="14">
        <f>IFERROR(K10+K11+K12+K13+K14+K15+K16+K17, "NA")</f>
        <v>52644.47</v>
      </c>
      <c r="L18" s="15">
        <f>IFERROR(K18/K445, "NA")</f>
        <v>0.29809765969039204</v>
      </c>
      <c r="M18" s="2"/>
      <c r="N18" s="14">
        <f t="shared" si="1"/>
        <v>-2746.0300000000061</v>
      </c>
      <c r="O18" s="15">
        <f>IFERROR(N18/N445, "NA")</f>
        <v>0.167340959268827</v>
      </c>
      <c r="P18" s="2"/>
      <c r="Q18" s="14">
        <f>IFERROR(Q10+Q11+Q12+Q13+Q14+Q15+Q16+Q17, "NA")</f>
        <v>249445.5</v>
      </c>
      <c r="R18" s="15">
        <f>IFERROR(Q18/Q445, "NA")</f>
        <v>0.26910503275297654</v>
      </c>
      <c r="S18" s="2"/>
      <c r="T18" s="14">
        <f>IFERROR(T10+T11+T12+T13+T14+T15+T16+T17, "NA")</f>
        <v>268770.69</v>
      </c>
      <c r="U18" s="15">
        <f>IFERROR(T18/T445, "NA")</f>
        <v>0.28000000625068172</v>
      </c>
      <c r="V18" s="2"/>
      <c r="W18" s="14">
        <f t="shared" si="2"/>
        <v>-19325.190000000002</v>
      </c>
      <c r="X18" s="15">
        <f>IFERROR(W18/W445, "NA")</f>
        <v>0.58649084354914915</v>
      </c>
      <c r="Y18" s="2"/>
      <c r="Z18" s="14">
        <f>IFERROR(Z10+Z11+Z12+Z13+Z14+Z15+Z16+Z17, "NA")</f>
        <v>250518.65</v>
      </c>
      <c r="AA18" s="15">
        <f>IFERROR(Z18/Z445, "NA")</f>
        <v>0.28080002973456542</v>
      </c>
      <c r="AB18" s="2"/>
      <c r="AC18" s="14">
        <f t="shared" si="3"/>
        <v>-1073.1499999999942</v>
      </c>
      <c r="AD18" s="15">
        <f>IFERROR(AC18/AC445, "NA")</f>
        <v>-3.085145591043326E-2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IFERROR(B19/B445, "NA")</f>
        <v>0</v>
      </c>
      <c r="D19" s="9"/>
      <c r="E19" s="7">
        <v>0</v>
      </c>
      <c r="F19" s="8">
        <f>IFERROR(E19/E445, "NA")</f>
        <v>0</v>
      </c>
      <c r="G19" s="9"/>
      <c r="H19" s="10">
        <f t="shared" si="0"/>
        <v>0</v>
      </c>
      <c r="I19" s="8">
        <f>IFERROR(H19/H445, "NA")</f>
        <v>0</v>
      </c>
      <c r="J19" s="9"/>
      <c r="K19" s="7">
        <v>0</v>
      </c>
      <c r="L19" s="8">
        <f>IFERROR(K19/K445, "NA")</f>
        <v>0</v>
      </c>
      <c r="M19" s="9"/>
      <c r="N19" s="10">
        <f t="shared" si="1"/>
        <v>0</v>
      </c>
      <c r="O19" s="8">
        <f>IFERROR(N19/N445, "NA")</f>
        <v>0</v>
      </c>
      <c r="P19" s="9"/>
      <c r="Q19" s="7">
        <v>0</v>
      </c>
      <c r="R19" s="8">
        <f>IFERROR(Q19/Q445, "NA")</f>
        <v>0</v>
      </c>
      <c r="S19" s="9"/>
      <c r="T19" s="7">
        <v>0</v>
      </c>
      <c r="U19" s="8">
        <f>IFERROR(T19/T445, "NA")</f>
        <v>0</v>
      </c>
      <c r="V19" s="9"/>
      <c r="W19" s="10">
        <f t="shared" si="2"/>
        <v>0</v>
      </c>
      <c r="X19" s="8">
        <f>IFERROR(W19/W445, "NA")</f>
        <v>0</v>
      </c>
      <c r="Y19" s="9"/>
      <c r="Z19" s="7">
        <v>0</v>
      </c>
      <c r="AA19" s="8">
        <f>IFERROR(Z19/Z445, "NA")</f>
        <v>0</v>
      </c>
      <c r="AB19" s="9"/>
      <c r="AC19" s="10">
        <f t="shared" si="3"/>
        <v>0</v>
      </c>
      <c r="AD19" s="8">
        <f>IFERROR(AC19/AC445,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IFERROR(B21/B445, "NA")</f>
        <v>0</v>
      </c>
      <c r="D21" s="9"/>
      <c r="E21" s="7">
        <v>15984.46</v>
      </c>
      <c r="F21" s="8">
        <f>IFERROR(E21/E445, "NA")</f>
        <v>8.3000006646455904E-2</v>
      </c>
      <c r="G21" s="9"/>
      <c r="H21" s="10">
        <f t="shared" ref="H21:H29" si="4">IFERROR(B21-E21, "NA")</f>
        <v>-15984.46</v>
      </c>
      <c r="I21" s="8">
        <f>IFERROR(H21/H445, "NA")</f>
        <v>0.49346617597255649</v>
      </c>
      <c r="J21" s="9"/>
      <c r="K21" s="7">
        <v>0</v>
      </c>
      <c r="L21" s="8">
        <f>IFERROR(K21/K445, "NA")</f>
        <v>0</v>
      </c>
      <c r="M21" s="9"/>
      <c r="N21" s="10">
        <f t="shared" ref="N21:N29" si="5">IFERROR(B21-K21, "NA")</f>
        <v>0</v>
      </c>
      <c r="O21" s="8">
        <f>IFERROR(N21/N445, "NA")</f>
        <v>0</v>
      </c>
      <c r="P21" s="9"/>
      <c r="Q21" s="7">
        <v>0</v>
      </c>
      <c r="R21" s="8">
        <f>IFERROR(Q21/Q445, "NA")</f>
        <v>0</v>
      </c>
      <c r="S21" s="9"/>
      <c r="T21" s="7">
        <v>79671.320000000007</v>
      </c>
      <c r="U21" s="8">
        <f>IFERROR(T21/T445, "NA")</f>
        <v>8.3000010521980888E-2</v>
      </c>
      <c r="V21" s="9"/>
      <c r="W21" s="10">
        <f t="shared" ref="W21:W29" si="6">IFERROR(Q21-T21, "NA")</f>
        <v>-79671.320000000007</v>
      </c>
      <c r="X21" s="8">
        <f>IFERROR(W21/W445, "NA")</f>
        <v>2.4179063529763067</v>
      </c>
      <c r="Y21" s="9"/>
      <c r="Z21" s="7">
        <v>0</v>
      </c>
      <c r="AA21" s="8">
        <f>IFERROR(Z21/Z445, "NA")</f>
        <v>0</v>
      </c>
      <c r="AB21" s="9"/>
      <c r="AC21" s="10">
        <f t="shared" ref="AC21:AC29" si="7">IFERROR(Q21-Z21, "NA")</f>
        <v>0</v>
      </c>
      <c r="AD21" s="8">
        <f>IFERROR(AC21/AC445,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IFERROR(B22/B445, "NA")</f>
        <v>0</v>
      </c>
      <c r="D22" s="9"/>
      <c r="E22" s="7">
        <v>0</v>
      </c>
      <c r="F22" s="8">
        <f>IFERROR(E22/E445, "NA")</f>
        <v>0</v>
      </c>
      <c r="G22" s="9"/>
      <c r="H22" s="10">
        <f t="shared" si="4"/>
        <v>0</v>
      </c>
      <c r="I22" s="8">
        <f>IFERROR(H22/H445, "NA")</f>
        <v>0</v>
      </c>
      <c r="J22" s="9"/>
      <c r="K22" s="7">
        <v>6732.05</v>
      </c>
      <c r="L22" s="8">
        <f>IFERROR(K22/K445, "NA")</f>
        <v>3.812002191148859E-2</v>
      </c>
      <c r="M22" s="9"/>
      <c r="N22" s="10">
        <f t="shared" si="5"/>
        <v>-6732.05</v>
      </c>
      <c r="O22" s="8">
        <f>IFERROR(N22/N445, "NA")</f>
        <v>0.4102459568343042</v>
      </c>
      <c r="P22" s="9"/>
      <c r="Q22" s="7">
        <v>4179.45</v>
      </c>
      <c r="R22" s="8">
        <f>IFERROR(Q22/Q445, "NA")</f>
        <v>4.5088447341781182E-3</v>
      </c>
      <c r="S22" s="9"/>
      <c r="T22" s="7">
        <v>0</v>
      </c>
      <c r="U22" s="8">
        <f>IFERROR(T22/T445, "NA")</f>
        <v>0</v>
      </c>
      <c r="V22" s="9"/>
      <c r="W22" s="10">
        <f t="shared" si="6"/>
        <v>4179.45</v>
      </c>
      <c r="X22" s="8">
        <f>IFERROR(W22/W445, "NA")</f>
        <v>-0.12684010641403737</v>
      </c>
      <c r="Y22" s="9"/>
      <c r="Z22" s="7">
        <v>35195.300000000003</v>
      </c>
      <c r="AA22" s="8">
        <f>IFERROR(Z22/Z445, "NA")</f>
        <v>3.9449523165309058E-2</v>
      </c>
      <c r="AB22" s="9"/>
      <c r="AC22" s="10">
        <f t="shared" si="7"/>
        <v>-31015.850000000002</v>
      </c>
      <c r="AD22" s="8">
        <f>IFERROR(AC22/AC445, "NA")</f>
        <v>-0.89165925434432902</v>
      </c>
    </row>
    <row r="23" spans="1:30" ht="16.5" customHeight="1" x14ac:dyDescent="0.45">
      <c r="A23" s="12" t="s">
        <v>24</v>
      </c>
      <c r="B23" s="7">
        <v>8516.16</v>
      </c>
      <c r="C23" s="8">
        <f>IFERROR(B23/B445, "NA")</f>
        <v>5.3162328144110899E-2</v>
      </c>
      <c r="D23" s="9"/>
      <c r="E23" s="7">
        <v>0</v>
      </c>
      <c r="F23" s="8">
        <f>IFERROR(E23/E445, "NA")</f>
        <v>0</v>
      </c>
      <c r="G23" s="9"/>
      <c r="H23" s="10">
        <f t="shared" si="4"/>
        <v>8516.16</v>
      </c>
      <c r="I23" s="8">
        <f>IFERROR(H23/H445, "NA")</f>
        <v>-0.26290765588393017</v>
      </c>
      <c r="J23" s="9"/>
      <c r="K23" s="7">
        <v>0</v>
      </c>
      <c r="L23" s="8">
        <f>IFERROR(K23/K445, "NA")</f>
        <v>0</v>
      </c>
      <c r="M23" s="9"/>
      <c r="N23" s="10">
        <f t="shared" si="5"/>
        <v>8516.16</v>
      </c>
      <c r="O23" s="8">
        <f>IFERROR(N23/N445, "NA")</f>
        <v>-0.51896825005073166</v>
      </c>
      <c r="P23" s="9"/>
      <c r="Q23" s="7">
        <v>32654.83</v>
      </c>
      <c r="R23" s="8">
        <f>IFERROR(Q23/Q445, "NA")</f>
        <v>3.5228453095737876E-2</v>
      </c>
      <c r="S23" s="9"/>
      <c r="T23" s="7">
        <v>0</v>
      </c>
      <c r="U23" s="8">
        <f>IFERROR(T23/T445, "NA")</f>
        <v>0</v>
      </c>
      <c r="V23" s="9"/>
      <c r="W23" s="10">
        <f t="shared" si="6"/>
        <v>32654.83</v>
      </c>
      <c r="X23" s="8">
        <f>IFERROR(W23/W445, "NA")</f>
        <v>-0.99102564024747286</v>
      </c>
      <c r="Y23" s="9"/>
      <c r="Z23" s="7">
        <v>0</v>
      </c>
      <c r="AA23" s="8">
        <f>IFERROR(Z23/Z445, "NA")</f>
        <v>0</v>
      </c>
      <c r="AB23" s="9"/>
      <c r="AC23" s="10">
        <f t="shared" si="7"/>
        <v>32654.83</v>
      </c>
      <c r="AD23" s="8">
        <f>IFERROR(AC23/AC445, "NA")</f>
        <v>0.93877747566295378</v>
      </c>
    </row>
    <row r="24" spans="1:30" ht="16.5" customHeight="1" x14ac:dyDescent="0.45">
      <c r="A24" s="12" t="s">
        <v>25</v>
      </c>
      <c r="B24" s="7">
        <v>1056.6300000000001</v>
      </c>
      <c r="C24" s="8">
        <f>IFERROR(B24/B445, "NA")</f>
        <v>6.5960375083267461E-3</v>
      </c>
      <c r="D24" s="9"/>
      <c r="E24" s="7">
        <v>0</v>
      </c>
      <c r="F24" s="8">
        <f>IFERROR(E24/E445, "NA")</f>
        <v>0</v>
      </c>
      <c r="G24" s="9"/>
      <c r="H24" s="10">
        <f t="shared" si="4"/>
        <v>1056.6300000000001</v>
      </c>
      <c r="I24" s="8">
        <f>IFERROR(H24/H445, "NA")</f>
        <v>-3.261987990322366E-2</v>
      </c>
      <c r="J24" s="9"/>
      <c r="K24" s="7">
        <v>1229.06</v>
      </c>
      <c r="L24" s="8">
        <f>IFERROR(K24/K445, "NA")</f>
        <v>6.9595136890745262E-3</v>
      </c>
      <c r="M24" s="9"/>
      <c r="N24" s="10">
        <f t="shared" si="5"/>
        <v>-172.42999999999984</v>
      </c>
      <c r="O24" s="8">
        <f>IFERROR(N24/N445, "NA")</f>
        <v>1.0507751775007465E-2</v>
      </c>
      <c r="P24" s="9"/>
      <c r="Q24" s="7">
        <v>6473.27</v>
      </c>
      <c r="R24" s="8">
        <f>IFERROR(Q24/Q445, "NA")</f>
        <v>6.9834474278704598E-3</v>
      </c>
      <c r="S24" s="9"/>
      <c r="T24" s="7">
        <v>0</v>
      </c>
      <c r="U24" s="8">
        <f>IFERROR(T24/T445, "NA")</f>
        <v>0</v>
      </c>
      <c r="V24" s="9"/>
      <c r="W24" s="10">
        <f t="shared" si="6"/>
        <v>6473.27</v>
      </c>
      <c r="X24" s="8">
        <f>IFERROR(W24/W445, "NA")</f>
        <v>-0.19645414005354672</v>
      </c>
      <c r="Y24" s="9"/>
      <c r="Z24" s="7">
        <v>7807.74</v>
      </c>
      <c r="AA24" s="8">
        <f>IFERROR(Z24/Z445, "NA")</f>
        <v>8.7514986375655298E-3</v>
      </c>
      <c r="AB24" s="9"/>
      <c r="AC24" s="10">
        <f t="shared" si="7"/>
        <v>-1334.4699999999993</v>
      </c>
      <c r="AD24" s="8">
        <f>IFERROR(AC24/AC445, "NA")</f>
        <v>-3.8364014693934745E-2</v>
      </c>
    </row>
    <row r="25" spans="1:30" ht="16.5" customHeight="1" x14ac:dyDescent="0.45">
      <c r="A25" s="12" t="s">
        <v>26</v>
      </c>
      <c r="B25" s="7">
        <v>254.85</v>
      </c>
      <c r="C25" s="8">
        <f>IFERROR(B25/B445, "NA")</f>
        <v>1.5909070904640897E-3</v>
      </c>
      <c r="D25" s="9"/>
      <c r="E25" s="7">
        <v>0</v>
      </c>
      <c r="F25" s="8">
        <f>IFERROR(E25/E445, "NA")</f>
        <v>0</v>
      </c>
      <c r="G25" s="9"/>
      <c r="H25" s="10">
        <f t="shared" si="4"/>
        <v>254.85</v>
      </c>
      <c r="I25" s="8">
        <f>IFERROR(H25/H445, "NA")</f>
        <v>-7.8676323721042826E-3</v>
      </c>
      <c r="J25" s="9"/>
      <c r="K25" s="7">
        <v>0</v>
      </c>
      <c r="L25" s="8">
        <f>IFERROR(K25/K445, "NA")</f>
        <v>0</v>
      </c>
      <c r="M25" s="9"/>
      <c r="N25" s="10">
        <f t="shared" si="5"/>
        <v>254.85</v>
      </c>
      <c r="O25" s="8">
        <f>IFERROR(N25/N445, "NA")</f>
        <v>-1.5530363277043756E-2</v>
      </c>
      <c r="P25" s="9"/>
      <c r="Q25" s="7">
        <v>1418.28</v>
      </c>
      <c r="R25" s="8">
        <f>IFERROR(Q25/Q445, "NA")</f>
        <v>1.5300588138607095E-3</v>
      </c>
      <c r="S25" s="9"/>
      <c r="T25" s="7">
        <v>0</v>
      </c>
      <c r="U25" s="8">
        <f>IFERROR(T25/T445, "NA")</f>
        <v>0</v>
      </c>
      <c r="V25" s="9"/>
      <c r="W25" s="10">
        <f t="shared" si="6"/>
        <v>1418.28</v>
      </c>
      <c r="X25" s="8">
        <f>IFERROR(W25/W445, "NA")</f>
        <v>-4.3042693685748347E-2</v>
      </c>
      <c r="Y25" s="9"/>
      <c r="Z25" s="7">
        <v>0</v>
      </c>
      <c r="AA25" s="8">
        <f>IFERROR(Z25/Z445, "NA")</f>
        <v>0</v>
      </c>
      <c r="AB25" s="9"/>
      <c r="AC25" s="10">
        <f t="shared" si="7"/>
        <v>1418.28</v>
      </c>
      <c r="AD25" s="8">
        <f>IFERROR(AC25/AC445, "NA")</f>
        <v>4.077342672380331E-2</v>
      </c>
    </row>
    <row r="26" spans="1:30" ht="16.5" customHeight="1" x14ac:dyDescent="0.45">
      <c r="A26" s="12" t="s">
        <v>27</v>
      </c>
      <c r="B26" s="7">
        <v>1727.92</v>
      </c>
      <c r="C26" s="8">
        <f>IFERROR(B26/B445, "NA")</f>
        <v>1.0786581046712616E-2</v>
      </c>
      <c r="D26" s="9"/>
      <c r="E26" s="7">
        <v>0</v>
      </c>
      <c r="F26" s="8">
        <f>IFERROR(E26/E445, "NA")</f>
        <v>0</v>
      </c>
      <c r="G26" s="9"/>
      <c r="H26" s="10">
        <f t="shared" si="4"/>
        <v>1727.92</v>
      </c>
      <c r="I26" s="8">
        <f>IFERROR(H26/H445, "NA")</f>
        <v>-5.334368973280923E-2</v>
      </c>
      <c r="J26" s="9"/>
      <c r="K26" s="7">
        <v>2252.0300000000002</v>
      </c>
      <c r="L26" s="8">
        <f>IFERROR(K26/K445, "NA")</f>
        <v>1.2752049219083289E-2</v>
      </c>
      <c r="M26" s="9"/>
      <c r="N26" s="10">
        <f t="shared" si="5"/>
        <v>-524.11000000000013</v>
      </c>
      <c r="O26" s="8">
        <f>IFERROR(N26/N445, "NA")</f>
        <v>3.1938860887311772E-2</v>
      </c>
      <c r="P26" s="9"/>
      <c r="Q26" s="7">
        <v>14254.85</v>
      </c>
      <c r="R26" s="8">
        <f>IFERROR(Q26/Q445, "NA")</f>
        <v>1.5378316610797822E-2</v>
      </c>
      <c r="S26" s="9"/>
      <c r="T26" s="7">
        <v>0</v>
      </c>
      <c r="U26" s="8">
        <f>IFERROR(T26/T445, "NA")</f>
        <v>0</v>
      </c>
      <c r="V26" s="9"/>
      <c r="W26" s="10">
        <f t="shared" si="6"/>
        <v>14254.85</v>
      </c>
      <c r="X26" s="8">
        <f>IFERROR(W26/W445, "NA")</f>
        <v>-0.43261354745627795</v>
      </c>
      <c r="Y26" s="9"/>
      <c r="Z26" s="7">
        <v>13782.34</v>
      </c>
      <c r="AA26" s="8">
        <f>IFERROR(Z26/Z445, "NA")</f>
        <v>1.5448276931924592E-2</v>
      </c>
      <c r="AB26" s="9"/>
      <c r="AC26" s="10">
        <f t="shared" si="7"/>
        <v>472.51000000000022</v>
      </c>
      <c r="AD26" s="8">
        <f>IFERROR(AC26/AC445, "NA")</f>
        <v>1.3583955115537349E-2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IFERROR(B27/B445, "NA")</f>
        <v>0</v>
      </c>
      <c r="D27" s="9"/>
      <c r="E27" s="7">
        <v>0</v>
      </c>
      <c r="F27" s="8">
        <f>IFERROR(E27/E445, "NA")</f>
        <v>0</v>
      </c>
      <c r="G27" s="9"/>
      <c r="H27" s="10">
        <f t="shared" si="4"/>
        <v>0</v>
      </c>
      <c r="I27" s="8">
        <f>IFERROR(H27/H445, "NA")</f>
        <v>0</v>
      </c>
      <c r="J27" s="9"/>
      <c r="K27" s="7">
        <v>0</v>
      </c>
      <c r="L27" s="8">
        <f>IFERROR(K27/K445, "NA")</f>
        <v>0</v>
      </c>
      <c r="M27" s="9"/>
      <c r="N27" s="10">
        <f t="shared" si="5"/>
        <v>0</v>
      </c>
      <c r="O27" s="8">
        <f>IFERROR(N27/N445, "NA")</f>
        <v>0</v>
      </c>
      <c r="P27" s="9"/>
      <c r="Q27" s="7">
        <v>0</v>
      </c>
      <c r="R27" s="8">
        <f>IFERROR(Q27/Q445, "NA")</f>
        <v>0</v>
      </c>
      <c r="S27" s="9"/>
      <c r="T27" s="7">
        <v>0</v>
      </c>
      <c r="U27" s="8">
        <f>IFERROR(T27/T445, "NA")</f>
        <v>0</v>
      </c>
      <c r="V27" s="9"/>
      <c r="W27" s="10">
        <f t="shared" si="6"/>
        <v>0</v>
      </c>
      <c r="X27" s="8">
        <f>IFERROR(W27/W445, "NA")</f>
        <v>0</v>
      </c>
      <c r="Y27" s="9"/>
      <c r="Z27" s="7">
        <v>0</v>
      </c>
      <c r="AA27" s="8">
        <f>IFERROR(Z27/Z445, "NA")</f>
        <v>0</v>
      </c>
      <c r="AB27" s="9"/>
      <c r="AC27" s="10">
        <f t="shared" si="7"/>
        <v>0</v>
      </c>
      <c r="AD27" s="8">
        <f>IFERROR(AC27/AC445, "NA")</f>
        <v>0</v>
      </c>
    </row>
    <row r="28" spans="1:30" ht="16.5" customHeight="1" x14ac:dyDescent="0.45">
      <c r="A28" s="12" t="s">
        <v>29</v>
      </c>
      <c r="B28" s="7">
        <v>898.5</v>
      </c>
      <c r="C28" s="8">
        <f>IFERROR(B28/B445, "NA")</f>
        <v>5.6089072818598573E-3</v>
      </c>
      <c r="D28" s="9"/>
      <c r="E28" s="7">
        <v>0</v>
      </c>
      <c r="F28" s="8">
        <f>IFERROR(E28/E445, "NA")</f>
        <v>0</v>
      </c>
      <c r="G28" s="9"/>
      <c r="H28" s="10">
        <f t="shared" si="4"/>
        <v>898.5</v>
      </c>
      <c r="I28" s="8">
        <f>IFERROR(H28/H445, "NA")</f>
        <v>-2.773815062325171E-2</v>
      </c>
      <c r="J28" s="9"/>
      <c r="K28" s="7">
        <v>808.65</v>
      </c>
      <c r="L28" s="8">
        <f>IFERROR(K28/K445, "NA")</f>
        <v>4.5789552541536747E-3</v>
      </c>
      <c r="M28" s="9"/>
      <c r="N28" s="10">
        <f t="shared" si="5"/>
        <v>89.850000000000023</v>
      </c>
      <c r="O28" s="8">
        <f>IFERROR(N28/N445, "NA")</f>
        <v>-5.4753899958500368E-3</v>
      </c>
      <c r="P28" s="9"/>
      <c r="Q28" s="7">
        <v>4336.76</v>
      </c>
      <c r="R28" s="8">
        <f>IFERROR(Q28/Q445, "NA")</f>
        <v>4.6785527974719876E-3</v>
      </c>
      <c r="S28" s="9"/>
      <c r="T28" s="7">
        <v>0</v>
      </c>
      <c r="U28" s="8">
        <f>IFERROR(T28/T445, "NA")</f>
        <v>0</v>
      </c>
      <c r="V28" s="9"/>
      <c r="W28" s="10">
        <f t="shared" si="6"/>
        <v>4336.76</v>
      </c>
      <c r="X28" s="8">
        <f>IFERROR(W28/W445, "NA")</f>
        <v>-0.13161423151183549</v>
      </c>
      <c r="Y28" s="9"/>
      <c r="Z28" s="7">
        <v>3953.4</v>
      </c>
      <c r="AA28" s="8">
        <f>IFERROR(Z28/Z445, "NA")</f>
        <v>4.4312662452581112E-3</v>
      </c>
      <c r="AB28" s="9"/>
      <c r="AC28" s="10">
        <f t="shared" si="7"/>
        <v>383.36000000000013</v>
      </c>
      <c r="AD28" s="8">
        <f>IFERROR(AC28/AC445, "NA")</f>
        <v>1.1021026080066871E-2</v>
      </c>
    </row>
    <row r="29" spans="1:30" ht="16.5" customHeight="1" x14ac:dyDescent="0.45">
      <c r="A29" s="13" t="s">
        <v>30</v>
      </c>
      <c r="B29" s="14">
        <f>IFERROR(B21+B22+B23+B24+B25+B26+B27+B28, "NA")</f>
        <v>12454.060000000001</v>
      </c>
      <c r="C29" s="15">
        <f>IFERROR(B29/B445, "NA")</f>
        <v>7.7744761071474211E-2</v>
      </c>
      <c r="D29" s="2"/>
      <c r="E29" s="14">
        <f>IFERROR(E21+E22+E23+E24+E25+E26+E27+E28, "NA")</f>
        <v>15984.46</v>
      </c>
      <c r="F29" s="15">
        <f>IFERROR(E29/E445, "NA")</f>
        <v>8.3000006646455904E-2</v>
      </c>
      <c r="G29" s="2"/>
      <c r="H29" s="14">
        <f t="shared" si="4"/>
        <v>-3530.3999999999978</v>
      </c>
      <c r="I29" s="15">
        <f>IFERROR(H29/H445, "NA")</f>
        <v>0.10898916745723736</v>
      </c>
      <c r="J29" s="2"/>
      <c r="K29" s="14">
        <f>IFERROR(K21+K22+K23+K24+K25+K26+K27+K28, "NA")</f>
        <v>11021.79</v>
      </c>
      <c r="L29" s="15">
        <f>IFERROR(K29/K445, "NA")</f>
        <v>6.2410540073800085E-2</v>
      </c>
      <c r="M29" s="2"/>
      <c r="N29" s="14">
        <f t="shared" si="5"/>
        <v>1432.2700000000004</v>
      </c>
      <c r="O29" s="15">
        <f>IFERROR(N29/N445, "NA")</f>
        <v>-8.7281433827002042E-2</v>
      </c>
      <c r="P29" s="2"/>
      <c r="Q29" s="14">
        <f>IFERROR(Q21+Q22+Q23+Q24+Q25+Q26+Q27+Q28, "NA")</f>
        <v>63317.440000000002</v>
      </c>
      <c r="R29" s="15">
        <f>IFERROR(Q29/Q445, "NA")</f>
        <v>6.8307673479916967E-2</v>
      </c>
      <c r="S29" s="2"/>
      <c r="T29" s="14">
        <f>IFERROR(T21+T22+T23+T24+T25+T26+T27+T28, "NA")</f>
        <v>79671.320000000007</v>
      </c>
      <c r="U29" s="15">
        <f>IFERROR(T29/T445, "NA")</f>
        <v>8.3000010521980888E-2</v>
      </c>
      <c r="V29" s="2"/>
      <c r="W29" s="14">
        <f t="shared" si="6"/>
        <v>-16353.880000000005</v>
      </c>
      <c r="X29" s="15">
        <f>IFERROR(W29/W445, "NA")</f>
        <v>0.4963159936073881</v>
      </c>
      <c r="Y29" s="2"/>
      <c r="Z29" s="14">
        <f>IFERROR(Z21+Z22+Z23+Z24+Z25+Z26+Z27+Z28, "NA")</f>
        <v>60738.780000000006</v>
      </c>
      <c r="AA29" s="15">
        <f>IFERROR(Z29/Z445, "NA")</f>
        <v>6.8080564980057295E-2</v>
      </c>
      <c r="AB29" s="2"/>
      <c r="AC29" s="14">
        <f t="shared" si="7"/>
        <v>2578.6599999999962</v>
      </c>
      <c r="AD29" s="15">
        <f>IFERROR(AC29/AC445, "NA")</f>
        <v>7.4132614544097419E-2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IFERROR(B31/B445, "NA")</f>
        <v>0</v>
      </c>
      <c r="D31" s="9"/>
      <c r="E31" s="7">
        <v>42753.61</v>
      </c>
      <c r="F31" s="8">
        <f>IFERROR(E31/E445, "NA")</f>
        <v>0.22199998712249169</v>
      </c>
      <c r="G31" s="9"/>
      <c r="H31" s="10">
        <f t="shared" ref="H31:H40" si="8">IFERROR(B31-E31, "NA")</f>
        <v>-42753.61</v>
      </c>
      <c r="I31" s="8">
        <f>IFERROR(H31/H445, "NA")</f>
        <v>1.3198732040820929</v>
      </c>
      <c r="J31" s="9"/>
      <c r="K31" s="7">
        <v>0</v>
      </c>
      <c r="L31" s="8">
        <f>IFERROR(K31/K445, "NA")</f>
        <v>0</v>
      </c>
      <c r="M31" s="9"/>
      <c r="N31" s="10">
        <f t="shared" ref="N31:N40" si="9">IFERROR(B31-K31, "NA")</f>
        <v>0</v>
      </c>
      <c r="O31" s="8">
        <f>IFERROR(N31/N445, "NA")</f>
        <v>0</v>
      </c>
      <c r="P31" s="9"/>
      <c r="Q31" s="7">
        <v>0</v>
      </c>
      <c r="R31" s="8">
        <f>IFERROR(Q31/Q445, "NA")</f>
        <v>0</v>
      </c>
      <c r="S31" s="9"/>
      <c r="T31" s="7">
        <v>213096.75</v>
      </c>
      <c r="U31" s="8">
        <f>IFERROR(T31/T445, "NA")</f>
        <v>0.22199999312425009</v>
      </c>
      <c r="V31" s="9"/>
      <c r="W31" s="10">
        <f t="shared" ref="W31:W40" si="10">IFERROR(Q31-T31, "NA")</f>
        <v>-213096.75</v>
      </c>
      <c r="X31" s="8">
        <f>IFERROR(W31/W445, "NA")</f>
        <v>6.4671701890166222</v>
      </c>
      <c r="Y31" s="9"/>
      <c r="Z31" s="7">
        <v>0</v>
      </c>
      <c r="AA31" s="8">
        <f>IFERROR(Z31/Z445, "NA")</f>
        <v>0</v>
      </c>
      <c r="AB31" s="9"/>
      <c r="AC31" s="10">
        <f t="shared" ref="AC31:AC40" si="11">IFERROR(Q31-Z31, "NA")</f>
        <v>0</v>
      </c>
      <c r="AD31" s="8">
        <f>IFERROR(AC31/AC445,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IFERROR(B32/B445, "NA")</f>
        <v>0</v>
      </c>
      <c r="D32" s="9"/>
      <c r="E32" s="7">
        <v>0</v>
      </c>
      <c r="F32" s="8">
        <f>IFERROR(E32/E445, "NA")</f>
        <v>0</v>
      </c>
      <c r="G32" s="9"/>
      <c r="H32" s="10">
        <f t="shared" si="8"/>
        <v>0</v>
      </c>
      <c r="I32" s="8">
        <f>IFERROR(H32/H445, "NA")</f>
        <v>0</v>
      </c>
      <c r="J32" s="9"/>
      <c r="K32" s="7">
        <v>0</v>
      </c>
      <c r="L32" s="8">
        <f>IFERROR(K32/K445, "NA")</f>
        <v>0</v>
      </c>
      <c r="M32" s="9"/>
      <c r="N32" s="10">
        <f t="shared" si="9"/>
        <v>0</v>
      </c>
      <c r="O32" s="8">
        <f>IFERROR(N32/N445, "NA")</f>
        <v>0</v>
      </c>
      <c r="P32" s="9"/>
      <c r="Q32" s="7">
        <v>0</v>
      </c>
      <c r="R32" s="8">
        <f>IFERROR(Q32/Q445, "NA")</f>
        <v>0</v>
      </c>
      <c r="S32" s="9"/>
      <c r="T32" s="7">
        <v>0</v>
      </c>
      <c r="U32" s="8">
        <f>IFERROR(T32/T445, "NA")</f>
        <v>0</v>
      </c>
      <c r="V32" s="9"/>
      <c r="W32" s="10">
        <f t="shared" si="10"/>
        <v>0</v>
      </c>
      <c r="X32" s="8">
        <f>IFERROR(W32/W445, "NA")</f>
        <v>0</v>
      </c>
      <c r="Y32" s="9"/>
      <c r="Z32" s="7">
        <v>0</v>
      </c>
      <c r="AA32" s="8">
        <f>IFERROR(Z32/Z445, "NA")</f>
        <v>0</v>
      </c>
      <c r="AB32" s="9"/>
      <c r="AC32" s="10">
        <f t="shared" si="11"/>
        <v>0</v>
      </c>
      <c r="AD32" s="8">
        <f>IFERROR(AC32/AC445, "NA")</f>
        <v>0</v>
      </c>
    </row>
    <row r="33" spans="1:30" ht="16.5" customHeight="1" x14ac:dyDescent="0.45">
      <c r="A33" s="12" t="s">
        <v>33</v>
      </c>
      <c r="B33" s="7">
        <v>15806.72</v>
      </c>
      <c r="C33" s="8">
        <f>IFERROR(B33/B445, "NA")</f>
        <v>9.8673819599688198E-2</v>
      </c>
      <c r="D33" s="9"/>
      <c r="E33" s="7">
        <v>0</v>
      </c>
      <c r="F33" s="8">
        <f>IFERROR(E33/E445, "NA")</f>
        <v>0</v>
      </c>
      <c r="G33" s="9"/>
      <c r="H33" s="10">
        <f t="shared" si="8"/>
        <v>15806.72</v>
      </c>
      <c r="I33" s="8">
        <f>IFERROR(H33/H445, "NA")</f>
        <v>-0.4879790542232223</v>
      </c>
      <c r="J33" s="9"/>
      <c r="K33" s="7">
        <v>12426.48</v>
      </c>
      <c r="L33" s="8">
        <f>IFERROR(K33/K445, "NA")</f>
        <v>7.0364553127602245E-2</v>
      </c>
      <c r="M33" s="9"/>
      <c r="N33" s="10">
        <f t="shared" si="9"/>
        <v>3380.24</v>
      </c>
      <c r="O33" s="8">
        <f>IFERROR(N33/N445, "NA")</f>
        <v>-0.20598922960013494</v>
      </c>
      <c r="P33" s="9"/>
      <c r="Q33" s="7">
        <v>98915.26</v>
      </c>
      <c r="R33" s="8">
        <f>IFERROR(Q33/Q445, "NA")</f>
        <v>0.10671106226437915</v>
      </c>
      <c r="S33" s="9"/>
      <c r="T33" s="7">
        <v>0</v>
      </c>
      <c r="U33" s="8">
        <f>IFERROR(T33/T445, "NA")</f>
        <v>0</v>
      </c>
      <c r="V33" s="9"/>
      <c r="W33" s="10">
        <f t="shared" si="10"/>
        <v>98915.26</v>
      </c>
      <c r="X33" s="8">
        <f>IFERROR(W33/W445, "NA")</f>
        <v>-3.0019313795767801</v>
      </c>
      <c r="Y33" s="9"/>
      <c r="Z33" s="7">
        <v>94142.98</v>
      </c>
      <c r="AA33" s="8">
        <f>IFERROR(Z33/Z445, "NA")</f>
        <v>0.1055224893767414</v>
      </c>
      <c r="AB33" s="9"/>
      <c r="AC33" s="10">
        <f t="shared" si="11"/>
        <v>4772.2799999999988</v>
      </c>
      <c r="AD33" s="8">
        <f>IFERROR(AC33/AC445, "NA")</f>
        <v>0.13719590552321967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IFERROR(B34/B445, "NA")</f>
        <v>0</v>
      </c>
      <c r="D34" s="9"/>
      <c r="E34" s="7">
        <v>0</v>
      </c>
      <c r="F34" s="8">
        <f>IFERROR(E34/E445, "NA")</f>
        <v>0</v>
      </c>
      <c r="G34" s="9"/>
      <c r="H34" s="10">
        <f t="shared" si="8"/>
        <v>0</v>
      </c>
      <c r="I34" s="8">
        <f>IFERROR(H34/H445, "NA")</f>
        <v>0</v>
      </c>
      <c r="J34" s="9"/>
      <c r="K34" s="7">
        <v>0</v>
      </c>
      <c r="L34" s="8">
        <f>IFERROR(K34/K445, "NA")</f>
        <v>0</v>
      </c>
      <c r="M34" s="9"/>
      <c r="N34" s="10">
        <f t="shared" si="9"/>
        <v>0</v>
      </c>
      <c r="O34" s="8">
        <f>IFERROR(N34/N445, "NA")</f>
        <v>0</v>
      </c>
      <c r="P34" s="9"/>
      <c r="Q34" s="7">
        <v>0</v>
      </c>
      <c r="R34" s="8">
        <f>IFERROR(Q34/Q445, "NA")</f>
        <v>0</v>
      </c>
      <c r="S34" s="9"/>
      <c r="T34" s="7">
        <v>0</v>
      </c>
      <c r="U34" s="8">
        <f>IFERROR(T34/T445, "NA")</f>
        <v>0</v>
      </c>
      <c r="V34" s="9"/>
      <c r="W34" s="10">
        <f t="shared" si="10"/>
        <v>0</v>
      </c>
      <c r="X34" s="8">
        <f>IFERROR(W34/W445, "NA")</f>
        <v>0</v>
      </c>
      <c r="Y34" s="9"/>
      <c r="Z34" s="7">
        <v>0</v>
      </c>
      <c r="AA34" s="8">
        <f>IFERROR(Z34/Z445, "NA")</f>
        <v>0</v>
      </c>
      <c r="AB34" s="9"/>
      <c r="AC34" s="10">
        <f t="shared" si="11"/>
        <v>0</v>
      </c>
      <c r="AD34" s="8">
        <f>IFERROR(AC34/AC445, "NA")</f>
        <v>0</v>
      </c>
    </row>
    <row r="35" spans="1:30" ht="16.5" customHeight="1" x14ac:dyDescent="0.45">
      <c r="A35" s="12" t="s">
        <v>35</v>
      </c>
      <c r="B35" s="7">
        <v>1124.24</v>
      </c>
      <c r="C35" s="8">
        <f>IFERROR(B35/B445, "NA")</f>
        <v>7.0180945159244584E-3</v>
      </c>
      <c r="D35" s="9"/>
      <c r="E35" s="7">
        <v>0</v>
      </c>
      <c r="F35" s="8">
        <f>IFERROR(E35/E445, "NA")</f>
        <v>0</v>
      </c>
      <c r="G35" s="9"/>
      <c r="H35" s="10">
        <f t="shared" si="8"/>
        <v>1124.24</v>
      </c>
      <c r="I35" s="8">
        <f>IFERROR(H35/H445, "NA")</f>
        <v>-3.4707110135430722E-2</v>
      </c>
      <c r="J35" s="9"/>
      <c r="K35" s="7">
        <v>2724.6</v>
      </c>
      <c r="L35" s="8">
        <f>IFERROR(K35/K445, "NA")</f>
        <v>1.5427962017519449E-2</v>
      </c>
      <c r="M35" s="9"/>
      <c r="N35" s="10">
        <f t="shared" si="9"/>
        <v>-1600.36</v>
      </c>
      <c r="O35" s="8">
        <f>IFERROR(N35/N445, "NA")</f>
        <v>9.7524709335098075E-2</v>
      </c>
      <c r="P35" s="9"/>
      <c r="Q35" s="7">
        <v>6609.77</v>
      </c>
      <c r="R35" s="8">
        <f>IFERROR(Q35/Q445, "NA")</f>
        <v>7.1307053939222874E-3</v>
      </c>
      <c r="S35" s="9"/>
      <c r="T35" s="7">
        <v>0</v>
      </c>
      <c r="U35" s="8">
        <f>IFERROR(T35/T445, "NA")</f>
        <v>0</v>
      </c>
      <c r="V35" s="9"/>
      <c r="W35" s="10">
        <f t="shared" si="10"/>
        <v>6609.77</v>
      </c>
      <c r="X35" s="8">
        <f>IFERROR(W35/W445, "NA")</f>
        <v>-0.20059671252732103</v>
      </c>
      <c r="Y35" s="9"/>
      <c r="Z35" s="7">
        <v>11951.56</v>
      </c>
      <c r="AA35" s="8">
        <f>IFERROR(Z35/Z445, "NA")</f>
        <v>1.339620185313326E-2</v>
      </c>
      <c r="AB35" s="9"/>
      <c r="AC35" s="10">
        <f t="shared" si="11"/>
        <v>-5341.7899999999991</v>
      </c>
      <c r="AD35" s="8">
        <f>IFERROR(AC35/AC445, "NA")</f>
        <v>-0.15356846542216293</v>
      </c>
    </row>
    <row r="36" spans="1:30" ht="16.5" customHeight="1" x14ac:dyDescent="0.45">
      <c r="A36" s="12" t="s">
        <v>36</v>
      </c>
      <c r="B36" s="7">
        <v>22877.56</v>
      </c>
      <c r="C36" s="8">
        <f>IFERROR(B36/B445, "NA")</f>
        <v>0.14281370381211553</v>
      </c>
      <c r="D36" s="9"/>
      <c r="E36" s="7">
        <v>0</v>
      </c>
      <c r="F36" s="8">
        <f>IFERROR(E36/E445, "NA")</f>
        <v>0</v>
      </c>
      <c r="G36" s="9"/>
      <c r="H36" s="10">
        <f t="shared" si="8"/>
        <v>22877.56</v>
      </c>
      <c r="I36" s="8">
        <f>IFERROR(H36/H445, "NA")</f>
        <v>-0.70626734020309223</v>
      </c>
      <c r="J36" s="9"/>
      <c r="K36" s="7">
        <v>16780.939999999999</v>
      </c>
      <c r="L36" s="8">
        <f>IFERROR(K36/K445, "NA")</f>
        <v>9.5021546259367554E-2</v>
      </c>
      <c r="M36" s="9"/>
      <c r="N36" s="10">
        <f t="shared" si="9"/>
        <v>6096.6200000000026</v>
      </c>
      <c r="O36" s="8">
        <f>IFERROR(N36/N445, "NA")</f>
        <v>-0.37152334063994724</v>
      </c>
      <c r="P36" s="9"/>
      <c r="Q36" s="7">
        <v>138667.75</v>
      </c>
      <c r="R36" s="8">
        <f>IFERROR(Q36/Q445, "NA")</f>
        <v>0.14959656279841313</v>
      </c>
      <c r="S36" s="9"/>
      <c r="T36" s="7">
        <v>0</v>
      </c>
      <c r="U36" s="8">
        <f>IFERROR(T36/T445, "NA")</f>
        <v>0</v>
      </c>
      <c r="V36" s="9"/>
      <c r="W36" s="10">
        <f t="shared" si="10"/>
        <v>138667.75</v>
      </c>
      <c r="X36" s="8">
        <f>IFERROR(W36/W445, "NA")</f>
        <v>-4.2083604699649788</v>
      </c>
      <c r="Y36" s="9"/>
      <c r="Z36" s="7">
        <v>111225.31</v>
      </c>
      <c r="AA36" s="8">
        <f>IFERROR(Z36/Z445, "NA")</f>
        <v>0.12466964178210388</v>
      </c>
      <c r="AB36" s="9"/>
      <c r="AC36" s="10">
        <f t="shared" si="11"/>
        <v>27442.440000000002</v>
      </c>
      <c r="AD36" s="8">
        <f>IFERROR(AC36/AC445, "NA")</f>
        <v>0.78892906651886019</v>
      </c>
    </row>
    <row r="37" spans="1:30" ht="16.5" customHeight="1" x14ac:dyDescent="0.45">
      <c r="A37" s="12" t="s">
        <v>37</v>
      </c>
      <c r="B37" s="7">
        <v>2151.33</v>
      </c>
      <c r="C37" s="8">
        <f>IFERROR(B37/B445, "NA")</f>
        <v>1.3429727882786385E-2</v>
      </c>
      <c r="D37" s="9"/>
      <c r="E37" s="7">
        <v>0</v>
      </c>
      <c r="F37" s="8">
        <f>IFERROR(E37/E445, "NA")</f>
        <v>0</v>
      </c>
      <c r="G37" s="9"/>
      <c r="H37" s="10">
        <f t="shared" si="8"/>
        <v>2151.33</v>
      </c>
      <c r="I37" s="8">
        <f>IFERROR(H37/H445, "NA")</f>
        <v>-6.6415042382103606E-2</v>
      </c>
      <c r="J37" s="9"/>
      <c r="K37" s="7">
        <v>0</v>
      </c>
      <c r="L37" s="8">
        <f>IFERROR(K37/K445, "NA")</f>
        <v>0</v>
      </c>
      <c r="M37" s="9"/>
      <c r="N37" s="10">
        <f t="shared" si="9"/>
        <v>2151.33</v>
      </c>
      <c r="O37" s="8">
        <f>IFERROR(N37/N445, "NA")</f>
        <v>-0.13110039799412418</v>
      </c>
      <c r="P37" s="9"/>
      <c r="Q37" s="7">
        <v>8325.7199999999993</v>
      </c>
      <c r="R37" s="8">
        <f>IFERROR(Q37/Q445, "NA")</f>
        <v>8.9818944550697916E-3</v>
      </c>
      <c r="S37" s="9"/>
      <c r="T37" s="7">
        <v>0</v>
      </c>
      <c r="U37" s="8">
        <f>IFERROR(T37/T445, "NA")</f>
        <v>0</v>
      </c>
      <c r="V37" s="9"/>
      <c r="W37" s="10">
        <f t="shared" si="10"/>
        <v>8325.7199999999993</v>
      </c>
      <c r="X37" s="8">
        <f>IFERROR(W37/W445, "NA")</f>
        <v>-0.25267324905752653</v>
      </c>
      <c r="Y37" s="9"/>
      <c r="Z37" s="7">
        <v>0</v>
      </c>
      <c r="AA37" s="8">
        <f>IFERROR(Z37/Z445, "NA")</f>
        <v>0</v>
      </c>
      <c r="AB37" s="9"/>
      <c r="AC37" s="10">
        <f t="shared" si="11"/>
        <v>8325.7199999999993</v>
      </c>
      <c r="AD37" s="8">
        <f>IFERROR(AC37/AC445, "NA")</f>
        <v>0.239351985745342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IFERROR(B38/B445, "NA")</f>
        <v>0</v>
      </c>
      <c r="D38" s="9"/>
      <c r="E38" s="7">
        <v>0</v>
      </c>
      <c r="F38" s="8">
        <f>IFERROR(E38/E445, "NA")</f>
        <v>0</v>
      </c>
      <c r="G38" s="9"/>
      <c r="H38" s="10">
        <f t="shared" si="8"/>
        <v>0</v>
      </c>
      <c r="I38" s="8">
        <f>IFERROR(H38/H445, "NA")</f>
        <v>0</v>
      </c>
      <c r="J38" s="9"/>
      <c r="K38" s="7">
        <v>0</v>
      </c>
      <c r="L38" s="8">
        <f>IFERROR(K38/K445, "NA")</f>
        <v>0</v>
      </c>
      <c r="M38" s="9"/>
      <c r="N38" s="10">
        <f t="shared" si="9"/>
        <v>0</v>
      </c>
      <c r="O38" s="8">
        <f>IFERROR(N38/N445, "NA")</f>
        <v>0</v>
      </c>
      <c r="P38" s="9"/>
      <c r="Q38" s="7">
        <v>0</v>
      </c>
      <c r="R38" s="8">
        <f>IFERROR(Q38/Q445, "NA")</f>
        <v>0</v>
      </c>
      <c r="S38" s="9"/>
      <c r="T38" s="7">
        <v>0</v>
      </c>
      <c r="U38" s="8">
        <f>IFERROR(T38/T445, "NA")</f>
        <v>0</v>
      </c>
      <c r="V38" s="9"/>
      <c r="W38" s="10">
        <f t="shared" si="10"/>
        <v>0</v>
      </c>
      <c r="X38" s="8">
        <f>IFERROR(W38/W445, "NA")</f>
        <v>0</v>
      </c>
      <c r="Y38" s="9"/>
      <c r="Z38" s="7">
        <v>0</v>
      </c>
      <c r="AA38" s="8">
        <f>IFERROR(Z38/Z445, "NA")</f>
        <v>0</v>
      </c>
      <c r="AB38" s="9"/>
      <c r="AC38" s="10">
        <f t="shared" si="11"/>
        <v>0</v>
      </c>
      <c r="AD38" s="8">
        <f>IFERROR(AC38/AC445,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IFERROR(B39/B445, "NA")</f>
        <v>0</v>
      </c>
      <c r="D39" s="9"/>
      <c r="E39" s="7">
        <v>0</v>
      </c>
      <c r="F39" s="8">
        <f>IFERROR(E39/E445, "NA")</f>
        <v>0</v>
      </c>
      <c r="G39" s="9"/>
      <c r="H39" s="10">
        <f t="shared" si="8"/>
        <v>0</v>
      </c>
      <c r="I39" s="8">
        <f>IFERROR(H39/H445, "NA")</f>
        <v>0</v>
      </c>
      <c r="J39" s="9"/>
      <c r="K39" s="7">
        <v>2664</v>
      </c>
      <c r="L39" s="8">
        <f>IFERROR(K39/K445, "NA")</f>
        <v>1.5084816418803427E-2</v>
      </c>
      <c r="M39" s="9"/>
      <c r="N39" s="10">
        <f t="shared" si="9"/>
        <v>-2664</v>
      </c>
      <c r="O39" s="8">
        <f>IFERROR(N39/N445, "NA")</f>
        <v>0.16234211406727317</v>
      </c>
      <c r="P39" s="9"/>
      <c r="Q39" s="7">
        <v>904.59</v>
      </c>
      <c r="R39" s="8">
        <f>IFERROR(Q39/Q445, "NA")</f>
        <v>9.7588339568368675E-4</v>
      </c>
      <c r="S39" s="9"/>
      <c r="T39" s="7">
        <v>0</v>
      </c>
      <c r="U39" s="8">
        <f>IFERROR(T39/T445, "NA")</f>
        <v>0</v>
      </c>
      <c r="V39" s="9"/>
      <c r="W39" s="10">
        <f t="shared" si="10"/>
        <v>904.59</v>
      </c>
      <c r="X39" s="8">
        <f>IFERROR(W39/W445, "NA")</f>
        <v>-2.7452964352025763E-2</v>
      </c>
      <c r="Y39" s="9"/>
      <c r="Z39" s="7">
        <v>11874.75</v>
      </c>
      <c r="AA39" s="8">
        <f>IFERROR(Z39/Z445, "NA")</f>
        <v>1.3310107463418515E-2</v>
      </c>
      <c r="AB39" s="9"/>
      <c r="AC39" s="10">
        <f t="shared" si="11"/>
        <v>-10970.16</v>
      </c>
      <c r="AD39" s="8">
        <f>IFERROR(AC39/AC445, "NA")</f>
        <v>-0.31537567681162965</v>
      </c>
    </row>
    <row r="40" spans="1:30" ht="16.5" customHeight="1" x14ac:dyDescent="0.45">
      <c r="A40" s="13" t="s">
        <v>40</v>
      </c>
      <c r="B40" s="14">
        <f>IFERROR(B31+B32+B33+B34+B35+B36+B37+B38+B39, "NA")</f>
        <v>41959.850000000006</v>
      </c>
      <c r="C40" s="15">
        <f>IFERROR(B40/B445, "NA")</f>
        <v>0.26193534581051459</v>
      </c>
      <c r="D40" s="2"/>
      <c r="E40" s="14">
        <f>IFERROR(E31+E32+E33+E34+E35+E36+E37+E38+E39, "NA")</f>
        <v>42753.61</v>
      </c>
      <c r="F40" s="15">
        <f>IFERROR(E40/E445, "NA")</f>
        <v>0.22199998712249169</v>
      </c>
      <c r="G40" s="2"/>
      <c r="H40" s="14">
        <f t="shared" si="8"/>
        <v>-793.75999999999476</v>
      </c>
      <c r="I40" s="15">
        <f>IFERROR(H40/H445, "NA")</f>
        <v>2.4504657138243884E-2</v>
      </c>
      <c r="J40" s="2"/>
      <c r="K40" s="14">
        <f>IFERROR(K31+K32+K33+K34+K35+K36+K37+K38+K39, "NA")</f>
        <v>34596.019999999997</v>
      </c>
      <c r="L40" s="15">
        <f>IFERROR(K40/K445, "NA")</f>
        <v>0.19589887782329266</v>
      </c>
      <c r="M40" s="2"/>
      <c r="N40" s="14">
        <f t="shared" si="9"/>
        <v>7363.830000000009</v>
      </c>
      <c r="O40" s="15">
        <f>IFERROR(N40/N445, "NA")</f>
        <v>-0.44874614483183545</v>
      </c>
      <c r="P40" s="2"/>
      <c r="Q40" s="14">
        <f>IFERROR(Q31+Q32+Q33+Q34+Q35+Q36+Q37+Q38+Q39, "NA")</f>
        <v>253423.09</v>
      </c>
      <c r="R40" s="15">
        <f>IFERROR(Q40/Q445, "NA")</f>
        <v>0.27339610830746808</v>
      </c>
      <c r="S40" s="2"/>
      <c r="T40" s="14">
        <f>IFERROR(T31+T32+T33+T34+T35+T36+T37+T38+T39, "NA")</f>
        <v>213096.75</v>
      </c>
      <c r="U40" s="15">
        <f>IFERROR(T40/T445, "NA")</f>
        <v>0.22199999312425009</v>
      </c>
      <c r="V40" s="2"/>
      <c r="W40" s="14">
        <f t="shared" si="10"/>
        <v>40326.339999999997</v>
      </c>
      <c r="X40" s="15">
        <f>IFERROR(W40/W445, "NA")</f>
        <v>-1.2238445864620109</v>
      </c>
      <c r="Y40" s="2"/>
      <c r="Z40" s="14">
        <f>IFERROR(Z31+Z32+Z33+Z34+Z35+Z36+Z37+Z38+Z39, "NA")</f>
        <v>229194.59999999998</v>
      </c>
      <c r="AA40" s="15">
        <f>IFERROR(Z40/Z445, "NA")</f>
        <v>0.25689844047539706</v>
      </c>
      <c r="AB40" s="2"/>
      <c r="AC40" s="14">
        <f t="shared" si="11"/>
        <v>24228.49000000002</v>
      </c>
      <c r="AD40" s="15">
        <f>IFERROR(AC40/AC445, "NA")</f>
        <v>0.69653281555362978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IFERROR(B42/B445, "NA")</f>
        <v>0</v>
      </c>
      <c r="D42" s="9"/>
      <c r="E42" s="7">
        <v>65671.09</v>
      </c>
      <c r="F42" s="8">
        <f>IFERROR(E42/E445, "NA")</f>
        <v>0.34100000290782445</v>
      </c>
      <c r="G42" s="9"/>
      <c r="H42" s="10">
        <f>IFERROR(B42-E42, "NA")</f>
        <v>-65671.09</v>
      </c>
      <c r="I42" s="8">
        <f>IFERROR(H42/H445, "NA")</f>
        <v>2.0273729393579512</v>
      </c>
      <c r="J42" s="9"/>
      <c r="K42" s="7">
        <v>0</v>
      </c>
      <c r="L42" s="8">
        <f>IFERROR(K42/K445, "NA")</f>
        <v>0</v>
      </c>
      <c r="M42" s="9"/>
      <c r="N42" s="10">
        <f>IFERROR(B42-K42, "NA")</f>
        <v>0</v>
      </c>
      <c r="O42" s="8">
        <f>IFERROR(N42/N445, "NA")</f>
        <v>0</v>
      </c>
      <c r="P42" s="9"/>
      <c r="Q42" s="7">
        <v>0</v>
      </c>
      <c r="R42" s="8">
        <f>IFERROR(Q42/Q445, "NA")</f>
        <v>0</v>
      </c>
      <c r="S42" s="9"/>
      <c r="T42" s="7">
        <v>327324.28999999998</v>
      </c>
      <c r="U42" s="8">
        <f>IFERROR(T42/T445, "NA")</f>
        <v>0.34099999239500389</v>
      </c>
      <c r="V42" s="9"/>
      <c r="W42" s="10">
        <f>IFERROR(Q42-T42, "NA")</f>
        <v>-327324.28999999998</v>
      </c>
      <c r="X42" s="8">
        <f>IFERROR(W42/W445, "NA")</f>
        <v>9.933806547631681</v>
      </c>
      <c r="Y42" s="9"/>
      <c r="Z42" s="7">
        <v>0</v>
      </c>
      <c r="AA42" s="8">
        <f>IFERROR(Z42/Z445, "NA")</f>
        <v>0</v>
      </c>
      <c r="AB42" s="9"/>
      <c r="AC42" s="10">
        <f>IFERROR(Q42-Z42, "NA")</f>
        <v>0</v>
      </c>
      <c r="AD42" s="8">
        <f>IFERROR(AC42/AC445, "NA")</f>
        <v>0</v>
      </c>
    </row>
    <row r="43" spans="1:30" ht="16.5" customHeight="1" x14ac:dyDescent="0.45">
      <c r="A43" s="12" t="s">
        <v>42</v>
      </c>
      <c r="B43" s="7">
        <v>9852.8700000000008</v>
      </c>
      <c r="C43" s="8">
        <f>IFERROR(B43/B445, "NA")</f>
        <v>6.1506771608479172E-2</v>
      </c>
      <c r="D43" s="9"/>
      <c r="E43" s="7">
        <v>0</v>
      </c>
      <c r="F43" s="8">
        <f>IFERROR(E43/E445, "NA")</f>
        <v>0</v>
      </c>
      <c r="G43" s="9"/>
      <c r="H43" s="10">
        <f>IFERROR(B43-E43, "NA")</f>
        <v>9852.8700000000008</v>
      </c>
      <c r="I43" s="8">
        <f>IFERROR(H43/H445, "NA")</f>
        <v>-0.30417405913335344</v>
      </c>
      <c r="J43" s="9"/>
      <c r="K43" s="7">
        <v>14130.15</v>
      </c>
      <c r="L43" s="8">
        <f>IFERROR(K43/K445, "NA")</f>
        <v>8.0011531051109322E-2</v>
      </c>
      <c r="M43" s="9"/>
      <c r="N43" s="10">
        <f>IFERROR(B43-K43, "NA")</f>
        <v>-4277.2799999999988</v>
      </c>
      <c r="O43" s="8">
        <f>IFERROR(N43/N445, "NA")</f>
        <v>0.26065415827990468</v>
      </c>
      <c r="P43" s="9"/>
      <c r="Q43" s="7">
        <v>47471.86</v>
      </c>
      <c r="R43" s="8">
        <f>IFERROR(Q43/Q445, "NA")</f>
        <v>5.1213256764081602E-2</v>
      </c>
      <c r="S43" s="9"/>
      <c r="T43" s="7">
        <v>0</v>
      </c>
      <c r="U43" s="8">
        <f>IFERROR(T43/T445, "NA")</f>
        <v>0</v>
      </c>
      <c r="V43" s="9"/>
      <c r="W43" s="10">
        <f>IFERROR(Q43-T43, "NA")</f>
        <v>47471.86</v>
      </c>
      <c r="X43" s="8">
        <f>IFERROR(W43/W445, "NA")</f>
        <v>-1.4407005165924427</v>
      </c>
      <c r="Y43" s="9"/>
      <c r="Z43" s="7">
        <v>66330.31</v>
      </c>
      <c r="AA43" s="8">
        <f>IFERROR(Z43/Z445, "NA")</f>
        <v>7.4347969783099752E-2</v>
      </c>
      <c r="AB43" s="9"/>
      <c r="AC43" s="10">
        <f>IFERROR(Q43-Z43, "NA")</f>
        <v>-18858.449999999997</v>
      </c>
      <c r="AD43" s="8">
        <f>IFERROR(AC43/AC445, "NA")</f>
        <v>-0.54215220492392779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IFERROR(B44/B445, "NA")</f>
        <v>0</v>
      </c>
      <c r="D44" s="9"/>
      <c r="E44" s="7">
        <v>0</v>
      </c>
      <c r="F44" s="8">
        <f>IFERROR(E44/E445, "NA")</f>
        <v>0</v>
      </c>
      <c r="G44" s="9"/>
      <c r="H44" s="10">
        <f>IFERROR(B44-E44, "NA")</f>
        <v>0</v>
      </c>
      <c r="I44" s="8">
        <f>IFERROR(H44/H445, "NA")</f>
        <v>0</v>
      </c>
      <c r="J44" s="9"/>
      <c r="K44" s="7">
        <v>0</v>
      </c>
      <c r="L44" s="8">
        <f>IFERROR(K44/K445, "NA")</f>
        <v>0</v>
      </c>
      <c r="M44" s="9"/>
      <c r="N44" s="10">
        <f>IFERROR(B44-K44, "NA")</f>
        <v>0</v>
      </c>
      <c r="O44" s="8">
        <f>IFERROR(N44/N445, "NA")</f>
        <v>0</v>
      </c>
      <c r="P44" s="9"/>
      <c r="Q44" s="7">
        <v>0</v>
      </c>
      <c r="R44" s="8">
        <f>IFERROR(Q44/Q445, "NA")</f>
        <v>0</v>
      </c>
      <c r="S44" s="9"/>
      <c r="T44" s="7">
        <v>0</v>
      </c>
      <c r="U44" s="8">
        <f>IFERROR(T44/T445, "NA")</f>
        <v>0</v>
      </c>
      <c r="V44" s="9"/>
      <c r="W44" s="10">
        <f>IFERROR(Q44-T44, "NA")</f>
        <v>0</v>
      </c>
      <c r="X44" s="8">
        <f>IFERROR(W44/W445, "NA")</f>
        <v>0</v>
      </c>
      <c r="Y44" s="9"/>
      <c r="Z44" s="7">
        <v>0</v>
      </c>
      <c r="AA44" s="8">
        <f>IFERROR(Z44/Z445, "NA")</f>
        <v>0</v>
      </c>
      <c r="AB44" s="9"/>
      <c r="AC44" s="10">
        <f>IFERROR(Q44-Z44, "NA")</f>
        <v>0</v>
      </c>
      <c r="AD44" s="8">
        <f>IFERROR(AC44/AC445,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IFERROR(B46/B445, "NA")</f>
        <v>0</v>
      </c>
      <c r="D46" s="9"/>
      <c r="E46" s="7">
        <v>0</v>
      </c>
      <c r="F46" s="8">
        <f>IFERROR(E46/E445, "NA")</f>
        <v>0</v>
      </c>
      <c r="G46" s="9"/>
      <c r="H46" s="10">
        <f t="shared" ref="H46:H62" si="12">IFERROR(B46-E46, "NA")</f>
        <v>0</v>
      </c>
      <c r="I46" s="8">
        <f>IFERROR(H46/H445, "NA")</f>
        <v>0</v>
      </c>
      <c r="J46" s="9"/>
      <c r="K46" s="7">
        <v>0</v>
      </c>
      <c r="L46" s="8">
        <f>IFERROR(K46/K445, "NA")</f>
        <v>0</v>
      </c>
      <c r="M46" s="9"/>
      <c r="N46" s="10">
        <f t="shared" ref="N46:N62" si="13">IFERROR(B46-K46, "NA")</f>
        <v>0</v>
      </c>
      <c r="O46" s="8">
        <f>IFERROR(N46/N445, "NA")</f>
        <v>0</v>
      </c>
      <c r="P46" s="9"/>
      <c r="Q46" s="7">
        <v>0</v>
      </c>
      <c r="R46" s="8">
        <f>IFERROR(Q46/Q445, "NA")</f>
        <v>0</v>
      </c>
      <c r="S46" s="9"/>
      <c r="T46" s="7">
        <v>0</v>
      </c>
      <c r="U46" s="8">
        <f>IFERROR(T46/T445, "NA")</f>
        <v>0</v>
      </c>
      <c r="V46" s="9"/>
      <c r="W46" s="10">
        <f t="shared" ref="W46:W62" si="14">IFERROR(Q46-T46, "NA")</f>
        <v>0</v>
      </c>
      <c r="X46" s="8">
        <f>IFERROR(W46/W445, "NA")</f>
        <v>0</v>
      </c>
      <c r="Y46" s="9"/>
      <c r="Z46" s="7">
        <v>0</v>
      </c>
      <c r="AA46" s="8">
        <f>IFERROR(Z46/Z445, "NA")</f>
        <v>0</v>
      </c>
      <c r="AB46" s="9"/>
      <c r="AC46" s="10">
        <f t="shared" ref="AC46:AC62" si="15">IFERROR(Q46-Z46, "NA")</f>
        <v>0</v>
      </c>
      <c r="AD46" s="8">
        <f>IFERROR(AC46/AC445,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IFERROR(B47/B445, "NA")</f>
        <v>0</v>
      </c>
      <c r="D47" s="9"/>
      <c r="E47" s="7">
        <v>0</v>
      </c>
      <c r="F47" s="8">
        <f>IFERROR(E47/E445, "NA")</f>
        <v>0</v>
      </c>
      <c r="G47" s="9"/>
      <c r="H47" s="10">
        <f t="shared" si="12"/>
        <v>0</v>
      </c>
      <c r="I47" s="8">
        <f>IFERROR(H47/H445, "NA")</f>
        <v>0</v>
      </c>
      <c r="J47" s="9"/>
      <c r="K47" s="7">
        <v>0</v>
      </c>
      <c r="L47" s="8">
        <f>IFERROR(K47/K445, "NA")</f>
        <v>0</v>
      </c>
      <c r="M47" s="9"/>
      <c r="N47" s="10">
        <f t="shared" si="13"/>
        <v>0</v>
      </c>
      <c r="O47" s="8">
        <f>IFERROR(N47/N445, "NA")</f>
        <v>0</v>
      </c>
      <c r="P47" s="9"/>
      <c r="Q47" s="7">
        <v>0</v>
      </c>
      <c r="R47" s="8">
        <f>IFERROR(Q47/Q445, "NA")</f>
        <v>0</v>
      </c>
      <c r="S47" s="9"/>
      <c r="T47" s="7">
        <v>0</v>
      </c>
      <c r="U47" s="8">
        <f>IFERROR(T47/T445, "NA")</f>
        <v>0</v>
      </c>
      <c r="V47" s="9"/>
      <c r="W47" s="10">
        <f t="shared" si="14"/>
        <v>0</v>
      </c>
      <c r="X47" s="8">
        <f>IFERROR(W47/W445, "NA")</f>
        <v>0</v>
      </c>
      <c r="Y47" s="9"/>
      <c r="Z47" s="7">
        <v>0</v>
      </c>
      <c r="AA47" s="8">
        <f>IFERROR(Z47/Z445, "NA")</f>
        <v>0</v>
      </c>
      <c r="AB47" s="9"/>
      <c r="AC47" s="10">
        <f t="shared" si="15"/>
        <v>0</v>
      </c>
      <c r="AD47" s="8">
        <f>IFERROR(AC47/AC445, "NA")</f>
        <v>0</v>
      </c>
    </row>
    <row r="48" spans="1:30" ht="16.5" customHeight="1" x14ac:dyDescent="0.45">
      <c r="A48" s="17" t="s">
        <v>46</v>
      </c>
      <c r="B48" s="7">
        <v>33137.980000000003</v>
      </c>
      <c r="C48" s="8">
        <f>IFERROR(B48/B445, "NA")</f>
        <v>0.20686461583542162</v>
      </c>
      <c r="D48" s="9"/>
      <c r="E48" s="7">
        <v>0</v>
      </c>
      <c r="F48" s="8">
        <f>IFERROR(E48/E445, "NA")</f>
        <v>0</v>
      </c>
      <c r="G48" s="9"/>
      <c r="H48" s="10">
        <f t="shared" si="12"/>
        <v>33137.980000000003</v>
      </c>
      <c r="I48" s="8">
        <f>IFERROR(H48/H445, "NA")</f>
        <v>-1.0230231280916002</v>
      </c>
      <c r="J48" s="9"/>
      <c r="K48" s="7">
        <v>45401.29</v>
      </c>
      <c r="L48" s="8">
        <f>IFERROR(K48/K445, "NA")</f>
        <v>0.25708338019026122</v>
      </c>
      <c r="M48" s="9"/>
      <c r="N48" s="10">
        <f t="shared" si="13"/>
        <v>-12263.309999999998</v>
      </c>
      <c r="O48" s="8">
        <f>IFERROR(N48/N445, "NA")</f>
        <v>0.74731669326664096</v>
      </c>
      <c r="P48" s="9"/>
      <c r="Q48" s="7">
        <v>214116.58</v>
      </c>
      <c r="R48" s="8">
        <f>IFERROR(Q48/Q445, "NA")</f>
        <v>0.23099173676757176</v>
      </c>
      <c r="S48" s="9"/>
      <c r="T48" s="7">
        <v>0</v>
      </c>
      <c r="U48" s="8">
        <f>IFERROR(T48/T445, "NA")</f>
        <v>0</v>
      </c>
      <c r="V48" s="9"/>
      <c r="W48" s="10">
        <f t="shared" si="14"/>
        <v>214116.58</v>
      </c>
      <c r="X48" s="8">
        <f>IFERROR(W48/W445, "NA")</f>
        <v>-6.4981205163860665</v>
      </c>
      <c r="Y48" s="9"/>
      <c r="Z48" s="7">
        <v>205148.73</v>
      </c>
      <c r="AA48" s="8">
        <f>IFERROR(Z48/Z445, "NA")</f>
        <v>0.22994603189825724</v>
      </c>
      <c r="AB48" s="9"/>
      <c r="AC48" s="10">
        <f t="shared" si="15"/>
        <v>8967.8499999999767</v>
      </c>
      <c r="AD48" s="8">
        <f>IFERROR(AC48/AC445, "NA")</f>
        <v>0.25781226192645917</v>
      </c>
    </row>
    <row r="49" spans="1:30" ht="16.5" customHeight="1" x14ac:dyDescent="0.45">
      <c r="A49" s="17" t="s">
        <v>47</v>
      </c>
      <c r="B49" s="7">
        <v>0</v>
      </c>
      <c r="C49" s="8">
        <f>IFERROR(B49/B445, "NA")</f>
        <v>0</v>
      </c>
      <c r="D49" s="9"/>
      <c r="E49" s="7">
        <v>0</v>
      </c>
      <c r="F49" s="8">
        <f>IFERROR(E49/E445, "NA")</f>
        <v>0</v>
      </c>
      <c r="G49" s="9"/>
      <c r="H49" s="10">
        <f t="shared" si="12"/>
        <v>0</v>
      </c>
      <c r="I49" s="8">
        <f>IFERROR(H49/H445, "NA")</f>
        <v>0</v>
      </c>
      <c r="J49" s="9"/>
      <c r="K49" s="7">
        <v>0</v>
      </c>
      <c r="L49" s="8">
        <f>IFERROR(K49/K445, "NA")</f>
        <v>0</v>
      </c>
      <c r="M49" s="9"/>
      <c r="N49" s="10">
        <f t="shared" si="13"/>
        <v>0</v>
      </c>
      <c r="O49" s="8">
        <f>IFERROR(N49/N445, "NA")</f>
        <v>0</v>
      </c>
      <c r="P49" s="9"/>
      <c r="Q49" s="7">
        <v>0</v>
      </c>
      <c r="R49" s="8">
        <f>IFERROR(Q49/Q445, "NA")</f>
        <v>0</v>
      </c>
      <c r="S49" s="9"/>
      <c r="T49" s="7">
        <v>0</v>
      </c>
      <c r="U49" s="8">
        <f>IFERROR(T49/T445, "NA")</f>
        <v>0</v>
      </c>
      <c r="V49" s="9"/>
      <c r="W49" s="10">
        <f t="shared" si="14"/>
        <v>0</v>
      </c>
      <c r="X49" s="8">
        <f>IFERROR(W49/W445, "NA")</f>
        <v>0</v>
      </c>
      <c r="Y49" s="9"/>
      <c r="Z49" s="7">
        <v>2141.23</v>
      </c>
      <c r="AA49" s="8">
        <f>IFERROR(Z49/Z445, "NA")</f>
        <v>2.4000506456048026E-3</v>
      </c>
      <c r="AB49" s="9"/>
      <c r="AC49" s="10">
        <f t="shared" si="15"/>
        <v>-2141.23</v>
      </c>
      <c r="AD49" s="8">
        <f>IFERROR(AC49/AC445, "NA")</f>
        <v>-6.1557156911053783E-2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IFERROR(B50/B445, "NA")</f>
        <v>0</v>
      </c>
      <c r="D50" s="9"/>
      <c r="E50" s="7">
        <v>0</v>
      </c>
      <c r="F50" s="8">
        <f>IFERROR(E50/E445, "NA")</f>
        <v>0</v>
      </c>
      <c r="G50" s="9"/>
      <c r="H50" s="10">
        <f t="shared" si="12"/>
        <v>0</v>
      </c>
      <c r="I50" s="8">
        <f>IFERROR(H50/H445, "NA")</f>
        <v>0</v>
      </c>
      <c r="J50" s="9"/>
      <c r="K50" s="7">
        <v>0</v>
      </c>
      <c r="L50" s="8">
        <f>IFERROR(K50/K445, "NA")</f>
        <v>0</v>
      </c>
      <c r="M50" s="9"/>
      <c r="N50" s="10">
        <f t="shared" si="13"/>
        <v>0</v>
      </c>
      <c r="O50" s="8">
        <f>IFERROR(N50/N445, "NA")</f>
        <v>0</v>
      </c>
      <c r="P50" s="9"/>
      <c r="Q50" s="7">
        <v>0</v>
      </c>
      <c r="R50" s="8">
        <f>IFERROR(Q50/Q445, "NA")</f>
        <v>0</v>
      </c>
      <c r="S50" s="9"/>
      <c r="T50" s="7">
        <v>0</v>
      </c>
      <c r="U50" s="8">
        <f>IFERROR(T50/T445, "NA")</f>
        <v>0</v>
      </c>
      <c r="V50" s="9"/>
      <c r="W50" s="10">
        <f t="shared" si="14"/>
        <v>0</v>
      </c>
      <c r="X50" s="8">
        <f>IFERROR(W50/W445, "NA")</f>
        <v>0</v>
      </c>
      <c r="Y50" s="9"/>
      <c r="Z50" s="7">
        <v>0</v>
      </c>
      <c r="AA50" s="8">
        <f>IFERROR(Z50/Z445, "NA")</f>
        <v>0</v>
      </c>
      <c r="AB50" s="9"/>
      <c r="AC50" s="10">
        <f t="shared" si="15"/>
        <v>0</v>
      </c>
      <c r="AD50" s="8">
        <f>IFERROR(AC50/AC445, "NA")</f>
        <v>0</v>
      </c>
    </row>
    <row r="51" spans="1:30" ht="16.5" customHeight="1" x14ac:dyDescent="0.45">
      <c r="A51" s="17" t="s">
        <v>49</v>
      </c>
      <c r="B51" s="7">
        <v>1782.56</v>
      </c>
      <c r="C51" s="8">
        <f>IFERROR(B51/B445, "NA")</f>
        <v>1.1127672525711861E-2</v>
      </c>
      <c r="D51" s="9"/>
      <c r="E51" s="7">
        <v>0</v>
      </c>
      <c r="F51" s="8">
        <f>IFERROR(E51/E445, "NA")</f>
        <v>0</v>
      </c>
      <c r="G51" s="9"/>
      <c r="H51" s="10">
        <f t="shared" si="12"/>
        <v>1782.56</v>
      </c>
      <c r="I51" s="8">
        <f>IFERROR(H51/H445, "NA")</f>
        <v>-5.5030515052847596E-2</v>
      </c>
      <c r="J51" s="9"/>
      <c r="K51" s="7">
        <v>3032.11</v>
      </c>
      <c r="L51" s="8">
        <f>IFERROR(K51/K445, "NA")</f>
        <v>1.7169227744601372E-2</v>
      </c>
      <c r="M51" s="9"/>
      <c r="N51" s="10">
        <f t="shared" si="13"/>
        <v>-1249.5500000000002</v>
      </c>
      <c r="O51" s="8">
        <f>IFERROR(N51/N445, "NA")</f>
        <v>7.6146617354640095E-2</v>
      </c>
      <c r="P51" s="9"/>
      <c r="Q51" s="7">
        <v>10773.62</v>
      </c>
      <c r="R51" s="8">
        <f>IFERROR(Q51/Q445, "NA")</f>
        <v>1.1622720646265912E-2</v>
      </c>
      <c r="S51" s="9"/>
      <c r="T51" s="7">
        <v>0</v>
      </c>
      <c r="U51" s="8">
        <f>IFERROR(T51/T445, "NA")</f>
        <v>0</v>
      </c>
      <c r="V51" s="9"/>
      <c r="W51" s="10">
        <f t="shared" si="14"/>
        <v>10773.62</v>
      </c>
      <c r="X51" s="8">
        <f>IFERROR(W51/W445, "NA")</f>
        <v>-0.32696338208721282</v>
      </c>
      <c r="Y51" s="9"/>
      <c r="Z51" s="7">
        <v>16256.98</v>
      </c>
      <c r="AA51" s="8">
        <f>IFERROR(Z51/Z445, "NA")</f>
        <v>1.8222038428652859E-2</v>
      </c>
      <c r="AB51" s="9"/>
      <c r="AC51" s="10">
        <f t="shared" si="15"/>
        <v>-5483.3599999999988</v>
      </c>
      <c r="AD51" s="8">
        <f>IFERROR(AC51/AC445, "NA")</f>
        <v>-0.15763839098078944</v>
      </c>
    </row>
    <row r="52" spans="1:30" ht="16.5" customHeight="1" x14ac:dyDescent="0.45">
      <c r="A52" s="17" t="s">
        <v>50</v>
      </c>
      <c r="B52" s="7">
        <v>0</v>
      </c>
      <c r="C52" s="8">
        <f>IFERROR(B52/B445, "NA")</f>
        <v>0</v>
      </c>
      <c r="D52" s="9"/>
      <c r="E52" s="7">
        <v>0</v>
      </c>
      <c r="F52" s="8">
        <f>IFERROR(E52/E445, "NA")</f>
        <v>0</v>
      </c>
      <c r="G52" s="9"/>
      <c r="H52" s="10">
        <f t="shared" si="12"/>
        <v>0</v>
      </c>
      <c r="I52" s="8">
        <f>IFERROR(H52/H445, "NA")</f>
        <v>0</v>
      </c>
      <c r="J52" s="9"/>
      <c r="K52" s="7">
        <v>0</v>
      </c>
      <c r="L52" s="8">
        <f>IFERROR(K52/K445, "NA")</f>
        <v>0</v>
      </c>
      <c r="M52" s="9"/>
      <c r="N52" s="10">
        <f t="shared" si="13"/>
        <v>0</v>
      </c>
      <c r="O52" s="8">
        <f>IFERROR(N52/N445, "NA")</f>
        <v>0</v>
      </c>
      <c r="P52" s="9"/>
      <c r="Q52" s="7">
        <v>12600</v>
      </c>
      <c r="R52" s="8">
        <f>IFERROR(Q52/Q445, "NA")</f>
        <v>1.3593043020168753E-2</v>
      </c>
      <c r="S52" s="9"/>
      <c r="T52" s="7">
        <v>0</v>
      </c>
      <c r="U52" s="8">
        <f>IFERROR(T52/T445, "NA")</f>
        <v>0</v>
      </c>
      <c r="V52" s="9"/>
      <c r="W52" s="10">
        <f t="shared" si="14"/>
        <v>12600</v>
      </c>
      <c r="X52" s="8">
        <f>IFERROR(W52/W445, "NA")</f>
        <v>-0.38239130527147613</v>
      </c>
      <c r="Y52" s="9"/>
      <c r="Z52" s="7">
        <v>0</v>
      </c>
      <c r="AA52" s="8">
        <f>IFERROR(Z52/Z445, "NA")</f>
        <v>0</v>
      </c>
      <c r="AB52" s="9"/>
      <c r="AC52" s="10">
        <f t="shared" si="15"/>
        <v>12600</v>
      </c>
      <c r="AD52" s="8">
        <f>IFERROR(AC52/AC445, "NA")</f>
        <v>0.36223113681355001</v>
      </c>
    </row>
    <row r="53" spans="1:30" ht="16.5" customHeight="1" x14ac:dyDescent="0.45">
      <c r="A53" s="17" t="s">
        <v>51</v>
      </c>
      <c r="B53" s="7">
        <v>0</v>
      </c>
      <c r="C53" s="8">
        <f>IFERROR(B53/B445, "NA")</f>
        <v>0</v>
      </c>
      <c r="D53" s="9"/>
      <c r="E53" s="7">
        <v>0</v>
      </c>
      <c r="F53" s="8">
        <f>IFERROR(E53/E445, "NA")</f>
        <v>0</v>
      </c>
      <c r="G53" s="9"/>
      <c r="H53" s="10">
        <f t="shared" si="12"/>
        <v>0</v>
      </c>
      <c r="I53" s="8">
        <f>IFERROR(H53/H445, "NA")</f>
        <v>0</v>
      </c>
      <c r="J53" s="9"/>
      <c r="K53" s="7">
        <v>4000</v>
      </c>
      <c r="L53" s="8">
        <f>IFERROR(K53/K445, "NA")</f>
        <v>2.2649874502707848E-2</v>
      </c>
      <c r="M53" s="9"/>
      <c r="N53" s="10">
        <f t="shared" si="13"/>
        <v>-4000</v>
      </c>
      <c r="O53" s="8">
        <f>IFERROR(N53/N445, "NA")</f>
        <v>0.2437569280289387</v>
      </c>
      <c r="P53" s="9"/>
      <c r="Q53" s="7">
        <v>0</v>
      </c>
      <c r="R53" s="8">
        <f>IFERROR(Q53/Q445, "NA")</f>
        <v>0</v>
      </c>
      <c r="S53" s="9"/>
      <c r="T53" s="7">
        <v>0</v>
      </c>
      <c r="U53" s="8">
        <f>IFERROR(T53/T445, "NA")</f>
        <v>0</v>
      </c>
      <c r="V53" s="9"/>
      <c r="W53" s="10">
        <f t="shared" si="14"/>
        <v>0</v>
      </c>
      <c r="X53" s="8">
        <f>IFERROR(W53/W445, "NA")</f>
        <v>0</v>
      </c>
      <c r="Y53" s="9"/>
      <c r="Z53" s="7">
        <v>4000</v>
      </c>
      <c r="AA53" s="8">
        <f>IFERROR(Z53/Z445, "NA")</f>
        <v>4.4834990087095784E-3</v>
      </c>
      <c r="AB53" s="9"/>
      <c r="AC53" s="10">
        <f t="shared" si="15"/>
        <v>-4000</v>
      </c>
      <c r="AD53" s="8">
        <f>IFERROR(AC53/AC445, "NA")</f>
        <v>-0.11499401168684127</v>
      </c>
    </row>
    <row r="54" spans="1:30" ht="16.5" customHeight="1" x14ac:dyDescent="0.45">
      <c r="A54" s="17" t="s">
        <v>52</v>
      </c>
      <c r="B54" s="7">
        <v>0</v>
      </c>
      <c r="C54" s="8">
        <f>IFERROR(B54/B445, "NA")</f>
        <v>0</v>
      </c>
      <c r="D54" s="9"/>
      <c r="E54" s="7">
        <v>0</v>
      </c>
      <c r="F54" s="8">
        <f>IFERROR(E54/E445, "NA")</f>
        <v>0</v>
      </c>
      <c r="G54" s="9"/>
      <c r="H54" s="10">
        <f t="shared" si="12"/>
        <v>0</v>
      </c>
      <c r="I54" s="8">
        <f>IFERROR(H54/H445, "NA")</f>
        <v>0</v>
      </c>
      <c r="J54" s="9"/>
      <c r="K54" s="7">
        <v>0</v>
      </c>
      <c r="L54" s="8">
        <f>IFERROR(K54/K445, "NA")</f>
        <v>0</v>
      </c>
      <c r="M54" s="9"/>
      <c r="N54" s="10">
        <f t="shared" si="13"/>
        <v>0</v>
      </c>
      <c r="O54" s="8">
        <f>IFERROR(N54/N445, "NA")</f>
        <v>0</v>
      </c>
      <c r="P54" s="9"/>
      <c r="Q54" s="7">
        <v>0</v>
      </c>
      <c r="R54" s="8">
        <f>IFERROR(Q54/Q445, "NA")</f>
        <v>0</v>
      </c>
      <c r="S54" s="9"/>
      <c r="T54" s="7">
        <v>0</v>
      </c>
      <c r="U54" s="8">
        <f>IFERROR(T54/T445, "NA")</f>
        <v>0</v>
      </c>
      <c r="V54" s="9"/>
      <c r="W54" s="10">
        <f t="shared" si="14"/>
        <v>0</v>
      </c>
      <c r="X54" s="8">
        <f>IFERROR(W54/W445, "NA")</f>
        <v>0</v>
      </c>
      <c r="Y54" s="9"/>
      <c r="Z54" s="7">
        <v>11.65</v>
      </c>
      <c r="AA54" s="8">
        <f>IFERROR(Z54/Z445, "NA")</f>
        <v>1.3058190862866647E-5</v>
      </c>
      <c r="AB54" s="9"/>
      <c r="AC54" s="10">
        <f t="shared" si="15"/>
        <v>-11.65</v>
      </c>
      <c r="AD54" s="8">
        <f>IFERROR(AC54/AC445, "NA")</f>
        <v>-3.3492005903792521E-4</v>
      </c>
    </row>
    <row r="55" spans="1:30" ht="16.5" customHeight="1" x14ac:dyDescent="0.45">
      <c r="A55" s="17" t="s">
        <v>53</v>
      </c>
      <c r="B55" s="7">
        <v>0</v>
      </c>
      <c r="C55" s="8">
        <f>IFERROR(B55/B445, "NA")</f>
        <v>0</v>
      </c>
      <c r="D55" s="9"/>
      <c r="E55" s="7">
        <v>0</v>
      </c>
      <c r="F55" s="8">
        <f>IFERROR(E55/E445, "NA")</f>
        <v>0</v>
      </c>
      <c r="G55" s="9"/>
      <c r="H55" s="10">
        <f t="shared" si="12"/>
        <v>0</v>
      </c>
      <c r="I55" s="8">
        <f>IFERROR(H55/H445, "NA")</f>
        <v>0</v>
      </c>
      <c r="J55" s="9"/>
      <c r="K55" s="7">
        <v>0</v>
      </c>
      <c r="L55" s="8">
        <f>IFERROR(K55/K445, "NA")</f>
        <v>0</v>
      </c>
      <c r="M55" s="9"/>
      <c r="N55" s="10">
        <f t="shared" si="13"/>
        <v>0</v>
      </c>
      <c r="O55" s="8">
        <f>IFERROR(N55/N445, "NA")</f>
        <v>0</v>
      </c>
      <c r="P55" s="9"/>
      <c r="Q55" s="7">
        <v>0</v>
      </c>
      <c r="R55" s="8">
        <f>IFERROR(Q55/Q445, "NA")</f>
        <v>0</v>
      </c>
      <c r="S55" s="9"/>
      <c r="T55" s="7">
        <v>0</v>
      </c>
      <c r="U55" s="8">
        <f>IFERROR(T55/T445, "NA")</f>
        <v>0</v>
      </c>
      <c r="V55" s="9"/>
      <c r="W55" s="10">
        <f t="shared" si="14"/>
        <v>0</v>
      </c>
      <c r="X55" s="8">
        <f>IFERROR(W55/W445, "NA")</f>
        <v>0</v>
      </c>
      <c r="Y55" s="9"/>
      <c r="Z55" s="7">
        <v>15.65</v>
      </c>
      <c r="AA55" s="8">
        <f>IFERROR(Z55/Z445, "NA")</f>
        <v>1.7541689871576223E-5</v>
      </c>
      <c r="AB55" s="9"/>
      <c r="AC55" s="10">
        <f t="shared" si="15"/>
        <v>-15.65</v>
      </c>
      <c r="AD55" s="8">
        <f>IFERROR(AC55/AC445, "NA")</f>
        <v>-4.4991407072476647E-4</v>
      </c>
    </row>
    <row r="56" spans="1:30" ht="16.5" customHeight="1" x14ac:dyDescent="0.45">
      <c r="A56" s="17" t="s">
        <v>54</v>
      </c>
      <c r="B56" s="7">
        <v>0</v>
      </c>
      <c r="C56" s="8">
        <f>IFERROR(B56/B445, "NA")</f>
        <v>0</v>
      </c>
      <c r="D56" s="9"/>
      <c r="E56" s="7">
        <v>0</v>
      </c>
      <c r="F56" s="8">
        <f>IFERROR(E56/E445, "NA")</f>
        <v>0</v>
      </c>
      <c r="G56" s="9"/>
      <c r="H56" s="10">
        <f t="shared" si="12"/>
        <v>0</v>
      </c>
      <c r="I56" s="8">
        <f>IFERROR(H56/H445, "NA")</f>
        <v>0</v>
      </c>
      <c r="J56" s="9"/>
      <c r="K56" s="7">
        <v>0</v>
      </c>
      <c r="L56" s="8">
        <f>IFERROR(K56/K445, "NA")</f>
        <v>0</v>
      </c>
      <c r="M56" s="9"/>
      <c r="N56" s="10">
        <f t="shared" si="13"/>
        <v>0</v>
      </c>
      <c r="O56" s="8">
        <f>IFERROR(N56/N445, "NA")</f>
        <v>0</v>
      </c>
      <c r="P56" s="9"/>
      <c r="Q56" s="7">
        <v>0</v>
      </c>
      <c r="R56" s="8">
        <f>IFERROR(Q56/Q445, "NA")</f>
        <v>0</v>
      </c>
      <c r="S56" s="9"/>
      <c r="T56" s="7">
        <v>0</v>
      </c>
      <c r="U56" s="8">
        <f>IFERROR(T56/T445, "NA")</f>
        <v>0</v>
      </c>
      <c r="V56" s="9"/>
      <c r="W56" s="10">
        <f t="shared" si="14"/>
        <v>0</v>
      </c>
      <c r="X56" s="8">
        <f>IFERROR(W56/W445, "NA")</f>
        <v>0</v>
      </c>
      <c r="Y56" s="9"/>
      <c r="Z56" s="7">
        <v>11.65</v>
      </c>
      <c r="AA56" s="8">
        <f>IFERROR(Z56/Z445, "NA")</f>
        <v>1.3058190862866647E-5</v>
      </c>
      <c r="AB56" s="9"/>
      <c r="AC56" s="10">
        <f t="shared" si="15"/>
        <v>-11.65</v>
      </c>
      <c r="AD56" s="8">
        <f>IFERROR(AC56/AC445, "NA")</f>
        <v>-3.3492005903792521E-4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IFERROR(B57/B445, "NA")</f>
        <v>0</v>
      </c>
      <c r="D57" s="9"/>
      <c r="E57" s="7">
        <v>0</v>
      </c>
      <c r="F57" s="8">
        <f>IFERROR(E57/E445, "NA")</f>
        <v>0</v>
      </c>
      <c r="G57" s="9"/>
      <c r="H57" s="10">
        <f t="shared" si="12"/>
        <v>0</v>
      </c>
      <c r="I57" s="8">
        <f>IFERROR(H57/H445, "NA")</f>
        <v>0</v>
      </c>
      <c r="J57" s="9"/>
      <c r="K57" s="7">
        <v>0</v>
      </c>
      <c r="L57" s="8">
        <f>IFERROR(K57/K445, "NA")</f>
        <v>0</v>
      </c>
      <c r="M57" s="9"/>
      <c r="N57" s="10">
        <f t="shared" si="13"/>
        <v>0</v>
      </c>
      <c r="O57" s="8">
        <f>IFERROR(N57/N445, "NA")</f>
        <v>0</v>
      </c>
      <c r="P57" s="9"/>
      <c r="Q57" s="7">
        <v>0</v>
      </c>
      <c r="R57" s="8">
        <f>IFERROR(Q57/Q445, "NA")</f>
        <v>0</v>
      </c>
      <c r="S57" s="9"/>
      <c r="T57" s="7">
        <v>0</v>
      </c>
      <c r="U57" s="8">
        <f>IFERROR(T57/T445, "NA")</f>
        <v>0</v>
      </c>
      <c r="V57" s="9"/>
      <c r="W57" s="10">
        <f t="shared" si="14"/>
        <v>0</v>
      </c>
      <c r="X57" s="8">
        <f>IFERROR(W57/W445, "NA")</f>
        <v>0</v>
      </c>
      <c r="Y57" s="9"/>
      <c r="Z57" s="7">
        <v>0</v>
      </c>
      <c r="AA57" s="8">
        <f>IFERROR(Z57/Z445, "NA")</f>
        <v>0</v>
      </c>
      <c r="AB57" s="9"/>
      <c r="AC57" s="10">
        <f t="shared" si="15"/>
        <v>0</v>
      </c>
      <c r="AD57" s="8">
        <f>IFERROR(AC57/AC445, "NA")</f>
        <v>0</v>
      </c>
    </row>
    <row r="58" spans="1:30" ht="16.5" customHeight="1" x14ac:dyDescent="0.45">
      <c r="A58" s="17" t="s">
        <v>56</v>
      </c>
      <c r="B58" s="7">
        <v>0</v>
      </c>
      <c r="C58" s="8">
        <f>IFERROR(B58/B445, "NA")</f>
        <v>0</v>
      </c>
      <c r="D58" s="9"/>
      <c r="E58" s="7">
        <v>0</v>
      </c>
      <c r="F58" s="8">
        <f>IFERROR(E58/E445, "NA")</f>
        <v>0</v>
      </c>
      <c r="G58" s="9"/>
      <c r="H58" s="10">
        <f t="shared" si="12"/>
        <v>0</v>
      </c>
      <c r="I58" s="8">
        <f>IFERROR(H58/H445, "NA")</f>
        <v>0</v>
      </c>
      <c r="J58" s="9"/>
      <c r="K58" s="7">
        <v>155</v>
      </c>
      <c r="L58" s="8">
        <f>IFERROR(K58/K445, "NA")</f>
        <v>8.7768263697992905E-4</v>
      </c>
      <c r="M58" s="9"/>
      <c r="N58" s="10">
        <f t="shared" si="13"/>
        <v>-155</v>
      </c>
      <c r="O58" s="8">
        <f>IFERROR(N58/N445, "NA")</f>
        <v>9.4455809611213755E-3</v>
      </c>
      <c r="P58" s="9"/>
      <c r="Q58" s="7">
        <v>0</v>
      </c>
      <c r="R58" s="8">
        <f>IFERROR(Q58/Q445, "NA")</f>
        <v>0</v>
      </c>
      <c r="S58" s="9"/>
      <c r="T58" s="7">
        <v>0</v>
      </c>
      <c r="U58" s="8">
        <f>IFERROR(T58/T445, "NA")</f>
        <v>0</v>
      </c>
      <c r="V58" s="9"/>
      <c r="W58" s="10">
        <f t="shared" si="14"/>
        <v>0</v>
      </c>
      <c r="X58" s="8">
        <f>IFERROR(W58/W445, "NA")</f>
        <v>0</v>
      </c>
      <c r="Y58" s="9"/>
      <c r="Z58" s="7">
        <v>290</v>
      </c>
      <c r="AA58" s="8">
        <f>IFERROR(Z58/Z445, "NA")</f>
        <v>3.250536781314444E-4</v>
      </c>
      <c r="AB58" s="9"/>
      <c r="AC58" s="10">
        <f t="shared" si="15"/>
        <v>-290</v>
      </c>
      <c r="AD58" s="8">
        <f>IFERROR(AC58/AC445, "NA")</f>
        <v>-8.3370658472959915E-3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IFERROR(B59/B445, "NA")</f>
        <v>0</v>
      </c>
      <c r="D59" s="9"/>
      <c r="E59" s="7">
        <v>0</v>
      </c>
      <c r="F59" s="8">
        <f>IFERROR(E59/E445, "NA")</f>
        <v>0</v>
      </c>
      <c r="G59" s="9"/>
      <c r="H59" s="10">
        <f t="shared" si="12"/>
        <v>0</v>
      </c>
      <c r="I59" s="8">
        <f>IFERROR(H59/H445, "NA")</f>
        <v>0</v>
      </c>
      <c r="J59" s="9"/>
      <c r="K59" s="7">
        <v>0</v>
      </c>
      <c r="L59" s="8">
        <f>IFERROR(K59/K445, "NA")</f>
        <v>0</v>
      </c>
      <c r="M59" s="9"/>
      <c r="N59" s="10">
        <f t="shared" si="13"/>
        <v>0</v>
      </c>
      <c r="O59" s="8">
        <f>IFERROR(N59/N445, "NA")</f>
        <v>0</v>
      </c>
      <c r="P59" s="9"/>
      <c r="Q59" s="7">
        <v>0</v>
      </c>
      <c r="R59" s="8">
        <f>IFERROR(Q59/Q445, "NA")</f>
        <v>0</v>
      </c>
      <c r="S59" s="9"/>
      <c r="T59" s="7">
        <v>0</v>
      </c>
      <c r="U59" s="8">
        <f>IFERROR(T59/T445, "NA")</f>
        <v>0</v>
      </c>
      <c r="V59" s="9"/>
      <c r="W59" s="10">
        <f t="shared" si="14"/>
        <v>0</v>
      </c>
      <c r="X59" s="8">
        <f>IFERROR(W59/W445, "NA")</f>
        <v>0</v>
      </c>
      <c r="Y59" s="9"/>
      <c r="Z59" s="7">
        <v>0</v>
      </c>
      <c r="AA59" s="8">
        <f>IFERROR(Z59/Z445, "NA")</f>
        <v>0</v>
      </c>
      <c r="AB59" s="9"/>
      <c r="AC59" s="10">
        <f t="shared" si="15"/>
        <v>0</v>
      </c>
      <c r="AD59" s="8">
        <f>IFERROR(AC59/AC445,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IFERROR(B60/B445, "NA")</f>
        <v>0</v>
      </c>
      <c r="D60" s="9"/>
      <c r="E60" s="7">
        <v>0</v>
      </c>
      <c r="F60" s="8">
        <f>IFERROR(E60/E445, "NA")</f>
        <v>0</v>
      </c>
      <c r="G60" s="9"/>
      <c r="H60" s="10">
        <f t="shared" si="12"/>
        <v>0</v>
      </c>
      <c r="I60" s="8">
        <f>IFERROR(H60/H445, "NA")</f>
        <v>0</v>
      </c>
      <c r="J60" s="9"/>
      <c r="K60" s="7">
        <v>0</v>
      </c>
      <c r="L60" s="8">
        <f>IFERROR(K60/K445, "NA")</f>
        <v>0</v>
      </c>
      <c r="M60" s="9"/>
      <c r="N60" s="10">
        <f t="shared" si="13"/>
        <v>0</v>
      </c>
      <c r="O60" s="8">
        <f>IFERROR(N60/N445, "NA")</f>
        <v>0</v>
      </c>
      <c r="P60" s="9"/>
      <c r="Q60" s="7">
        <v>0</v>
      </c>
      <c r="R60" s="8">
        <f>IFERROR(Q60/Q445, "NA")</f>
        <v>0</v>
      </c>
      <c r="S60" s="9"/>
      <c r="T60" s="7">
        <v>0</v>
      </c>
      <c r="U60" s="8">
        <f>IFERROR(T60/T445, "NA")</f>
        <v>0</v>
      </c>
      <c r="V60" s="9"/>
      <c r="W60" s="10">
        <f t="shared" si="14"/>
        <v>0</v>
      </c>
      <c r="X60" s="8">
        <f>IFERROR(W60/W445, "NA")</f>
        <v>0</v>
      </c>
      <c r="Y60" s="9"/>
      <c r="Z60" s="7">
        <v>0</v>
      </c>
      <c r="AA60" s="8">
        <f>IFERROR(Z60/Z445, "NA")</f>
        <v>0</v>
      </c>
      <c r="AB60" s="9"/>
      <c r="AC60" s="10">
        <f t="shared" si="15"/>
        <v>0</v>
      </c>
      <c r="AD60" s="8">
        <f>IFERROR(AC60/AC445,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34920.54</v>
      </c>
      <c r="C61" s="15">
        <f>IFERROR(B61/B445, "NA")</f>
        <v>0.21799228836113346</v>
      </c>
      <c r="D61" s="2"/>
      <c r="E61" s="14">
        <f>IFERROR(E46+E47+E48+E49+E50+E51+E52+E53+E54+E55+E56+E57+E58+E59+E60, "NA")</f>
        <v>0</v>
      </c>
      <c r="F61" s="15">
        <f>IFERROR(E61/E445, "NA")</f>
        <v>0</v>
      </c>
      <c r="G61" s="2"/>
      <c r="H61" s="14">
        <f t="shared" si="12"/>
        <v>34920.54</v>
      </c>
      <c r="I61" s="15">
        <f>IFERROR(H61/H445, "NA")</f>
        <v>-1.0780536431444476</v>
      </c>
      <c r="J61" s="2"/>
      <c r="K61" s="14">
        <f>IFERROR(K46+K47+K48+K49+K50+K51+K52+K53+K54+K55+K56+K57+K58+K59+K60, "NA")</f>
        <v>52588.4</v>
      </c>
      <c r="L61" s="15">
        <f>IFERROR(K61/K445, "NA")</f>
        <v>0.29778016507455035</v>
      </c>
      <c r="M61" s="2"/>
      <c r="N61" s="14">
        <f t="shared" si="13"/>
        <v>-17667.86</v>
      </c>
      <c r="O61" s="15">
        <f>IFERROR(N61/N445, "NA")</f>
        <v>1.0766658196113412</v>
      </c>
      <c r="P61" s="2"/>
      <c r="Q61" s="14">
        <f>IFERROR(Q46+Q47+Q48+Q49+Q50+Q51+Q52+Q53+Q54+Q55+Q56+Q57+Q58+Q59+Q60, "NA")</f>
        <v>237490.19999999998</v>
      </c>
      <c r="R61" s="15">
        <f>IFERROR(Q61/Q445, "NA")</f>
        <v>0.25620750043400642</v>
      </c>
      <c r="S61" s="2"/>
      <c r="T61" s="14">
        <f>IFERROR(T46+T47+T48+T49+T50+T51+T52+T53+T54+T55+T56+T57+T58+T59+T60, "NA")</f>
        <v>0</v>
      </c>
      <c r="U61" s="15">
        <f>IFERROR(T61/T445, "NA")</f>
        <v>0</v>
      </c>
      <c r="V61" s="2"/>
      <c r="W61" s="14">
        <f t="shared" si="14"/>
        <v>237490.19999999998</v>
      </c>
      <c r="X61" s="15">
        <f>IFERROR(W61/W445, "NA")</f>
        <v>-7.2074752037447558</v>
      </c>
      <c r="Y61" s="2"/>
      <c r="Z61" s="14">
        <f>IFERROR(Z46+Z47+Z48+Z49+Z50+Z51+Z52+Z53+Z54+Z55+Z56+Z57+Z58+Z59+Z60, "NA")</f>
        <v>227875.89</v>
      </c>
      <c r="AA61" s="15">
        <f>IFERROR(Z61/Z445, "NA")</f>
        <v>0.25542033173095324</v>
      </c>
      <c r="AB61" s="2"/>
      <c r="AC61" s="14">
        <f t="shared" si="15"/>
        <v>9614.3099999999686</v>
      </c>
      <c r="AD61" s="15">
        <f>IFERROR(AC61/AC445, "NA")</f>
        <v>0.27639701912522779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44773.41</v>
      </c>
      <c r="C62" s="15">
        <f>IFERROR(B62/B445, "NA")</f>
        <v>0.27949905996961266</v>
      </c>
      <c r="D62" s="2"/>
      <c r="E62" s="14">
        <f>IFERROR(E42+E43+E44+E46+E47+E48+E49+E50+E51+E52+E53+E54+E55+E56+E57+E58+E59+E60, "NA")</f>
        <v>65671.09</v>
      </c>
      <c r="F62" s="15">
        <f>IFERROR(E62/E445, "NA")</f>
        <v>0.34100000290782445</v>
      </c>
      <c r="G62" s="2"/>
      <c r="H62" s="14">
        <f t="shared" si="12"/>
        <v>-20897.679999999993</v>
      </c>
      <c r="I62" s="15">
        <f>IFERROR(H62/H445, "NA")</f>
        <v>0.64514523708014981</v>
      </c>
      <c r="J62" s="2"/>
      <c r="K62" s="14">
        <f>IFERROR(K42+K43+K44+K46+K47+K48+K49+K50+K51+K52+K53+K54+K55+K56+K57+K58+K59+K60, "NA")</f>
        <v>66718.55</v>
      </c>
      <c r="L62" s="15">
        <f>IFERROR(K62/K445, "NA")</f>
        <v>0.37779169612565966</v>
      </c>
      <c r="M62" s="2"/>
      <c r="N62" s="14">
        <f t="shared" si="13"/>
        <v>-21945.14</v>
      </c>
      <c r="O62" s="15">
        <f>IFERROR(N62/N445, "NA")</f>
        <v>1.3373199778912459</v>
      </c>
      <c r="P62" s="2"/>
      <c r="Q62" s="14">
        <f>IFERROR(Q42+Q43+Q44+Q46+Q47+Q48+Q49+Q50+Q51+Q52+Q53+Q54+Q55+Q56+Q57+Q58+Q59+Q60, "NA")</f>
        <v>284962.06</v>
      </c>
      <c r="R62" s="15">
        <f>IFERROR(Q62/Q445, "NA")</f>
        <v>0.30742075719808803</v>
      </c>
      <c r="S62" s="2"/>
      <c r="T62" s="14">
        <f>IFERROR(T42+T43+T44+T46+T47+T48+T49+T50+T51+T52+T53+T54+T55+T56+T57+T58+T59+T60, "NA")</f>
        <v>327324.28999999998</v>
      </c>
      <c r="U62" s="15">
        <f>IFERROR(T62/T445, "NA")</f>
        <v>0.34099999239500389</v>
      </c>
      <c r="V62" s="2"/>
      <c r="W62" s="14">
        <f t="shared" si="14"/>
        <v>-42362.229999999981</v>
      </c>
      <c r="X62" s="15">
        <f>IFERROR(W62/W445, "NA")</f>
        <v>1.2856308272944823</v>
      </c>
      <c r="Y62" s="2"/>
      <c r="Z62" s="14">
        <f>IFERROR(Z42+Z43+Z44+Z46+Z47+Z48+Z49+Z50+Z51+Z52+Z53+Z54+Z55+Z56+Z57+Z58+Z59+Z60, "NA")</f>
        <v>294206.20000000007</v>
      </c>
      <c r="AA62" s="15">
        <f>IFERROR(Z62/Z445, "NA")</f>
        <v>0.32976830151405306</v>
      </c>
      <c r="AB62" s="2"/>
      <c r="AC62" s="14">
        <f t="shared" si="15"/>
        <v>-9244.1400000000722</v>
      </c>
      <c r="AD62" s="15">
        <f>IFERROR(AC62/AC445, "NA")</f>
        <v>-0.26575518579870128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IFERROR(B64/B445, "NA")</f>
        <v>0</v>
      </c>
      <c r="D64" s="9"/>
      <c r="E64" s="7">
        <v>16754.79</v>
      </c>
      <c r="F64" s="8">
        <f>IFERROR(E64/E445, "NA")</f>
        <v>8.6999978814421813E-2</v>
      </c>
      <c r="G64" s="9"/>
      <c r="H64" s="10">
        <f t="shared" ref="H64:H73" si="16">IFERROR(B64-E64, "NA")</f>
        <v>-16754.79</v>
      </c>
      <c r="I64" s="8">
        <f>IFERROR(H64/H445, "NA")</f>
        <v>0.51724751105281197</v>
      </c>
      <c r="J64" s="9"/>
      <c r="K64" s="7">
        <v>0</v>
      </c>
      <c r="L64" s="8">
        <f>IFERROR(K64/K445, "NA")</f>
        <v>0</v>
      </c>
      <c r="M64" s="9"/>
      <c r="N64" s="10">
        <f t="shared" ref="N64:N73" si="17">IFERROR(B64-K64, "NA")</f>
        <v>0</v>
      </c>
      <c r="O64" s="8">
        <f>IFERROR(N64/N445, "NA")</f>
        <v>0</v>
      </c>
      <c r="P64" s="9"/>
      <c r="Q64" s="7">
        <v>0</v>
      </c>
      <c r="R64" s="8">
        <f>IFERROR(Q64/Q445, "NA")</f>
        <v>0</v>
      </c>
      <c r="S64" s="9"/>
      <c r="T64" s="7">
        <v>83510.880000000005</v>
      </c>
      <c r="U64" s="8">
        <f>IFERROR(T64/T445, "NA")</f>
        <v>8.6999988436238823E-2</v>
      </c>
      <c r="V64" s="9"/>
      <c r="W64" s="10">
        <f t="shared" ref="W64:W73" si="18">IFERROR(Q64-T64, "NA")</f>
        <v>-83510.880000000005</v>
      </c>
      <c r="X64" s="8">
        <f>IFERROR(W64/W445, "NA")</f>
        <v>2.5344313021880644</v>
      </c>
      <c r="Y64" s="9"/>
      <c r="Z64" s="7">
        <v>0</v>
      </c>
      <c r="AA64" s="8">
        <f>IFERROR(Z64/Z445, "NA")</f>
        <v>0</v>
      </c>
      <c r="AB64" s="9"/>
      <c r="AC64" s="10">
        <f t="shared" ref="AC64:AC73" si="19">IFERROR(Q64-Z64, "NA")</f>
        <v>0</v>
      </c>
      <c r="AD64" s="8">
        <f>IFERROR(AC64/AC445, "NA")</f>
        <v>0</v>
      </c>
    </row>
    <row r="65" spans="1:30" ht="16.5" customHeight="1" x14ac:dyDescent="0.45">
      <c r="A65" s="12" t="s">
        <v>62</v>
      </c>
      <c r="B65" s="7">
        <v>3505.42</v>
      </c>
      <c r="C65" s="8">
        <f>IFERROR(B65/B445, "NA")</f>
        <v>2.1882666403981281E-2</v>
      </c>
      <c r="D65" s="9"/>
      <c r="E65" s="7">
        <v>0</v>
      </c>
      <c r="F65" s="8">
        <f>IFERROR(E65/E445, "NA")</f>
        <v>0</v>
      </c>
      <c r="G65" s="9"/>
      <c r="H65" s="10">
        <f t="shared" si="16"/>
        <v>3505.42</v>
      </c>
      <c r="I65" s="8">
        <f>IFERROR(H65/H445, "NA")</f>
        <v>-0.10821799438815694</v>
      </c>
      <c r="J65" s="9"/>
      <c r="K65" s="7">
        <v>0</v>
      </c>
      <c r="L65" s="8">
        <f>IFERROR(K65/K445, "NA")</f>
        <v>0</v>
      </c>
      <c r="M65" s="9"/>
      <c r="N65" s="10">
        <f t="shared" si="17"/>
        <v>3505.42</v>
      </c>
      <c r="O65" s="8">
        <f>IFERROR(N65/N445, "NA")</f>
        <v>-0.21361760266280058</v>
      </c>
      <c r="P65" s="9"/>
      <c r="Q65" s="7">
        <v>15529.27</v>
      </c>
      <c r="R65" s="8">
        <f>IFERROR(Q65/Q445, "NA")</f>
        <v>1.6753177395382225E-2</v>
      </c>
      <c r="S65" s="9"/>
      <c r="T65" s="7">
        <v>0</v>
      </c>
      <c r="U65" s="8">
        <f>IFERROR(T65/T445, "NA")</f>
        <v>0</v>
      </c>
      <c r="V65" s="9"/>
      <c r="W65" s="10">
        <f t="shared" si="18"/>
        <v>15529.27</v>
      </c>
      <c r="X65" s="8">
        <f>IFERROR(W65/W445, "NA")</f>
        <v>-0.47129030358834734</v>
      </c>
      <c r="Y65" s="9"/>
      <c r="Z65" s="7">
        <v>2925</v>
      </c>
      <c r="AA65" s="8">
        <f>IFERROR(Z65/Z445, "NA")</f>
        <v>3.2785586501188789E-3</v>
      </c>
      <c r="AB65" s="9"/>
      <c r="AC65" s="10">
        <f t="shared" si="19"/>
        <v>12604.27</v>
      </c>
      <c r="AD65" s="8">
        <f>IFERROR(AC65/AC445, "NA")</f>
        <v>0.36235389292102571</v>
      </c>
    </row>
    <row r="66" spans="1:30" ht="16.5" customHeight="1" x14ac:dyDescent="0.45">
      <c r="A66" s="12" t="s">
        <v>63</v>
      </c>
      <c r="B66" s="7">
        <v>9359.4</v>
      </c>
      <c r="C66" s="8">
        <f>IFERROR(B66/B445, "NA")</f>
        <v>5.8426273582458707E-2</v>
      </c>
      <c r="D66" s="9"/>
      <c r="E66" s="7">
        <v>0</v>
      </c>
      <c r="F66" s="8">
        <f>IFERROR(E66/E445, "NA")</f>
        <v>0</v>
      </c>
      <c r="G66" s="9"/>
      <c r="H66" s="10">
        <f t="shared" si="16"/>
        <v>9359.4</v>
      </c>
      <c r="I66" s="8">
        <f>IFERROR(H66/H445, "NA")</f>
        <v>-0.28893984078270679</v>
      </c>
      <c r="J66" s="9"/>
      <c r="K66" s="7">
        <v>12827.48</v>
      </c>
      <c r="L66" s="8">
        <f>IFERROR(K66/K445, "NA")</f>
        <v>7.2635203046498717E-2</v>
      </c>
      <c r="M66" s="9"/>
      <c r="N66" s="10">
        <f t="shared" si="17"/>
        <v>-3468.08</v>
      </c>
      <c r="O66" s="8">
        <f>IFERROR(N66/N445, "NA")</f>
        <v>0.21134213173965044</v>
      </c>
      <c r="P66" s="9"/>
      <c r="Q66" s="7">
        <v>61464.46</v>
      </c>
      <c r="R66" s="8">
        <f>IFERROR(Q66/Q445, "NA")</f>
        <v>6.6308654681860438E-2</v>
      </c>
      <c r="S66" s="9"/>
      <c r="T66" s="7">
        <v>0</v>
      </c>
      <c r="U66" s="8">
        <f>IFERROR(T66/T445, "NA")</f>
        <v>0</v>
      </c>
      <c r="V66" s="9"/>
      <c r="W66" s="10">
        <f t="shared" si="18"/>
        <v>61464.46</v>
      </c>
      <c r="X66" s="8">
        <f>IFERROR(W66/W445, "NA")</f>
        <v>-1.8653551656513043</v>
      </c>
      <c r="Y66" s="9"/>
      <c r="Z66" s="7">
        <v>55281.02</v>
      </c>
      <c r="AA66" s="8">
        <f>IFERROR(Z66/Z445, "NA")</f>
        <v>6.1963099592613584E-2</v>
      </c>
      <c r="AB66" s="9"/>
      <c r="AC66" s="10">
        <f t="shared" si="19"/>
        <v>6183.4400000000023</v>
      </c>
      <c r="AD66" s="8">
        <f>IFERROR(AC66/AC445, "NA")</f>
        <v>0.17776464290622052</v>
      </c>
    </row>
    <row r="67" spans="1:30" ht="16.5" customHeight="1" x14ac:dyDescent="0.45">
      <c r="A67" s="12" t="s">
        <v>64</v>
      </c>
      <c r="B67" s="7">
        <v>0</v>
      </c>
      <c r="C67" s="8">
        <f>IFERROR(B67/B445, "NA")</f>
        <v>0</v>
      </c>
      <c r="D67" s="9"/>
      <c r="E67" s="7">
        <v>0</v>
      </c>
      <c r="F67" s="8">
        <f>IFERROR(E67/E445, "NA")</f>
        <v>0</v>
      </c>
      <c r="G67" s="9"/>
      <c r="H67" s="10">
        <f t="shared" si="16"/>
        <v>0</v>
      </c>
      <c r="I67" s="8">
        <f>IFERROR(H67/H445, "NA")</f>
        <v>0</v>
      </c>
      <c r="J67" s="9"/>
      <c r="K67" s="7">
        <v>0</v>
      </c>
      <c r="L67" s="8">
        <f>IFERROR(K67/K445, "NA")</f>
        <v>0</v>
      </c>
      <c r="M67" s="9"/>
      <c r="N67" s="10">
        <f t="shared" si="17"/>
        <v>0</v>
      </c>
      <c r="O67" s="8">
        <f>IFERROR(N67/N445, "NA")</f>
        <v>0</v>
      </c>
      <c r="P67" s="9"/>
      <c r="Q67" s="7">
        <v>0</v>
      </c>
      <c r="R67" s="8">
        <f>IFERROR(Q67/Q445, "NA")</f>
        <v>0</v>
      </c>
      <c r="S67" s="9"/>
      <c r="T67" s="7">
        <v>0</v>
      </c>
      <c r="U67" s="8">
        <f>IFERROR(T67/T445, "NA")</f>
        <v>0</v>
      </c>
      <c r="V67" s="9"/>
      <c r="W67" s="10">
        <f t="shared" si="18"/>
        <v>0</v>
      </c>
      <c r="X67" s="8">
        <f>IFERROR(W67/W445, "NA")</f>
        <v>0</v>
      </c>
      <c r="Y67" s="9"/>
      <c r="Z67" s="7">
        <v>9882.75</v>
      </c>
      <c r="AA67" s="8">
        <f>IFERROR(Z67/Z445, "NA")</f>
        <v>1.1077324957081146E-2</v>
      </c>
      <c r="AB67" s="9"/>
      <c r="AC67" s="10">
        <f t="shared" si="19"/>
        <v>-9882.75</v>
      </c>
      <c r="AD67" s="8">
        <f>IFERROR(AC67/AC445, "NA")</f>
        <v>-0.28411426724953265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IFERROR(B68/B445, "NA")</f>
        <v>0</v>
      </c>
      <c r="D68" s="9"/>
      <c r="E68" s="7">
        <v>0</v>
      </c>
      <c r="F68" s="8">
        <f>IFERROR(E68/E445, "NA")</f>
        <v>0</v>
      </c>
      <c r="G68" s="9"/>
      <c r="H68" s="10">
        <f t="shared" si="16"/>
        <v>0</v>
      </c>
      <c r="I68" s="8">
        <f>IFERROR(H68/H445, "NA")</f>
        <v>0</v>
      </c>
      <c r="J68" s="9"/>
      <c r="K68" s="7">
        <v>0</v>
      </c>
      <c r="L68" s="8">
        <f>IFERROR(K68/K445, "NA")</f>
        <v>0</v>
      </c>
      <c r="M68" s="9"/>
      <c r="N68" s="10">
        <f t="shared" si="17"/>
        <v>0</v>
      </c>
      <c r="O68" s="8">
        <f>IFERROR(N68/N445, "NA")</f>
        <v>0</v>
      </c>
      <c r="P68" s="9"/>
      <c r="Q68" s="7">
        <v>0</v>
      </c>
      <c r="R68" s="8">
        <f>IFERROR(Q68/Q445, "NA")</f>
        <v>0</v>
      </c>
      <c r="S68" s="9"/>
      <c r="T68" s="7">
        <v>0</v>
      </c>
      <c r="U68" s="8">
        <f>IFERROR(T68/T445, "NA")</f>
        <v>0</v>
      </c>
      <c r="V68" s="9"/>
      <c r="W68" s="10">
        <f t="shared" si="18"/>
        <v>0</v>
      </c>
      <c r="X68" s="8">
        <f>IFERROR(W68/W445, "NA")</f>
        <v>0</v>
      </c>
      <c r="Y68" s="9"/>
      <c r="Z68" s="7">
        <v>0</v>
      </c>
      <c r="AA68" s="8">
        <f>IFERROR(Z68/Z445, "NA")</f>
        <v>0</v>
      </c>
      <c r="AB68" s="9"/>
      <c r="AC68" s="10">
        <f t="shared" si="19"/>
        <v>0</v>
      </c>
      <c r="AD68" s="8">
        <f>IFERROR(AC68/AC445, "NA")</f>
        <v>0</v>
      </c>
    </row>
    <row r="69" spans="1:30" ht="16.5" customHeight="1" x14ac:dyDescent="0.45">
      <c r="A69" s="12" t="s">
        <v>66</v>
      </c>
      <c r="B69" s="7">
        <v>0</v>
      </c>
      <c r="C69" s="8">
        <f>IFERROR(B69/B445, "NA")</f>
        <v>0</v>
      </c>
      <c r="D69" s="9"/>
      <c r="E69" s="7">
        <v>0</v>
      </c>
      <c r="F69" s="8">
        <f>IFERROR(E69/E445, "NA")</f>
        <v>0</v>
      </c>
      <c r="G69" s="9"/>
      <c r="H69" s="10">
        <f t="shared" si="16"/>
        <v>0</v>
      </c>
      <c r="I69" s="8">
        <f>IFERROR(H69/H445, "NA")</f>
        <v>0</v>
      </c>
      <c r="J69" s="9"/>
      <c r="K69" s="7">
        <v>0</v>
      </c>
      <c r="L69" s="8">
        <f>IFERROR(K69/K445, "NA")</f>
        <v>0</v>
      </c>
      <c r="M69" s="9"/>
      <c r="N69" s="10">
        <f t="shared" si="17"/>
        <v>0</v>
      </c>
      <c r="O69" s="8">
        <f>IFERROR(N69/N445, "NA")</f>
        <v>0</v>
      </c>
      <c r="P69" s="9"/>
      <c r="Q69" s="7">
        <v>760</v>
      </c>
      <c r="R69" s="8">
        <f>IFERROR(Q69/Q445, "NA")</f>
        <v>8.198978329625597E-4</v>
      </c>
      <c r="S69" s="9"/>
      <c r="T69" s="7">
        <v>0</v>
      </c>
      <c r="U69" s="8">
        <f>IFERROR(T69/T445, "NA")</f>
        <v>0</v>
      </c>
      <c r="V69" s="9"/>
      <c r="W69" s="10">
        <f t="shared" si="18"/>
        <v>760</v>
      </c>
      <c r="X69" s="8">
        <f>IFERROR(W69/W445, "NA")</f>
        <v>-2.3064872381454118E-2</v>
      </c>
      <c r="Y69" s="9"/>
      <c r="Z69" s="7">
        <v>0</v>
      </c>
      <c r="AA69" s="8">
        <f>IFERROR(Z69/Z445, "NA")</f>
        <v>0</v>
      </c>
      <c r="AB69" s="9"/>
      <c r="AC69" s="10">
        <f t="shared" si="19"/>
        <v>760</v>
      </c>
      <c r="AD69" s="8">
        <f>IFERROR(AC69/AC445, "NA")</f>
        <v>2.1848862220499841E-2</v>
      </c>
    </row>
    <row r="70" spans="1:30" ht="16.5" customHeight="1" x14ac:dyDescent="0.45">
      <c r="A70" s="12" t="s">
        <v>67</v>
      </c>
      <c r="B70" s="7">
        <v>0</v>
      </c>
      <c r="C70" s="8">
        <f>IFERROR(B70/B445, "NA")</f>
        <v>0</v>
      </c>
      <c r="D70" s="9"/>
      <c r="E70" s="7">
        <v>0</v>
      </c>
      <c r="F70" s="8">
        <f>IFERROR(E70/E445, "NA")</f>
        <v>0</v>
      </c>
      <c r="G70" s="9"/>
      <c r="H70" s="10">
        <f t="shared" si="16"/>
        <v>0</v>
      </c>
      <c r="I70" s="8">
        <f>IFERROR(H70/H445, "NA")</f>
        <v>0</v>
      </c>
      <c r="J70" s="9"/>
      <c r="K70" s="7">
        <v>0</v>
      </c>
      <c r="L70" s="8">
        <f>IFERROR(K70/K445, "NA")</f>
        <v>0</v>
      </c>
      <c r="M70" s="9"/>
      <c r="N70" s="10">
        <f t="shared" si="17"/>
        <v>0</v>
      </c>
      <c r="O70" s="8">
        <f>IFERROR(N70/N445, "NA")</f>
        <v>0</v>
      </c>
      <c r="P70" s="9"/>
      <c r="Q70" s="7">
        <v>2284</v>
      </c>
      <c r="R70" s="8">
        <f>IFERROR(Q70/Q445, "NA")</f>
        <v>2.4640087506401136E-3</v>
      </c>
      <c r="S70" s="9"/>
      <c r="T70" s="7">
        <v>0</v>
      </c>
      <c r="U70" s="8">
        <f>IFERROR(T70/T445, "NA")</f>
        <v>0</v>
      </c>
      <c r="V70" s="9"/>
      <c r="W70" s="10">
        <f t="shared" si="18"/>
        <v>2284</v>
      </c>
      <c r="X70" s="8">
        <f>IFERROR(W70/W445, "NA")</f>
        <v>-6.9316011209527906E-2</v>
      </c>
      <c r="Y70" s="9"/>
      <c r="Z70" s="7">
        <v>0</v>
      </c>
      <c r="AA70" s="8">
        <f>IFERROR(Z70/Z445, "NA")</f>
        <v>0</v>
      </c>
      <c r="AB70" s="9"/>
      <c r="AC70" s="10">
        <f t="shared" si="19"/>
        <v>2284</v>
      </c>
      <c r="AD70" s="8">
        <f>IFERROR(AC70/AC445, "NA")</f>
        <v>6.5661580673186365E-2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IFERROR(B71/B445, "NA")</f>
        <v>0</v>
      </c>
      <c r="D71" s="9"/>
      <c r="E71" s="7">
        <v>0</v>
      </c>
      <c r="F71" s="8">
        <f>IFERROR(E71/E445, "NA")</f>
        <v>0</v>
      </c>
      <c r="G71" s="9"/>
      <c r="H71" s="10">
        <f t="shared" si="16"/>
        <v>0</v>
      </c>
      <c r="I71" s="8">
        <f>IFERROR(H71/H445, "NA")</f>
        <v>0</v>
      </c>
      <c r="J71" s="9"/>
      <c r="K71" s="7">
        <v>0</v>
      </c>
      <c r="L71" s="8">
        <f>IFERROR(K71/K445, "NA")</f>
        <v>0</v>
      </c>
      <c r="M71" s="9"/>
      <c r="N71" s="10">
        <f t="shared" si="17"/>
        <v>0</v>
      </c>
      <c r="O71" s="8">
        <f>IFERROR(N71/N445, "NA")</f>
        <v>0</v>
      </c>
      <c r="P71" s="9"/>
      <c r="Q71" s="7">
        <v>0</v>
      </c>
      <c r="R71" s="8">
        <f>IFERROR(Q71/Q445, "NA")</f>
        <v>0</v>
      </c>
      <c r="S71" s="9"/>
      <c r="T71" s="7">
        <v>0</v>
      </c>
      <c r="U71" s="8">
        <f>IFERROR(T71/T445, "NA")</f>
        <v>0</v>
      </c>
      <c r="V71" s="9"/>
      <c r="W71" s="10">
        <f t="shared" si="18"/>
        <v>0</v>
      </c>
      <c r="X71" s="8">
        <f>IFERROR(W71/W445, "NA")</f>
        <v>0</v>
      </c>
      <c r="Y71" s="9"/>
      <c r="Z71" s="7">
        <v>0</v>
      </c>
      <c r="AA71" s="8">
        <f>IFERROR(Z71/Z445, "NA")</f>
        <v>0</v>
      </c>
      <c r="AB71" s="9"/>
      <c r="AC71" s="10">
        <f t="shared" si="19"/>
        <v>0</v>
      </c>
      <c r="AD71" s="8">
        <f>IFERROR(AC71/AC445, "NA")</f>
        <v>0</v>
      </c>
    </row>
    <row r="72" spans="1:30" ht="16.5" customHeight="1" x14ac:dyDescent="0.45">
      <c r="A72" s="12" t="s">
        <v>69</v>
      </c>
      <c r="B72" s="7">
        <v>0</v>
      </c>
      <c r="C72" s="8">
        <f>IFERROR(B72/B445, "NA")</f>
        <v>0</v>
      </c>
      <c r="D72" s="9"/>
      <c r="E72" s="7">
        <v>0</v>
      </c>
      <c r="F72" s="8">
        <f>IFERROR(E72/E445, "NA")</f>
        <v>0</v>
      </c>
      <c r="G72" s="9"/>
      <c r="H72" s="10">
        <f t="shared" si="16"/>
        <v>0</v>
      </c>
      <c r="I72" s="8">
        <f>IFERROR(H72/H445, "NA")</f>
        <v>0</v>
      </c>
      <c r="J72" s="9"/>
      <c r="K72" s="7">
        <v>0</v>
      </c>
      <c r="L72" s="8">
        <f>IFERROR(K72/K445, "NA")</f>
        <v>0</v>
      </c>
      <c r="M72" s="9"/>
      <c r="N72" s="10">
        <f t="shared" si="17"/>
        <v>0</v>
      </c>
      <c r="O72" s="8">
        <f>IFERROR(N72/N445, "NA")</f>
        <v>0</v>
      </c>
      <c r="P72" s="9"/>
      <c r="Q72" s="7">
        <v>1353.8</v>
      </c>
      <c r="R72" s="8">
        <f>IFERROR(Q72/Q445, "NA")</f>
        <v>1.4604969556114649E-3</v>
      </c>
      <c r="S72" s="9"/>
      <c r="T72" s="7">
        <v>0</v>
      </c>
      <c r="U72" s="8">
        <f>IFERROR(T72/T445, "NA")</f>
        <v>0</v>
      </c>
      <c r="V72" s="9"/>
      <c r="W72" s="10">
        <f t="shared" si="18"/>
        <v>1353.8</v>
      </c>
      <c r="X72" s="8">
        <f>IFERROR(W72/W445, "NA")</f>
        <v>-4.1085821355279717E-2</v>
      </c>
      <c r="Y72" s="9"/>
      <c r="Z72" s="7">
        <v>0</v>
      </c>
      <c r="AA72" s="8">
        <f>IFERROR(Z72/Z445, "NA")</f>
        <v>0</v>
      </c>
      <c r="AB72" s="9"/>
      <c r="AC72" s="10">
        <f t="shared" si="19"/>
        <v>1353.8</v>
      </c>
      <c r="AD72" s="8">
        <f>IFERROR(AC72/AC445, "NA")</f>
        <v>3.8919723255411424E-2</v>
      </c>
    </row>
    <row r="73" spans="1:30" ht="16.5" customHeight="1" x14ac:dyDescent="0.45">
      <c r="A73" s="13" t="s">
        <v>70</v>
      </c>
      <c r="B73" s="14">
        <f>IFERROR(B64+B65+B66+B67+B68+B69+B70+B71+B72, "NA")</f>
        <v>12864.82</v>
      </c>
      <c r="C73" s="15">
        <f>IFERROR(B73/B445, "NA")</f>
        <v>8.0308939986439981E-2</v>
      </c>
      <c r="D73" s="2"/>
      <c r="E73" s="14">
        <f>IFERROR(E64+E65+E66+E67+E68+E69+E70+E71+E72, "NA")</f>
        <v>16754.79</v>
      </c>
      <c r="F73" s="15">
        <f>IFERROR(E73/E445, "NA")</f>
        <v>8.6999978814421813E-2</v>
      </c>
      <c r="G73" s="2"/>
      <c r="H73" s="14">
        <f t="shared" si="16"/>
        <v>-3889.9700000000012</v>
      </c>
      <c r="I73" s="15">
        <f>IFERROR(H73/H445, "NA")</f>
        <v>0.12008967588194823</v>
      </c>
      <c r="J73" s="2"/>
      <c r="K73" s="14">
        <f>IFERROR(K64+K65+K66+K67+K68+K69+K70+K71+K72, "NA")</f>
        <v>12827.48</v>
      </c>
      <c r="L73" s="15">
        <f>IFERROR(K73/K445, "NA")</f>
        <v>7.2635203046498717E-2</v>
      </c>
      <c r="M73" s="2"/>
      <c r="N73" s="14">
        <f t="shared" si="17"/>
        <v>37.340000000000146</v>
      </c>
      <c r="O73" s="15">
        <f>IFERROR(N73/N445, "NA")</f>
        <v>-2.2754709231501517E-3</v>
      </c>
      <c r="P73" s="2"/>
      <c r="Q73" s="14">
        <f>IFERROR(Q64+Q65+Q66+Q67+Q68+Q69+Q70+Q71+Q72, "NA")</f>
        <v>81391.53</v>
      </c>
      <c r="R73" s="15">
        <f>IFERROR(Q73/Q445, "NA")</f>
        <v>8.7806235616456799E-2</v>
      </c>
      <c r="S73" s="2"/>
      <c r="T73" s="14">
        <f>IFERROR(T64+T65+T66+T67+T68+T69+T70+T71+T72, "NA")</f>
        <v>83510.880000000005</v>
      </c>
      <c r="U73" s="15">
        <f>IFERROR(T73/T445, "NA")</f>
        <v>8.6999988436238823E-2</v>
      </c>
      <c r="V73" s="2"/>
      <c r="W73" s="14">
        <f t="shared" si="18"/>
        <v>-2119.3500000000058</v>
      </c>
      <c r="X73" s="15">
        <f>IFERROR(W73/W445, "NA")</f>
        <v>6.4319128002151213E-2</v>
      </c>
      <c r="Y73" s="2"/>
      <c r="Z73" s="14">
        <f>IFERROR(Z64+Z65+Z66+Z67+Z68+Z69+Z70+Z71+Z72, "NA")</f>
        <v>68088.76999999999</v>
      </c>
      <c r="AA73" s="15">
        <f>IFERROR(Z73/Z445, "NA")</f>
        <v>7.6318983199813603E-2</v>
      </c>
      <c r="AB73" s="2"/>
      <c r="AC73" s="14">
        <f t="shared" si="19"/>
        <v>13302.760000000009</v>
      </c>
      <c r="AD73" s="15">
        <f>IFERROR(AC73/AC445, "NA")</f>
        <v>0.38243443472681143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IFERROR(B75/B445, "NA")</f>
        <v>0</v>
      </c>
      <c r="D75" s="9"/>
      <c r="E75" s="7">
        <v>5392.35</v>
      </c>
      <c r="F75" s="8">
        <f>IFERROR(E75/E445, "NA")</f>
        <v>2.8000012877508314E-2</v>
      </c>
      <c r="G75" s="9"/>
      <c r="H75" s="10">
        <f t="shared" ref="H75:H92" si="20">IFERROR(B75-E75, "NA")</f>
        <v>-5392.35</v>
      </c>
      <c r="I75" s="8">
        <f>IFERROR(H75/H445, "NA")</f>
        <v>0.16647058042659027</v>
      </c>
      <c r="J75" s="9"/>
      <c r="K75" s="7">
        <v>0</v>
      </c>
      <c r="L75" s="8">
        <f>IFERROR(K75/K445, "NA")</f>
        <v>0</v>
      </c>
      <c r="M75" s="9"/>
      <c r="N75" s="10">
        <f t="shared" ref="N75:N92" si="21">IFERROR(B75-K75, "NA")</f>
        <v>0</v>
      </c>
      <c r="O75" s="8">
        <f>IFERROR(N75/N445, "NA")</f>
        <v>0</v>
      </c>
      <c r="P75" s="9"/>
      <c r="Q75" s="7">
        <v>0</v>
      </c>
      <c r="R75" s="8">
        <f>IFERROR(Q75/Q445, "NA")</f>
        <v>0</v>
      </c>
      <c r="S75" s="9"/>
      <c r="T75" s="7">
        <v>26877.07</v>
      </c>
      <c r="U75" s="8">
        <f>IFERROR(T75/T445, "NA")</f>
        <v>2.8000001666848455E-2</v>
      </c>
      <c r="V75" s="9"/>
      <c r="W75" s="10">
        <f t="shared" ref="W75:W92" si="22">IFERROR(Q75-T75, "NA")</f>
        <v>-26877.07</v>
      </c>
      <c r="X75" s="8">
        <f>IFERROR(W75/W445, "NA")</f>
        <v>0.81567919675974865</v>
      </c>
      <c r="Y75" s="9"/>
      <c r="Z75" s="7">
        <v>0</v>
      </c>
      <c r="AA75" s="8">
        <f>IFERROR(Z75/Z445, "NA")</f>
        <v>0</v>
      </c>
      <c r="AB75" s="9"/>
      <c r="AC75" s="10">
        <f t="shared" ref="AC75:AC92" si="23">IFERROR(Q75-Z75, "NA")</f>
        <v>0</v>
      </c>
      <c r="AD75" s="8">
        <f>IFERROR(AC75/AC445,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IFERROR(B76/B445, "NA")</f>
        <v>0</v>
      </c>
      <c r="D76" s="9"/>
      <c r="E76" s="7">
        <v>0</v>
      </c>
      <c r="F76" s="8">
        <f>IFERROR(E76/E445, "NA")</f>
        <v>0</v>
      </c>
      <c r="G76" s="9"/>
      <c r="H76" s="10">
        <f t="shared" si="20"/>
        <v>0</v>
      </c>
      <c r="I76" s="8">
        <f>IFERROR(H76/H445, "NA")</f>
        <v>0</v>
      </c>
      <c r="J76" s="9"/>
      <c r="K76" s="7">
        <v>0</v>
      </c>
      <c r="L76" s="8">
        <f>IFERROR(K76/K445, "NA")</f>
        <v>0</v>
      </c>
      <c r="M76" s="9"/>
      <c r="N76" s="10">
        <f t="shared" si="21"/>
        <v>0</v>
      </c>
      <c r="O76" s="8">
        <f>IFERROR(N76/N445, "NA")</f>
        <v>0</v>
      </c>
      <c r="P76" s="9"/>
      <c r="Q76" s="7">
        <v>0</v>
      </c>
      <c r="R76" s="8">
        <f>IFERROR(Q76/Q445, "NA")</f>
        <v>0</v>
      </c>
      <c r="S76" s="9"/>
      <c r="T76" s="7">
        <v>0</v>
      </c>
      <c r="U76" s="8">
        <f>IFERROR(T76/T445, "NA")</f>
        <v>0</v>
      </c>
      <c r="V76" s="9"/>
      <c r="W76" s="10">
        <f t="shared" si="22"/>
        <v>0</v>
      </c>
      <c r="X76" s="8">
        <f>IFERROR(W76/W445, "NA")</f>
        <v>0</v>
      </c>
      <c r="Y76" s="9"/>
      <c r="Z76" s="7">
        <v>0</v>
      </c>
      <c r="AA76" s="8">
        <f>IFERROR(Z76/Z445, "NA")</f>
        <v>0</v>
      </c>
      <c r="AB76" s="9"/>
      <c r="AC76" s="10">
        <f t="shared" si="23"/>
        <v>0</v>
      </c>
      <c r="AD76" s="8">
        <f>IFERROR(AC76/AC445, "NA")</f>
        <v>0</v>
      </c>
    </row>
    <row r="77" spans="1:30" ht="16.5" customHeight="1" x14ac:dyDescent="0.45">
      <c r="A77" s="12" t="s">
        <v>73</v>
      </c>
      <c r="B77" s="7">
        <v>897.96</v>
      </c>
      <c r="C77" s="8">
        <f>IFERROR(B77/B445, "NA")</f>
        <v>5.6055363192196745E-3</v>
      </c>
      <c r="D77" s="9"/>
      <c r="E77" s="7">
        <v>0</v>
      </c>
      <c r="F77" s="8">
        <f>IFERROR(E77/E445, "NA")</f>
        <v>0</v>
      </c>
      <c r="G77" s="9"/>
      <c r="H77" s="10">
        <f t="shared" si="20"/>
        <v>897.96</v>
      </c>
      <c r="I77" s="8">
        <f>IFERROR(H77/H445, "NA")</f>
        <v>-2.7721479948419704E-2</v>
      </c>
      <c r="J77" s="9"/>
      <c r="K77" s="7">
        <v>1380.69</v>
      </c>
      <c r="L77" s="8">
        <f>IFERROR(K77/K445, "NA")</f>
        <v>7.8181138067859243E-3</v>
      </c>
      <c r="M77" s="9"/>
      <c r="N77" s="10">
        <f t="shared" si="21"/>
        <v>-482.73</v>
      </c>
      <c r="O77" s="8">
        <f>IFERROR(N77/N445, "NA")</f>
        <v>2.9417195466852397E-2</v>
      </c>
      <c r="P77" s="9"/>
      <c r="Q77" s="7">
        <v>4281.32</v>
      </c>
      <c r="R77" s="8">
        <f>IFERROR(Q77/Q445, "NA")</f>
        <v>4.6187434081832448E-3</v>
      </c>
      <c r="S77" s="9"/>
      <c r="T77" s="7">
        <v>0</v>
      </c>
      <c r="U77" s="8">
        <f>IFERROR(T77/T445, "NA")</f>
        <v>0</v>
      </c>
      <c r="V77" s="9"/>
      <c r="W77" s="10">
        <f t="shared" si="22"/>
        <v>4281.32</v>
      </c>
      <c r="X77" s="8">
        <f>IFERROR(W77/W445, "NA")</f>
        <v>-0.12993170976864096</v>
      </c>
      <c r="Y77" s="9"/>
      <c r="Z77" s="7">
        <v>6134.76</v>
      </c>
      <c r="AA77" s="8">
        <f>IFERROR(Z77/Z445, "NA")</f>
        <v>6.8762975946677933E-3</v>
      </c>
      <c r="AB77" s="9"/>
      <c r="AC77" s="10">
        <f t="shared" si="23"/>
        <v>-1853.4400000000005</v>
      </c>
      <c r="AD77" s="8">
        <f>IFERROR(AC77/AC445, "NA")</f>
        <v>-5.3283625255214788E-2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IFERROR(B78/B445, "NA")</f>
        <v>0</v>
      </c>
      <c r="D78" s="9"/>
      <c r="E78" s="7">
        <v>0</v>
      </c>
      <c r="F78" s="8">
        <f>IFERROR(E78/E445, "NA")</f>
        <v>0</v>
      </c>
      <c r="G78" s="9"/>
      <c r="H78" s="10">
        <f t="shared" si="20"/>
        <v>0</v>
      </c>
      <c r="I78" s="8">
        <f>IFERROR(H78/H445, "NA")</f>
        <v>0</v>
      </c>
      <c r="J78" s="9"/>
      <c r="K78" s="7">
        <v>0</v>
      </c>
      <c r="L78" s="8">
        <f>IFERROR(K78/K445, "NA")</f>
        <v>0</v>
      </c>
      <c r="M78" s="9"/>
      <c r="N78" s="10">
        <f t="shared" si="21"/>
        <v>0</v>
      </c>
      <c r="O78" s="8">
        <f>IFERROR(N78/N445, "NA")</f>
        <v>0</v>
      </c>
      <c r="P78" s="9"/>
      <c r="Q78" s="7">
        <v>0</v>
      </c>
      <c r="R78" s="8">
        <f>IFERROR(Q78/Q445, "NA")</f>
        <v>0</v>
      </c>
      <c r="S78" s="9"/>
      <c r="T78" s="7">
        <v>0</v>
      </c>
      <c r="U78" s="8">
        <f>IFERROR(T78/T445, "NA")</f>
        <v>0</v>
      </c>
      <c r="V78" s="9"/>
      <c r="W78" s="10">
        <f t="shared" si="22"/>
        <v>0</v>
      </c>
      <c r="X78" s="8">
        <f>IFERROR(W78/W445, "NA")</f>
        <v>0</v>
      </c>
      <c r="Y78" s="9"/>
      <c r="Z78" s="7">
        <v>0</v>
      </c>
      <c r="AA78" s="8">
        <f>IFERROR(Z78/Z445, "NA")</f>
        <v>0</v>
      </c>
      <c r="AB78" s="9"/>
      <c r="AC78" s="10">
        <f t="shared" si="23"/>
        <v>0</v>
      </c>
      <c r="AD78" s="8">
        <f>IFERROR(AC78/AC445,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IFERROR(B79/B445, "NA")</f>
        <v>0</v>
      </c>
      <c r="D79" s="9"/>
      <c r="E79" s="7">
        <v>0</v>
      </c>
      <c r="F79" s="8">
        <f>IFERROR(E79/E445, "NA")</f>
        <v>0</v>
      </c>
      <c r="G79" s="9"/>
      <c r="H79" s="10">
        <f t="shared" si="20"/>
        <v>0</v>
      </c>
      <c r="I79" s="8">
        <f>IFERROR(H79/H445, "NA")</f>
        <v>0</v>
      </c>
      <c r="J79" s="9"/>
      <c r="K79" s="7">
        <v>0</v>
      </c>
      <c r="L79" s="8">
        <f>IFERROR(K79/K445, "NA")</f>
        <v>0</v>
      </c>
      <c r="M79" s="9"/>
      <c r="N79" s="10">
        <f t="shared" si="21"/>
        <v>0</v>
      </c>
      <c r="O79" s="8">
        <f>IFERROR(N79/N445, "NA")</f>
        <v>0</v>
      </c>
      <c r="P79" s="9"/>
      <c r="Q79" s="7">
        <v>0</v>
      </c>
      <c r="R79" s="8">
        <f>IFERROR(Q79/Q445, "NA")</f>
        <v>0</v>
      </c>
      <c r="S79" s="9"/>
      <c r="T79" s="7">
        <v>0</v>
      </c>
      <c r="U79" s="8">
        <f>IFERROR(T79/T445, "NA")</f>
        <v>0</v>
      </c>
      <c r="V79" s="9"/>
      <c r="W79" s="10">
        <f t="shared" si="22"/>
        <v>0</v>
      </c>
      <c r="X79" s="8">
        <f>IFERROR(W79/W445, "NA")</f>
        <v>0</v>
      </c>
      <c r="Y79" s="9"/>
      <c r="Z79" s="7">
        <v>0</v>
      </c>
      <c r="AA79" s="8">
        <f>IFERROR(Z79/Z445, "NA")</f>
        <v>0</v>
      </c>
      <c r="AB79" s="9"/>
      <c r="AC79" s="10">
        <f t="shared" si="23"/>
        <v>0</v>
      </c>
      <c r="AD79" s="8">
        <f>IFERROR(AC79/AC445, "NA")</f>
        <v>0</v>
      </c>
    </row>
    <row r="80" spans="1:30" ht="16.5" customHeight="1" x14ac:dyDescent="0.45">
      <c r="A80" s="12" t="s">
        <v>76</v>
      </c>
      <c r="B80" s="7">
        <v>2810.93</v>
      </c>
      <c r="C80" s="8">
        <f>IFERROR(B80/B445, "NA")</f>
        <v>1.75472963225357E-2</v>
      </c>
      <c r="D80" s="9"/>
      <c r="E80" s="7">
        <v>0</v>
      </c>
      <c r="F80" s="8">
        <f>IFERROR(E80/E445, "NA")</f>
        <v>0</v>
      </c>
      <c r="G80" s="9"/>
      <c r="H80" s="10">
        <f t="shared" si="20"/>
        <v>2810.93</v>
      </c>
      <c r="I80" s="8">
        <f>IFERROR(H80/H445, "NA")</f>
        <v>-8.6777962973196357E-2</v>
      </c>
      <c r="J80" s="9"/>
      <c r="K80" s="7">
        <v>4422.16</v>
      </c>
      <c r="L80" s="8">
        <f>IFERROR(K80/K445, "NA")</f>
        <v>2.5040342257723634E-2</v>
      </c>
      <c r="M80" s="9"/>
      <c r="N80" s="10">
        <f t="shared" si="21"/>
        <v>-1611.23</v>
      </c>
      <c r="O80" s="8">
        <f>IFERROR(N80/N445, "NA")</f>
        <v>9.8187118787016733E-2</v>
      </c>
      <c r="P80" s="9"/>
      <c r="Q80" s="7">
        <v>20859.39</v>
      </c>
      <c r="R80" s="8">
        <f>IFERROR(Q80/Q445, "NA")</f>
        <v>2.2503379813053798E-2</v>
      </c>
      <c r="S80" s="9"/>
      <c r="T80" s="7">
        <v>0</v>
      </c>
      <c r="U80" s="8">
        <f>IFERROR(T80/T445, "NA")</f>
        <v>0</v>
      </c>
      <c r="V80" s="9"/>
      <c r="W80" s="10">
        <f t="shared" si="22"/>
        <v>20859.39</v>
      </c>
      <c r="X80" s="8">
        <f>IFERROR(W80/W445, "NA")</f>
        <v>-0.63305153724339502</v>
      </c>
      <c r="Y80" s="9"/>
      <c r="Z80" s="7">
        <v>18815.11</v>
      </c>
      <c r="AA80" s="8">
        <f>IFERROR(Z80/Z445, "NA")</f>
        <v>2.1089381758440419E-2</v>
      </c>
      <c r="AB80" s="9"/>
      <c r="AC80" s="10">
        <f t="shared" si="23"/>
        <v>2044.2799999999988</v>
      </c>
      <c r="AD80" s="8">
        <f>IFERROR(AC80/AC445, "NA")</f>
        <v>5.8769989552793937E-2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IFERROR(B81/B445, "NA")</f>
        <v>0</v>
      </c>
      <c r="D81" s="9"/>
      <c r="E81" s="7">
        <v>0</v>
      </c>
      <c r="F81" s="8">
        <f>IFERROR(E81/E445, "NA")</f>
        <v>0</v>
      </c>
      <c r="G81" s="9"/>
      <c r="H81" s="10">
        <f t="shared" si="20"/>
        <v>0</v>
      </c>
      <c r="I81" s="8">
        <f>IFERROR(H81/H445, "NA")</f>
        <v>0</v>
      </c>
      <c r="J81" s="9"/>
      <c r="K81" s="7">
        <v>0</v>
      </c>
      <c r="L81" s="8">
        <f>IFERROR(K81/K445, "NA")</f>
        <v>0</v>
      </c>
      <c r="M81" s="9"/>
      <c r="N81" s="10">
        <f t="shared" si="21"/>
        <v>0</v>
      </c>
      <c r="O81" s="8">
        <f>IFERROR(N81/N445, "NA")</f>
        <v>0</v>
      </c>
      <c r="P81" s="9"/>
      <c r="Q81" s="7">
        <v>0</v>
      </c>
      <c r="R81" s="8">
        <f>IFERROR(Q81/Q445, "NA")</f>
        <v>0</v>
      </c>
      <c r="S81" s="9"/>
      <c r="T81" s="7">
        <v>0</v>
      </c>
      <c r="U81" s="8">
        <f>IFERROR(T81/T445, "NA")</f>
        <v>0</v>
      </c>
      <c r="V81" s="9"/>
      <c r="W81" s="10">
        <f t="shared" si="22"/>
        <v>0</v>
      </c>
      <c r="X81" s="8">
        <f>IFERROR(W81/W445, "NA")</f>
        <v>0</v>
      </c>
      <c r="Y81" s="9"/>
      <c r="Z81" s="7">
        <v>0</v>
      </c>
      <c r="AA81" s="8">
        <f>IFERROR(Z81/Z445, "NA")</f>
        <v>0</v>
      </c>
      <c r="AB81" s="9"/>
      <c r="AC81" s="10">
        <f t="shared" si="23"/>
        <v>0</v>
      </c>
      <c r="AD81" s="8">
        <f>IFERROR(AC81/AC445,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IFERROR(B82/B445, "NA")</f>
        <v>0</v>
      </c>
      <c r="D82" s="9"/>
      <c r="E82" s="7">
        <v>0</v>
      </c>
      <c r="F82" s="8">
        <f>IFERROR(E82/E445, "NA")</f>
        <v>0</v>
      </c>
      <c r="G82" s="9"/>
      <c r="H82" s="10">
        <f t="shared" si="20"/>
        <v>0</v>
      </c>
      <c r="I82" s="8">
        <f>IFERROR(H82/H445, "NA")</f>
        <v>0</v>
      </c>
      <c r="J82" s="9"/>
      <c r="K82" s="7">
        <v>0</v>
      </c>
      <c r="L82" s="8">
        <f>IFERROR(K82/K445, "NA")</f>
        <v>0</v>
      </c>
      <c r="M82" s="9"/>
      <c r="N82" s="10">
        <f t="shared" si="21"/>
        <v>0</v>
      </c>
      <c r="O82" s="8">
        <f>IFERROR(N82/N445, "NA")</f>
        <v>0</v>
      </c>
      <c r="P82" s="9"/>
      <c r="Q82" s="7">
        <v>0</v>
      </c>
      <c r="R82" s="8">
        <f>IFERROR(Q82/Q445, "NA")</f>
        <v>0</v>
      </c>
      <c r="S82" s="9"/>
      <c r="T82" s="7">
        <v>0</v>
      </c>
      <c r="U82" s="8">
        <f>IFERROR(T82/T445, "NA")</f>
        <v>0</v>
      </c>
      <c r="V82" s="9"/>
      <c r="W82" s="10">
        <f t="shared" si="22"/>
        <v>0</v>
      </c>
      <c r="X82" s="8">
        <f>IFERROR(W82/W445, "NA")</f>
        <v>0</v>
      </c>
      <c r="Y82" s="9"/>
      <c r="Z82" s="7">
        <v>0</v>
      </c>
      <c r="AA82" s="8">
        <f>IFERROR(Z82/Z445, "NA")</f>
        <v>0</v>
      </c>
      <c r="AB82" s="9"/>
      <c r="AC82" s="10">
        <f t="shared" si="23"/>
        <v>0</v>
      </c>
      <c r="AD82" s="8">
        <f>IFERROR(AC82/AC445,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IFERROR(B83/B445, "NA")</f>
        <v>0</v>
      </c>
      <c r="D83" s="9"/>
      <c r="E83" s="7">
        <v>0</v>
      </c>
      <c r="F83" s="8">
        <f>IFERROR(E83/E445, "NA")</f>
        <v>0</v>
      </c>
      <c r="G83" s="9"/>
      <c r="H83" s="10">
        <f t="shared" si="20"/>
        <v>0</v>
      </c>
      <c r="I83" s="8">
        <f>IFERROR(H83/H445, "NA")</f>
        <v>0</v>
      </c>
      <c r="J83" s="9"/>
      <c r="K83" s="7">
        <v>0</v>
      </c>
      <c r="L83" s="8">
        <f>IFERROR(K83/K445, "NA")</f>
        <v>0</v>
      </c>
      <c r="M83" s="9"/>
      <c r="N83" s="10">
        <f t="shared" si="21"/>
        <v>0</v>
      </c>
      <c r="O83" s="8">
        <f>IFERROR(N83/N445, "NA")</f>
        <v>0</v>
      </c>
      <c r="P83" s="9"/>
      <c r="Q83" s="7">
        <v>0</v>
      </c>
      <c r="R83" s="8">
        <f>IFERROR(Q83/Q445, "NA")</f>
        <v>0</v>
      </c>
      <c r="S83" s="9"/>
      <c r="T83" s="7">
        <v>0</v>
      </c>
      <c r="U83" s="8">
        <f>IFERROR(T83/T445, "NA")</f>
        <v>0</v>
      </c>
      <c r="V83" s="9"/>
      <c r="W83" s="10">
        <f t="shared" si="22"/>
        <v>0</v>
      </c>
      <c r="X83" s="8">
        <f>IFERROR(W83/W445, "NA")</f>
        <v>0</v>
      </c>
      <c r="Y83" s="9"/>
      <c r="Z83" s="7">
        <v>0</v>
      </c>
      <c r="AA83" s="8">
        <f>IFERROR(Z83/Z445, "NA")</f>
        <v>0</v>
      </c>
      <c r="AB83" s="9"/>
      <c r="AC83" s="10">
        <f t="shared" si="23"/>
        <v>0</v>
      </c>
      <c r="AD83" s="8">
        <f>IFERROR(AC83/AC445,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IFERROR(B84/B445, "NA")</f>
        <v>0</v>
      </c>
      <c r="D84" s="9"/>
      <c r="E84" s="7">
        <v>0</v>
      </c>
      <c r="F84" s="8">
        <f>IFERROR(E84/E445, "NA")</f>
        <v>0</v>
      </c>
      <c r="G84" s="9"/>
      <c r="H84" s="10">
        <f t="shared" si="20"/>
        <v>0</v>
      </c>
      <c r="I84" s="8">
        <f>IFERROR(H84/H445, "NA")</f>
        <v>0</v>
      </c>
      <c r="J84" s="9"/>
      <c r="K84" s="7">
        <v>0</v>
      </c>
      <c r="L84" s="8">
        <f>IFERROR(K84/K445, "NA")</f>
        <v>0</v>
      </c>
      <c r="M84" s="9"/>
      <c r="N84" s="10">
        <f t="shared" si="21"/>
        <v>0</v>
      </c>
      <c r="O84" s="8">
        <f>IFERROR(N84/N445, "NA")</f>
        <v>0</v>
      </c>
      <c r="P84" s="9"/>
      <c r="Q84" s="7">
        <v>0</v>
      </c>
      <c r="R84" s="8">
        <f>IFERROR(Q84/Q445, "NA")</f>
        <v>0</v>
      </c>
      <c r="S84" s="9"/>
      <c r="T84" s="7">
        <v>0</v>
      </c>
      <c r="U84" s="8">
        <f>IFERROR(T84/T445, "NA")</f>
        <v>0</v>
      </c>
      <c r="V84" s="9"/>
      <c r="W84" s="10">
        <f t="shared" si="22"/>
        <v>0</v>
      </c>
      <c r="X84" s="8">
        <f>IFERROR(W84/W445, "NA")</f>
        <v>0</v>
      </c>
      <c r="Y84" s="9"/>
      <c r="Z84" s="7">
        <v>0</v>
      </c>
      <c r="AA84" s="8">
        <f>IFERROR(Z84/Z445, "NA")</f>
        <v>0</v>
      </c>
      <c r="AB84" s="9"/>
      <c r="AC84" s="10">
        <f t="shared" si="23"/>
        <v>0</v>
      </c>
      <c r="AD84" s="8">
        <f>IFERROR(AC84/AC445,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IFERROR(B85/B445, "NA")</f>
        <v>0</v>
      </c>
      <c r="D85" s="9"/>
      <c r="E85" s="7">
        <v>0</v>
      </c>
      <c r="F85" s="8">
        <f>IFERROR(E85/E445, "NA")</f>
        <v>0</v>
      </c>
      <c r="G85" s="9"/>
      <c r="H85" s="10">
        <f t="shared" si="20"/>
        <v>0</v>
      </c>
      <c r="I85" s="8">
        <f>IFERROR(H85/H445, "NA")</f>
        <v>0</v>
      </c>
      <c r="J85" s="9"/>
      <c r="K85" s="7">
        <v>0</v>
      </c>
      <c r="L85" s="8">
        <f>IFERROR(K85/K445, "NA")</f>
        <v>0</v>
      </c>
      <c r="M85" s="9"/>
      <c r="N85" s="10">
        <f t="shared" si="21"/>
        <v>0</v>
      </c>
      <c r="O85" s="8">
        <f>IFERROR(N85/N445, "NA")</f>
        <v>0</v>
      </c>
      <c r="P85" s="9"/>
      <c r="Q85" s="7">
        <v>0</v>
      </c>
      <c r="R85" s="8">
        <f>IFERROR(Q85/Q445, "NA")</f>
        <v>0</v>
      </c>
      <c r="S85" s="9"/>
      <c r="T85" s="7">
        <v>0</v>
      </c>
      <c r="U85" s="8">
        <f>IFERROR(T85/T445, "NA")</f>
        <v>0</v>
      </c>
      <c r="V85" s="9"/>
      <c r="W85" s="10">
        <f t="shared" si="22"/>
        <v>0</v>
      </c>
      <c r="X85" s="8">
        <f>IFERROR(W85/W445, "NA")</f>
        <v>0</v>
      </c>
      <c r="Y85" s="9"/>
      <c r="Z85" s="7">
        <v>0</v>
      </c>
      <c r="AA85" s="8">
        <f>IFERROR(Z85/Z445, "NA")</f>
        <v>0</v>
      </c>
      <c r="AB85" s="9"/>
      <c r="AC85" s="10">
        <f t="shared" si="23"/>
        <v>0</v>
      </c>
      <c r="AD85" s="8">
        <f>IFERROR(AC85/AC445,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IFERROR(B86/B445, "NA")</f>
        <v>0</v>
      </c>
      <c r="D86" s="9"/>
      <c r="E86" s="7">
        <v>0</v>
      </c>
      <c r="F86" s="8">
        <f>IFERROR(E86/E445, "NA")</f>
        <v>0</v>
      </c>
      <c r="G86" s="9"/>
      <c r="H86" s="10">
        <f t="shared" si="20"/>
        <v>0</v>
      </c>
      <c r="I86" s="8">
        <f>IFERROR(H86/H445, "NA")</f>
        <v>0</v>
      </c>
      <c r="J86" s="9"/>
      <c r="K86" s="7">
        <v>0</v>
      </c>
      <c r="L86" s="8">
        <f>IFERROR(K86/K445, "NA")</f>
        <v>0</v>
      </c>
      <c r="M86" s="9"/>
      <c r="N86" s="10">
        <f t="shared" si="21"/>
        <v>0</v>
      </c>
      <c r="O86" s="8">
        <f>IFERROR(N86/N445, "NA")</f>
        <v>0</v>
      </c>
      <c r="P86" s="9"/>
      <c r="Q86" s="7">
        <v>0</v>
      </c>
      <c r="R86" s="8">
        <f>IFERROR(Q86/Q445, "NA")</f>
        <v>0</v>
      </c>
      <c r="S86" s="9"/>
      <c r="T86" s="7">
        <v>0</v>
      </c>
      <c r="U86" s="8">
        <f>IFERROR(T86/T445, "NA")</f>
        <v>0</v>
      </c>
      <c r="V86" s="9"/>
      <c r="W86" s="10">
        <f t="shared" si="22"/>
        <v>0</v>
      </c>
      <c r="X86" s="8">
        <f>IFERROR(W86/W445, "NA")</f>
        <v>0</v>
      </c>
      <c r="Y86" s="9"/>
      <c r="Z86" s="7">
        <v>0</v>
      </c>
      <c r="AA86" s="8">
        <f>IFERROR(Z86/Z445, "NA")</f>
        <v>0</v>
      </c>
      <c r="AB86" s="9"/>
      <c r="AC86" s="10">
        <f t="shared" si="23"/>
        <v>0</v>
      </c>
      <c r="AD86" s="8">
        <f>IFERROR(AC86/AC445,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IFERROR(B87/B445, "NA")</f>
        <v>0</v>
      </c>
      <c r="D87" s="9"/>
      <c r="E87" s="7">
        <v>0</v>
      </c>
      <c r="F87" s="8">
        <f>IFERROR(E87/E445, "NA")</f>
        <v>0</v>
      </c>
      <c r="G87" s="9"/>
      <c r="H87" s="10">
        <f t="shared" si="20"/>
        <v>0</v>
      </c>
      <c r="I87" s="8">
        <f>IFERROR(H87/H445, "NA")</f>
        <v>0</v>
      </c>
      <c r="J87" s="9"/>
      <c r="K87" s="7">
        <v>0</v>
      </c>
      <c r="L87" s="8">
        <f>IFERROR(K87/K445, "NA")</f>
        <v>0</v>
      </c>
      <c r="M87" s="9"/>
      <c r="N87" s="10">
        <f t="shared" si="21"/>
        <v>0</v>
      </c>
      <c r="O87" s="8">
        <f>IFERROR(N87/N445, "NA")</f>
        <v>0</v>
      </c>
      <c r="P87" s="9"/>
      <c r="Q87" s="7">
        <v>0</v>
      </c>
      <c r="R87" s="8">
        <f>IFERROR(Q87/Q445, "NA")</f>
        <v>0</v>
      </c>
      <c r="S87" s="9"/>
      <c r="T87" s="7">
        <v>0</v>
      </c>
      <c r="U87" s="8">
        <f>IFERROR(T87/T445, "NA")</f>
        <v>0</v>
      </c>
      <c r="V87" s="9"/>
      <c r="W87" s="10">
        <f t="shared" si="22"/>
        <v>0</v>
      </c>
      <c r="X87" s="8">
        <f>IFERROR(W87/W445, "NA")</f>
        <v>0</v>
      </c>
      <c r="Y87" s="9"/>
      <c r="Z87" s="7">
        <v>988.28</v>
      </c>
      <c r="AA87" s="8">
        <f>IFERROR(Z87/Z445, "NA")</f>
        <v>1.1077381000818753E-3</v>
      </c>
      <c r="AB87" s="9"/>
      <c r="AC87" s="10">
        <f t="shared" si="23"/>
        <v>-988.28</v>
      </c>
      <c r="AD87" s="8">
        <f>IFERROR(AC87/AC445, "NA")</f>
        <v>-2.8411570467467871E-2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3708.89</v>
      </c>
      <c r="C88" s="15">
        <f>IFERROR(B88/B445, "NA")</f>
        <v>2.3152832641755376E-2</v>
      </c>
      <c r="D88" s="2"/>
      <c r="E88" s="14">
        <f>IFERROR(E75+E76+E77+E78+E79+E80+E81+E82+E83+E84+E85+E86+E87, "NA")</f>
        <v>5392.35</v>
      </c>
      <c r="F88" s="15">
        <f>IFERROR(E88/E445, "NA")</f>
        <v>2.8000012877508314E-2</v>
      </c>
      <c r="G88" s="2"/>
      <c r="H88" s="14">
        <f t="shared" si="20"/>
        <v>-1683.4600000000005</v>
      </c>
      <c r="I88" s="15">
        <f>IFERROR(H88/H445, "NA")</f>
        <v>5.1971137504974216E-2</v>
      </c>
      <c r="J88" s="2"/>
      <c r="K88" s="14">
        <f>IFERROR(K75+K76+K77+K78+K79+K80+K81+K82+K83+K84+K85+K86+K87, "NA")</f>
        <v>5802.85</v>
      </c>
      <c r="L88" s="15">
        <f>IFERROR(K88/K445, "NA")</f>
        <v>3.2858456064509559E-2</v>
      </c>
      <c r="M88" s="2"/>
      <c r="N88" s="14">
        <f t="shared" si="21"/>
        <v>-2093.9600000000005</v>
      </c>
      <c r="O88" s="15">
        <f>IFERROR(N88/N445, "NA")</f>
        <v>0.12760431425386914</v>
      </c>
      <c r="P88" s="2"/>
      <c r="Q88" s="14">
        <f>IFERROR(Q75+Q76+Q77+Q78+Q79+Q80+Q81+Q82+Q83+Q84+Q85+Q86+Q87, "NA")</f>
        <v>25140.71</v>
      </c>
      <c r="R88" s="15">
        <f>IFERROR(Q88/Q445, "NA")</f>
        <v>2.7122123221237044E-2</v>
      </c>
      <c r="S88" s="2"/>
      <c r="T88" s="14">
        <f>IFERROR(T75+T76+T77+T78+T79+T80+T81+T82+T83+T84+T85+T86+T87, "NA")</f>
        <v>26877.07</v>
      </c>
      <c r="U88" s="15">
        <f>IFERROR(T88/T445, "NA")</f>
        <v>2.8000001666848455E-2</v>
      </c>
      <c r="V88" s="2"/>
      <c r="W88" s="14">
        <f t="shared" si="22"/>
        <v>-1736.3600000000006</v>
      </c>
      <c r="X88" s="15">
        <f>IFERROR(W88/W445, "NA")</f>
        <v>5.2695949747712745E-2</v>
      </c>
      <c r="Y88" s="2"/>
      <c r="Z88" s="14">
        <f>IFERROR(Z75+Z76+Z77+Z78+Z79+Z80+Z81+Z82+Z83+Z84+Z85+Z86+Z87, "NA")</f>
        <v>25938.15</v>
      </c>
      <c r="AA88" s="15">
        <f>IFERROR(Z88/Z445, "NA")</f>
        <v>2.9073417453190087E-2</v>
      </c>
      <c r="AB88" s="2"/>
      <c r="AC88" s="14">
        <f t="shared" si="23"/>
        <v>-797.44000000000233</v>
      </c>
      <c r="AD88" s="15">
        <f>IFERROR(AC88/AC445, "NA")</f>
        <v>-2.2925206169888742E-2</v>
      </c>
    </row>
    <row r="89" spans="1:30" ht="16.5" customHeight="1" x14ac:dyDescent="0.45">
      <c r="A89" s="6" t="s">
        <v>85</v>
      </c>
      <c r="B89" s="7">
        <v>0</v>
      </c>
      <c r="C89" s="8">
        <f>IFERROR(B89/B445, "NA")</f>
        <v>0</v>
      </c>
      <c r="D89" s="9"/>
      <c r="E89" s="7">
        <v>0</v>
      </c>
      <c r="F89" s="8">
        <f>IFERROR(E89/E445, "NA")</f>
        <v>0</v>
      </c>
      <c r="G89" s="9"/>
      <c r="H89" s="10">
        <f t="shared" si="20"/>
        <v>0</v>
      </c>
      <c r="I89" s="8">
        <f>IFERROR(H89/H445, "NA")</f>
        <v>0</v>
      </c>
      <c r="J89" s="9"/>
      <c r="K89" s="7">
        <v>0</v>
      </c>
      <c r="L89" s="8">
        <f>IFERROR(K89/K445, "NA")</f>
        <v>0</v>
      </c>
      <c r="M89" s="9"/>
      <c r="N89" s="10">
        <f t="shared" si="21"/>
        <v>0</v>
      </c>
      <c r="O89" s="8">
        <f>IFERROR(N89/N445, "NA")</f>
        <v>0</v>
      </c>
      <c r="P89" s="9"/>
      <c r="Q89" s="7">
        <v>-51</v>
      </c>
      <c r="R89" s="8">
        <f>IFERROR(Q89/Q445, "NA")</f>
        <v>-5.5019459843540188E-5</v>
      </c>
      <c r="S89" s="9"/>
      <c r="T89" s="7">
        <v>0</v>
      </c>
      <c r="U89" s="8">
        <f>IFERROR(T89/T445, "NA")</f>
        <v>0</v>
      </c>
      <c r="V89" s="9"/>
      <c r="W89" s="10">
        <f t="shared" si="22"/>
        <v>-51</v>
      </c>
      <c r="X89" s="8">
        <f>IFERROR(W89/W445, "NA")</f>
        <v>1.5477743308607368E-3</v>
      </c>
      <c r="Y89" s="9"/>
      <c r="Z89" s="7">
        <v>15.99</v>
      </c>
      <c r="AA89" s="8">
        <f>IFERROR(Z89/Z445, "NA")</f>
        <v>1.7922787287316539E-5</v>
      </c>
      <c r="AB89" s="9"/>
      <c r="AC89" s="10">
        <f t="shared" si="23"/>
        <v>-66.989999999999995</v>
      </c>
      <c r="AD89" s="8">
        <f>IFERROR(AC89/AC445, "NA")</f>
        <v>-1.925862210725374E-3</v>
      </c>
    </row>
    <row r="90" spans="1:30" ht="16.5" customHeight="1" x14ac:dyDescent="0.45">
      <c r="A90" s="6" t="s">
        <v>86</v>
      </c>
      <c r="B90" s="7">
        <v>35.75</v>
      </c>
      <c r="C90" s="8">
        <f>IFERROR(B90/B445, "NA")</f>
        <v>2.2317021182692253E-4</v>
      </c>
      <c r="D90" s="9"/>
      <c r="E90" s="7">
        <v>0</v>
      </c>
      <c r="F90" s="8">
        <f>IFERROR(E90/E445, "NA")</f>
        <v>0</v>
      </c>
      <c r="G90" s="9"/>
      <c r="H90" s="10">
        <f t="shared" si="20"/>
        <v>35.75</v>
      </c>
      <c r="I90" s="8">
        <f>IFERROR(H90/H445, "NA")</f>
        <v>-1.1036604171188076E-3</v>
      </c>
      <c r="J90" s="9"/>
      <c r="K90" s="7">
        <v>0</v>
      </c>
      <c r="L90" s="8">
        <f>IFERROR(K90/K445, "NA")</f>
        <v>0</v>
      </c>
      <c r="M90" s="9"/>
      <c r="N90" s="10">
        <f t="shared" si="21"/>
        <v>35.75</v>
      </c>
      <c r="O90" s="8">
        <f>IFERROR(N90/N445, "NA")</f>
        <v>-2.1785775442586396E-3</v>
      </c>
      <c r="P90" s="9"/>
      <c r="Q90" s="7">
        <v>-536.59</v>
      </c>
      <c r="R90" s="8">
        <f>IFERROR(Q90/Q445, "NA")</f>
        <v>-5.7888023445971048E-4</v>
      </c>
      <c r="S90" s="9"/>
      <c r="T90" s="7">
        <v>0</v>
      </c>
      <c r="U90" s="8">
        <f>IFERROR(T90/T445, "NA")</f>
        <v>0</v>
      </c>
      <c r="V90" s="9"/>
      <c r="W90" s="10">
        <f t="shared" si="22"/>
        <v>-536.59</v>
      </c>
      <c r="X90" s="8">
        <f>IFERROR(W90/W445, "NA")</f>
        <v>1.6284710356795348E-2</v>
      </c>
      <c r="Y90" s="9"/>
      <c r="Z90" s="7">
        <v>0</v>
      </c>
      <c r="AA90" s="8">
        <f>IFERROR(Z90/Z445, "NA")</f>
        <v>0</v>
      </c>
      <c r="AB90" s="9"/>
      <c r="AC90" s="10">
        <f t="shared" si="23"/>
        <v>-536.59</v>
      </c>
      <c r="AD90" s="8">
        <f>IFERROR(AC90/AC445, "NA")</f>
        <v>-1.5426159182760539E-2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IFERROR(B91/B445, "NA")</f>
        <v>0</v>
      </c>
      <c r="D91" s="9"/>
      <c r="E91" s="7">
        <v>0</v>
      </c>
      <c r="F91" s="8">
        <f>IFERROR(E91/E445, "NA")</f>
        <v>0</v>
      </c>
      <c r="G91" s="9"/>
      <c r="H91" s="10">
        <f t="shared" si="20"/>
        <v>0</v>
      </c>
      <c r="I91" s="8">
        <f>IFERROR(H91/H445, "NA")</f>
        <v>0</v>
      </c>
      <c r="J91" s="9"/>
      <c r="K91" s="7">
        <v>0</v>
      </c>
      <c r="L91" s="8">
        <f>IFERROR(K91/K445, "NA")</f>
        <v>0</v>
      </c>
      <c r="M91" s="9"/>
      <c r="N91" s="10">
        <f t="shared" si="21"/>
        <v>0</v>
      </c>
      <c r="O91" s="8">
        <f>IFERROR(N91/N445, "NA")</f>
        <v>0</v>
      </c>
      <c r="P91" s="9"/>
      <c r="Q91" s="7">
        <v>0</v>
      </c>
      <c r="R91" s="8">
        <f>IFERROR(Q91/Q445, "NA")</f>
        <v>0</v>
      </c>
      <c r="S91" s="9"/>
      <c r="T91" s="7">
        <v>0</v>
      </c>
      <c r="U91" s="8">
        <f>IFERROR(T91/T445, "NA")</f>
        <v>0</v>
      </c>
      <c r="V91" s="9"/>
      <c r="W91" s="10">
        <f t="shared" si="22"/>
        <v>0</v>
      </c>
      <c r="X91" s="8">
        <f>IFERROR(W91/W445, "NA")</f>
        <v>0</v>
      </c>
      <c r="Y91" s="9"/>
      <c r="Z91" s="7">
        <v>0</v>
      </c>
      <c r="AA91" s="8">
        <f>IFERROR(Z91/Z445, "NA")</f>
        <v>0</v>
      </c>
      <c r="AB91" s="9"/>
      <c r="AC91" s="10">
        <f t="shared" si="23"/>
        <v>0</v>
      </c>
      <c r="AD91" s="8">
        <f>IFERROR(AC91/AC445,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IFERROR(B92/B445, "NA")</f>
        <v>0</v>
      </c>
      <c r="D92" s="9"/>
      <c r="E92" s="7">
        <v>0</v>
      </c>
      <c r="F92" s="8">
        <f>IFERROR(E92/E445, "NA")</f>
        <v>0</v>
      </c>
      <c r="G92" s="9"/>
      <c r="H92" s="10">
        <f t="shared" si="20"/>
        <v>0</v>
      </c>
      <c r="I92" s="8">
        <f>IFERROR(H92/H445, "NA")</f>
        <v>0</v>
      </c>
      <c r="J92" s="9"/>
      <c r="K92" s="7">
        <v>0</v>
      </c>
      <c r="L92" s="8">
        <f>IFERROR(K92/K445, "NA")</f>
        <v>0</v>
      </c>
      <c r="M92" s="9"/>
      <c r="N92" s="10">
        <f t="shared" si="21"/>
        <v>0</v>
      </c>
      <c r="O92" s="8">
        <f>IFERROR(N92/N445, "NA")</f>
        <v>0</v>
      </c>
      <c r="P92" s="9"/>
      <c r="Q92" s="7">
        <v>0</v>
      </c>
      <c r="R92" s="8">
        <f>IFERROR(Q92/Q445, "NA")</f>
        <v>0</v>
      </c>
      <c r="S92" s="9"/>
      <c r="T92" s="7">
        <v>0</v>
      </c>
      <c r="U92" s="8">
        <f>IFERROR(T92/T445, "NA")</f>
        <v>0</v>
      </c>
      <c r="V92" s="9"/>
      <c r="W92" s="10">
        <f t="shared" si="22"/>
        <v>0</v>
      </c>
      <c r="X92" s="8">
        <f>IFERROR(W92/W445, "NA")</f>
        <v>0</v>
      </c>
      <c r="Y92" s="9"/>
      <c r="Z92" s="7">
        <v>0</v>
      </c>
      <c r="AA92" s="8">
        <f>IFERROR(Z92/Z445, "NA")</f>
        <v>0</v>
      </c>
      <c r="AB92" s="9"/>
      <c r="AC92" s="10">
        <f t="shared" si="23"/>
        <v>0</v>
      </c>
      <c r="AD92" s="8">
        <f>IFERROR(AC92/AC445,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IFERROR(B94/B445, "NA")</f>
        <v>0</v>
      </c>
      <c r="D94" s="9"/>
      <c r="E94" s="7">
        <v>-7895.94</v>
      </c>
      <c r="F94" s="8">
        <f>IFERROR(E94/E445, "NA")</f>
        <v>-4.1000013292911801E-2</v>
      </c>
      <c r="G94" s="9"/>
      <c r="H94" s="10">
        <f t="shared" ref="H94:H124" si="24">IFERROR(B94-E94, "NA")</f>
        <v>7895.94</v>
      </c>
      <c r="I94" s="8">
        <f>IFERROR(H94/H445, "NA")</f>
        <v>-0.24376045969077137</v>
      </c>
      <c r="J94" s="9"/>
      <c r="K94" s="7">
        <v>0</v>
      </c>
      <c r="L94" s="8">
        <f>IFERROR(K94/K445, "NA")</f>
        <v>0</v>
      </c>
      <c r="M94" s="9"/>
      <c r="N94" s="10">
        <f t="shared" ref="N94:N124" si="25">IFERROR(B94-K94, "NA")</f>
        <v>0</v>
      </c>
      <c r="O94" s="8">
        <f>IFERROR(N94/N445, "NA")</f>
        <v>0</v>
      </c>
      <c r="P94" s="9"/>
      <c r="Q94" s="7">
        <v>0</v>
      </c>
      <c r="R94" s="8">
        <f>IFERROR(Q94/Q445, "NA")</f>
        <v>0</v>
      </c>
      <c r="S94" s="9"/>
      <c r="T94" s="7">
        <v>-39355.699999999997</v>
      </c>
      <c r="U94" s="8">
        <f>IFERROR(T94/T445, "NA")</f>
        <v>-4.0999992395003911E-2</v>
      </c>
      <c r="V94" s="9"/>
      <c r="W94" s="10">
        <f t="shared" ref="W94:W124" si="26">IFERROR(Q94-T94, "NA")</f>
        <v>39355.699999999997</v>
      </c>
      <c r="X94" s="8">
        <f>IFERROR(W94/W445, "NA")</f>
        <v>-1.1943871026089392</v>
      </c>
      <c r="Y94" s="9"/>
      <c r="Z94" s="7">
        <v>0</v>
      </c>
      <c r="AA94" s="8">
        <f>IFERROR(Z94/Z445, "NA")</f>
        <v>0</v>
      </c>
      <c r="AB94" s="9"/>
      <c r="AC94" s="10">
        <f t="shared" ref="AC94:AC124" si="27">IFERROR(Q94-Z94, "NA")</f>
        <v>0</v>
      </c>
      <c r="AD94" s="8">
        <f>IFERROR(AC94/AC445,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IFERROR(B95/B445, "NA")</f>
        <v>0</v>
      </c>
      <c r="D95" s="9"/>
      <c r="E95" s="7">
        <v>0</v>
      </c>
      <c r="F95" s="8">
        <f>IFERROR(E95/E445, "NA")</f>
        <v>0</v>
      </c>
      <c r="G95" s="9"/>
      <c r="H95" s="10">
        <f t="shared" si="24"/>
        <v>0</v>
      </c>
      <c r="I95" s="8">
        <f>IFERROR(H95/H445, "NA")</f>
        <v>0</v>
      </c>
      <c r="J95" s="9"/>
      <c r="K95" s="7">
        <v>0</v>
      </c>
      <c r="L95" s="8">
        <f>IFERROR(K95/K445, "NA")</f>
        <v>0</v>
      </c>
      <c r="M95" s="9"/>
      <c r="N95" s="10">
        <f t="shared" si="25"/>
        <v>0</v>
      </c>
      <c r="O95" s="8">
        <f>IFERROR(N95/N445, "NA")</f>
        <v>0</v>
      </c>
      <c r="P95" s="9"/>
      <c r="Q95" s="7">
        <v>0</v>
      </c>
      <c r="R95" s="8">
        <f>IFERROR(Q95/Q445, "NA")</f>
        <v>0</v>
      </c>
      <c r="S95" s="9"/>
      <c r="T95" s="7">
        <v>0</v>
      </c>
      <c r="U95" s="8">
        <f>IFERROR(T95/T445, "NA")</f>
        <v>0</v>
      </c>
      <c r="V95" s="9"/>
      <c r="W95" s="10">
        <f t="shared" si="26"/>
        <v>0</v>
      </c>
      <c r="X95" s="8">
        <f>IFERROR(W95/W445, "NA")</f>
        <v>0</v>
      </c>
      <c r="Y95" s="9"/>
      <c r="Z95" s="7">
        <v>0</v>
      </c>
      <c r="AA95" s="8">
        <f>IFERROR(Z95/Z445, "NA")</f>
        <v>0</v>
      </c>
      <c r="AB95" s="9"/>
      <c r="AC95" s="10">
        <f t="shared" si="27"/>
        <v>0</v>
      </c>
      <c r="AD95" s="8">
        <f>IFERROR(AC95/AC445, "NA")</f>
        <v>0</v>
      </c>
    </row>
    <row r="96" spans="1:30" ht="16.5" customHeight="1" x14ac:dyDescent="0.45">
      <c r="A96" s="12" t="s">
        <v>91</v>
      </c>
      <c r="B96" s="7">
        <v>-1004.35</v>
      </c>
      <c r="C96" s="8">
        <f>IFERROR(B96/B445, "NA")</f>
        <v>-6.2696783845697804E-3</v>
      </c>
      <c r="D96" s="9"/>
      <c r="E96" s="7">
        <v>0</v>
      </c>
      <c r="F96" s="8">
        <f>IFERROR(E96/E445, "NA")</f>
        <v>0</v>
      </c>
      <c r="G96" s="9"/>
      <c r="H96" s="10">
        <f t="shared" si="24"/>
        <v>-1004.35</v>
      </c>
      <c r="I96" s="8">
        <f>IFERROR(H96/H445, "NA")</f>
        <v>3.1005911606525157E-2</v>
      </c>
      <c r="J96" s="9"/>
      <c r="K96" s="7">
        <v>-1731.25</v>
      </c>
      <c r="L96" s="8">
        <f>IFERROR(K96/K445, "NA")</f>
        <v>-9.8031488082032398E-3</v>
      </c>
      <c r="M96" s="9"/>
      <c r="N96" s="10">
        <f t="shared" si="25"/>
        <v>726.9</v>
      </c>
      <c r="O96" s="8">
        <f>IFERROR(N96/N445, "NA")</f>
        <v>-4.4296727746058882E-2</v>
      </c>
      <c r="P96" s="9"/>
      <c r="Q96" s="7">
        <v>-6170.38</v>
      </c>
      <c r="R96" s="8">
        <f>IFERROR(Q96/Q445, "NA")</f>
        <v>-6.6566857770467358E-3</v>
      </c>
      <c r="S96" s="9"/>
      <c r="T96" s="7">
        <v>0</v>
      </c>
      <c r="U96" s="8">
        <f>IFERROR(T96/T445, "NA")</f>
        <v>0</v>
      </c>
      <c r="V96" s="9"/>
      <c r="W96" s="10">
        <f t="shared" si="26"/>
        <v>-6170.38</v>
      </c>
      <c r="X96" s="8">
        <f>IFERROR(W96/W445, "NA")</f>
        <v>0.1872618779540485</v>
      </c>
      <c r="Y96" s="9"/>
      <c r="Z96" s="7">
        <v>-10933.4</v>
      </c>
      <c r="AA96" s="8">
        <f>IFERROR(Z96/Z445, "NA")</f>
        <v>-1.2254972015456325E-2</v>
      </c>
      <c r="AB96" s="9"/>
      <c r="AC96" s="10">
        <f t="shared" si="27"/>
        <v>4763.0199999999995</v>
      </c>
      <c r="AD96" s="8">
        <f>IFERROR(AC96/AC445, "NA")</f>
        <v>0.13692969438616467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IFERROR(B97/B445, "NA")</f>
        <v>0</v>
      </c>
      <c r="D97" s="9"/>
      <c r="E97" s="7">
        <v>0</v>
      </c>
      <c r="F97" s="8">
        <f>IFERROR(E97/E445, "NA")</f>
        <v>0</v>
      </c>
      <c r="G97" s="9"/>
      <c r="H97" s="10">
        <f t="shared" si="24"/>
        <v>0</v>
      </c>
      <c r="I97" s="8">
        <f>IFERROR(H97/H445, "NA")</f>
        <v>0</v>
      </c>
      <c r="J97" s="9"/>
      <c r="K97" s="7">
        <v>0</v>
      </c>
      <c r="L97" s="8">
        <f>IFERROR(K97/K445, "NA")</f>
        <v>0</v>
      </c>
      <c r="M97" s="9"/>
      <c r="N97" s="10">
        <f t="shared" si="25"/>
        <v>0</v>
      </c>
      <c r="O97" s="8">
        <f>IFERROR(N97/N445, "NA")</f>
        <v>0</v>
      </c>
      <c r="P97" s="9"/>
      <c r="Q97" s="7">
        <v>0</v>
      </c>
      <c r="R97" s="8">
        <f>IFERROR(Q97/Q445, "NA")</f>
        <v>0</v>
      </c>
      <c r="S97" s="9"/>
      <c r="T97" s="7">
        <v>0</v>
      </c>
      <c r="U97" s="8">
        <f>IFERROR(T97/T445, "NA")</f>
        <v>0</v>
      </c>
      <c r="V97" s="9"/>
      <c r="W97" s="10">
        <f t="shared" si="26"/>
        <v>0</v>
      </c>
      <c r="X97" s="8">
        <f>IFERROR(W97/W445, "NA")</f>
        <v>0</v>
      </c>
      <c r="Y97" s="9"/>
      <c r="Z97" s="7">
        <v>0</v>
      </c>
      <c r="AA97" s="8">
        <f>IFERROR(Z97/Z445, "NA")</f>
        <v>0</v>
      </c>
      <c r="AB97" s="9"/>
      <c r="AC97" s="10">
        <f t="shared" si="27"/>
        <v>0</v>
      </c>
      <c r="AD97" s="8">
        <f>IFERROR(AC97/AC445, "NA")</f>
        <v>0</v>
      </c>
    </row>
    <row r="98" spans="1:30" ht="16.5" customHeight="1" x14ac:dyDescent="0.45">
      <c r="A98" s="12" t="s">
        <v>93</v>
      </c>
      <c r="B98" s="7">
        <v>-1924.4</v>
      </c>
      <c r="C98" s="8">
        <f>IFERROR(B98/B445, "NA")</f>
        <v>-1.2013112045866567E-2</v>
      </c>
      <c r="D98" s="9"/>
      <c r="E98" s="7">
        <v>0</v>
      </c>
      <c r="F98" s="8">
        <f>IFERROR(E98/E445, "NA")</f>
        <v>0</v>
      </c>
      <c r="G98" s="9"/>
      <c r="H98" s="10">
        <f t="shared" si="24"/>
        <v>-1924.4</v>
      </c>
      <c r="I98" s="8">
        <f>IFERROR(H98/H445, "NA")</f>
        <v>5.9409345642054079E-2</v>
      </c>
      <c r="J98" s="9"/>
      <c r="K98" s="7">
        <v>-1987.37</v>
      </c>
      <c r="L98" s="8">
        <f>IFERROR(K98/K445, "NA")</f>
        <v>-1.1253420272611623E-2</v>
      </c>
      <c r="M98" s="9"/>
      <c r="N98" s="10">
        <f t="shared" si="25"/>
        <v>62.9699999999998</v>
      </c>
      <c r="O98" s="8">
        <f>IFERROR(N98/N445, "NA")</f>
        <v>-3.8373434394955554E-3</v>
      </c>
      <c r="P98" s="9"/>
      <c r="Q98" s="7">
        <v>-7769.52</v>
      </c>
      <c r="R98" s="8">
        <f>IFERROR(Q98/Q445, "NA")</f>
        <v>-8.3818586988937734E-3</v>
      </c>
      <c r="S98" s="9"/>
      <c r="T98" s="7">
        <v>0</v>
      </c>
      <c r="U98" s="8">
        <f>IFERROR(T98/T445, "NA")</f>
        <v>0</v>
      </c>
      <c r="V98" s="9"/>
      <c r="W98" s="10">
        <f t="shared" si="26"/>
        <v>-7769.52</v>
      </c>
      <c r="X98" s="8">
        <f>IFERROR(W98/W445, "NA")</f>
        <v>0.23579340429625711</v>
      </c>
      <c r="Y98" s="9"/>
      <c r="Z98" s="7">
        <v>-9470.08</v>
      </c>
      <c r="AA98" s="8">
        <f>IFERROR(Z98/Z445, "NA")</f>
        <v>-1.06147735731001E-2</v>
      </c>
      <c r="AB98" s="9"/>
      <c r="AC98" s="10">
        <f t="shared" si="27"/>
        <v>1700.5599999999995</v>
      </c>
      <c r="AD98" s="8">
        <f>IFERROR(AC98/AC445, "NA")</f>
        <v>4.8888554128543683E-2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IFERROR(B99/B445, "NA")</f>
        <v>0</v>
      </c>
      <c r="D99" s="9"/>
      <c r="E99" s="7">
        <v>0</v>
      </c>
      <c r="F99" s="8">
        <f>IFERROR(E99/E445, "NA")</f>
        <v>0</v>
      </c>
      <c r="G99" s="9"/>
      <c r="H99" s="10">
        <f t="shared" si="24"/>
        <v>0</v>
      </c>
      <c r="I99" s="8">
        <f>IFERROR(H99/H445, "NA")</f>
        <v>0</v>
      </c>
      <c r="J99" s="9"/>
      <c r="K99" s="7">
        <v>0</v>
      </c>
      <c r="L99" s="8">
        <f>IFERROR(K99/K445, "NA")</f>
        <v>0</v>
      </c>
      <c r="M99" s="9"/>
      <c r="N99" s="10">
        <f t="shared" si="25"/>
        <v>0</v>
      </c>
      <c r="O99" s="8">
        <f>IFERROR(N99/N445, "NA")</f>
        <v>0</v>
      </c>
      <c r="P99" s="9"/>
      <c r="Q99" s="7">
        <v>0</v>
      </c>
      <c r="R99" s="8">
        <f>IFERROR(Q99/Q445, "NA")</f>
        <v>0</v>
      </c>
      <c r="S99" s="9"/>
      <c r="T99" s="7">
        <v>0</v>
      </c>
      <c r="U99" s="8">
        <f>IFERROR(T99/T445, "NA")</f>
        <v>0</v>
      </c>
      <c r="V99" s="9"/>
      <c r="W99" s="10">
        <f t="shared" si="26"/>
        <v>0</v>
      </c>
      <c r="X99" s="8">
        <f>IFERROR(W99/W445, "NA")</f>
        <v>0</v>
      </c>
      <c r="Y99" s="9"/>
      <c r="Z99" s="7">
        <v>0</v>
      </c>
      <c r="AA99" s="8">
        <f>IFERROR(Z99/Z445, "NA")</f>
        <v>0</v>
      </c>
      <c r="AB99" s="9"/>
      <c r="AC99" s="10">
        <f t="shared" si="27"/>
        <v>0</v>
      </c>
      <c r="AD99" s="8">
        <f>IFERROR(AC99/AC445, "NA")</f>
        <v>0</v>
      </c>
    </row>
    <row r="100" spans="1:30" ht="16.5" customHeight="1" x14ac:dyDescent="0.45">
      <c r="A100" s="12" t="s">
        <v>95</v>
      </c>
      <c r="B100" s="7">
        <v>-228.71</v>
      </c>
      <c r="C100" s="8">
        <f>IFERROR(B100/B445, "NA")</f>
        <v>-1.4277275285856071E-3</v>
      </c>
      <c r="D100" s="9"/>
      <c r="E100" s="7">
        <v>0</v>
      </c>
      <c r="F100" s="8">
        <f>IFERROR(E100/E445, "NA")</f>
        <v>0</v>
      </c>
      <c r="G100" s="9"/>
      <c r="H100" s="10">
        <f t="shared" si="24"/>
        <v>-228.71</v>
      </c>
      <c r="I100" s="8">
        <f>IFERROR(H100/H445, "NA")</f>
        <v>7.0606482237550346E-3</v>
      </c>
      <c r="J100" s="9"/>
      <c r="K100" s="7">
        <v>-425.87</v>
      </c>
      <c r="L100" s="8">
        <f>IFERROR(K100/K445, "NA")</f>
        <v>-2.4114755136170479E-3</v>
      </c>
      <c r="M100" s="9"/>
      <c r="N100" s="10">
        <f t="shared" si="25"/>
        <v>197.16</v>
      </c>
      <c r="O100" s="8">
        <f>IFERROR(N100/N445, "NA")</f>
        <v>-1.2014778982546388E-2</v>
      </c>
      <c r="P100" s="9"/>
      <c r="Q100" s="7">
        <v>-2417.5500000000002</v>
      </c>
      <c r="R100" s="8">
        <f>IFERROR(Q100/Q445, "NA")</f>
        <v>-2.6080842185245215E-3</v>
      </c>
      <c r="S100" s="9"/>
      <c r="T100" s="7">
        <v>0</v>
      </c>
      <c r="U100" s="8">
        <f>IFERROR(T100/T445, "NA")</f>
        <v>0</v>
      </c>
      <c r="V100" s="9"/>
      <c r="W100" s="10">
        <f t="shared" si="26"/>
        <v>-2417.5500000000002</v>
      </c>
      <c r="X100" s="8">
        <f>IFERROR(W100/W445, "NA")</f>
        <v>7.3369055560242633E-2</v>
      </c>
      <c r="Y100" s="9"/>
      <c r="Z100" s="7">
        <v>-2514.39</v>
      </c>
      <c r="AA100" s="8">
        <f>IFERROR(Z100/Z445, "NA")</f>
        <v>-2.8183162681273189E-3</v>
      </c>
      <c r="AB100" s="9"/>
      <c r="AC100" s="10">
        <f t="shared" si="27"/>
        <v>96.839999999999691</v>
      </c>
      <c r="AD100" s="8">
        <f>IFERROR(AC100/AC445, "NA")</f>
        <v>2.7840050229384181E-3</v>
      </c>
    </row>
    <row r="101" spans="1:30" ht="16.5" customHeight="1" x14ac:dyDescent="0.45">
      <c r="A101" s="12" t="s">
        <v>96</v>
      </c>
      <c r="B101" s="7">
        <v>0</v>
      </c>
      <c r="C101" s="8">
        <f>IFERROR(B101/B445, "NA")</f>
        <v>0</v>
      </c>
      <c r="D101" s="9"/>
      <c r="E101" s="7">
        <v>0</v>
      </c>
      <c r="F101" s="8">
        <f>IFERROR(E101/E445, "NA")</f>
        <v>0</v>
      </c>
      <c r="G101" s="9"/>
      <c r="H101" s="10">
        <f t="shared" si="24"/>
        <v>0</v>
      </c>
      <c r="I101" s="8">
        <f>IFERROR(H101/H445, "NA")</f>
        <v>0</v>
      </c>
      <c r="J101" s="9"/>
      <c r="K101" s="7">
        <v>0</v>
      </c>
      <c r="L101" s="8">
        <f>IFERROR(K101/K445, "NA")</f>
        <v>0</v>
      </c>
      <c r="M101" s="9"/>
      <c r="N101" s="10">
        <f t="shared" si="25"/>
        <v>0</v>
      </c>
      <c r="O101" s="8">
        <f>IFERROR(N101/N445, "NA")</f>
        <v>0</v>
      </c>
      <c r="P101" s="9"/>
      <c r="Q101" s="7">
        <v>-78.069999999999993</v>
      </c>
      <c r="R101" s="8">
        <f>IFERROR(Q101/Q445, "NA")</f>
        <v>-8.422292607814083E-5</v>
      </c>
      <c r="S101" s="9"/>
      <c r="T101" s="7">
        <v>0</v>
      </c>
      <c r="U101" s="8">
        <f>IFERROR(T101/T445, "NA")</f>
        <v>0</v>
      </c>
      <c r="V101" s="9"/>
      <c r="W101" s="10">
        <f t="shared" si="26"/>
        <v>-78.069999999999993</v>
      </c>
      <c r="X101" s="8">
        <f>IFERROR(W101/W445, "NA")</f>
        <v>2.3693086668685826E-3</v>
      </c>
      <c r="Y101" s="9"/>
      <c r="Z101" s="7">
        <v>0</v>
      </c>
      <c r="AA101" s="8">
        <f>IFERROR(Z101/Z445, "NA")</f>
        <v>0</v>
      </c>
      <c r="AB101" s="9"/>
      <c r="AC101" s="10">
        <f t="shared" si="27"/>
        <v>-78.069999999999993</v>
      </c>
      <c r="AD101" s="8">
        <f>IFERROR(AC101/AC445, "NA")</f>
        <v>-2.2443956230979241E-3</v>
      </c>
    </row>
    <row r="102" spans="1:30" ht="16.5" customHeight="1" x14ac:dyDescent="0.45">
      <c r="A102" s="12" t="s">
        <v>97</v>
      </c>
      <c r="B102" s="7">
        <v>-1840.52</v>
      </c>
      <c r="C102" s="8">
        <f>IFERROR(B102/B445, "NA")</f>
        <v>-1.1489489182424824E-2</v>
      </c>
      <c r="D102" s="9"/>
      <c r="E102" s="7">
        <v>0</v>
      </c>
      <c r="F102" s="8">
        <f>IFERROR(E102/E445, "NA")</f>
        <v>0</v>
      </c>
      <c r="G102" s="9"/>
      <c r="H102" s="10">
        <f t="shared" si="24"/>
        <v>-1840.52</v>
      </c>
      <c r="I102" s="8">
        <f>IFERROR(H102/H445, "NA")</f>
        <v>5.6819834151482729E-2</v>
      </c>
      <c r="J102" s="9"/>
      <c r="K102" s="7">
        <v>-2080.83</v>
      </c>
      <c r="L102" s="8">
        <f>IFERROR(K102/K445, "NA")</f>
        <v>-1.1782634590367392E-2</v>
      </c>
      <c r="M102" s="9"/>
      <c r="N102" s="10">
        <f t="shared" si="25"/>
        <v>240.30999999999995</v>
      </c>
      <c r="O102" s="8">
        <f>IFERROR(N102/N445, "NA")</f>
        <v>-1.4644306843658561E-2</v>
      </c>
      <c r="P102" s="9"/>
      <c r="Q102" s="7">
        <v>-9772.3799999999992</v>
      </c>
      <c r="R102" s="8">
        <f>IFERROR(Q102/Q445, "NA")</f>
        <v>-1.0542569980114025E-2</v>
      </c>
      <c r="S102" s="9"/>
      <c r="T102" s="7">
        <v>0</v>
      </c>
      <c r="U102" s="8">
        <f>IFERROR(T102/T445, "NA")</f>
        <v>0</v>
      </c>
      <c r="V102" s="9"/>
      <c r="W102" s="10">
        <f t="shared" si="26"/>
        <v>-9772.3799999999992</v>
      </c>
      <c r="X102" s="8">
        <f>IFERROR(W102/W445, "NA")</f>
        <v>0.29657723363562444</v>
      </c>
      <c r="Y102" s="9"/>
      <c r="Z102" s="7">
        <v>-8425.31</v>
      </c>
      <c r="AA102" s="8">
        <f>IFERROR(Z102/Z445, "NA")</f>
        <v>-9.443717258267724E-3</v>
      </c>
      <c r="AB102" s="9"/>
      <c r="AC102" s="10">
        <f t="shared" si="27"/>
        <v>-1347.0699999999997</v>
      </c>
      <c r="AD102" s="8">
        <f>IFERROR(AC102/AC445, "NA")</f>
        <v>-3.872624583074831E-2</v>
      </c>
    </row>
    <row r="103" spans="1:30" ht="16.5" customHeight="1" x14ac:dyDescent="0.45">
      <c r="A103" s="12" t="s">
        <v>98</v>
      </c>
      <c r="B103" s="7">
        <v>-22.65</v>
      </c>
      <c r="C103" s="8">
        <f>IFERROR(B103/B445, "NA")</f>
        <v>-1.4139315518544882E-4</v>
      </c>
      <c r="D103" s="9"/>
      <c r="E103" s="7">
        <v>0</v>
      </c>
      <c r="F103" s="8">
        <f>IFERROR(E103/E445, "NA")</f>
        <v>0</v>
      </c>
      <c r="G103" s="9"/>
      <c r="H103" s="10">
        <f t="shared" si="24"/>
        <v>-22.65</v>
      </c>
      <c r="I103" s="8">
        <f>IFERROR(H103/H445, "NA")</f>
        <v>6.9924219434240533E-4</v>
      </c>
      <c r="J103" s="9"/>
      <c r="K103" s="7">
        <v>0</v>
      </c>
      <c r="L103" s="8">
        <f>IFERROR(K103/K445, "NA")</f>
        <v>0</v>
      </c>
      <c r="M103" s="9"/>
      <c r="N103" s="10">
        <f t="shared" si="25"/>
        <v>-22.65</v>
      </c>
      <c r="O103" s="8">
        <f>IFERROR(N103/N445, "NA")</f>
        <v>1.3802736049638652E-3</v>
      </c>
      <c r="P103" s="9"/>
      <c r="Q103" s="7">
        <v>-108.65</v>
      </c>
      <c r="R103" s="8">
        <f>IFERROR(Q103/Q445, "NA")</f>
        <v>-1.1721302572550279E-4</v>
      </c>
      <c r="S103" s="9"/>
      <c r="T103" s="7">
        <v>0</v>
      </c>
      <c r="U103" s="8">
        <f>IFERROR(T103/T445, "NA")</f>
        <v>0</v>
      </c>
      <c r="V103" s="9"/>
      <c r="W103" s="10">
        <f t="shared" si="26"/>
        <v>-108.65</v>
      </c>
      <c r="X103" s="8">
        <f>IFERROR(W103/W445, "NA")</f>
        <v>3.2973662950591975E-3</v>
      </c>
      <c r="Y103" s="9"/>
      <c r="Z103" s="7">
        <v>0</v>
      </c>
      <c r="AA103" s="8">
        <f>IFERROR(Z103/Z445, "NA")</f>
        <v>0</v>
      </c>
      <c r="AB103" s="9"/>
      <c r="AC103" s="10">
        <f t="shared" si="27"/>
        <v>-108.65</v>
      </c>
      <c r="AD103" s="8">
        <f>IFERROR(AC103/AC445, "NA")</f>
        <v>-3.123524842443826E-3</v>
      </c>
    </row>
    <row r="104" spans="1:30" ht="16.5" customHeight="1" x14ac:dyDescent="0.45">
      <c r="A104" s="12" t="s">
        <v>99</v>
      </c>
      <c r="B104" s="7">
        <v>-361.49</v>
      </c>
      <c r="C104" s="8">
        <f>IFERROR(B104/B445, "NA")</f>
        <v>-2.2566097866661321E-3</v>
      </c>
      <c r="D104" s="9"/>
      <c r="E104" s="7">
        <v>0</v>
      </c>
      <c r="F104" s="8">
        <f>IFERROR(E104/E445, "NA")</f>
        <v>0</v>
      </c>
      <c r="G104" s="9"/>
      <c r="H104" s="10">
        <f t="shared" si="24"/>
        <v>-361.49</v>
      </c>
      <c r="I104" s="8">
        <f>IFERROR(H104/H445, "NA")</f>
        <v>1.1159781935224553E-2</v>
      </c>
      <c r="J104" s="9"/>
      <c r="K104" s="7">
        <v>-709.42</v>
      </c>
      <c r="L104" s="8">
        <f>IFERROR(K104/K445, "NA")</f>
        <v>-4.01706849242775E-3</v>
      </c>
      <c r="M104" s="9"/>
      <c r="N104" s="10">
        <f t="shared" si="25"/>
        <v>347.92999999999995</v>
      </c>
      <c r="O104" s="8">
        <f>IFERROR(N104/N445, "NA")</f>
        <v>-2.1202586992277159E-2</v>
      </c>
      <c r="P104" s="9"/>
      <c r="Q104" s="7">
        <v>-2984.21</v>
      </c>
      <c r="R104" s="8">
        <f>IFERROR(Q104/Q445, "NA")</f>
        <v>-3.2194043580331582E-3</v>
      </c>
      <c r="S104" s="9"/>
      <c r="T104" s="7">
        <v>0</v>
      </c>
      <c r="U104" s="8">
        <f>IFERROR(T104/T445, "NA")</f>
        <v>0</v>
      </c>
      <c r="V104" s="9"/>
      <c r="W104" s="10">
        <f t="shared" si="26"/>
        <v>-2984.21</v>
      </c>
      <c r="X104" s="8">
        <f>IFERROR(W104/W445, "NA")</f>
        <v>9.0566345801919995E-2</v>
      </c>
      <c r="Y104" s="9"/>
      <c r="Z104" s="7">
        <v>-3435.56</v>
      </c>
      <c r="AA104" s="8">
        <f>IFERROR(Z104/Z445, "NA")</f>
        <v>-3.8508324635905694E-3</v>
      </c>
      <c r="AB104" s="9"/>
      <c r="AC104" s="10">
        <f t="shared" si="27"/>
        <v>451.34999999999991</v>
      </c>
      <c r="AD104" s="8">
        <f>IFERROR(AC104/AC445, "NA")</f>
        <v>1.2975636793713949E-2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IFERROR(B105/B445, "NA")</f>
        <v>0</v>
      </c>
      <c r="D105" s="9"/>
      <c r="E105" s="7">
        <v>0</v>
      </c>
      <c r="F105" s="8">
        <f>IFERROR(E105/E445, "NA")</f>
        <v>0</v>
      </c>
      <c r="G105" s="9"/>
      <c r="H105" s="10">
        <f t="shared" si="24"/>
        <v>0</v>
      </c>
      <c r="I105" s="8">
        <f>IFERROR(H105/H445, "NA")</f>
        <v>0</v>
      </c>
      <c r="J105" s="9"/>
      <c r="K105" s="7">
        <v>0</v>
      </c>
      <c r="L105" s="8">
        <f>IFERROR(K105/K445, "NA")</f>
        <v>0</v>
      </c>
      <c r="M105" s="9"/>
      <c r="N105" s="10">
        <f t="shared" si="25"/>
        <v>0</v>
      </c>
      <c r="O105" s="8">
        <f>IFERROR(N105/N445, "NA")</f>
        <v>0</v>
      </c>
      <c r="P105" s="9"/>
      <c r="Q105" s="7">
        <v>0</v>
      </c>
      <c r="R105" s="8">
        <f>IFERROR(Q105/Q445, "NA")</f>
        <v>0</v>
      </c>
      <c r="S105" s="9"/>
      <c r="T105" s="7">
        <v>0</v>
      </c>
      <c r="U105" s="8">
        <f>IFERROR(T105/T445, "NA")</f>
        <v>0</v>
      </c>
      <c r="V105" s="9"/>
      <c r="W105" s="10">
        <f t="shared" si="26"/>
        <v>0</v>
      </c>
      <c r="X105" s="8">
        <f>IFERROR(W105/W445, "NA")</f>
        <v>0</v>
      </c>
      <c r="Y105" s="9"/>
      <c r="Z105" s="7">
        <v>0</v>
      </c>
      <c r="AA105" s="8">
        <f>IFERROR(Z105/Z445, "NA")</f>
        <v>0</v>
      </c>
      <c r="AB105" s="9"/>
      <c r="AC105" s="10">
        <f t="shared" si="27"/>
        <v>0</v>
      </c>
      <c r="AD105" s="8">
        <f>IFERROR(AC105/AC445, "NA")</f>
        <v>0</v>
      </c>
    </row>
    <row r="106" spans="1:30" ht="16.5" customHeight="1" x14ac:dyDescent="0.45">
      <c r="A106" s="12" t="s">
        <v>101</v>
      </c>
      <c r="B106" s="7">
        <v>-121.47</v>
      </c>
      <c r="C106" s="8">
        <f>IFERROR(B106/B445, "NA")</f>
        <v>-7.5827931833891691E-4</v>
      </c>
      <c r="D106" s="9"/>
      <c r="E106" s="7">
        <v>0</v>
      </c>
      <c r="F106" s="8">
        <f>IFERROR(E106/E445, "NA")</f>
        <v>0</v>
      </c>
      <c r="G106" s="9"/>
      <c r="H106" s="10">
        <f t="shared" si="24"/>
        <v>-121.47</v>
      </c>
      <c r="I106" s="8">
        <f>IFERROR(H106/H445, "NA")</f>
        <v>3.7499756885992041E-3</v>
      </c>
      <c r="J106" s="9"/>
      <c r="K106" s="7">
        <v>-75</v>
      </c>
      <c r="L106" s="8">
        <f>IFERROR(K106/K445, "NA")</f>
        <v>-4.2468514692577212E-4</v>
      </c>
      <c r="M106" s="9"/>
      <c r="N106" s="10">
        <f t="shared" si="25"/>
        <v>-46.47</v>
      </c>
      <c r="O106" s="8">
        <f>IFERROR(N106/N445, "NA")</f>
        <v>2.8318461113761954E-3</v>
      </c>
      <c r="P106" s="9"/>
      <c r="Q106" s="7">
        <v>-847.22</v>
      </c>
      <c r="R106" s="8">
        <f>IFERROR(Q106/Q445, "NA")</f>
        <v>-9.1399189742439452E-4</v>
      </c>
      <c r="S106" s="9"/>
      <c r="T106" s="7">
        <v>0</v>
      </c>
      <c r="U106" s="8">
        <f>IFERROR(T106/T445, "NA")</f>
        <v>0</v>
      </c>
      <c r="V106" s="9"/>
      <c r="W106" s="10">
        <f t="shared" si="26"/>
        <v>-847.22</v>
      </c>
      <c r="X106" s="8">
        <f>IFERROR(W106/W445, "NA")</f>
        <v>2.571186997238889E-2</v>
      </c>
      <c r="Y106" s="9"/>
      <c r="Z106" s="7">
        <v>-1762.06</v>
      </c>
      <c r="AA106" s="8">
        <f>IFERROR(Z106/Z445, "NA")</f>
        <v>-1.9750485658216999E-3</v>
      </c>
      <c r="AB106" s="9"/>
      <c r="AC106" s="10">
        <f t="shared" si="27"/>
        <v>914.83999999999992</v>
      </c>
      <c r="AD106" s="8">
        <f>IFERROR(AC106/AC445, "NA")</f>
        <v>2.6300280412897465E-2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IFERROR(B107/B445, "NA")</f>
        <v>0</v>
      </c>
      <c r="D107" s="9"/>
      <c r="E107" s="7">
        <v>0</v>
      </c>
      <c r="F107" s="8">
        <f>IFERROR(E107/E445, "NA")</f>
        <v>0</v>
      </c>
      <c r="G107" s="9"/>
      <c r="H107" s="10">
        <f t="shared" si="24"/>
        <v>0</v>
      </c>
      <c r="I107" s="8">
        <f>IFERROR(H107/H445, "NA")</f>
        <v>0</v>
      </c>
      <c r="J107" s="9"/>
      <c r="K107" s="7">
        <v>0</v>
      </c>
      <c r="L107" s="8">
        <f>IFERROR(K107/K445, "NA")</f>
        <v>0</v>
      </c>
      <c r="M107" s="9"/>
      <c r="N107" s="10">
        <f t="shared" si="25"/>
        <v>0</v>
      </c>
      <c r="O107" s="8">
        <f>IFERROR(N107/N445, "NA")</f>
        <v>0</v>
      </c>
      <c r="P107" s="9"/>
      <c r="Q107" s="7">
        <v>0</v>
      </c>
      <c r="R107" s="8">
        <f>IFERROR(Q107/Q445, "NA")</f>
        <v>0</v>
      </c>
      <c r="S107" s="9"/>
      <c r="T107" s="7">
        <v>0</v>
      </c>
      <c r="U107" s="8">
        <f>IFERROR(T107/T445, "NA")</f>
        <v>0</v>
      </c>
      <c r="V107" s="9"/>
      <c r="W107" s="10">
        <f t="shared" si="26"/>
        <v>0</v>
      </c>
      <c r="X107" s="8">
        <f>IFERROR(W107/W445, "NA")</f>
        <v>0</v>
      </c>
      <c r="Y107" s="9"/>
      <c r="Z107" s="7">
        <v>0</v>
      </c>
      <c r="AA107" s="8">
        <f>IFERROR(Z107/Z445, "NA")</f>
        <v>0</v>
      </c>
      <c r="AB107" s="9"/>
      <c r="AC107" s="10">
        <f t="shared" si="27"/>
        <v>0</v>
      </c>
      <c r="AD107" s="8">
        <f>IFERROR(AC107/AC445,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IFERROR(B108/B445, "NA")</f>
        <v>0</v>
      </c>
      <c r="D108" s="9"/>
      <c r="E108" s="7">
        <v>0</v>
      </c>
      <c r="F108" s="8">
        <f>IFERROR(E108/E445, "NA")</f>
        <v>0</v>
      </c>
      <c r="G108" s="9"/>
      <c r="H108" s="10">
        <f t="shared" si="24"/>
        <v>0</v>
      </c>
      <c r="I108" s="8">
        <f>IFERROR(H108/H445, "NA")</f>
        <v>0</v>
      </c>
      <c r="J108" s="9"/>
      <c r="K108" s="7">
        <v>0</v>
      </c>
      <c r="L108" s="8">
        <f>IFERROR(K108/K445, "NA")</f>
        <v>0</v>
      </c>
      <c r="M108" s="9"/>
      <c r="N108" s="10">
        <f t="shared" si="25"/>
        <v>0</v>
      </c>
      <c r="O108" s="8">
        <f>IFERROR(N108/N445, "NA")</f>
        <v>0</v>
      </c>
      <c r="P108" s="9"/>
      <c r="Q108" s="7">
        <v>0</v>
      </c>
      <c r="R108" s="8">
        <f>IFERROR(Q108/Q445, "NA")</f>
        <v>0</v>
      </c>
      <c r="S108" s="9"/>
      <c r="T108" s="7">
        <v>0</v>
      </c>
      <c r="U108" s="8">
        <f>IFERROR(T108/T445, "NA")</f>
        <v>0</v>
      </c>
      <c r="V108" s="9"/>
      <c r="W108" s="10">
        <f t="shared" si="26"/>
        <v>0</v>
      </c>
      <c r="X108" s="8">
        <f>IFERROR(W108/W445, "NA")</f>
        <v>0</v>
      </c>
      <c r="Y108" s="9"/>
      <c r="Z108" s="7">
        <v>0</v>
      </c>
      <c r="AA108" s="8">
        <f>IFERROR(Z108/Z445, "NA")</f>
        <v>0</v>
      </c>
      <c r="AB108" s="9"/>
      <c r="AC108" s="10">
        <f t="shared" si="27"/>
        <v>0</v>
      </c>
      <c r="AD108" s="8">
        <f>IFERROR(AC108/AC445,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IFERROR(B109/B445, "NA")</f>
        <v>0</v>
      </c>
      <c r="D109" s="9"/>
      <c r="E109" s="7">
        <v>0</v>
      </c>
      <c r="F109" s="8">
        <f>IFERROR(E109/E445, "NA")</f>
        <v>0</v>
      </c>
      <c r="G109" s="9"/>
      <c r="H109" s="10">
        <f t="shared" si="24"/>
        <v>0</v>
      </c>
      <c r="I109" s="8">
        <f>IFERROR(H109/H445, "NA")</f>
        <v>0</v>
      </c>
      <c r="J109" s="9"/>
      <c r="K109" s="7">
        <v>0</v>
      </c>
      <c r="L109" s="8">
        <f>IFERROR(K109/K445, "NA")</f>
        <v>0</v>
      </c>
      <c r="M109" s="9"/>
      <c r="N109" s="10">
        <f t="shared" si="25"/>
        <v>0</v>
      </c>
      <c r="O109" s="8">
        <f>IFERROR(N109/N445, "NA")</f>
        <v>0</v>
      </c>
      <c r="P109" s="9"/>
      <c r="Q109" s="7">
        <v>0</v>
      </c>
      <c r="R109" s="8">
        <f>IFERROR(Q109/Q445, "NA")</f>
        <v>0</v>
      </c>
      <c r="S109" s="9"/>
      <c r="T109" s="7">
        <v>0</v>
      </c>
      <c r="U109" s="8">
        <f>IFERROR(T109/T445, "NA")</f>
        <v>0</v>
      </c>
      <c r="V109" s="9"/>
      <c r="W109" s="10">
        <f t="shared" si="26"/>
        <v>0</v>
      </c>
      <c r="X109" s="8">
        <f>IFERROR(W109/W445, "NA")</f>
        <v>0</v>
      </c>
      <c r="Y109" s="9"/>
      <c r="Z109" s="7">
        <v>0</v>
      </c>
      <c r="AA109" s="8">
        <f>IFERROR(Z109/Z445, "NA")</f>
        <v>0</v>
      </c>
      <c r="AB109" s="9"/>
      <c r="AC109" s="10">
        <f t="shared" si="27"/>
        <v>0</v>
      </c>
      <c r="AD109" s="8">
        <f>IFERROR(AC109/AC445,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IFERROR(B110/B445, "NA")</f>
        <v>0</v>
      </c>
      <c r="D110" s="9"/>
      <c r="E110" s="7">
        <v>0</v>
      </c>
      <c r="F110" s="8">
        <f>IFERROR(E110/E445, "NA")</f>
        <v>0</v>
      </c>
      <c r="G110" s="9"/>
      <c r="H110" s="10">
        <f t="shared" si="24"/>
        <v>0</v>
      </c>
      <c r="I110" s="8">
        <f>IFERROR(H110/H445, "NA")</f>
        <v>0</v>
      </c>
      <c r="J110" s="9"/>
      <c r="K110" s="7">
        <v>0</v>
      </c>
      <c r="L110" s="8">
        <f>IFERROR(K110/K445, "NA")</f>
        <v>0</v>
      </c>
      <c r="M110" s="9"/>
      <c r="N110" s="10">
        <f t="shared" si="25"/>
        <v>0</v>
      </c>
      <c r="O110" s="8">
        <f>IFERROR(N110/N445, "NA")</f>
        <v>0</v>
      </c>
      <c r="P110" s="9"/>
      <c r="Q110" s="7">
        <v>0</v>
      </c>
      <c r="R110" s="8">
        <f>IFERROR(Q110/Q445, "NA")</f>
        <v>0</v>
      </c>
      <c r="S110" s="9"/>
      <c r="T110" s="7">
        <v>0</v>
      </c>
      <c r="U110" s="8">
        <f>IFERROR(T110/T445, "NA")</f>
        <v>0</v>
      </c>
      <c r="V110" s="9"/>
      <c r="W110" s="10">
        <f t="shared" si="26"/>
        <v>0</v>
      </c>
      <c r="X110" s="8">
        <f>IFERROR(W110/W445, "NA")</f>
        <v>0</v>
      </c>
      <c r="Y110" s="9"/>
      <c r="Z110" s="7">
        <v>0</v>
      </c>
      <c r="AA110" s="8">
        <f>IFERROR(Z110/Z445, "NA")</f>
        <v>0</v>
      </c>
      <c r="AB110" s="9"/>
      <c r="AC110" s="10">
        <f t="shared" si="27"/>
        <v>0</v>
      </c>
      <c r="AD110" s="8">
        <f>IFERROR(AC110/AC445,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IFERROR(B111/B445, "NA")</f>
        <v>0</v>
      </c>
      <c r="D111" s="9"/>
      <c r="E111" s="7">
        <v>0</v>
      </c>
      <c r="F111" s="8">
        <f>IFERROR(E111/E445, "NA")</f>
        <v>0</v>
      </c>
      <c r="G111" s="9"/>
      <c r="H111" s="10">
        <f t="shared" si="24"/>
        <v>0</v>
      </c>
      <c r="I111" s="8">
        <f>IFERROR(H111/H445, "NA")</f>
        <v>0</v>
      </c>
      <c r="J111" s="9"/>
      <c r="K111" s="7">
        <v>0</v>
      </c>
      <c r="L111" s="8">
        <f>IFERROR(K111/K445, "NA")</f>
        <v>0</v>
      </c>
      <c r="M111" s="9"/>
      <c r="N111" s="10">
        <f t="shared" si="25"/>
        <v>0</v>
      </c>
      <c r="O111" s="8">
        <f>IFERROR(N111/N445, "NA")</f>
        <v>0</v>
      </c>
      <c r="P111" s="9"/>
      <c r="Q111" s="7">
        <v>0</v>
      </c>
      <c r="R111" s="8">
        <f>IFERROR(Q111/Q445, "NA")</f>
        <v>0</v>
      </c>
      <c r="S111" s="9"/>
      <c r="T111" s="7">
        <v>0</v>
      </c>
      <c r="U111" s="8">
        <f>IFERROR(T111/T445, "NA")</f>
        <v>0</v>
      </c>
      <c r="V111" s="9"/>
      <c r="W111" s="10">
        <f t="shared" si="26"/>
        <v>0</v>
      </c>
      <c r="X111" s="8">
        <f>IFERROR(W111/W445, "NA")</f>
        <v>0</v>
      </c>
      <c r="Y111" s="9"/>
      <c r="Z111" s="7">
        <v>0</v>
      </c>
      <c r="AA111" s="8">
        <f>IFERROR(Z111/Z445, "NA")</f>
        <v>0</v>
      </c>
      <c r="AB111" s="9"/>
      <c r="AC111" s="10">
        <f t="shared" si="27"/>
        <v>0</v>
      </c>
      <c r="AD111" s="8">
        <f>IFERROR(AC111/AC445,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IFERROR(B112/B445, "NA")</f>
        <v>0</v>
      </c>
      <c r="D112" s="9"/>
      <c r="E112" s="7">
        <v>0</v>
      </c>
      <c r="F112" s="8">
        <f>IFERROR(E112/E445, "NA")</f>
        <v>0</v>
      </c>
      <c r="G112" s="9"/>
      <c r="H112" s="10">
        <f t="shared" si="24"/>
        <v>0</v>
      </c>
      <c r="I112" s="8">
        <f>IFERROR(H112/H445, "NA")</f>
        <v>0</v>
      </c>
      <c r="J112" s="9"/>
      <c r="K112" s="7">
        <v>0</v>
      </c>
      <c r="L112" s="8">
        <f>IFERROR(K112/K445, "NA")</f>
        <v>0</v>
      </c>
      <c r="M112" s="9"/>
      <c r="N112" s="10">
        <f t="shared" si="25"/>
        <v>0</v>
      </c>
      <c r="O112" s="8">
        <f>IFERROR(N112/N445, "NA")</f>
        <v>0</v>
      </c>
      <c r="P112" s="9"/>
      <c r="Q112" s="7">
        <v>0</v>
      </c>
      <c r="R112" s="8">
        <f>IFERROR(Q112/Q445, "NA")</f>
        <v>0</v>
      </c>
      <c r="S112" s="9"/>
      <c r="T112" s="7">
        <v>0</v>
      </c>
      <c r="U112" s="8">
        <f>IFERROR(T112/T445, "NA")</f>
        <v>0</v>
      </c>
      <c r="V112" s="9"/>
      <c r="W112" s="10">
        <f t="shared" si="26"/>
        <v>0</v>
      </c>
      <c r="X112" s="8">
        <f>IFERROR(W112/W445, "NA")</f>
        <v>0</v>
      </c>
      <c r="Y112" s="9"/>
      <c r="Z112" s="7">
        <v>0</v>
      </c>
      <c r="AA112" s="8">
        <f>IFERROR(Z112/Z445, "NA")</f>
        <v>0</v>
      </c>
      <c r="AB112" s="9"/>
      <c r="AC112" s="10">
        <f t="shared" si="27"/>
        <v>0</v>
      </c>
      <c r="AD112" s="8">
        <f>IFERROR(AC112/AC445,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IFERROR(B113/B445, "NA")</f>
        <v>0</v>
      </c>
      <c r="D113" s="9"/>
      <c r="E113" s="7">
        <v>0</v>
      </c>
      <c r="F113" s="8">
        <f>IFERROR(E113/E445, "NA")</f>
        <v>0</v>
      </c>
      <c r="G113" s="9"/>
      <c r="H113" s="10">
        <f t="shared" si="24"/>
        <v>0</v>
      </c>
      <c r="I113" s="8">
        <f>IFERROR(H113/H445, "NA")</f>
        <v>0</v>
      </c>
      <c r="J113" s="9"/>
      <c r="K113" s="7">
        <v>0</v>
      </c>
      <c r="L113" s="8">
        <f>IFERROR(K113/K445, "NA")</f>
        <v>0</v>
      </c>
      <c r="M113" s="9"/>
      <c r="N113" s="10">
        <f t="shared" si="25"/>
        <v>0</v>
      </c>
      <c r="O113" s="8">
        <f>IFERROR(N113/N445, "NA")</f>
        <v>0</v>
      </c>
      <c r="P113" s="9"/>
      <c r="Q113" s="7">
        <v>0</v>
      </c>
      <c r="R113" s="8">
        <f>IFERROR(Q113/Q445, "NA")</f>
        <v>0</v>
      </c>
      <c r="S113" s="9"/>
      <c r="T113" s="7">
        <v>0</v>
      </c>
      <c r="U113" s="8">
        <f>IFERROR(T113/T445, "NA")</f>
        <v>0</v>
      </c>
      <c r="V113" s="9"/>
      <c r="W113" s="10">
        <f t="shared" si="26"/>
        <v>0</v>
      </c>
      <c r="X113" s="8">
        <f>IFERROR(W113/W445, "NA")</f>
        <v>0</v>
      </c>
      <c r="Y113" s="9"/>
      <c r="Z113" s="7">
        <v>0</v>
      </c>
      <c r="AA113" s="8">
        <f>IFERROR(Z113/Z445, "NA")</f>
        <v>0</v>
      </c>
      <c r="AB113" s="9"/>
      <c r="AC113" s="10">
        <f t="shared" si="27"/>
        <v>0</v>
      </c>
      <c r="AD113" s="8">
        <f>IFERROR(AC113/AC445,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IFERROR(B114/B445, "NA")</f>
        <v>0</v>
      </c>
      <c r="D114" s="9"/>
      <c r="E114" s="7">
        <v>0</v>
      </c>
      <c r="F114" s="8">
        <f>IFERROR(E114/E445, "NA")</f>
        <v>0</v>
      </c>
      <c r="G114" s="9"/>
      <c r="H114" s="10">
        <f t="shared" si="24"/>
        <v>0</v>
      </c>
      <c r="I114" s="8">
        <f>IFERROR(H114/H445, "NA")</f>
        <v>0</v>
      </c>
      <c r="J114" s="9"/>
      <c r="K114" s="7">
        <v>0</v>
      </c>
      <c r="L114" s="8">
        <f>IFERROR(K114/K445, "NA")</f>
        <v>0</v>
      </c>
      <c r="M114" s="9"/>
      <c r="N114" s="10">
        <f t="shared" si="25"/>
        <v>0</v>
      </c>
      <c r="O114" s="8">
        <f>IFERROR(N114/N445, "NA")</f>
        <v>0</v>
      </c>
      <c r="P114" s="9"/>
      <c r="Q114" s="7">
        <v>0</v>
      </c>
      <c r="R114" s="8">
        <f>IFERROR(Q114/Q445, "NA")</f>
        <v>0</v>
      </c>
      <c r="S114" s="9"/>
      <c r="T114" s="7">
        <v>0</v>
      </c>
      <c r="U114" s="8">
        <f>IFERROR(T114/T445, "NA")</f>
        <v>0</v>
      </c>
      <c r="V114" s="9"/>
      <c r="W114" s="10">
        <f t="shared" si="26"/>
        <v>0</v>
      </c>
      <c r="X114" s="8">
        <f>IFERROR(W114/W445, "NA")</f>
        <v>0</v>
      </c>
      <c r="Y114" s="9"/>
      <c r="Z114" s="7">
        <v>0</v>
      </c>
      <c r="AA114" s="8">
        <f>IFERROR(Z114/Z445, "NA")</f>
        <v>0</v>
      </c>
      <c r="AB114" s="9"/>
      <c r="AC114" s="10">
        <f t="shared" si="27"/>
        <v>0</v>
      </c>
      <c r="AD114" s="8">
        <f>IFERROR(AC114/AC445,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IFERROR(B115/B445, "NA")</f>
        <v>0</v>
      </c>
      <c r="D115" s="9"/>
      <c r="E115" s="7">
        <v>0</v>
      </c>
      <c r="F115" s="8">
        <f>IFERROR(E115/E445, "NA")</f>
        <v>0</v>
      </c>
      <c r="G115" s="9"/>
      <c r="H115" s="10">
        <f t="shared" si="24"/>
        <v>0</v>
      </c>
      <c r="I115" s="8">
        <f>IFERROR(H115/H445, "NA")</f>
        <v>0</v>
      </c>
      <c r="J115" s="9"/>
      <c r="K115" s="7">
        <v>0</v>
      </c>
      <c r="L115" s="8">
        <f>IFERROR(K115/K445, "NA")</f>
        <v>0</v>
      </c>
      <c r="M115" s="9"/>
      <c r="N115" s="10">
        <f t="shared" si="25"/>
        <v>0</v>
      </c>
      <c r="O115" s="8">
        <f>IFERROR(N115/N445, "NA")</f>
        <v>0</v>
      </c>
      <c r="P115" s="9"/>
      <c r="Q115" s="7">
        <v>0</v>
      </c>
      <c r="R115" s="8">
        <f>IFERROR(Q115/Q445, "NA")</f>
        <v>0</v>
      </c>
      <c r="S115" s="9"/>
      <c r="T115" s="7">
        <v>0</v>
      </c>
      <c r="U115" s="8">
        <f>IFERROR(T115/T445, "NA")</f>
        <v>0</v>
      </c>
      <c r="V115" s="9"/>
      <c r="W115" s="10">
        <f t="shared" si="26"/>
        <v>0</v>
      </c>
      <c r="X115" s="8">
        <f>IFERROR(W115/W445, "NA")</f>
        <v>0</v>
      </c>
      <c r="Y115" s="9"/>
      <c r="Z115" s="7">
        <v>0</v>
      </c>
      <c r="AA115" s="8">
        <f>IFERROR(Z115/Z445, "NA")</f>
        <v>0</v>
      </c>
      <c r="AB115" s="9"/>
      <c r="AC115" s="10">
        <f t="shared" si="27"/>
        <v>0</v>
      </c>
      <c r="AD115" s="8">
        <f>IFERROR(AC115/AC445,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IFERROR(B116/B445, "NA")</f>
        <v>0</v>
      </c>
      <c r="D116" s="9"/>
      <c r="E116" s="7">
        <v>0</v>
      </c>
      <c r="F116" s="8">
        <f>IFERROR(E116/E445, "NA")</f>
        <v>0</v>
      </c>
      <c r="G116" s="9"/>
      <c r="H116" s="10">
        <f t="shared" si="24"/>
        <v>0</v>
      </c>
      <c r="I116" s="8">
        <f>IFERROR(H116/H445, "NA")</f>
        <v>0</v>
      </c>
      <c r="J116" s="9"/>
      <c r="K116" s="7">
        <v>0</v>
      </c>
      <c r="L116" s="8">
        <f>IFERROR(K116/K445, "NA")</f>
        <v>0</v>
      </c>
      <c r="M116" s="9"/>
      <c r="N116" s="10">
        <f t="shared" si="25"/>
        <v>0</v>
      </c>
      <c r="O116" s="8">
        <f>IFERROR(N116/N445, "NA")</f>
        <v>0</v>
      </c>
      <c r="P116" s="9"/>
      <c r="Q116" s="7">
        <v>0</v>
      </c>
      <c r="R116" s="8">
        <f>IFERROR(Q116/Q445, "NA")</f>
        <v>0</v>
      </c>
      <c r="S116" s="9"/>
      <c r="T116" s="7">
        <v>0</v>
      </c>
      <c r="U116" s="8">
        <f>IFERROR(T116/T445, "NA")</f>
        <v>0</v>
      </c>
      <c r="V116" s="9"/>
      <c r="W116" s="10">
        <f t="shared" si="26"/>
        <v>0</v>
      </c>
      <c r="X116" s="8">
        <f>IFERROR(W116/W445, "NA")</f>
        <v>0</v>
      </c>
      <c r="Y116" s="9"/>
      <c r="Z116" s="7">
        <v>0</v>
      </c>
      <c r="AA116" s="8">
        <f>IFERROR(Z116/Z445, "NA")</f>
        <v>0</v>
      </c>
      <c r="AB116" s="9"/>
      <c r="AC116" s="10">
        <f t="shared" si="27"/>
        <v>0</v>
      </c>
      <c r="AD116" s="8">
        <f>IFERROR(AC116/AC445,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IFERROR(B117/B445, "NA")</f>
        <v>0</v>
      </c>
      <c r="D117" s="9"/>
      <c r="E117" s="7">
        <v>0</v>
      </c>
      <c r="F117" s="8">
        <f>IFERROR(E117/E445, "NA")</f>
        <v>0</v>
      </c>
      <c r="G117" s="9"/>
      <c r="H117" s="10">
        <f t="shared" si="24"/>
        <v>0</v>
      </c>
      <c r="I117" s="8">
        <f>IFERROR(H117/H445, "NA")</f>
        <v>0</v>
      </c>
      <c r="J117" s="9"/>
      <c r="K117" s="7">
        <v>0</v>
      </c>
      <c r="L117" s="8">
        <f>IFERROR(K117/K445, "NA")</f>
        <v>0</v>
      </c>
      <c r="M117" s="9"/>
      <c r="N117" s="10">
        <f t="shared" si="25"/>
        <v>0</v>
      </c>
      <c r="O117" s="8">
        <f>IFERROR(N117/N445, "NA")</f>
        <v>0</v>
      </c>
      <c r="P117" s="9"/>
      <c r="Q117" s="7">
        <v>0</v>
      </c>
      <c r="R117" s="8">
        <f>IFERROR(Q117/Q445, "NA")</f>
        <v>0</v>
      </c>
      <c r="S117" s="9"/>
      <c r="T117" s="7">
        <v>0</v>
      </c>
      <c r="U117" s="8">
        <f>IFERROR(T117/T445, "NA")</f>
        <v>0</v>
      </c>
      <c r="V117" s="9"/>
      <c r="W117" s="10">
        <f t="shared" si="26"/>
        <v>0</v>
      </c>
      <c r="X117" s="8">
        <f>IFERROR(W117/W445, "NA")</f>
        <v>0</v>
      </c>
      <c r="Y117" s="9"/>
      <c r="Z117" s="7">
        <v>0</v>
      </c>
      <c r="AA117" s="8">
        <f>IFERROR(Z117/Z445, "NA")</f>
        <v>0</v>
      </c>
      <c r="AB117" s="9"/>
      <c r="AC117" s="10">
        <f t="shared" si="27"/>
        <v>0</v>
      </c>
      <c r="AD117" s="8">
        <f>IFERROR(AC117/AC445,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-5503.5899999999992</v>
      </c>
      <c r="C118" s="15">
        <f>IFERROR(B118/B445, "NA")</f>
        <v>-3.435628940163727E-2</v>
      </c>
      <c r="D118" s="2"/>
      <c r="E118" s="14">
        <f>IFERROR(E94+E95+E96+E97+E98+E99+E100+E101+E102+E103+E104+E105+E106+E107+E108+E109+E110+E111+E112+E113+E114+E115+E116+E117, "NA")</f>
        <v>-7895.94</v>
      </c>
      <c r="F118" s="15">
        <f>IFERROR(E118/E445, "NA")</f>
        <v>-4.1000013292911801E-2</v>
      </c>
      <c r="G118" s="2"/>
      <c r="H118" s="14">
        <f t="shared" si="24"/>
        <v>2392.3500000000004</v>
      </c>
      <c r="I118" s="15">
        <f>IFERROR(H118/H445, "NA")</f>
        <v>-7.385572024878824E-2</v>
      </c>
      <c r="J118" s="2"/>
      <c r="K118" s="14">
        <f>IFERROR(K94+K95+K96+K97+K98+K99+K100+K101+K102+K103+K104+K105+K106+K107+K108+K109+K110+K111+K112+K113+K114+K115+K116+K117, "NA")</f>
        <v>-7009.74</v>
      </c>
      <c r="L118" s="15">
        <f>IFERROR(K118/K445, "NA")</f>
        <v>-3.9692432824152822E-2</v>
      </c>
      <c r="M118" s="2"/>
      <c r="N118" s="14">
        <f t="shared" si="25"/>
        <v>1506.1500000000005</v>
      </c>
      <c r="O118" s="15">
        <f>IFERROR(N118/N445, "NA")</f>
        <v>-9.1783624287696541E-2</v>
      </c>
      <c r="P118" s="2"/>
      <c r="Q118" s="14">
        <f>IFERROR(Q94+Q95+Q96+Q97+Q98+Q99+Q100+Q101+Q102+Q103+Q104+Q105+Q106+Q107+Q108+Q109+Q110+Q111+Q112+Q113+Q114+Q115+Q116+Q117, "NA")</f>
        <v>-30147.980000000003</v>
      </c>
      <c r="R118" s="15">
        <f>IFERROR(Q118/Q445, "NA")</f>
        <v>-3.2524030881840256E-2</v>
      </c>
      <c r="S118" s="2"/>
      <c r="T118" s="14">
        <f>IFERROR(T94+T95+T96+T97+T98+T99+T100+T101+T102+T103+T104+T105+T106+T107+T108+T109+T110+T111+T112+T113+T114+T115+T116+T117, "NA")</f>
        <v>-39355.699999999997</v>
      </c>
      <c r="U118" s="15">
        <f>IFERROR(T118/T445, "NA")</f>
        <v>-4.0999992395003911E-2</v>
      </c>
      <c r="V118" s="2"/>
      <c r="W118" s="14">
        <f t="shared" si="26"/>
        <v>9207.7199999999939</v>
      </c>
      <c r="X118" s="15">
        <f>IFERROR(W118/W445, "NA")</f>
        <v>-0.27944064042652966</v>
      </c>
      <c r="Y118" s="2"/>
      <c r="Z118" s="14">
        <f>IFERROR(Z94+Z95+Z96+Z97+Z98+Z99+Z100+Z101+Z102+Z103+Z104+Z105+Z106+Z107+Z108+Z109+Z110+Z111+Z112+Z113+Z114+Z115+Z116+Z117, "NA")</f>
        <v>-36540.799999999996</v>
      </c>
      <c r="AA118" s="15">
        <f>IFERROR(Z118/Z445, "NA")</f>
        <v>-4.0957660144363736E-2</v>
      </c>
      <c r="AB118" s="2"/>
      <c r="AC118" s="14">
        <f t="shared" si="27"/>
        <v>6392.8199999999924</v>
      </c>
      <c r="AD118" s="15">
        <f>IFERROR(AC118/AC445, "NA")</f>
        <v>0.18378400444796794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IFERROR(B119/B445, "NA")</f>
        <v>0</v>
      </c>
      <c r="D119" s="9"/>
      <c r="E119" s="7">
        <v>0</v>
      </c>
      <c r="F119" s="8">
        <f>IFERROR(E119/E445, "NA")</f>
        <v>0</v>
      </c>
      <c r="G119" s="9"/>
      <c r="H119" s="10">
        <f t="shared" si="24"/>
        <v>0</v>
      </c>
      <c r="I119" s="8">
        <f>IFERROR(H119/H445, "NA")</f>
        <v>0</v>
      </c>
      <c r="J119" s="9"/>
      <c r="K119" s="7">
        <v>0</v>
      </c>
      <c r="L119" s="8">
        <f>IFERROR(K119/K445, "NA")</f>
        <v>0</v>
      </c>
      <c r="M119" s="9"/>
      <c r="N119" s="10">
        <f t="shared" si="25"/>
        <v>0</v>
      </c>
      <c r="O119" s="8">
        <f>IFERROR(N119/N445, "NA")</f>
        <v>0</v>
      </c>
      <c r="P119" s="9"/>
      <c r="Q119" s="7">
        <v>0</v>
      </c>
      <c r="R119" s="8">
        <f>IFERROR(Q119/Q445, "NA")</f>
        <v>0</v>
      </c>
      <c r="S119" s="9"/>
      <c r="T119" s="7">
        <v>0</v>
      </c>
      <c r="U119" s="8">
        <f>IFERROR(T119/T445, "NA")</f>
        <v>0</v>
      </c>
      <c r="V119" s="9"/>
      <c r="W119" s="10">
        <f t="shared" si="26"/>
        <v>0</v>
      </c>
      <c r="X119" s="8">
        <f>IFERROR(W119/W445, "NA")</f>
        <v>0</v>
      </c>
      <c r="Y119" s="9"/>
      <c r="Z119" s="7">
        <v>0</v>
      </c>
      <c r="AA119" s="8">
        <f>IFERROR(Z119/Z445, "NA")</f>
        <v>0</v>
      </c>
      <c r="AB119" s="9"/>
      <c r="AC119" s="10">
        <f t="shared" si="27"/>
        <v>0</v>
      </c>
      <c r="AD119" s="8">
        <f>IFERROR(AC119/AC445,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IFERROR(B120/B445, "NA")</f>
        <v>0</v>
      </c>
      <c r="D120" s="9"/>
      <c r="E120" s="7">
        <v>0</v>
      </c>
      <c r="F120" s="8">
        <f>IFERROR(E120/E445, "NA")</f>
        <v>0</v>
      </c>
      <c r="G120" s="9"/>
      <c r="H120" s="10">
        <f t="shared" si="24"/>
        <v>0</v>
      </c>
      <c r="I120" s="8">
        <f>IFERROR(H120/H445, "NA")</f>
        <v>0</v>
      </c>
      <c r="J120" s="9"/>
      <c r="K120" s="7">
        <v>0</v>
      </c>
      <c r="L120" s="8">
        <f>IFERROR(K120/K445, "NA")</f>
        <v>0</v>
      </c>
      <c r="M120" s="9"/>
      <c r="N120" s="10">
        <f t="shared" si="25"/>
        <v>0</v>
      </c>
      <c r="O120" s="8">
        <f>IFERROR(N120/N445, "NA")</f>
        <v>0</v>
      </c>
      <c r="P120" s="9"/>
      <c r="Q120" s="7">
        <v>0</v>
      </c>
      <c r="R120" s="8">
        <f>IFERROR(Q120/Q445, "NA")</f>
        <v>0</v>
      </c>
      <c r="S120" s="9"/>
      <c r="T120" s="7">
        <v>0</v>
      </c>
      <c r="U120" s="8">
        <f>IFERROR(T120/T445, "NA")</f>
        <v>0</v>
      </c>
      <c r="V120" s="9"/>
      <c r="W120" s="10">
        <f t="shared" si="26"/>
        <v>0</v>
      </c>
      <c r="X120" s="8">
        <f>IFERROR(W120/W445, "NA")</f>
        <v>0</v>
      </c>
      <c r="Y120" s="9"/>
      <c r="Z120" s="7">
        <v>0</v>
      </c>
      <c r="AA120" s="8">
        <f>IFERROR(Z120/Z445, "NA")</f>
        <v>0</v>
      </c>
      <c r="AB120" s="9"/>
      <c r="AC120" s="10">
        <f t="shared" si="27"/>
        <v>0</v>
      </c>
      <c r="AD120" s="8">
        <f>IFERROR(AC120/AC445,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IFERROR(B121/B445, "NA")</f>
        <v>0</v>
      </c>
      <c r="D121" s="9"/>
      <c r="E121" s="7">
        <v>0</v>
      </c>
      <c r="F121" s="8">
        <f>IFERROR(E121/E445, "NA")</f>
        <v>0</v>
      </c>
      <c r="G121" s="9"/>
      <c r="H121" s="10">
        <f t="shared" si="24"/>
        <v>0</v>
      </c>
      <c r="I121" s="8">
        <f>IFERROR(H121/H445, "NA")</f>
        <v>0</v>
      </c>
      <c r="J121" s="9"/>
      <c r="K121" s="7">
        <v>0</v>
      </c>
      <c r="L121" s="8">
        <f>IFERROR(K121/K445, "NA")</f>
        <v>0</v>
      </c>
      <c r="M121" s="9"/>
      <c r="N121" s="10">
        <f t="shared" si="25"/>
        <v>0</v>
      </c>
      <c r="O121" s="8">
        <f>IFERROR(N121/N445, "NA")</f>
        <v>0</v>
      </c>
      <c r="P121" s="9"/>
      <c r="Q121" s="7">
        <v>0</v>
      </c>
      <c r="R121" s="8">
        <f>IFERROR(Q121/Q445, "NA")</f>
        <v>0</v>
      </c>
      <c r="S121" s="9"/>
      <c r="T121" s="7">
        <v>0</v>
      </c>
      <c r="U121" s="8">
        <f>IFERROR(T121/T445, "NA")</f>
        <v>0</v>
      </c>
      <c r="V121" s="9"/>
      <c r="W121" s="10">
        <f t="shared" si="26"/>
        <v>0</v>
      </c>
      <c r="X121" s="8">
        <f>IFERROR(W121/W445, "NA")</f>
        <v>0</v>
      </c>
      <c r="Y121" s="9"/>
      <c r="Z121" s="7">
        <v>0</v>
      </c>
      <c r="AA121" s="8">
        <f>IFERROR(Z121/Z445, "NA")</f>
        <v>0</v>
      </c>
      <c r="AB121" s="9"/>
      <c r="AC121" s="10">
        <f t="shared" si="27"/>
        <v>0</v>
      </c>
      <c r="AD121" s="8">
        <f>IFERROR(AC121/AC445,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160191.63</v>
      </c>
      <c r="C122" s="15">
        <f>IFERROR(B122/B445,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192583.84000000003</v>
      </c>
      <c r="F122" s="15">
        <f>IFERROR(E122/E445, "NA")</f>
        <v>1.0000000000000002</v>
      </c>
      <c r="G122" s="2"/>
      <c r="H122" s="14">
        <f t="shared" si="24"/>
        <v>-32392.210000000021</v>
      </c>
      <c r="I122" s="15">
        <f>IFERROR(H122/H445, "NA")</f>
        <v>1.0000000000000009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176601.42</v>
      </c>
      <c r="L122" s="15">
        <f>IFERROR(K122/K445, "NA")</f>
        <v>1</v>
      </c>
      <c r="M122" s="2"/>
      <c r="N122" s="14">
        <f t="shared" si="25"/>
        <v>-16409.790000000008</v>
      </c>
      <c r="O122" s="15">
        <f>IFERROR(N122/N445,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926944.76</v>
      </c>
      <c r="R122" s="15">
        <f>IFERROR(Q122/Q445,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959895.3</v>
      </c>
      <c r="U122" s="15">
        <f>IFERROR(T122/T445, "NA")</f>
        <v>1</v>
      </c>
      <c r="V122" s="2"/>
      <c r="W122" s="14">
        <f t="shared" si="26"/>
        <v>-32950.540000000037</v>
      </c>
      <c r="X122" s="15">
        <f>IFERROR(W122/W445,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892160.34</v>
      </c>
      <c r="AA122" s="15">
        <f>IFERROR(Z122/Z445, "NA")</f>
        <v>1</v>
      </c>
      <c r="AB122" s="2"/>
      <c r="AC122" s="14">
        <f t="shared" si="27"/>
        <v>34784.420000000042</v>
      </c>
      <c r="AD122" s="15">
        <f>IFERROR(AC122/AC445,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IFERROR(B123/B445, "NA")</f>
        <v>0</v>
      </c>
      <c r="D123" s="9"/>
      <c r="E123" s="7">
        <v>0</v>
      </c>
      <c r="F123" s="8">
        <f>IFERROR(E123/E445, "NA")</f>
        <v>0</v>
      </c>
      <c r="G123" s="9"/>
      <c r="H123" s="10">
        <f t="shared" si="24"/>
        <v>0</v>
      </c>
      <c r="I123" s="8">
        <f>IFERROR(H123/H445, "NA")</f>
        <v>0</v>
      </c>
      <c r="J123" s="9"/>
      <c r="K123" s="7">
        <v>0</v>
      </c>
      <c r="L123" s="8">
        <f>IFERROR(K123/K445, "NA")</f>
        <v>0</v>
      </c>
      <c r="M123" s="9"/>
      <c r="N123" s="10">
        <f t="shared" si="25"/>
        <v>0</v>
      </c>
      <c r="O123" s="8">
        <f>IFERROR(N123/N445, "NA")</f>
        <v>0</v>
      </c>
      <c r="P123" s="9"/>
      <c r="Q123" s="7">
        <v>0</v>
      </c>
      <c r="R123" s="8">
        <f>IFERROR(Q123/Q445, "NA")</f>
        <v>0</v>
      </c>
      <c r="S123" s="9"/>
      <c r="T123" s="7">
        <v>0</v>
      </c>
      <c r="U123" s="8">
        <f>IFERROR(T123/T445, "NA")</f>
        <v>0</v>
      </c>
      <c r="V123" s="9"/>
      <c r="W123" s="10">
        <f t="shared" si="26"/>
        <v>0</v>
      </c>
      <c r="X123" s="8">
        <f>IFERROR(W123/W445, "NA")</f>
        <v>0</v>
      </c>
      <c r="Y123" s="9"/>
      <c r="Z123" s="7">
        <v>0</v>
      </c>
      <c r="AA123" s="8">
        <f>IFERROR(Z123/Z445, "NA")</f>
        <v>0</v>
      </c>
      <c r="AB123" s="9"/>
      <c r="AC123" s="10">
        <f t="shared" si="27"/>
        <v>0</v>
      </c>
      <c r="AD123" s="8">
        <f>IFERROR(AC123/AC445,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160191.63</v>
      </c>
      <c r="C124" s="15">
        <f>IFERROR(B124/B445,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192583.84000000003</v>
      </c>
      <c r="F124" s="15">
        <f>IFERROR(E124/E445, "NA")</f>
        <v>1.0000000000000002</v>
      </c>
      <c r="G124" s="2"/>
      <c r="H124" s="14">
        <f t="shared" si="24"/>
        <v>-32392.210000000021</v>
      </c>
      <c r="I124" s="15">
        <f>IFERROR(H124/H445, "NA")</f>
        <v>1.0000000000000009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176601.42</v>
      </c>
      <c r="L124" s="15">
        <f>IFERROR(K124/K445, "NA")</f>
        <v>1</v>
      </c>
      <c r="M124" s="2"/>
      <c r="N124" s="14">
        <f t="shared" si="25"/>
        <v>-16409.790000000008</v>
      </c>
      <c r="O124" s="15">
        <f>IFERROR(N124/N445,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926944.76</v>
      </c>
      <c r="R124" s="15">
        <f>IFERROR(Q124/Q445,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959895.3</v>
      </c>
      <c r="U124" s="15">
        <f>IFERROR(T124/T445, "NA")</f>
        <v>1</v>
      </c>
      <c r="V124" s="2"/>
      <c r="W124" s="14">
        <f t="shared" si="26"/>
        <v>-32950.540000000037</v>
      </c>
      <c r="X124" s="15">
        <f>IFERROR(W124/W445,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892160.34</v>
      </c>
      <c r="AA124" s="15">
        <f>IFERROR(Z124/Z445, "NA")</f>
        <v>1</v>
      </c>
      <c r="AB124" s="2"/>
      <c r="AC124" s="14">
        <f t="shared" si="27"/>
        <v>34784.420000000042</v>
      </c>
      <c r="AD124" s="15">
        <f>IFERROR(AC124/AC445,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IFERROR(B127/B445, "NA")</f>
        <v>0</v>
      </c>
      <c r="D127" s="9"/>
      <c r="E127" s="7">
        <v>0</v>
      </c>
      <c r="F127" s="8">
        <f>IFERROR(E127/E445, "NA")</f>
        <v>0</v>
      </c>
      <c r="G127" s="9"/>
      <c r="H127" s="10">
        <f>IFERROR(-(B127-E127), "NA")</f>
        <v>0</v>
      </c>
      <c r="I127" s="8">
        <f>IFERROR(H127/H445, "NA")</f>
        <v>0</v>
      </c>
      <c r="J127" s="9"/>
      <c r="K127" s="7">
        <v>0</v>
      </c>
      <c r="L127" s="8">
        <f>IFERROR(K127/K445, "NA")</f>
        <v>0</v>
      </c>
      <c r="M127" s="9"/>
      <c r="N127" s="10">
        <f>IFERROR(-(B127-K127), "NA")</f>
        <v>0</v>
      </c>
      <c r="O127" s="8">
        <f>IFERROR(N127/N445, "NA")</f>
        <v>0</v>
      </c>
      <c r="P127" s="9"/>
      <c r="Q127" s="7">
        <v>0</v>
      </c>
      <c r="R127" s="8">
        <f>IFERROR(Q127/Q445, "NA")</f>
        <v>0</v>
      </c>
      <c r="S127" s="9"/>
      <c r="T127" s="7">
        <v>0</v>
      </c>
      <c r="U127" s="8">
        <f>IFERROR(T127/T445, "NA")</f>
        <v>0</v>
      </c>
      <c r="V127" s="9"/>
      <c r="W127" s="10">
        <f>IFERROR(-(Q127-T127), "NA")</f>
        <v>0</v>
      </c>
      <c r="X127" s="8">
        <f>IFERROR(W127/W445, "NA")</f>
        <v>0</v>
      </c>
      <c r="Y127" s="9"/>
      <c r="Z127" s="7">
        <v>0</v>
      </c>
      <c r="AA127" s="8">
        <f>IFERROR(Z127/Z445, "NA")</f>
        <v>0</v>
      </c>
      <c r="AB127" s="9"/>
      <c r="AC127" s="10">
        <f>IFERROR(-(Q127-Z127), "NA")</f>
        <v>0</v>
      </c>
      <c r="AD127" s="8">
        <f>IFERROR(AC127/AC445,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IFERROR(B129/B445, "NA")</f>
        <v>0</v>
      </c>
      <c r="D129" s="9"/>
      <c r="E129" s="7">
        <v>39287.11</v>
      </c>
      <c r="F129" s="8">
        <f>IFERROR(E129/E445, "NA")</f>
        <v>0.20400003447848999</v>
      </c>
      <c r="G129" s="9"/>
      <c r="H129" s="10">
        <f t="shared" ref="H129:H141" si="28">IFERROR(-(B129-E129), "NA")</f>
        <v>39287.11</v>
      </c>
      <c r="I129" s="8">
        <f>IFERROR(H129/H445, "NA")</f>
        <v>-1.2128567331466427</v>
      </c>
      <c r="J129" s="9"/>
      <c r="K129" s="7">
        <v>0</v>
      </c>
      <c r="L129" s="8">
        <f>IFERROR(K129/K445, "NA")</f>
        <v>0</v>
      </c>
      <c r="M129" s="9"/>
      <c r="N129" s="10">
        <f t="shared" ref="N129:N141" si="29">IFERROR(-(B129-K129), "NA")</f>
        <v>0</v>
      </c>
      <c r="O129" s="8">
        <f>IFERROR(N129/N445, "NA")</f>
        <v>0</v>
      </c>
      <c r="P129" s="9"/>
      <c r="Q129" s="7">
        <v>0</v>
      </c>
      <c r="R129" s="8">
        <f>IFERROR(Q129/Q445, "NA")</f>
        <v>0</v>
      </c>
      <c r="S129" s="9"/>
      <c r="T129" s="7">
        <v>197382.5</v>
      </c>
      <c r="U129" s="8">
        <f>IFERROR(T129/T445, "NA")</f>
        <v>0.20562919726766032</v>
      </c>
      <c r="V129" s="9"/>
      <c r="W129" s="10">
        <f t="shared" ref="W129:W141" si="30">IFERROR(-(Q129-T129), "NA")</f>
        <v>197382.5</v>
      </c>
      <c r="X129" s="8">
        <f>IFERROR(W129/W445, "NA")</f>
        <v>-5.9902660168846937</v>
      </c>
      <c r="Y129" s="9"/>
      <c r="Z129" s="7">
        <v>0</v>
      </c>
      <c r="AA129" s="8">
        <f>IFERROR(Z129/Z445, "NA")</f>
        <v>0</v>
      </c>
      <c r="AB129" s="9"/>
      <c r="AC129" s="10">
        <f t="shared" ref="AC129:AC141" si="31">IFERROR(-(Q129-Z129), "NA")</f>
        <v>0</v>
      </c>
      <c r="AD129" s="8">
        <f>IFERROR(AC129/AC445, "NA")</f>
        <v>0</v>
      </c>
    </row>
    <row r="130" spans="1:30" ht="16.5" customHeight="1" x14ac:dyDescent="0.45">
      <c r="A130" s="12" t="s">
        <v>122</v>
      </c>
      <c r="B130" s="7">
        <v>8333.8799999999992</v>
      </c>
      <c r="C130" s="8">
        <f>IFERROR(B130/B445, "NA")</f>
        <v>5.2024440977346938E-2</v>
      </c>
      <c r="D130" s="9"/>
      <c r="E130" s="7">
        <v>0</v>
      </c>
      <c r="F130" s="8">
        <f>IFERROR(E130/E445, "NA")</f>
        <v>0</v>
      </c>
      <c r="G130" s="9"/>
      <c r="H130" s="10">
        <f t="shared" si="28"/>
        <v>-8333.8799999999992</v>
      </c>
      <c r="I130" s="8">
        <f>IFERROR(H130/H445, "NA")</f>
        <v>0.25728037697952688</v>
      </c>
      <c r="J130" s="9"/>
      <c r="K130" s="7">
        <v>9346.66</v>
      </c>
      <c r="L130" s="8">
        <f>IFERROR(K130/K445, "NA")</f>
        <v>5.2925169004869835E-2</v>
      </c>
      <c r="M130" s="9"/>
      <c r="N130" s="10">
        <f t="shared" si="29"/>
        <v>1012.7800000000007</v>
      </c>
      <c r="O130" s="8">
        <f>IFERROR(N130/N445, "NA")</f>
        <v>-6.1718035392287172E-2</v>
      </c>
      <c r="P130" s="9"/>
      <c r="Q130" s="7">
        <v>44617.18</v>
      </c>
      <c r="R130" s="8">
        <f>IFERROR(Q130/Q445, "NA")</f>
        <v>4.8133591045921659E-2</v>
      </c>
      <c r="S130" s="9"/>
      <c r="T130" s="7">
        <v>0</v>
      </c>
      <c r="U130" s="8">
        <f>IFERROR(T130/T445, "NA")</f>
        <v>0</v>
      </c>
      <c r="V130" s="9"/>
      <c r="W130" s="10">
        <f t="shared" si="30"/>
        <v>-44617.18</v>
      </c>
      <c r="X130" s="8">
        <f>IFERROR(W130/W445, "NA")</f>
        <v>1.3540652141057461</v>
      </c>
      <c r="Y130" s="9"/>
      <c r="Z130" s="7">
        <v>48058.51</v>
      </c>
      <c r="AA130" s="8">
        <f>IFERROR(Z130/Z445, "NA")</f>
        <v>5.3867570486264837E-2</v>
      </c>
      <c r="AB130" s="9"/>
      <c r="AC130" s="10">
        <f t="shared" si="31"/>
        <v>3441.3300000000017</v>
      </c>
      <c r="AD130" s="8">
        <f>IFERROR(AC130/AC445, "NA")</f>
        <v>9.8933085559569423E-2</v>
      </c>
    </row>
    <row r="131" spans="1:30" ht="16.5" customHeight="1" x14ac:dyDescent="0.45">
      <c r="A131" s="12" t="s">
        <v>123</v>
      </c>
      <c r="B131" s="7">
        <v>4234.43</v>
      </c>
      <c r="C131" s="8">
        <f>IFERROR(B131/B445, "NA")</f>
        <v>2.6433528393462257E-2</v>
      </c>
      <c r="D131" s="9"/>
      <c r="E131" s="7">
        <v>0</v>
      </c>
      <c r="F131" s="8">
        <f>IFERROR(E131/E445, "NA")</f>
        <v>0</v>
      </c>
      <c r="G131" s="9"/>
      <c r="H131" s="10">
        <f t="shared" si="28"/>
        <v>-4234.43</v>
      </c>
      <c r="I131" s="8">
        <f>IFERROR(H131/H445, "NA")</f>
        <v>0.13072371412756342</v>
      </c>
      <c r="J131" s="9"/>
      <c r="K131" s="7">
        <v>4702.2700000000004</v>
      </c>
      <c r="L131" s="8">
        <f>IFERROR(K131/K445, "NA")</f>
        <v>2.6626456344462011E-2</v>
      </c>
      <c r="M131" s="9"/>
      <c r="N131" s="10">
        <f t="shared" si="29"/>
        <v>467.84000000000015</v>
      </c>
      <c r="O131" s="8">
        <f>IFERROR(N131/N445, "NA")</f>
        <v>-2.8509810302264679E-2</v>
      </c>
      <c r="P131" s="9"/>
      <c r="Q131" s="7">
        <v>24081.98</v>
      </c>
      <c r="R131" s="8">
        <f>IFERROR(Q131/Q445, "NA")</f>
        <v>2.5979951599273295E-2</v>
      </c>
      <c r="S131" s="9"/>
      <c r="T131" s="7">
        <v>0</v>
      </c>
      <c r="U131" s="8">
        <f>IFERROR(T131/T445, "NA")</f>
        <v>0</v>
      </c>
      <c r="V131" s="9"/>
      <c r="W131" s="10">
        <f t="shared" si="30"/>
        <v>-24081.98</v>
      </c>
      <c r="X131" s="8">
        <f>IFERROR(W131/W445, "NA")</f>
        <v>0.73085236235885576</v>
      </c>
      <c r="Y131" s="9"/>
      <c r="Z131" s="7">
        <v>24869.66</v>
      </c>
      <c r="AA131" s="8">
        <f>IFERROR(Z131/Z445, "NA")</f>
        <v>2.7875773989236061E-2</v>
      </c>
      <c r="AB131" s="9"/>
      <c r="AC131" s="10">
        <f t="shared" si="31"/>
        <v>787.68000000000029</v>
      </c>
      <c r="AD131" s="8">
        <f>IFERROR(AC131/AC445, "NA")</f>
        <v>2.264462078137279E-2</v>
      </c>
    </row>
    <row r="132" spans="1:30" ht="16.5" customHeight="1" x14ac:dyDescent="0.45">
      <c r="A132" s="12" t="s">
        <v>124</v>
      </c>
      <c r="B132" s="7">
        <v>6630.08</v>
      </c>
      <c r="C132" s="8">
        <f>IFERROR(B132/B445, "NA")</f>
        <v>4.1388429595229162E-2</v>
      </c>
      <c r="D132" s="9"/>
      <c r="E132" s="7">
        <v>0</v>
      </c>
      <c r="F132" s="8">
        <f>IFERROR(E132/E445, "NA")</f>
        <v>0</v>
      </c>
      <c r="G132" s="9"/>
      <c r="H132" s="10">
        <f t="shared" si="28"/>
        <v>-6630.08</v>
      </c>
      <c r="I132" s="8">
        <f>IFERROR(H132/H445, "NA")</f>
        <v>0.20468131072254722</v>
      </c>
      <c r="J132" s="9"/>
      <c r="K132" s="7">
        <v>8104.31</v>
      </c>
      <c r="L132" s="8">
        <f>IFERROR(K132/K445, "NA")</f>
        <v>4.5890401107760062E-2</v>
      </c>
      <c r="M132" s="9"/>
      <c r="N132" s="10">
        <f t="shared" si="29"/>
        <v>1474.2300000000005</v>
      </c>
      <c r="O132" s="8">
        <f>IFERROR(N132/N445, "NA")</f>
        <v>-8.9838444002025605E-2</v>
      </c>
      <c r="P132" s="9"/>
      <c r="Q132" s="7">
        <v>33606.17</v>
      </c>
      <c r="R132" s="8">
        <f>IFERROR(Q132/Q445, "NA")</f>
        <v>3.6254770996278135E-2</v>
      </c>
      <c r="S132" s="9"/>
      <c r="T132" s="7">
        <v>0</v>
      </c>
      <c r="U132" s="8">
        <f>IFERROR(T132/T445, "NA")</f>
        <v>0</v>
      </c>
      <c r="V132" s="9"/>
      <c r="W132" s="10">
        <f t="shared" si="30"/>
        <v>-33606.17</v>
      </c>
      <c r="X132" s="8">
        <f>IFERROR(W132/W445, "NA")</f>
        <v>1.019897397736121</v>
      </c>
      <c r="Y132" s="9"/>
      <c r="Z132" s="7">
        <v>34693.61</v>
      </c>
      <c r="AA132" s="8">
        <f>IFERROR(Z132/Z445, "NA")</f>
        <v>3.888719151088918E-2</v>
      </c>
      <c r="AB132" s="9"/>
      <c r="AC132" s="10">
        <f t="shared" si="31"/>
        <v>1087.4400000000023</v>
      </c>
      <c r="AD132" s="8">
        <f>IFERROR(AC132/AC445, "NA")</f>
        <v>3.1262272017184733E-2</v>
      </c>
    </row>
    <row r="133" spans="1:30" ht="16.5" customHeight="1" x14ac:dyDescent="0.45">
      <c r="A133" s="12" t="s">
        <v>125</v>
      </c>
      <c r="B133" s="7">
        <v>3577.55</v>
      </c>
      <c r="C133" s="8">
        <f>IFERROR(B133/B445, "NA")</f>
        <v>2.2332939617382006E-2</v>
      </c>
      <c r="D133" s="9"/>
      <c r="E133" s="7">
        <v>0</v>
      </c>
      <c r="F133" s="8">
        <f>IFERROR(E133/E445, "NA")</f>
        <v>0</v>
      </c>
      <c r="G133" s="9"/>
      <c r="H133" s="10">
        <f t="shared" si="28"/>
        <v>-3577.55</v>
      </c>
      <c r="I133" s="8">
        <f>IFERROR(H133/H445, "NA")</f>
        <v>0.1104447643430319</v>
      </c>
      <c r="J133" s="9"/>
      <c r="K133" s="7">
        <v>3869.41</v>
      </c>
      <c r="L133" s="8">
        <f>IFERROR(K133/K445, "NA")</f>
        <v>2.1910412724880691E-2</v>
      </c>
      <c r="M133" s="9"/>
      <c r="N133" s="10">
        <f t="shared" si="29"/>
        <v>291.85999999999967</v>
      </c>
      <c r="O133" s="8">
        <f>IFERROR(N133/N445, "NA")</f>
        <v>-1.7785724253631494E-2</v>
      </c>
      <c r="P133" s="9"/>
      <c r="Q133" s="7">
        <v>19725.8</v>
      </c>
      <c r="R133" s="8">
        <f>IFERROR(Q133/Q445, "NA")</f>
        <v>2.1280448254543238E-2</v>
      </c>
      <c r="S133" s="9"/>
      <c r="T133" s="7">
        <v>0</v>
      </c>
      <c r="U133" s="8">
        <f>IFERROR(T133/T445, "NA")</f>
        <v>0</v>
      </c>
      <c r="V133" s="9"/>
      <c r="W133" s="10">
        <f t="shared" si="30"/>
        <v>-19725.8</v>
      </c>
      <c r="X133" s="8">
        <f>IFERROR(W133/W445, "NA")</f>
        <v>0.5986487626606416</v>
      </c>
      <c r="Y133" s="9"/>
      <c r="Z133" s="7">
        <v>19012.41</v>
      </c>
      <c r="AA133" s="8">
        <f>IFERROR(Z133/Z445, "NA")</f>
        <v>2.1310530347045019E-2</v>
      </c>
      <c r="AB133" s="9"/>
      <c r="AC133" s="10">
        <f t="shared" si="31"/>
        <v>-713.38999999999942</v>
      </c>
      <c r="AD133" s="8">
        <f>IFERROR(AC133/AC445, "NA")</f>
        <v>-2.0508894499318905E-2</v>
      </c>
    </row>
    <row r="134" spans="1:30" ht="16.5" customHeight="1" x14ac:dyDescent="0.45">
      <c r="A134" s="12" t="s">
        <v>126</v>
      </c>
      <c r="B134" s="7">
        <v>2001.59</v>
      </c>
      <c r="C134" s="8">
        <f>IFERROR(B134/B445, "NA")</f>
        <v>1.2494972427710485E-2</v>
      </c>
      <c r="D134" s="9"/>
      <c r="E134" s="7">
        <v>0</v>
      </c>
      <c r="F134" s="8">
        <f>IFERROR(E134/E445, "NA")</f>
        <v>0</v>
      </c>
      <c r="G134" s="9"/>
      <c r="H134" s="10">
        <f t="shared" si="28"/>
        <v>-2001.59</v>
      </c>
      <c r="I134" s="8">
        <f>IFERROR(H134/H445, "NA")</f>
        <v>6.1792325994428923E-2</v>
      </c>
      <c r="J134" s="9"/>
      <c r="K134" s="7">
        <v>1502.61</v>
      </c>
      <c r="L134" s="8">
        <f>IFERROR(K134/K445, "NA")</f>
        <v>8.5084819816284591E-3</v>
      </c>
      <c r="M134" s="9"/>
      <c r="N134" s="10">
        <f t="shared" si="29"/>
        <v>-498.98</v>
      </c>
      <c r="O134" s="8">
        <f>IFERROR(N134/N445, "NA")</f>
        <v>3.0407457986969959E-2</v>
      </c>
      <c r="P134" s="9"/>
      <c r="Q134" s="7">
        <v>9679.89</v>
      </c>
      <c r="R134" s="8">
        <f>IFERROR(Q134/Q445, "NA")</f>
        <v>1.0442790571468357E-2</v>
      </c>
      <c r="S134" s="9"/>
      <c r="T134" s="7">
        <v>0</v>
      </c>
      <c r="U134" s="8">
        <f>IFERROR(T134/T445, "NA")</f>
        <v>0</v>
      </c>
      <c r="V134" s="9"/>
      <c r="W134" s="10">
        <f t="shared" si="30"/>
        <v>-9679.89</v>
      </c>
      <c r="X134" s="8">
        <f>IFERROR(W134/W445, "NA")</f>
        <v>0.29377029936383403</v>
      </c>
      <c r="Y134" s="9"/>
      <c r="Z134" s="7">
        <v>7401.56</v>
      </c>
      <c r="AA134" s="8">
        <f>IFERROR(Z134/Z445, "NA")</f>
        <v>8.2962217307261162E-3</v>
      </c>
      <c r="AB134" s="9"/>
      <c r="AC134" s="10">
        <f t="shared" si="31"/>
        <v>-2278.329999999999</v>
      </c>
      <c r="AD134" s="8">
        <f>IFERROR(AC134/AC445, "NA")</f>
        <v>-6.5498576661620234E-2</v>
      </c>
    </row>
    <row r="135" spans="1:30" ht="16.5" customHeight="1" x14ac:dyDescent="0.45">
      <c r="A135" s="12" t="s">
        <v>127</v>
      </c>
      <c r="B135" s="7">
        <v>1447.68</v>
      </c>
      <c r="C135" s="8">
        <f>IFERROR(B135/B445, "NA")</f>
        <v>9.0371762869258521E-3</v>
      </c>
      <c r="D135" s="9"/>
      <c r="E135" s="7">
        <v>0</v>
      </c>
      <c r="F135" s="8">
        <f>IFERROR(E135/E445, "NA")</f>
        <v>0</v>
      </c>
      <c r="G135" s="9"/>
      <c r="H135" s="10">
        <f t="shared" si="28"/>
        <v>-1447.68</v>
      </c>
      <c r="I135" s="8">
        <f>IFERROR(H135/H445, "NA")</f>
        <v>4.4692226927400151E-2</v>
      </c>
      <c r="J135" s="9"/>
      <c r="K135" s="7">
        <v>1575.54</v>
      </c>
      <c r="L135" s="8">
        <f>IFERROR(K135/K445, "NA")</f>
        <v>8.9214458184990811E-3</v>
      </c>
      <c r="M135" s="9"/>
      <c r="N135" s="10">
        <f t="shared" si="29"/>
        <v>127.8599999999999</v>
      </c>
      <c r="O135" s="8">
        <f>IFERROR(N135/N445, "NA")</f>
        <v>-7.7916902044450195E-3</v>
      </c>
      <c r="P135" s="9"/>
      <c r="Q135" s="7">
        <v>9134.7900000000009</v>
      </c>
      <c r="R135" s="8">
        <f>IFERROR(Q135/Q445, "NA")</f>
        <v>9.8547296389053449E-3</v>
      </c>
      <c r="S135" s="9"/>
      <c r="T135" s="7">
        <v>0</v>
      </c>
      <c r="U135" s="8">
        <f>IFERROR(T135/T445, "NA")</f>
        <v>0</v>
      </c>
      <c r="V135" s="9"/>
      <c r="W135" s="10">
        <f t="shared" si="30"/>
        <v>-9134.7900000000009</v>
      </c>
      <c r="X135" s="8">
        <f>IFERROR(W135/W445, "NA")</f>
        <v>0.27722732313339904</v>
      </c>
      <c r="Y135" s="9"/>
      <c r="Z135" s="7">
        <v>8362.9699999999993</v>
      </c>
      <c r="AA135" s="8">
        <f>IFERROR(Z135/Z445, "NA")</f>
        <v>9.3738419262169841E-3</v>
      </c>
      <c r="AB135" s="9"/>
      <c r="AC135" s="10">
        <f t="shared" si="31"/>
        <v>-771.82000000000153</v>
      </c>
      <c r="AD135" s="8">
        <f>IFERROR(AC135/AC445, "NA")</f>
        <v>-2.21886695250345E-2</v>
      </c>
    </row>
    <row r="136" spans="1:30" ht="16.5" customHeight="1" x14ac:dyDescent="0.45">
      <c r="A136" s="12" t="s">
        <v>128</v>
      </c>
      <c r="B136" s="7">
        <v>0</v>
      </c>
      <c r="C136" s="8">
        <f>IFERROR(B136/B445, "NA")</f>
        <v>0</v>
      </c>
      <c r="D136" s="9"/>
      <c r="E136" s="7">
        <v>0</v>
      </c>
      <c r="F136" s="8">
        <f>IFERROR(E136/E445, "NA")</f>
        <v>0</v>
      </c>
      <c r="G136" s="9"/>
      <c r="H136" s="10">
        <f t="shared" si="28"/>
        <v>0</v>
      </c>
      <c r="I136" s="8">
        <f>IFERROR(H136/H445, "NA")</f>
        <v>0</v>
      </c>
      <c r="J136" s="9"/>
      <c r="K136" s="7">
        <v>947.37</v>
      </c>
      <c r="L136" s="8">
        <f>IFERROR(K136/K445, "NA")</f>
        <v>5.3644529019075838E-3</v>
      </c>
      <c r="M136" s="9"/>
      <c r="N136" s="10">
        <f t="shared" si="29"/>
        <v>947.37</v>
      </c>
      <c r="O136" s="8">
        <f>IFERROR(N136/N445, "NA")</f>
        <v>-5.7732000226693912E-2</v>
      </c>
      <c r="P136" s="9"/>
      <c r="Q136" s="7">
        <v>0</v>
      </c>
      <c r="R136" s="8">
        <f>IFERROR(Q136/Q445, "NA")</f>
        <v>0</v>
      </c>
      <c r="S136" s="9"/>
      <c r="T136" s="7">
        <v>0</v>
      </c>
      <c r="U136" s="8">
        <f>IFERROR(T136/T445, "NA")</f>
        <v>0</v>
      </c>
      <c r="V136" s="9"/>
      <c r="W136" s="10">
        <f t="shared" si="30"/>
        <v>0</v>
      </c>
      <c r="X136" s="8">
        <f>IFERROR(W136/W445, "NA")</f>
        <v>0</v>
      </c>
      <c r="Y136" s="9"/>
      <c r="Z136" s="7">
        <v>6328.65</v>
      </c>
      <c r="AA136" s="8">
        <f>IFERROR(Z136/Z445, "NA")</f>
        <v>7.0936240003674671E-3</v>
      </c>
      <c r="AB136" s="9"/>
      <c r="AC136" s="10">
        <f t="shared" si="31"/>
        <v>6328.65</v>
      </c>
      <c r="AD136" s="8">
        <f>IFERROR(AC136/AC445, "NA")</f>
        <v>0.18193921301548199</v>
      </c>
    </row>
    <row r="137" spans="1:30" ht="16.5" customHeight="1" x14ac:dyDescent="0.45">
      <c r="A137" s="12" t="s">
        <v>129</v>
      </c>
      <c r="B137" s="7">
        <v>637.04999999999995</v>
      </c>
      <c r="C137" s="8">
        <f>IFERROR(B137/B445, "NA")</f>
        <v>3.9767995369046428E-3</v>
      </c>
      <c r="D137" s="9"/>
      <c r="E137" s="7">
        <v>0</v>
      </c>
      <c r="F137" s="8">
        <f>IFERROR(E137/E445, "NA")</f>
        <v>0</v>
      </c>
      <c r="G137" s="9"/>
      <c r="H137" s="10">
        <f t="shared" si="28"/>
        <v>-637.04999999999995</v>
      </c>
      <c r="I137" s="8">
        <f>IFERROR(H137/H445, "NA")</f>
        <v>1.9666765558756259E-2</v>
      </c>
      <c r="J137" s="9"/>
      <c r="K137" s="7">
        <v>826.3</v>
      </c>
      <c r="L137" s="8">
        <f>IFERROR(K137/K445, "NA")</f>
        <v>4.6788978253968737E-3</v>
      </c>
      <c r="M137" s="9"/>
      <c r="N137" s="10">
        <f t="shared" si="29"/>
        <v>189.25</v>
      </c>
      <c r="O137" s="8">
        <f>IFERROR(N137/N445, "NA")</f>
        <v>-1.1532749657369163E-2</v>
      </c>
      <c r="P137" s="9"/>
      <c r="Q137" s="7">
        <v>3727.56</v>
      </c>
      <c r="R137" s="8">
        <f>IFERROR(Q137/Q445, "NA")</f>
        <v>4.0213399555762089E-3</v>
      </c>
      <c r="S137" s="9"/>
      <c r="T137" s="7">
        <v>0</v>
      </c>
      <c r="U137" s="8">
        <f>IFERROR(T137/T445, "NA")</f>
        <v>0</v>
      </c>
      <c r="V137" s="9"/>
      <c r="W137" s="10">
        <f t="shared" si="30"/>
        <v>-3727.56</v>
      </c>
      <c r="X137" s="8">
        <f>IFERROR(W137/W445, "NA")</f>
        <v>0.11312591538712251</v>
      </c>
      <c r="Y137" s="9"/>
      <c r="Z137" s="7">
        <v>3986.58</v>
      </c>
      <c r="AA137" s="8">
        <f>IFERROR(Z137/Z445, "NA")</f>
        <v>4.4684568695353578E-3</v>
      </c>
      <c r="AB137" s="9"/>
      <c r="AC137" s="10">
        <f t="shared" si="31"/>
        <v>259.02</v>
      </c>
      <c r="AD137" s="8">
        <f>IFERROR(AC137/AC445, "NA")</f>
        <v>7.4464372267814055E-3</v>
      </c>
    </row>
    <row r="138" spans="1:30" ht="16.5" customHeight="1" x14ac:dyDescent="0.45">
      <c r="A138" s="12" t="s">
        <v>130</v>
      </c>
      <c r="B138" s="7">
        <v>9234.8799999999992</v>
      </c>
      <c r="C138" s="8">
        <f>IFERROR(B138/B445, "NA")</f>
        <v>5.764895456772616E-2</v>
      </c>
      <c r="D138" s="9"/>
      <c r="E138" s="7">
        <v>0</v>
      </c>
      <c r="F138" s="8">
        <f>IFERROR(E138/E445, "NA")</f>
        <v>0</v>
      </c>
      <c r="G138" s="9"/>
      <c r="H138" s="10">
        <f t="shared" si="28"/>
        <v>-9234.8799999999992</v>
      </c>
      <c r="I138" s="8">
        <f>IFERROR(H138/H445, "NA")</f>
        <v>0.28509570665292677</v>
      </c>
      <c r="J138" s="9"/>
      <c r="K138" s="7">
        <v>10632.73</v>
      </c>
      <c r="L138" s="8">
        <f>IFERROR(K138/K445, "NA")</f>
        <v>6.0207500030294202E-2</v>
      </c>
      <c r="M138" s="9"/>
      <c r="N138" s="10">
        <f t="shared" si="29"/>
        <v>1397.8500000000004</v>
      </c>
      <c r="O138" s="8">
        <f>IFERROR(N138/N445, "NA")</f>
        <v>-8.518390546131302E-2</v>
      </c>
      <c r="P138" s="9"/>
      <c r="Q138" s="7">
        <v>55751.3</v>
      </c>
      <c r="R138" s="8">
        <f>IFERROR(Q138/Q445, "NA")</f>
        <v>6.0145223756375731E-2</v>
      </c>
      <c r="S138" s="9"/>
      <c r="T138" s="7">
        <v>0</v>
      </c>
      <c r="U138" s="8">
        <f>IFERROR(T138/T445, "NA")</f>
        <v>0</v>
      </c>
      <c r="V138" s="9"/>
      <c r="W138" s="10">
        <f t="shared" si="30"/>
        <v>-55751.3</v>
      </c>
      <c r="X138" s="8">
        <f>IFERROR(W138/W445, "NA")</f>
        <v>1.6919692363160039</v>
      </c>
      <c r="Y138" s="9"/>
      <c r="Z138" s="7">
        <v>48828.639999999999</v>
      </c>
      <c r="AA138" s="8">
        <f>IFERROR(Z138/Z445, "NA")</f>
        <v>5.473078975915921E-2</v>
      </c>
      <c r="AB138" s="9"/>
      <c r="AC138" s="10">
        <f t="shared" si="31"/>
        <v>-6922.6600000000035</v>
      </c>
      <c r="AD138" s="8">
        <f>IFERROR(AC138/AC445, "NA")</f>
        <v>-0.19901611123600724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IFERROR(B139/B445, "NA")</f>
        <v>0</v>
      </c>
      <c r="D139" s="9"/>
      <c r="E139" s="7">
        <v>0</v>
      </c>
      <c r="F139" s="8">
        <f>IFERROR(E139/E445, "NA")</f>
        <v>0</v>
      </c>
      <c r="G139" s="9"/>
      <c r="H139" s="10">
        <f t="shared" si="28"/>
        <v>0</v>
      </c>
      <c r="I139" s="8">
        <f>IFERROR(H139/H445, "NA")</f>
        <v>0</v>
      </c>
      <c r="J139" s="9"/>
      <c r="K139" s="7">
        <v>0</v>
      </c>
      <c r="L139" s="8">
        <f>IFERROR(K139/K445, "NA")</f>
        <v>0</v>
      </c>
      <c r="M139" s="9"/>
      <c r="N139" s="10">
        <f t="shared" si="29"/>
        <v>0</v>
      </c>
      <c r="O139" s="8">
        <f>IFERROR(N139/N445, "NA")</f>
        <v>0</v>
      </c>
      <c r="P139" s="9"/>
      <c r="Q139" s="7">
        <v>0</v>
      </c>
      <c r="R139" s="8">
        <f>IFERROR(Q139/Q445, "NA")</f>
        <v>0</v>
      </c>
      <c r="S139" s="9"/>
      <c r="T139" s="7">
        <v>0</v>
      </c>
      <c r="U139" s="8">
        <f>IFERROR(T139/T445, "NA")</f>
        <v>0</v>
      </c>
      <c r="V139" s="9"/>
      <c r="W139" s="10">
        <f t="shared" si="30"/>
        <v>0</v>
      </c>
      <c r="X139" s="8">
        <f>IFERROR(W139/W445, "NA")</f>
        <v>0</v>
      </c>
      <c r="Y139" s="9"/>
      <c r="Z139" s="7">
        <v>0</v>
      </c>
      <c r="AA139" s="8">
        <f>IFERROR(Z139/Z445, "NA")</f>
        <v>0</v>
      </c>
      <c r="AB139" s="9"/>
      <c r="AC139" s="10">
        <f t="shared" si="31"/>
        <v>0</v>
      </c>
      <c r="AD139" s="8">
        <f>IFERROR(AC139/AC445,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IFERROR(B140/B445, "NA")</f>
        <v>0</v>
      </c>
      <c r="D140" s="9"/>
      <c r="E140" s="7">
        <v>0</v>
      </c>
      <c r="F140" s="8">
        <f>IFERROR(E140/E445, "NA")</f>
        <v>0</v>
      </c>
      <c r="G140" s="9"/>
      <c r="H140" s="10">
        <f t="shared" si="28"/>
        <v>0</v>
      </c>
      <c r="I140" s="8">
        <f>IFERROR(H140/H445, "NA")</f>
        <v>0</v>
      </c>
      <c r="J140" s="9"/>
      <c r="K140" s="7">
        <v>0</v>
      </c>
      <c r="L140" s="8">
        <f>IFERROR(K140/K445, "NA")</f>
        <v>0</v>
      </c>
      <c r="M140" s="9"/>
      <c r="N140" s="10">
        <f t="shared" si="29"/>
        <v>0</v>
      </c>
      <c r="O140" s="8">
        <f>IFERROR(N140/N445, "NA")</f>
        <v>0</v>
      </c>
      <c r="P140" s="9"/>
      <c r="Q140" s="7">
        <v>0</v>
      </c>
      <c r="R140" s="8">
        <f>IFERROR(Q140/Q445, "NA")</f>
        <v>0</v>
      </c>
      <c r="S140" s="9"/>
      <c r="T140" s="7">
        <v>0</v>
      </c>
      <c r="U140" s="8">
        <f>IFERROR(T140/T445, "NA")</f>
        <v>0</v>
      </c>
      <c r="V140" s="9"/>
      <c r="W140" s="10">
        <f t="shared" si="30"/>
        <v>0</v>
      </c>
      <c r="X140" s="8">
        <f>IFERROR(W140/W445, "NA")</f>
        <v>0</v>
      </c>
      <c r="Y140" s="9"/>
      <c r="Z140" s="7">
        <v>0</v>
      </c>
      <c r="AA140" s="8">
        <f>IFERROR(Z140/Z445, "NA")</f>
        <v>0</v>
      </c>
      <c r="AB140" s="9"/>
      <c r="AC140" s="10">
        <f t="shared" si="31"/>
        <v>0</v>
      </c>
      <c r="AD140" s="8">
        <f>IFERROR(AC140/AC445,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36097.14</v>
      </c>
      <c r="C141" s="15">
        <f>IFERROR(B141/B445, "NA")</f>
        <v>0.22533724140268752</v>
      </c>
      <c r="D141" s="2"/>
      <c r="E141" s="14">
        <f>IFERROR(E129+E130+E131+E132+E133+E134+E135+E136+E137+E138+E139+E140, "NA")</f>
        <v>39287.11</v>
      </c>
      <c r="F141" s="15">
        <f>IFERROR(E141/E445, "NA")</f>
        <v>0.20400003447848999</v>
      </c>
      <c r="G141" s="2"/>
      <c r="H141" s="14">
        <f t="shared" si="28"/>
        <v>3189.9700000000012</v>
      </c>
      <c r="I141" s="15">
        <f>IFERROR(H141/H445, "NA")</f>
        <v>-9.847954184046108E-2</v>
      </c>
      <c r="J141" s="2"/>
      <c r="K141" s="14">
        <f>IFERROR(K129+K130+K131+K132+K133+K134+K135+K136+K137+K138+K139+K140, "NA")</f>
        <v>41507.199999999997</v>
      </c>
      <c r="L141" s="15">
        <f>IFERROR(K141/K445, "NA")</f>
        <v>0.23503321773969876</v>
      </c>
      <c r="M141" s="2"/>
      <c r="N141" s="14">
        <f t="shared" si="29"/>
        <v>5410.0599999999977</v>
      </c>
      <c r="O141" s="15">
        <f>IFERROR(N141/N445, "NA")</f>
        <v>-0.3296849015130599</v>
      </c>
      <c r="P141" s="2"/>
      <c r="Q141" s="14">
        <f>IFERROR(Q129+Q130+Q131+Q132+Q133+Q134+Q135+Q136+Q137+Q138+Q139+Q140, "NA")</f>
        <v>200324.67000000004</v>
      </c>
      <c r="R141" s="15">
        <f>IFERROR(Q141/Q445, "NA")</f>
        <v>0.216112845818342</v>
      </c>
      <c r="S141" s="2"/>
      <c r="T141" s="14">
        <f>IFERROR(T129+T130+T131+T132+T133+T134+T135+T136+T137+T138+T139+T140, "NA")</f>
        <v>197382.5</v>
      </c>
      <c r="U141" s="15">
        <f>IFERROR(T141/T445, "NA")</f>
        <v>0.20562919726766032</v>
      </c>
      <c r="V141" s="2"/>
      <c r="W141" s="14">
        <f t="shared" si="30"/>
        <v>-2942.1700000000419</v>
      </c>
      <c r="X141" s="15">
        <f>IFERROR(W141/W445, "NA")</f>
        <v>8.9290494177031346E-2</v>
      </c>
      <c r="Y141" s="2"/>
      <c r="Z141" s="14">
        <f>IFERROR(Z129+Z130+Z131+Z132+Z133+Z134+Z135+Z136+Z137+Z138+Z139+Z140, "NA")</f>
        <v>201542.58999999997</v>
      </c>
      <c r="AA141" s="15">
        <f>IFERROR(Z141/Z445, "NA")</f>
        <v>0.22590400061944019</v>
      </c>
      <c r="AB141" s="2"/>
      <c r="AC141" s="14">
        <f t="shared" si="31"/>
        <v>1217.9199999999255</v>
      </c>
      <c r="AD141" s="15">
        <f>IFERROR(AC141/AC445, "NA")</f>
        <v>3.5013376678407288E-2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IFERROR(B143/B445, "NA")</f>
        <v>0</v>
      </c>
      <c r="D143" s="9"/>
      <c r="E143" s="7">
        <v>1733.25</v>
      </c>
      <c r="F143" s="8">
        <f>IFERROR(E143/E445, "NA")</f>
        <v>8.9999763220008494E-3</v>
      </c>
      <c r="G143" s="9"/>
      <c r="H143" s="10">
        <f t="shared" ref="H143:H149" si="32">IFERROR(-(B143-E143), "NA")</f>
        <v>1733.25</v>
      </c>
      <c r="I143" s="8">
        <f>IFERROR(H143/H445, "NA")</f>
        <v>-5.3508235467725124E-2</v>
      </c>
      <c r="J143" s="9"/>
      <c r="K143" s="7">
        <v>0</v>
      </c>
      <c r="L143" s="8">
        <f>IFERROR(K143/K445, "NA")</f>
        <v>0</v>
      </c>
      <c r="M143" s="9"/>
      <c r="N143" s="10">
        <f t="shared" ref="N143:N149" si="33">IFERROR(-(B143-K143), "NA")</f>
        <v>0</v>
      </c>
      <c r="O143" s="8">
        <f>IFERROR(N143/N445, "NA")</f>
        <v>0</v>
      </c>
      <c r="P143" s="9"/>
      <c r="Q143" s="7">
        <v>0</v>
      </c>
      <c r="R143" s="8">
        <f>IFERROR(Q143/Q445, "NA")</f>
        <v>0</v>
      </c>
      <c r="S143" s="9"/>
      <c r="T143" s="7">
        <v>8639.0499999999993</v>
      </c>
      <c r="U143" s="8">
        <f>IFERROR(T143/T445, "NA")</f>
        <v>8.9999919782917971E-3</v>
      </c>
      <c r="V143" s="9"/>
      <c r="W143" s="10">
        <f t="shared" ref="W143:W149" si="34">IFERROR(-(Q143-T143), "NA")</f>
        <v>8639.0499999999993</v>
      </c>
      <c r="X143" s="8">
        <f>IFERROR(W143/W445, "NA")</f>
        <v>-0.2621823496671068</v>
      </c>
      <c r="Y143" s="9"/>
      <c r="Z143" s="7">
        <v>0</v>
      </c>
      <c r="AA143" s="8">
        <f>IFERROR(Z143/Z445, "NA")</f>
        <v>0</v>
      </c>
      <c r="AB143" s="9"/>
      <c r="AC143" s="10">
        <f t="shared" ref="AC143:AC149" si="35">IFERROR(-(Q143-Z143), "NA")</f>
        <v>0</v>
      </c>
      <c r="AD143" s="8">
        <f>IFERROR(AC143/AC445, "NA")</f>
        <v>0</v>
      </c>
    </row>
    <row r="144" spans="1:30" ht="16.5" customHeight="1" x14ac:dyDescent="0.45">
      <c r="A144" s="12" t="s">
        <v>135</v>
      </c>
      <c r="B144" s="7">
        <v>1750.53</v>
      </c>
      <c r="C144" s="8">
        <f>IFERROR(B144/B445, "NA")</f>
        <v>1.0927724500961754E-2</v>
      </c>
      <c r="D144" s="9"/>
      <c r="E144" s="7">
        <v>0</v>
      </c>
      <c r="F144" s="8">
        <f>IFERROR(E144/E445, "NA")</f>
        <v>0</v>
      </c>
      <c r="G144" s="9"/>
      <c r="H144" s="10">
        <f t="shared" si="32"/>
        <v>-1750.53</v>
      </c>
      <c r="I144" s="8">
        <f>IFERROR(H144/H445, "NA")</f>
        <v>5.4041697062349264E-2</v>
      </c>
      <c r="J144" s="9"/>
      <c r="K144" s="7">
        <v>2169.75</v>
      </c>
      <c r="L144" s="8">
        <f>IFERROR(K144/K445, "NA")</f>
        <v>1.2286141300562587E-2</v>
      </c>
      <c r="M144" s="9"/>
      <c r="N144" s="10">
        <f t="shared" si="33"/>
        <v>419.22</v>
      </c>
      <c r="O144" s="8">
        <f>IFERROR(N144/N445, "NA")</f>
        <v>-2.5546944842072924E-2</v>
      </c>
      <c r="P144" s="9"/>
      <c r="Q144" s="7">
        <v>9637.64</v>
      </c>
      <c r="R144" s="8">
        <f>IFERROR(Q144/Q445, "NA")</f>
        <v>1.0397210724833267E-2</v>
      </c>
      <c r="S144" s="9"/>
      <c r="T144" s="7">
        <v>0</v>
      </c>
      <c r="U144" s="8">
        <f>IFERROR(T144/T445, "NA")</f>
        <v>0</v>
      </c>
      <c r="V144" s="9"/>
      <c r="W144" s="10">
        <f t="shared" si="34"/>
        <v>-9637.64</v>
      </c>
      <c r="X144" s="8">
        <f>IFERROR(W144/W445, "NA")</f>
        <v>0.29248807455052295</v>
      </c>
      <c r="Y144" s="9"/>
      <c r="Z144" s="7">
        <v>8395.69</v>
      </c>
      <c r="AA144" s="8">
        <f>IFERROR(Z144/Z445, "NA")</f>
        <v>9.4105169481082298E-3</v>
      </c>
      <c r="AB144" s="9"/>
      <c r="AC144" s="10">
        <f t="shared" si="35"/>
        <v>-1241.9499999999989</v>
      </c>
      <c r="AD144" s="8">
        <f>IFERROR(AC144/AC445, "NA")</f>
        <v>-3.5704203203618098E-2</v>
      </c>
    </row>
    <row r="145" spans="1:30" ht="16.5" customHeight="1" x14ac:dyDescent="0.45">
      <c r="A145" s="12" t="s">
        <v>136</v>
      </c>
      <c r="B145" s="7">
        <v>30.74</v>
      </c>
      <c r="C145" s="8">
        <f>IFERROR(B145/B445, "NA")</f>
        <v>1.9189516955411465E-4</v>
      </c>
      <c r="D145" s="9"/>
      <c r="E145" s="7">
        <v>0</v>
      </c>
      <c r="F145" s="8">
        <f>IFERROR(E145/E445, "NA")</f>
        <v>0</v>
      </c>
      <c r="G145" s="9"/>
      <c r="H145" s="10">
        <f t="shared" si="32"/>
        <v>-30.74</v>
      </c>
      <c r="I145" s="8">
        <f>IFERROR(H145/H445, "NA")</f>
        <v>9.4899360062187805E-4</v>
      </c>
      <c r="J145" s="9"/>
      <c r="K145" s="7">
        <v>1413.78</v>
      </c>
      <c r="L145" s="8">
        <f>IFERROR(K145/K445, "NA")</f>
        <v>8.0054848936095754E-3</v>
      </c>
      <c r="M145" s="9"/>
      <c r="N145" s="10">
        <f t="shared" si="33"/>
        <v>1383.04</v>
      </c>
      <c r="O145" s="8">
        <f>IFERROR(N145/N445, "NA")</f>
        <v>-8.4281395435285844E-2</v>
      </c>
      <c r="P145" s="9"/>
      <c r="Q145" s="7">
        <v>191.86</v>
      </c>
      <c r="R145" s="8">
        <f>IFERROR(Q145/Q445, "NA")</f>
        <v>2.06981050305522E-4</v>
      </c>
      <c r="S145" s="9"/>
      <c r="T145" s="7">
        <v>0</v>
      </c>
      <c r="U145" s="8">
        <f>IFERROR(T145/T445, "NA")</f>
        <v>0</v>
      </c>
      <c r="V145" s="9"/>
      <c r="W145" s="10">
        <f t="shared" si="34"/>
        <v>-191.86</v>
      </c>
      <c r="X145" s="8">
        <f>IFERROR(W145/W445, "NA")</f>
        <v>5.8226663356655091E-3</v>
      </c>
      <c r="Y145" s="9"/>
      <c r="Z145" s="7">
        <v>482.4</v>
      </c>
      <c r="AA145" s="8">
        <f>IFERROR(Z145/Z445, "NA")</f>
        <v>5.4070998045037508E-4</v>
      </c>
      <c r="AB145" s="9"/>
      <c r="AC145" s="10">
        <f t="shared" si="35"/>
        <v>290.53999999999996</v>
      </c>
      <c r="AD145" s="8">
        <f>IFERROR(AC145/AC445, "NA")</f>
        <v>8.352590038873715E-3</v>
      </c>
    </row>
    <row r="146" spans="1:30" ht="16.5" customHeight="1" x14ac:dyDescent="0.45">
      <c r="A146" s="12" t="s">
        <v>137</v>
      </c>
      <c r="B146" s="7">
        <v>2.4</v>
      </c>
      <c r="C146" s="8">
        <f>IFERROR(B146/B445, "NA")</f>
        <v>1.4982056178590603E-5</v>
      </c>
      <c r="D146" s="9"/>
      <c r="E146" s="7">
        <v>0</v>
      </c>
      <c r="F146" s="8">
        <f>IFERROR(E146/E445, "NA")</f>
        <v>0</v>
      </c>
      <c r="G146" s="9"/>
      <c r="H146" s="10">
        <f t="shared" si="32"/>
        <v>-2.4</v>
      </c>
      <c r="I146" s="8">
        <f>IFERROR(H146/H445, "NA")</f>
        <v>7.4091888142241628E-5</v>
      </c>
      <c r="J146" s="9"/>
      <c r="K146" s="7">
        <v>190.03</v>
      </c>
      <c r="L146" s="8">
        <f>IFERROR(K146/K445, "NA")</f>
        <v>1.0760389129373931E-3</v>
      </c>
      <c r="M146" s="9"/>
      <c r="N146" s="10">
        <f t="shared" si="33"/>
        <v>187.63</v>
      </c>
      <c r="O146" s="8">
        <f>IFERROR(N146/N445, "NA")</f>
        <v>-1.1434028101517443E-2</v>
      </c>
      <c r="P146" s="9"/>
      <c r="Q146" s="7">
        <v>18.39</v>
      </c>
      <c r="R146" s="8">
        <f>IFERROR(Q146/Q445, "NA")</f>
        <v>1.9839369931817727E-5</v>
      </c>
      <c r="S146" s="9"/>
      <c r="T146" s="7">
        <v>0</v>
      </c>
      <c r="U146" s="8">
        <f>IFERROR(T146/T445, "NA")</f>
        <v>0</v>
      </c>
      <c r="V146" s="9"/>
      <c r="W146" s="10">
        <f t="shared" si="34"/>
        <v>-18.39</v>
      </c>
      <c r="X146" s="8">
        <f>IFERROR(W146/W445, "NA")</f>
        <v>5.5810921459860689E-4</v>
      </c>
      <c r="Y146" s="9"/>
      <c r="Z146" s="7">
        <v>1049.54</v>
      </c>
      <c r="AA146" s="8">
        <f>IFERROR(Z146/Z445, "NA")</f>
        <v>1.1764028874002627E-3</v>
      </c>
      <c r="AB146" s="9"/>
      <c r="AC146" s="10">
        <f t="shared" si="35"/>
        <v>1031.1499999999999</v>
      </c>
      <c r="AD146" s="8">
        <f>IFERROR(AC146/AC445, "NA")</f>
        <v>2.964401878772159E-2</v>
      </c>
    </row>
    <row r="147" spans="1:30" ht="16.5" customHeight="1" x14ac:dyDescent="0.45">
      <c r="A147" s="12" t="s">
        <v>138</v>
      </c>
      <c r="B147" s="7">
        <v>14.16</v>
      </c>
      <c r="C147" s="8">
        <f>IFERROR(B147/B445, "NA")</f>
        <v>8.8394131453684561E-5</v>
      </c>
      <c r="D147" s="9"/>
      <c r="E147" s="7">
        <v>0</v>
      </c>
      <c r="F147" s="8">
        <f>IFERROR(E147/E445, "NA")</f>
        <v>0</v>
      </c>
      <c r="G147" s="9"/>
      <c r="H147" s="10">
        <f t="shared" si="32"/>
        <v>-14.16</v>
      </c>
      <c r="I147" s="8">
        <f>IFERROR(H147/H445, "NA")</f>
        <v>4.3714214003922561E-4</v>
      </c>
      <c r="J147" s="9"/>
      <c r="K147" s="7">
        <v>54.51</v>
      </c>
      <c r="L147" s="8">
        <f>IFERROR(K147/K445, "NA")</f>
        <v>3.0866116478565117E-4</v>
      </c>
      <c r="M147" s="9"/>
      <c r="N147" s="10">
        <f t="shared" si="33"/>
        <v>40.349999999999994</v>
      </c>
      <c r="O147" s="8">
        <f>IFERROR(N147/N445, "NA")</f>
        <v>-2.4588980114919187E-3</v>
      </c>
      <c r="P147" s="9"/>
      <c r="Q147" s="7">
        <v>71.91</v>
      </c>
      <c r="R147" s="8">
        <f>IFERROR(Q147/Q445, "NA")</f>
        <v>7.7577438379391659E-5</v>
      </c>
      <c r="S147" s="9"/>
      <c r="T147" s="7">
        <v>0</v>
      </c>
      <c r="U147" s="8">
        <f>IFERROR(T147/T445, "NA")</f>
        <v>0</v>
      </c>
      <c r="V147" s="9"/>
      <c r="W147" s="10">
        <f t="shared" si="34"/>
        <v>-71.91</v>
      </c>
      <c r="X147" s="8">
        <f>IFERROR(W147/W445, "NA")</f>
        <v>2.1823618065136387E-3</v>
      </c>
      <c r="Y147" s="9"/>
      <c r="Z147" s="7">
        <v>141.71</v>
      </c>
      <c r="AA147" s="8">
        <f>IFERROR(Z147/Z445, "NA")</f>
        <v>1.5883916113105858E-4</v>
      </c>
      <c r="AB147" s="9"/>
      <c r="AC147" s="10">
        <f t="shared" si="35"/>
        <v>69.800000000000011</v>
      </c>
      <c r="AD147" s="8">
        <f>IFERROR(AC147/AC445, "NA")</f>
        <v>2.0066455039353804E-3</v>
      </c>
    </row>
    <row r="148" spans="1:30" ht="16.5" customHeight="1" x14ac:dyDescent="0.45">
      <c r="A148" s="13" t="s">
        <v>139</v>
      </c>
      <c r="B148" s="14">
        <f>IFERROR(B143+B144+B145+B146+B147, "NA")</f>
        <v>1797.8300000000002</v>
      </c>
      <c r="C148" s="15">
        <f>IFERROR(B148/B445, "NA")</f>
        <v>1.1222995858148144E-2</v>
      </c>
      <c r="D148" s="2"/>
      <c r="E148" s="14">
        <f>IFERROR(E143+E144+E145+E146+E147, "NA")</f>
        <v>1733.25</v>
      </c>
      <c r="F148" s="15">
        <f>IFERROR(E148/E445, "NA")</f>
        <v>8.9999763220008494E-3</v>
      </c>
      <c r="G148" s="2"/>
      <c r="H148" s="14">
        <f t="shared" si="32"/>
        <v>-64.580000000000155</v>
      </c>
      <c r="I148" s="15">
        <f>IFERROR(H148/H445, "NA")</f>
        <v>1.9936892234274899E-3</v>
      </c>
      <c r="J148" s="2"/>
      <c r="K148" s="14">
        <f>IFERROR(K143+K144+K145+K146+K147, "NA")</f>
        <v>3828.07</v>
      </c>
      <c r="L148" s="15">
        <f>IFERROR(K148/K445, "NA")</f>
        <v>2.1676326271895207E-2</v>
      </c>
      <c r="M148" s="2"/>
      <c r="N148" s="14">
        <f t="shared" si="33"/>
        <v>2030.24</v>
      </c>
      <c r="O148" s="15">
        <f>IFERROR(N148/N445, "NA")</f>
        <v>-0.12372126639036812</v>
      </c>
      <c r="P148" s="2"/>
      <c r="Q148" s="14">
        <f>IFERROR(Q143+Q144+Q145+Q146+Q147, "NA")</f>
        <v>9919.7999999999993</v>
      </c>
      <c r="R148" s="15">
        <f>IFERROR(Q148/Q445, "NA")</f>
        <v>1.070160858345E-2</v>
      </c>
      <c r="S148" s="2"/>
      <c r="T148" s="14">
        <f>IFERROR(T143+T144+T145+T146+T147, "NA")</f>
        <v>8639.0499999999993</v>
      </c>
      <c r="U148" s="15">
        <f>IFERROR(T148/T445, "NA")</f>
        <v>8.9999919782917971E-3</v>
      </c>
      <c r="V148" s="2"/>
      <c r="W148" s="14">
        <f t="shared" si="34"/>
        <v>-1280.75</v>
      </c>
      <c r="X148" s="15">
        <f>IFERROR(W148/W445, "NA")</f>
        <v>3.8868862240193897E-2</v>
      </c>
      <c r="Y148" s="2"/>
      <c r="Z148" s="14">
        <f>IFERROR(Z143+Z144+Z145+Z146+Z147, "NA")</f>
        <v>10069.34</v>
      </c>
      <c r="AA148" s="15">
        <f>IFERROR(Z148/Z445, "NA")</f>
        <v>1.1286468977089925E-2</v>
      </c>
      <c r="AB148" s="2"/>
      <c r="AC148" s="14">
        <f t="shared" si="35"/>
        <v>149.54000000000087</v>
      </c>
      <c r="AD148" s="15">
        <f>IFERROR(AC148/AC445, "NA")</f>
        <v>4.2990511269125863E-3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37894.97</v>
      </c>
      <c r="C149" s="15">
        <f>IFERROR(B149/B445, "NA")</f>
        <v>0.23656023726083567</v>
      </c>
      <c r="D149" s="2"/>
      <c r="E149" s="14">
        <f>IFERROR(E127+E129+E130+E131+E132+E133+E134+E135+E136+E137+E138+E139+E140+E143+E144+E145+E146+E147, "NA")</f>
        <v>41020.36</v>
      </c>
      <c r="F149" s="15">
        <f>IFERROR(E149/E445, "NA")</f>
        <v>0.21300001080049086</v>
      </c>
      <c r="G149" s="2"/>
      <c r="H149" s="14">
        <f t="shared" si="32"/>
        <v>3125.3899999999994</v>
      </c>
      <c r="I149" s="15">
        <f>IFERROR(H149/H445, "NA")</f>
        <v>-9.6485852617033546E-2</v>
      </c>
      <c r="J149" s="2"/>
      <c r="K149" s="14">
        <f>IFERROR(K127+K129+K130+K131+K132+K133+K134+K135+K136+K137+K138+K139+K140+K143+K144+K145+K146+K147, "NA")</f>
        <v>45335.27</v>
      </c>
      <c r="L149" s="15">
        <f>IFERROR(K149/K445, "NA")</f>
        <v>0.25670954401159396</v>
      </c>
      <c r="M149" s="2"/>
      <c r="N149" s="14">
        <f t="shared" si="33"/>
        <v>7440.2999999999956</v>
      </c>
      <c r="O149" s="15">
        <f>IFERROR(N149/N445, "NA")</f>
        <v>-0.45340616790342791</v>
      </c>
      <c r="P149" s="2"/>
      <c r="Q149" s="14">
        <f>IFERROR(Q127+Q129+Q130+Q131+Q132+Q133+Q134+Q135+Q136+Q137+Q138+Q139+Q140+Q143+Q144+Q145+Q146+Q147, "NA")</f>
        <v>210244.47000000006</v>
      </c>
      <c r="R149" s="15">
        <f>IFERROR(Q149/Q445, "NA")</f>
        <v>0.22681445440179204</v>
      </c>
      <c r="S149" s="2"/>
      <c r="T149" s="14">
        <f>IFERROR(T127+T129+T130+T131+T132+T133+T134+T135+T136+T137+T138+T139+T140+T143+T144+T145+T146+T147, "NA")</f>
        <v>206021.55</v>
      </c>
      <c r="U149" s="15">
        <f>IFERROR(T149/T445, "NA")</f>
        <v>0.21462918924595212</v>
      </c>
      <c r="V149" s="2"/>
      <c r="W149" s="14">
        <f t="shared" si="34"/>
        <v>-4222.920000000071</v>
      </c>
      <c r="X149" s="15">
        <f>IFERROR(W149/W445, "NA")</f>
        <v>0.12815935641722612</v>
      </c>
      <c r="Y149" s="2"/>
      <c r="Z149" s="14">
        <f>IFERROR(Z127+Z129+Z130+Z131+Z132+Z133+Z134+Z135+Z136+Z137+Z138+Z139+Z140+Z143+Z144+Z145+Z146+Z147, "NA")</f>
        <v>211611.92999999996</v>
      </c>
      <c r="AA149" s="15">
        <f>IFERROR(Z149/Z445, "NA")</f>
        <v>0.23719046959653012</v>
      </c>
      <c r="AB149" s="2"/>
      <c r="AC149" s="14">
        <f t="shared" si="35"/>
        <v>1367.4599999999045</v>
      </c>
      <c r="AD149" s="15">
        <f>IFERROR(AC149/AC445, "NA")</f>
        <v>3.9312427805319246E-2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IFERROR(B151/B445, "NA")</f>
        <v>0</v>
      </c>
      <c r="D151" s="9"/>
      <c r="E151" s="7">
        <v>0</v>
      </c>
      <c r="F151" s="8">
        <f>IFERROR(E151/E445, "NA")</f>
        <v>0</v>
      </c>
      <c r="G151" s="9"/>
      <c r="H151" s="10">
        <f>IFERROR(-(B151-E151), "NA")</f>
        <v>0</v>
      </c>
      <c r="I151" s="8">
        <f>IFERROR(H151/H445, "NA")</f>
        <v>0</v>
      </c>
      <c r="J151" s="9"/>
      <c r="K151" s="7">
        <v>0</v>
      </c>
      <c r="L151" s="8">
        <f>IFERROR(K151/K445, "NA")</f>
        <v>0</v>
      </c>
      <c r="M151" s="9"/>
      <c r="N151" s="10">
        <f>IFERROR(-(B151-K151), "NA")</f>
        <v>0</v>
      </c>
      <c r="O151" s="8">
        <f>IFERROR(N151/N445, "NA")</f>
        <v>0</v>
      </c>
      <c r="P151" s="9"/>
      <c r="Q151" s="7">
        <v>0</v>
      </c>
      <c r="R151" s="8">
        <f>IFERROR(Q151/Q445, "NA")</f>
        <v>0</v>
      </c>
      <c r="S151" s="9"/>
      <c r="T151" s="7">
        <v>0</v>
      </c>
      <c r="U151" s="8">
        <f>IFERROR(T151/T445, "NA")</f>
        <v>0</v>
      </c>
      <c r="V151" s="9"/>
      <c r="W151" s="10">
        <f>IFERROR(-(Q151-T151), "NA")</f>
        <v>0</v>
      </c>
      <c r="X151" s="8">
        <f>IFERROR(W151/W445, "NA")</f>
        <v>0</v>
      </c>
      <c r="Y151" s="9"/>
      <c r="Z151" s="7">
        <v>0</v>
      </c>
      <c r="AA151" s="8">
        <f>IFERROR(Z151/Z445, "NA")</f>
        <v>0</v>
      </c>
      <c r="AB151" s="9"/>
      <c r="AC151" s="10">
        <f>IFERROR(-(Q151-Z151), "NA")</f>
        <v>0</v>
      </c>
      <c r="AD151" s="8">
        <f>IFERROR(AC151/AC445,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IFERROR(B153/B445, "NA")</f>
        <v>0</v>
      </c>
      <c r="D153" s="9"/>
      <c r="E153" s="7">
        <v>7895.94</v>
      </c>
      <c r="F153" s="8">
        <f>IFERROR(E153/E445, "NA")</f>
        <v>4.1000013292911801E-2</v>
      </c>
      <c r="G153" s="9"/>
      <c r="H153" s="10">
        <f t="shared" ref="H153:H158" si="36">IFERROR(-(B153-E153), "NA")</f>
        <v>7895.94</v>
      </c>
      <c r="I153" s="8">
        <f>IFERROR(H153/H445, "NA")</f>
        <v>-0.24376045969077137</v>
      </c>
      <c r="J153" s="9"/>
      <c r="K153" s="7">
        <v>0</v>
      </c>
      <c r="L153" s="8">
        <f>IFERROR(K153/K445, "NA")</f>
        <v>0</v>
      </c>
      <c r="M153" s="9"/>
      <c r="N153" s="10">
        <f t="shared" ref="N153:N158" si="37">IFERROR(-(B153-K153), "NA")</f>
        <v>0</v>
      </c>
      <c r="O153" s="8">
        <f>IFERROR(N153/N445, "NA")</f>
        <v>0</v>
      </c>
      <c r="P153" s="9"/>
      <c r="Q153" s="7">
        <v>0</v>
      </c>
      <c r="R153" s="8">
        <f>IFERROR(Q153/Q445, "NA")</f>
        <v>0</v>
      </c>
      <c r="S153" s="9"/>
      <c r="T153" s="7">
        <v>39355.699999999997</v>
      </c>
      <c r="U153" s="8">
        <f>IFERROR(T153/T445, "NA")</f>
        <v>4.0999992395003911E-2</v>
      </c>
      <c r="V153" s="9"/>
      <c r="W153" s="10">
        <f t="shared" ref="W153:W158" si="38">IFERROR(-(Q153-T153), "NA")</f>
        <v>39355.699999999997</v>
      </c>
      <c r="X153" s="8">
        <f>IFERROR(W153/W445, "NA")</f>
        <v>-1.1943871026089392</v>
      </c>
      <c r="Y153" s="9"/>
      <c r="Z153" s="7">
        <v>0</v>
      </c>
      <c r="AA153" s="8">
        <f>IFERROR(Z153/Z445, "NA")</f>
        <v>0</v>
      </c>
      <c r="AB153" s="9"/>
      <c r="AC153" s="10">
        <f t="shared" ref="AC153:AC158" si="39">IFERROR(-(Q153-Z153), "NA")</f>
        <v>0</v>
      </c>
      <c r="AD153" s="8">
        <f>IFERROR(AC153/AC445, "NA")</f>
        <v>0</v>
      </c>
    </row>
    <row r="154" spans="1:30" ht="16.5" customHeight="1" x14ac:dyDescent="0.45">
      <c r="A154" s="12" t="s">
        <v>143</v>
      </c>
      <c r="B154" s="7">
        <v>4425.3599999999997</v>
      </c>
      <c r="C154" s="8">
        <f>IFERROR(B154/B445, "NA")</f>
        <v>2.7625413387703211E-2</v>
      </c>
      <c r="D154" s="9"/>
      <c r="E154" s="7">
        <v>0</v>
      </c>
      <c r="F154" s="8">
        <f>IFERROR(E154/E445, "NA")</f>
        <v>0</v>
      </c>
      <c r="G154" s="9"/>
      <c r="H154" s="10">
        <f t="shared" si="36"/>
        <v>-4425.3599999999997</v>
      </c>
      <c r="I154" s="8">
        <f>IFERROR(H154/H445, "NA")</f>
        <v>0.13661803254547933</v>
      </c>
      <c r="J154" s="9"/>
      <c r="K154" s="7">
        <v>5096.67</v>
      </c>
      <c r="L154" s="8">
        <f>IFERROR(K154/K445, "NA")</f>
        <v>2.8859733970429003E-2</v>
      </c>
      <c r="M154" s="9"/>
      <c r="N154" s="10">
        <f t="shared" si="37"/>
        <v>671.3100000000004</v>
      </c>
      <c r="O154" s="8">
        <f>IFERROR(N154/N445, "NA")</f>
        <v>-4.0909115838776731E-2</v>
      </c>
      <c r="P154" s="9"/>
      <c r="Q154" s="7">
        <v>23396.46</v>
      </c>
      <c r="R154" s="8">
        <f>IFERROR(Q154/Q445, "NA")</f>
        <v>2.5240403753941064E-2</v>
      </c>
      <c r="S154" s="9"/>
      <c r="T154" s="7">
        <v>0</v>
      </c>
      <c r="U154" s="8">
        <f>IFERROR(T154/T445, "NA")</f>
        <v>0</v>
      </c>
      <c r="V154" s="9"/>
      <c r="W154" s="10">
        <f t="shared" si="38"/>
        <v>-23396.46</v>
      </c>
      <c r="X154" s="8">
        <f>IFERROR(W154/W445, "NA")</f>
        <v>0.7100478474707842</v>
      </c>
      <c r="Y154" s="9"/>
      <c r="Z154" s="7">
        <v>23977.73</v>
      </c>
      <c r="AA154" s="8">
        <f>IFERROR(Z154/Z445, "NA")</f>
        <v>2.6876032171526478E-2</v>
      </c>
      <c r="AB154" s="9"/>
      <c r="AC154" s="10">
        <f t="shared" si="39"/>
        <v>581.27000000000044</v>
      </c>
      <c r="AD154" s="8">
        <f>IFERROR(AC154/AC445, "NA")</f>
        <v>1.6710642293302568E-2</v>
      </c>
    </row>
    <row r="155" spans="1:30" ht="16.5" customHeight="1" x14ac:dyDescent="0.45">
      <c r="A155" s="12" t="s">
        <v>144</v>
      </c>
      <c r="B155" s="7">
        <v>2285.31</v>
      </c>
      <c r="C155" s="8">
        <f>IFERROR(B155/B445, "NA")</f>
        <v>1.4266101168956205E-2</v>
      </c>
      <c r="D155" s="9"/>
      <c r="E155" s="7">
        <v>0</v>
      </c>
      <c r="F155" s="8">
        <f>IFERROR(E155/E445, "NA")</f>
        <v>0</v>
      </c>
      <c r="G155" s="9"/>
      <c r="H155" s="10">
        <f t="shared" si="36"/>
        <v>-2285.31</v>
      </c>
      <c r="I155" s="8">
        <f>IFERROR(H155/H445, "NA")</f>
        <v>7.0551222037644246E-2</v>
      </c>
      <c r="J155" s="9"/>
      <c r="K155" s="7">
        <v>2568.11</v>
      </c>
      <c r="L155" s="8">
        <f>IFERROR(K155/K445, "NA")</f>
        <v>1.4541842302287264E-2</v>
      </c>
      <c r="M155" s="9"/>
      <c r="N155" s="10">
        <f t="shared" si="37"/>
        <v>282.80000000000018</v>
      </c>
      <c r="O155" s="8">
        <f>IFERROR(N155/N445, "NA")</f>
        <v>-1.7233614811645977E-2</v>
      </c>
      <c r="P155" s="9"/>
      <c r="Q155" s="7">
        <v>14327.49</v>
      </c>
      <c r="R155" s="8">
        <f>IFERROR(Q155/Q445, "NA")</f>
        <v>1.5456681582622032E-2</v>
      </c>
      <c r="S155" s="9"/>
      <c r="T155" s="7">
        <v>0</v>
      </c>
      <c r="U155" s="8">
        <f>IFERROR(T155/T445, "NA")</f>
        <v>0</v>
      </c>
      <c r="V155" s="9"/>
      <c r="W155" s="10">
        <f t="shared" si="38"/>
        <v>-14327.49</v>
      </c>
      <c r="X155" s="8">
        <f>IFERROR(W155/W445, "NA")</f>
        <v>0.43481806367968429</v>
      </c>
      <c r="Y155" s="9"/>
      <c r="Z155" s="7">
        <v>13937.56</v>
      </c>
      <c r="AA155" s="8">
        <f>IFERROR(Z155/Z445, "NA")</f>
        <v>1.5622259110957566E-2</v>
      </c>
      <c r="AB155" s="9"/>
      <c r="AC155" s="10">
        <f t="shared" si="39"/>
        <v>-389.93000000000029</v>
      </c>
      <c r="AD155" s="8">
        <f>IFERROR(AC155/AC445, "NA")</f>
        <v>-1.1209903744262513E-2</v>
      </c>
    </row>
    <row r="156" spans="1:30" ht="16.5" customHeight="1" x14ac:dyDescent="0.45">
      <c r="A156" s="12" t="s">
        <v>145</v>
      </c>
      <c r="B156" s="7">
        <v>0</v>
      </c>
      <c r="C156" s="8">
        <f>IFERROR(B156/B445, "NA")</f>
        <v>0</v>
      </c>
      <c r="D156" s="9"/>
      <c r="E156" s="7">
        <v>0</v>
      </c>
      <c r="F156" s="8">
        <f>IFERROR(E156/E445, "NA")</f>
        <v>0</v>
      </c>
      <c r="G156" s="9"/>
      <c r="H156" s="10">
        <f t="shared" si="36"/>
        <v>0</v>
      </c>
      <c r="I156" s="8">
        <f>IFERROR(H156/H445, "NA")</f>
        <v>0</v>
      </c>
      <c r="J156" s="9"/>
      <c r="K156" s="7">
        <v>0</v>
      </c>
      <c r="L156" s="8">
        <f>IFERROR(K156/K445, "NA")</f>
        <v>0</v>
      </c>
      <c r="M156" s="9"/>
      <c r="N156" s="10">
        <f t="shared" si="37"/>
        <v>0</v>
      </c>
      <c r="O156" s="8">
        <f>IFERROR(N156/N445, "NA")</f>
        <v>0</v>
      </c>
      <c r="P156" s="9"/>
      <c r="Q156" s="7">
        <v>118.69</v>
      </c>
      <c r="R156" s="8">
        <f>IFERROR(Q156/Q445, "NA")</f>
        <v>1.2804430762411342E-4</v>
      </c>
      <c r="S156" s="9"/>
      <c r="T156" s="7">
        <v>0</v>
      </c>
      <c r="U156" s="8">
        <f>IFERROR(T156/T445, "NA")</f>
        <v>0</v>
      </c>
      <c r="V156" s="9"/>
      <c r="W156" s="10">
        <f t="shared" si="38"/>
        <v>-118.69</v>
      </c>
      <c r="X156" s="8">
        <f>IFERROR(W156/W445, "NA")</f>
        <v>3.6020653986247224E-3</v>
      </c>
      <c r="Y156" s="9"/>
      <c r="Z156" s="7">
        <v>0</v>
      </c>
      <c r="AA156" s="8">
        <f>IFERROR(Z156/Z445, "NA")</f>
        <v>0</v>
      </c>
      <c r="AB156" s="9"/>
      <c r="AC156" s="10">
        <f t="shared" si="39"/>
        <v>-118.69</v>
      </c>
      <c r="AD156" s="8">
        <f>IFERROR(AC156/AC445, "NA")</f>
        <v>-3.4121598117777974E-3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IFERROR(B157/B445, "NA")</f>
        <v>0</v>
      </c>
      <c r="D157" s="9"/>
      <c r="E157" s="7">
        <v>0</v>
      </c>
      <c r="F157" s="8">
        <f>IFERROR(E157/E445, "NA")</f>
        <v>0</v>
      </c>
      <c r="G157" s="9"/>
      <c r="H157" s="10">
        <f t="shared" si="36"/>
        <v>0</v>
      </c>
      <c r="I157" s="8">
        <f>IFERROR(H157/H445, "NA")</f>
        <v>0</v>
      </c>
      <c r="J157" s="9"/>
      <c r="K157" s="7">
        <v>0</v>
      </c>
      <c r="L157" s="8">
        <f>IFERROR(K157/K445, "NA")</f>
        <v>0</v>
      </c>
      <c r="M157" s="9"/>
      <c r="N157" s="10">
        <f t="shared" si="37"/>
        <v>0</v>
      </c>
      <c r="O157" s="8">
        <f>IFERROR(N157/N445, "NA")</f>
        <v>0</v>
      </c>
      <c r="P157" s="9"/>
      <c r="Q157" s="7">
        <v>0</v>
      </c>
      <c r="R157" s="8">
        <f>IFERROR(Q157/Q445, "NA")</f>
        <v>0</v>
      </c>
      <c r="S157" s="9"/>
      <c r="T157" s="7">
        <v>0</v>
      </c>
      <c r="U157" s="8">
        <f>IFERROR(T157/T445, "NA")</f>
        <v>0</v>
      </c>
      <c r="V157" s="9"/>
      <c r="W157" s="10">
        <f t="shared" si="38"/>
        <v>0</v>
      </c>
      <c r="X157" s="8">
        <f>IFERROR(W157/W445, "NA")</f>
        <v>0</v>
      </c>
      <c r="Y157" s="9"/>
      <c r="Z157" s="7">
        <v>0</v>
      </c>
      <c r="AA157" s="8">
        <f>IFERROR(Z157/Z445, "NA")</f>
        <v>0</v>
      </c>
      <c r="AB157" s="9"/>
      <c r="AC157" s="10">
        <f t="shared" si="39"/>
        <v>0</v>
      </c>
      <c r="AD157" s="8">
        <f>IFERROR(AC157/AC445,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6710.67</v>
      </c>
      <c r="C158" s="15">
        <f>IFERROR(B158/B445, "NA")</f>
        <v>4.1891514556659418E-2</v>
      </c>
      <c r="D158" s="2"/>
      <c r="E158" s="14">
        <f>IFERROR(E153+E154+E155+E156+E157, "NA")</f>
        <v>7895.94</v>
      </c>
      <c r="F158" s="15">
        <f>IFERROR(E158/E445, "NA")</f>
        <v>4.1000013292911801E-2</v>
      </c>
      <c r="G158" s="2"/>
      <c r="H158" s="14">
        <f t="shared" si="36"/>
        <v>1185.2699999999995</v>
      </c>
      <c r="I158" s="15">
        <f>IFERROR(H158/H445, "NA")</f>
        <v>-3.6591205107647788E-2</v>
      </c>
      <c r="J158" s="2"/>
      <c r="K158" s="14">
        <f>IFERROR(K153+K154+K155+K156+K157, "NA")</f>
        <v>7664.7800000000007</v>
      </c>
      <c r="L158" s="15">
        <f>IFERROR(K158/K445, "NA")</f>
        <v>4.340157627271627E-2</v>
      </c>
      <c r="M158" s="2"/>
      <c r="N158" s="14">
        <f t="shared" si="37"/>
        <v>954.11000000000058</v>
      </c>
      <c r="O158" s="15">
        <f>IFERROR(N158/N445, "NA")</f>
        <v>-5.8142730650422712E-2</v>
      </c>
      <c r="P158" s="2"/>
      <c r="Q158" s="14">
        <f>IFERROR(Q153+Q154+Q155+Q156+Q157, "NA")</f>
        <v>37842.639999999999</v>
      </c>
      <c r="R158" s="15">
        <f>IFERROR(Q158/Q445, "NA")</f>
        <v>4.0825129644187212E-2</v>
      </c>
      <c r="S158" s="2"/>
      <c r="T158" s="14">
        <f>IFERROR(T153+T154+T155+T156+T157, "NA")</f>
        <v>39355.699999999997</v>
      </c>
      <c r="U158" s="15">
        <f>IFERROR(T158/T445, "NA")</f>
        <v>4.0999992395003911E-2</v>
      </c>
      <c r="V158" s="2"/>
      <c r="W158" s="14">
        <f t="shared" si="38"/>
        <v>1513.0599999999977</v>
      </c>
      <c r="X158" s="15">
        <f>IFERROR(W158/W445, "NA")</f>
        <v>-4.5919126059845938E-2</v>
      </c>
      <c r="Y158" s="2"/>
      <c r="Z158" s="14">
        <f>IFERROR(Z153+Z154+Z155+Z156+Z157, "NA")</f>
        <v>37915.29</v>
      </c>
      <c r="AA158" s="15">
        <f>IFERROR(Z158/Z445, "NA")</f>
        <v>4.2498291282484044E-2</v>
      </c>
      <c r="AB158" s="2"/>
      <c r="AC158" s="14">
        <f t="shared" si="39"/>
        <v>72.650000000001455</v>
      </c>
      <c r="AD158" s="15">
        <f>IFERROR(AC158/AC445, "NA")</f>
        <v>2.0885787372622966E-3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IFERROR(B160/B445, "NA")</f>
        <v>0</v>
      </c>
      <c r="D160" s="9"/>
      <c r="E160" s="7">
        <v>0</v>
      </c>
      <c r="F160" s="8">
        <f>IFERROR(E160/E445, "NA")</f>
        <v>0</v>
      </c>
      <c r="G160" s="9"/>
      <c r="H160" s="10">
        <f t="shared" ref="H160:H171" si="40">IFERROR(-(B160-E160), "NA")</f>
        <v>0</v>
      </c>
      <c r="I160" s="8">
        <f>IFERROR(H160/H445, "NA")</f>
        <v>0</v>
      </c>
      <c r="J160" s="9"/>
      <c r="K160" s="7">
        <v>0</v>
      </c>
      <c r="L160" s="8">
        <f>IFERROR(K160/K445, "NA")</f>
        <v>0</v>
      </c>
      <c r="M160" s="9"/>
      <c r="N160" s="10">
        <f t="shared" ref="N160:N171" si="41">IFERROR(-(B160-K160), "NA")</f>
        <v>0</v>
      </c>
      <c r="O160" s="8">
        <f>IFERROR(N160/N445, "NA")</f>
        <v>0</v>
      </c>
      <c r="P160" s="9"/>
      <c r="Q160" s="7">
        <v>0</v>
      </c>
      <c r="R160" s="8">
        <f>IFERROR(Q160/Q445, "NA")</f>
        <v>0</v>
      </c>
      <c r="S160" s="9"/>
      <c r="T160" s="7">
        <v>0</v>
      </c>
      <c r="U160" s="8">
        <f>IFERROR(T160/T445, "NA")</f>
        <v>0</v>
      </c>
      <c r="V160" s="9"/>
      <c r="W160" s="10">
        <f t="shared" ref="W160:W171" si="42">IFERROR(-(Q160-T160), "NA")</f>
        <v>0</v>
      </c>
      <c r="X160" s="8">
        <f>IFERROR(W160/W445, "NA")</f>
        <v>0</v>
      </c>
      <c r="Y160" s="9"/>
      <c r="Z160" s="7">
        <v>0</v>
      </c>
      <c r="AA160" s="8">
        <f>IFERROR(Z160/Z445, "NA")</f>
        <v>0</v>
      </c>
      <c r="AB160" s="9"/>
      <c r="AC160" s="10">
        <f t="shared" ref="AC160:AC171" si="43">IFERROR(-(Q160-Z160), "NA")</f>
        <v>0</v>
      </c>
      <c r="AD160" s="8">
        <f>IFERROR(AC160/AC445, "NA")</f>
        <v>0</v>
      </c>
    </row>
    <row r="161" spans="1:30" ht="16.5" customHeight="1" x14ac:dyDescent="0.45">
      <c r="A161" s="12" t="s">
        <v>149</v>
      </c>
      <c r="B161" s="7">
        <v>263.89999999999998</v>
      </c>
      <c r="C161" s="8">
        <f>IFERROR(B161/B445, "NA")</f>
        <v>1.6474019273041917E-3</v>
      </c>
      <c r="D161" s="9"/>
      <c r="E161" s="7">
        <v>0</v>
      </c>
      <c r="F161" s="8">
        <f>IFERROR(E161/E445, "NA")</f>
        <v>0</v>
      </c>
      <c r="G161" s="9"/>
      <c r="H161" s="10">
        <f t="shared" si="40"/>
        <v>-263.89999999999998</v>
      </c>
      <c r="I161" s="8">
        <f>IFERROR(H161/H445, "NA")</f>
        <v>8.1470205336406521E-3</v>
      </c>
      <c r="J161" s="9"/>
      <c r="K161" s="7">
        <v>178.51</v>
      </c>
      <c r="L161" s="8">
        <f>IFERROR(K161/K445, "NA")</f>
        <v>1.0108072743695944E-3</v>
      </c>
      <c r="M161" s="9"/>
      <c r="N161" s="10">
        <f t="shared" si="41"/>
        <v>-85.389999999999986</v>
      </c>
      <c r="O161" s="8">
        <f>IFERROR(N161/N445, "NA")</f>
        <v>5.203601021097768E-3</v>
      </c>
      <c r="P161" s="9"/>
      <c r="Q161" s="7">
        <v>1369.05</v>
      </c>
      <c r="R161" s="8">
        <f>IFERROR(Q161/Q445, "NA")</f>
        <v>1.4769488529176216E-3</v>
      </c>
      <c r="S161" s="9"/>
      <c r="T161" s="7">
        <v>0</v>
      </c>
      <c r="U161" s="8">
        <f>IFERROR(T161/T445, "NA")</f>
        <v>0</v>
      </c>
      <c r="V161" s="9"/>
      <c r="W161" s="10">
        <f t="shared" si="42"/>
        <v>-1369.05</v>
      </c>
      <c r="X161" s="8">
        <f>IFERROR(W161/W445, "NA")</f>
        <v>4.1548636228723367E-2</v>
      </c>
      <c r="Y161" s="9"/>
      <c r="Z161" s="7">
        <v>786.76</v>
      </c>
      <c r="AA161" s="8">
        <f>IFERROR(Z161/Z445, "NA")</f>
        <v>8.8185942002308687E-4</v>
      </c>
      <c r="AB161" s="9"/>
      <c r="AC161" s="10">
        <f t="shared" si="43"/>
        <v>-582.29</v>
      </c>
      <c r="AD161" s="8">
        <f>IFERROR(AC161/AC445, "NA")</f>
        <v>-1.6739965766282699E-2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IFERROR(B162/B445, "NA")</f>
        <v>0</v>
      </c>
      <c r="D162" s="9"/>
      <c r="E162" s="7">
        <v>0</v>
      </c>
      <c r="F162" s="8">
        <f>IFERROR(E162/E445, "NA")</f>
        <v>0</v>
      </c>
      <c r="G162" s="9"/>
      <c r="H162" s="10">
        <f t="shared" si="40"/>
        <v>0</v>
      </c>
      <c r="I162" s="8">
        <f>IFERROR(H162/H445, "NA")</f>
        <v>0</v>
      </c>
      <c r="J162" s="9"/>
      <c r="K162" s="7">
        <v>0</v>
      </c>
      <c r="L162" s="8">
        <f>IFERROR(K162/K445, "NA")</f>
        <v>0</v>
      </c>
      <c r="M162" s="9"/>
      <c r="N162" s="10">
        <f t="shared" si="41"/>
        <v>0</v>
      </c>
      <c r="O162" s="8">
        <f>IFERROR(N162/N445, "NA")</f>
        <v>0</v>
      </c>
      <c r="P162" s="9"/>
      <c r="Q162" s="7">
        <v>0</v>
      </c>
      <c r="R162" s="8">
        <f>IFERROR(Q162/Q445, "NA")</f>
        <v>0</v>
      </c>
      <c r="S162" s="9"/>
      <c r="T162" s="7">
        <v>0</v>
      </c>
      <c r="U162" s="8">
        <f>IFERROR(T162/T445, "NA")</f>
        <v>0</v>
      </c>
      <c r="V162" s="9"/>
      <c r="W162" s="10">
        <f t="shared" si="42"/>
        <v>0</v>
      </c>
      <c r="X162" s="8">
        <f>IFERROR(W162/W445, "NA")</f>
        <v>0</v>
      </c>
      <c r="Y162" s="9"/>
      <c r="Z162" s="7">
        <v>0</v>
      </c>
      <c r="AA162" s="8">
        <f>IFERROR(Z162/Z445, "NA")</f>
        <v>0</v>
      </c>
      <c r="AB162" s="9"/>
      <c r="AC162" s="10">
        <f t="shared" si="43"/>
        <v>0</v>
      </c>
      <c r="AD162" s="8">
        <f>IFERROR(AC162/AC445,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IFERROR(B163/B445, "NA")</f>
        <v>0</v>
      </c>
      <c r="D163" s="9"/>
      <c r="E163" s="7">
        <v>0</v>
      </c>
      <c r="F163" s="8">
        <f>IFERROR(E163/E445, "NA")</f>
        <v>0</v>
      </c>
      <c r="G163" s="9"/>
      <c r="H163" s="10">
        <f t="shared" si="40"/>
        <v>0</v>
      </c>
      <c r="I163" s="8">
        <f>IFERROR(H163/H445, "NA")</f>
        <v>0</v>
      </c>
      <c r="J163" s="9"/>
      <c r="K163" s="7">
        <v>0</v>
      </c>
      <c r="L163" s="8">
        <f>IFERROR(K163/K445, "NA")</f>
        <v>0</v>
      </c>
      <c r="M163" s="9"/>
      <c r="N163" s="10">
        <f t="shared" si="41"/>
        <v>0</v>
      </c>
      <c r="O163" s="8">
        <f>IFERROR(N163/N445, "NA")</f>
        <v>0</v>
      </c>
      <c r="P163" s="9"/>
      <c r="Q163" s="7">
        <v>0</v>
      </c>
      <c r="R163" s="8">
        <f>IFERROR(Q163/Q445, "NA")</f>
        <v>0</v>
      </c>
      <c r="S163" s="9"/>
      <c r="T163" s="7">
        <v>0</v>
      </c>
      <c r="U163" s="8">
        <f>IFERROR(T163/T445, "NA")</f>
        <v>0</v>
      </c>
      <c r="V163" s="9"/>
      <c r="W163" s="10">
        <f t="shared" si="42"/>
        <v>0</v>
      </c>
      <c r="X163" s="8">
        <f>IFERROR(W163/W445, "NA")</f>
        <v>0</v>
      </c>
      <c r="Y163" s="9"/>
      <c r="Z163" s="7">
        <v>0</v>
      </c>
      <c r="AA163" s="8">
        <f>IFERROR(Z163/Z445, "NA")</f>
        <v>0</v>
      </c>
      <c r="AB163" s="9"/>
      <c r="AC163" s="10">
        <f t="shared" si="43"/>
        <v>0</v>
      </c>
      <c r="AD163" s="8">
        <f>IFERROR(AC163/AC445,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IFERROR(B164/B445, "NA")</f>
        <v>0</v>
      </c>
      <c r="D164" s="9"/>
      <c r="E164" s="7">
        <v>0</v>
      </c>
      <c r="F164" s="8">
        <f>IFERROR(E164/E445, "NA")</f>
        <v>0</v>
      </c>
      <c r="G164" s="9"/>
      <c r="H164" s="10">
        <f t="shared" si="40"/>
        <v>0</v>
      </c>
      <c r="I164" s="8">
        <f>IFERROR(H164/H445, "NA")</f>
        <v>0</v>
      </c>
      <c r="J164" s="9"/>
      <c r="K164" s="7">
        <v>0</v>
      </c>
      <c r="L164" s="8">
        <f>IFERROR(K164/K445, "NA")</f>
        <v>0</v>
      </c>
      <c r="M164" s="9"/>
      <c r="N164" s="10">
        <f t="shared" si="41"/>
        <v>0</v>
      </c>
      <c r="O164" s="8">
        <f>IFERROR(N164/N445, "NA")</f>
        <v>0</v>
      </c>
      <c r="P164" s="9"/>
      <c r="Q164" s="7">
        <v>0</v>
      </c>
      <c r="R164" s="8">
        <f>IFERROR(Q164/Q445, "NA")</f>
        <v>0</v>
      </c>
      <c r="S164" s="9"/>
      <c r="T164" s="7">
        <v>0</v>
      </c>
      <c r="U164" s="8">
        <f>IFERROR(T164/T445, "NA")</f>
        <v>0</v>
      </c>
      <c r="V164" s="9"/>
      <c r="W164" s="10">
        <f t="shared" si="42"/>
        <v>0</v>
      </c>
      <c r="X164" s="8">
        <f>IFERROR(W164/W445, "NA")</f>
        <v>0</v>
      </c>
      <c r="Y164" s="9"/>
      <c r="Z164" s="7">
        <v>0</v>
      </c>
      <c r="AA164" s="8">
        <f>IFERROR(Z164/Z445, "NA")</f>
        <v>0</v>
      </c>
      <c r="AB164" s="9"/>
      <c r="AC164" s="10">
        <f t="shared" si="43"/>
        <v>0</v>
      </c>
      <c r="AD164" s="8">
        <f>IFERROR(AC164/AC445,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IFERROR(B165/B445, "NA")</f>
        <v>0</v>
      </c>
      <c r="D165" s="9"/>
      <c r="E165" s="7">
        <v>0</v>
      </c>
      <c r="F165" s="8">
        <f>IFERROR(E165/E445, "NA")</f>
        <v>0</v>
      </c>
      <c r="G165" s="9"/>
      <c r="H165" s="10">
        <f t="shared" si="40"/>
        <v>0</v>
      </c>
      <c r="I165" s="8">
        <f>IFERROR(H165/H445, "NA")</f>
        <v>0</v>
      </c>
      <c r="J165" s="9"/>
      <c r="K165" s="7">
        <v>0</v>
      </c>
      <c r="L165" s="8">
        <f>IFERROR(K165/K445, "NA")</f>
        <v>0</v>
      </c>
      <c r="M165" s="9"/>
      <c r="N165" s="10">
        <f t="shared" si="41"/>
        <v>0</v>
      </c>
      <c r="O165" s="8">
        <f>IFERROR(N165/N445, "NA")</f>
        <v>0</v>
      </c>
      <c r="P165" s="9"/>
      <c r="Q165" s="7">
        <v>0</v>
      </c>
      <c r="R165" s="8">
        <f>IFERROR(Q165/Q445, "NA")</f>
        <v>0</v>
      </c>
      <c r="S165" s="9"/>
      <c r="T165" s="7">
        <v>0</v>
      </c>
      <c r="U165" s="8">
        <f>IFERROR(T165/T445, "NA")</f>
        <v>0</v>
      </c>
      <c r="V165" s="9"/>
      <c r="W165" s="10">
        <f t="shared" si="42"/>
        <v>0</v>
      </c>
      <c r="X165" s="8">
        <f>IFERROR(W165/W445, "NA")</f>
        <v>0</v>
      </c>
      <c r="Y165" s="9"/>
      <c r="Z165" s="7">
        <v>0</v>
      </c>
      <c r="AA165" s="8">
        <f>IFERROR(Z165/Z445, "NA")</f>
        <v>0</v>
      </c>
      <c r="AB165" s="9"/>
      <c r="AC165" s="10">
        <f t="shared" si="43"/>
        <v>0</v>
      </c>
      <c r="AD165" s="8">
        <f>IFERROR(AC165/AC445,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263.89999999999998</v>
      </c>
      <c r="C166" s="15">
        <f>IFERROR(B166/B445, "NA")</f>
        <v>1.6474019273041917E-3</v>
      </c>
      <c r="D166" s="2"/>
      <c r="E166" s="14">
        <f>IFERROR(E160+E161+E162+E163+E164+E165, "NA")</f>
        <v>0</v>
      </c>
      <c r="F166" s="15">
        <f>IFERROR(E166/E445, "NA")</f>
        <v>0</v>
      </c>
      <c r="G166" s="2"/>
      <c r="H166" s="14">
        <f t="shared" si="40"/>
        <v>-263.89999999999998</v>
      </c>
      <c r="I166" s="15">
        <f>IFERROR(H166/H445, "NA")</f>
        <v>8.1470205336406521E-3</v>
      </c>
      <c r="J166" s="2"/>
      <c r="K166" s="14">
        <f>IFERROR(K160+K161+K162+K163+K164+K165, "NA")</f>
        <v>178.51</v>
      </c>
      <c r="L166" s="15">
        <f>IFERROR(K166/K445, "NA")</f>
        <v>1.0108072743695944E-3</v>
      </c>
      <c r="M166" s="2"/>
      <c r="N166" s="14">
        <f t="shared" si="41"/>
        <v>-85.389999999999986</v>
      </c>
      <c r="O166" s="15">
        <f>IFERROR(N166/N445, "NA")</f>
        <v>5.203601021097768E-3</v>
      </c>
      <c r="P166" s="2"/>
      <c r="Q166" s="14">
        <f>IFERROR(Q160+Q161+Q162+Q163+Q164+Q165, "NA")</f>
        <v>1369.05</v>
      </c>
      <c r="R166" s="15">
        <f>IFERROR(Q166/Q445, "NA")</f>
        <v>1.4769488529176216E-3</v>
      </c>
      <c r="S166" s="2"/>
      <c r="T166" s="14">
        <f>IFERROR(T160+T161+T162+T163+T164+T165, "NA")</f>
        <v>0</v>
      </c>
      <c r="U166" s="15">
        <f>IFERROR(T166/T445, "NA")</f>
        <v>0</v>
      </c>
      <c r="V166" s="2"/>
      <c r="W166" s="14">
        <f t="shared" si="42"/>
        <v>-1369.05</v>
      </c>
      <c r="X166" s="15">
        <f>IFERROR(W166/W445, "NA")</f>
        <v>4.1548636228723367E-2</v>
      </c>
      <c r="Y166" s="2"/>
      <c r="Z166" s="14">
        <f>IFERROR(Z160+Z161+Z162+Z163+Z164+Z165, "NA")</f>
        <v>786.76</v>
      </c>
      <c r="AA166" s="15">
        <f>IFERROR(Z166/Z445, "NA")</f>
        <v>8.8185942002308687E-4</v>
      </c>
      <c r="AB166" s="2"/>
      <c r="AC166" s="14">
        <f t="shared" si="43"/>
        <v>-582.29</v>
      </c>
      <c r="AD166" s="15">
        <f>IFERROR(AC166/AC445, "NA")</f>
        <v>-1.6739965766282699E-2</v>
      </c>
    </row>
    <row r="167" spans="1:30" ht="16.5" customHeight="1" x14ac:dyDescent="0.45">
      <c r="A167" s="6" t="s">
        <v>155</v>
      </c>
      <c r="B167" s="7">
        <v>132.83000000000001</v>
      </c>
      <c r="C167" s="8">
        <f>IFERROR(B167/B445, "NA")</f>
        <v>8.2919438425091256E-4</v>
      </c>
      <c r="D167" s="9"/>
      <c r="E167" s="7">
        <v>0</v>
      </c>
      <c r="F167" s="8">
        <f>IFERROR(E167/E445, "NA")</f>
        <v>0</v>
      </c>
      <c r="G167" s="9"/>
      <c r="H167" s="10">
        <f t="shared" si="40"/>
        <v>-132.83000000000001</v>
      </c>
      <c r="I167" s="8">
        <f>IFERROR(H167/H445, "NA")</f>
        <v>4.1006772924724816E-3</v>
      </c>
      <c r="J167" s="9"/>
      <c r="K167" s="7">
        <v>179.98</v>
      </c>
      <c r="L167" s="8">
        <f>IFERROR(K167/K445, "NA")</f>
        <v>1.0191311032493396E-3</v>
      </c>
      <c r="M167" s="9"/>
      <c r="N167" s="10">
        <f t="shared" si="41"/>
        <v>47.149999999999977</v>
      </c>
      <c r="O167" s="8">
        <f>IFERROR(N167/N445, "NA")</f>
        <v>-2.8732847891411134E-3</v>
      </c>
      <c r="P167" s="9"/>
      <c r="Q167" s="7">
        <v>939.82</v>
      </c>
      <c r="R167" s="8">
        <f>IFERROR(Q167/Q445, "NA")</f>
        <v>1.0138899754932539E-3</v>
      </c>
      <c r="S167" s="9"/>
      <c r="T167" s="7">
        <v>0</v>
      </c>
      <c r="U167" s="8">
        <f>IFERROR(T167/T445, "NA")</f>
        <v>0</v>
      </c>
      <c r="V167" s="9"/>
      <c r="W167" s="10">
        <f t="shared" si="42"/>
        <v>-939.82</v>
      </c>
      <c r="X167" s="8">
        <f>IFERROR(W167/W445, "NA")</f>
        <v>2.8522142580971327E-2</v>
      </c>
      <c r="Y167" s="9"/>
      <c r="Z167" s="7">
        <v>712.21</v>
      </c>
      <c r="AA167" s="8">
        <f>IFERROR(Z167/Z445, "NA")</f>
        <v>7.9829820724826219E-4</v>
      </c>
      <c r="AB167" s="9"/>
      <c r="AC167" s="10">
        <f t="shared" si="43"/>
        <v>-227.61</v>
      </c>
      <c r="AD167" s="8">
        <f>IFERROR(AC167/AC445, "NA")</f>
        <v>-6.5434467500104856E-3</v>
      </c>
    </row>
    <row r="168" spans="1:30" ht="16.5" customHeight="1" x14ac:dyDescent="0.45">
      <c r="A168" s="6" t="s">
        <v>156</v>
      </c>
      <c r="B168" s="7">
        <v>188.5</v>
      </c>
      <c r="C168" s="8">
        <f>IFERROR(B168/B445, "NA")</f>
        <v>1.1767156623601371E-3</v>
      </c>
      <c r="D168" s="9"/>
      <c r="E168" s="7">
        <v>0</v>
      </c>
      <c r="F168" s="8">
        <f>IFERROR(E168/E445, "NA")</f>
        <v>0</v>
      </c>
      <c r="G168" s="9"/>
      <c r="H168" s="10">
        <f t="shared" si="40"/>
        <v>-188.5</v>
      </c>
      <c r="I168" s="8">
        <f>IFERROR(H168/H445, "NA")</f>
        <v>5.8193003811718947E-3</v>
      </c>
      <c r="J168" s="9"/>
      <c r="K168" s="7">
        <v>59.6</v>
      </c>
      <c r="L168" s="8">
        <f>IFERROR(K168/K445, "NA")</f>
        <v>3.3748313009034694E-4</v>
      </c>
      <c r="M168" s="9"/>
      <c r="N168" s="10">
        <f t="shared" si="41"/>
        <v>-128.9</v>
      </c>
      <c r="O168" s="8">
        <f>IFERROR(N168/N445, "NA")</f>
        <v>7.8550670057325502E-3</v>
      </c>
      <c r="P168" s="9"/>
      <c r="Q168" s="7">
        <v>696.68</v>
      </c>
      <c r="R168" s="8">
        <f>IFERROR(Q168/Q445, "NA")</f>
        <v>7.5158739772152115E-4</v>
      </c>
      <c r="S168" s="9"/>
      <c r="T168" s="7">
        <v>0</v>
      </c>
      <c r="U168" s="8">
        <f>IFERROR(T168/T445, "NA")</f>
        <v>0</v>
      </c>
      <c r="V168" s="9"/>
      <c r="W168" s="10">
        <f t="shared" si="42"/>
        <v>-696.68</v>
      </c>
      <c r="X168" s="8">
        <f>IFERROR(W168/W445, "NA")</f>
        <v>2.1143204329883491E-2</v>
      </c>
      <c r="Y168" s="9"/>
      <c r="Z168" s="7">
        <v>274</v>
      </c>
      <c r="AA168" s="8">
        <f>IFERROR(Z168/Z445, "NA")</f>
        <v>3.071196820966061E-4</v>
      </c>
      <c r="AB168" s="9"/>
      <c r="AC168" s="10">
        <f t="shared" si="43"/>
        <v>-422.67999999999995</v>
      </c>
      <c r="AD168" s="8">
        <f>IFERROR(AC168/AC445, "NA")</f>
        <v>-1.2151417214948515E-2</v>
      </c>
    </row>
    <row r="169" spans="1:30" ht="16.5" customHeight="1" x14ac:dyDescent="0.45">
      <c r="A169" s="6" t="s">
        <v>157</v>
      </c>
      <c r="B169" s="7">
        <v>-1370.23</v>
      </c>
      <c r="C169" s="8">
        <f>IFERROR(B169/B445, "NA")</f>
        <v>-8.5536928489959186E-3</v>
      </c>
      <c r="D169" s="9"/>
      <c r="E169" s="7">
        <v>0</v>
      </c>
      <c r="F169" s="8">
        <f>IFERROR(E169/E445, "NA")</f>
        <v>0</v>
      </c>
      <c r="G169" s="9"/>
      <c r="H169" s="10">
        <f t="shared" si="40"/>
        <v>1370.23</v>
      </c>
      <c r="I169" s="8">
        <f>IFERROR(H169/H445, "NA")</f>
        <v>-4.2301219953809893E-2</v>
      </c>
      <c r="J169" s="9"/>
      <c r="K169" s="7">
        <v>-1743.47</v>
      </c>
      <c r="L169" s="8">
        <f>IFERROR(K169/K445, "NA")</f>
        <v>-9.8723441748090127E-3</v>
      </c>
      <c r="M169" s="9"/>
      <c r="N169" s="10">
        <f t="shared" si="41"/>
        <v>-373.24</v>
      </c>
      <c r="O169" s="8">
        <f>IFERROR(N169/N445, "NA")</f>
        <v>2.2744958954380272E-2</v>
      </c>
      <c r="P169" s="9"/>
      <c r="Q169" s="7">
        <v>-7052.62</v>
      </c>
      <c r="R169" s="8">
        <f>IFERROR(Q169/Q445, "NA")</f>
        <v>-7.6084577035636942E-3</v>
      </c>
      <c r="S169" s="9"/>
      <c r="T169" s="7">
        <v>0</v>
      </c>
      <c r="U169" s="8">
        <f>IFERROR(T169/T445, "NA")</f>
        <v>0</v>
      </c>
      <c r="V169" s="9"/>
      <c r="W169" s="10">
        <f t="shared" si="42"/>
        <v>7052.62</v>
      </c>
      <c r="X169" s="8">
        <f>IFERROR(W169/W445, "NA")</f>
        <v>-0.21403655296696175</v>
      </c>
      <c r="Y169" s="9"/>
      <c r="Z169" s="7">
        <v>-12275.02</v>
      </c>
      <c r="AA169" s="8">
        <f>IFERROR(Z169/Z445, "NA")</f>
        <v>-1.3758760000472561E-2</v>
      </c>
      <c r="AB169" s="9"/>
      <c r="AC169" s="10">
        <f t="shared" si="43"/>
        <v>-5222.4000000000005</v>
      </c>
      <c r="AD169" s="8">
        <f>IFERROR(AC169/AC445, "NA")</f>
        <v>-0.15013618165833997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5925.67</v>
      </c>
      <c r="C170" s="15">
        <f>IFERROR(B170/B445, "NA")</f>
        <v>3.699113368157874E-2</v>
      </c>
      <c r="D170" s="2"/>
      <c r="E170" s="14">
        <f>IFERROR(E151+E153+E154+E155+E156+E157+E160+E161+E162+E163+E164+E165+E167+E168+E169, "NA")</f>
        <v>7895.94</v>
      </c>
      <c r="F170" s="15">
        <f>IFERROR(E170/E445, "NA")</f>
        <v>4.1000013292911801E-2</v>
      </c>
      <c r="G170" s="2"/>
      <c r="H170" s="14">
        <f t="shared" si="40"/>
        <v>1970.2699999999995</v>
      </c>
      <c r="I170" s="15">
        <f>IFERROR(H170/H445, "NA")</f>
        <v>-6.0825426854172658E-2</v>
      </c>
      <c r="J170" s="2"/>
      <c r="K170" s="14">
        <f>IFERROR(K151+K153+K154+K155+K156+K157+K160+K161+K162+K163+K164+K165+K167+K168+K169, "NA")</f>
        <v>6339.4000000000005</v>
      </c>
      <c r="L170" s="15">
        <f>IFERROR(K170/K445, "NA")</f>
        <v>3.5896653605616537E-2</v>
      </c>
      <c r="M170" s="2"/>
      <c r="N170" s="14">
        <f t="shared" si="41"/>
        <v>413.73000000000047</v>
      </c>
      <c r="O170" s="15">
        <f>IFERROR(N170/N445, "NA")</f>
        <v>-2.5212388458353233E-2</v>
      </c>
      <c r="P170" s="2"/>
      <c r="Q170" s="14">
        <f>IFERROR(Q151+Q153+Q154+Q155+Q156+Q157+Q160+Q161+Q162+Q163+Q164+Q165+Q167+Q168+Q169, "NA")</f>
        <v>33795.57</v>
      </c>
      <c r="R170" s="15">
        <f>IFERROR(Q170/Q445, "NA")</f>
        <v>3.645909816675591E-2</v>
      </c>
      <c r="S170" s="2"/>
      <c r="T170" s="14">
        <f>IFERROR(T151+T153+T154+T155+T156+T157+T160+T161+T162+T163+T164+T165+T167+T168+T169, "NA")</f>
        <v>39355.699999999997</v>
      </c>
      <c r="U170" s="15">
        <f>IFERROR(T170/T445, "NA")</f>
        <v>4.0999992395003911E-2</v>
      </c>
      <c r="V170" s="2"/>
      <c r="W170" s="14">
        <f t="shared" si="42"/>
        <v>5560.1299999999974</v>
      </c>
      <c r="X170" s="15">
        <f>IFERROR(W170/W445, "NA")</f>
        <v>-0.16874169588722951</v>
      </c>
      <c r="Y170" s="2"/>
      <c r="Z170" s="14">
        <f>IFERROR(Z151+Z153+Z154+Z155+Z156+Z157+Z160+Z161+Z162+Z163+Z164+Z165+Z167+Z168+Z169, "NA")</f>
        <v>27413.24</v>
      </c>
      <c r="AA170" s="15">
        <f>IFERROR(Z170/Z445, "NA")</f>
        <v>3.072680859137944E-2</v>
      </c>
      <c r="AB170" s="2"/>
      <c r="AC170" s="14">
        <f t="shared" si="43"/>
        <v>-6382.3299999999981</v>
      </c>
      <c r="AD170" s="15">
        <f>IFERROR(AC170/AC445, "NA")</f>
        <v>-0.18348243265231937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43820.639999999999</v>
      </c>
      <c r="C171" s="15">
        <f>IFERROR(B171/B445, "NA")</f>
        <v>0.27355137094241438</v>
      </c>
      <c r="D171" s="2"/>
      <c r="E171" s="14">
        <f>IFERROR(E127+E129+E130+E131+E132+E133+E134+E135+E136+E137+E138+E139+E140+E143+E144+E145+E146+E147+E151+E153+E154+E155+E156+E157+E160+E161+E162+E163+E164+E165+E167+E168+E169, "NA")</f>
        <v>48916.3</v>
      </c>
      <c r="F171" s="15">
        <f>IFERROR(E171/E445, "NA")</f>
        <v>0.25400002409340267</v>
      </c>
      <c r="G171" s="2"/>
      <c r="H171" s="14">
        <f t="shared" si="40"/>
        <v>5095.6600000000035</v>
      </c>
      <c r="I171" s="15">
        <f>IFERROR(H171/H445, "NA")</f>
        <v>-0.15731127947120635</v>
      </c>
      <c r="J171" s="2"/>
      <c r="K171" s="14">
        <f>IFERROR(K127+K129+K130+K131+K132+K133+K134+K135+K136+K137+K138+K139+K140+K143+K144+K145+K146+K147+K151+K153+K154+K155+K156+K157+K160+K161+K162+K163+K164+K165+K167+K168+K169, "NA")</f>
        <v>51674.67</v>
      </c>
      <c r="L171" s="15">
        <f>IFERROR(K171/K445, "NA")</f>
        <v>0.29260619761721052</v>
      </c>
      <c r="M171" s="2"/>
      <c r="N171" s="14">
        <f t="shared" si="41"/>
        <v>7854.0299999999988</v>
      </c>
      <c r="O171" s="15">
        <f>IFERROR(N171/N445, "NA")</f>
        <v>-0.4786185563617813</v>
      </c>
      <c r="P171" s="2"/>
      <c r="Q171" s="14">
        <f>IFERROR(Q127+Q129+Q130+Q131+Q132+Q133+Q134+Q135+Q136+Q137+Q138+Q139+Q140+Q143+Q144+Q145+Q146+Q147+Q151+Q153+Q154+Q155+Q156+Q157+Q160+Q161+Q162+Q163+Q164+Q165+Q167+Q168+Q169, "NA")</f>
        <v>244040.04000000004</v>
      </c>
      <c r="R171" s="15">
        <f>IFERROR(Q171/Q445, "NA")</f>
        <v>0.2632735525685479</v>
      </c>
      <c r="S171" s="2"/>
      <c r="T171" s="14">
        <f>IFERROR(T127+T129+T130+T131+T132+T133+T134+T135+T136+T137+T138+T139+T140+T143+T144+T145+T146+T147+T151+T153+T154+T155+T156+T157+T160+T161+T162+T163+T164+T165+T167+T168+T169, "NA")</f>
        <v>245377.25</v>
      </c>
      <c r="U171" s="15">
        <f>IFERROR(T171/T445, "NA")</f>
        <v>0.25562918164095605</v>
      </c>
      <c r="V171" s="2"/>
      <c r="W171" s="14">
        <f t="shared" si="42"/>
        <v>1337.2099999999627</v>
      </c>
      <c r="X171" s="15">
        <f>IFERROR(W171/W445, "NA")</f>
        <v>-4.0582339470004475E-2</v>
      </c>
      <c r="Y171" s="2"/>
      <c r="Z171" s="14">
        <f>IFERROR(Z127+Z129+Z130+Z131+Z132+Z133+Z134+Z135+Z136+Z137+Z138+Z139+Z140+Z143+Z144+Z145+Z146+Z147+Z151+Z153+Z154+Z155+Z156+Z157+Z160+Z161+Z162+Z163+Z164+Z165+Z167+Z168+Z169, "NA")</f>
        <v>239025.16999999998</v>
      </c>
      <c r="AA171" s="15">
        <f>IFERROR(Z171/Z445, "NA")</f>
        <v>0.26791727818790956</v>
      </c>
      <c r="AB171" s="2"/>
      <c r="AC171" s="14">
        <f t="shared" si="43"/>
        <v>-5014.8700000000536</v>
      </c>
      <c r="AD171" s="15">
        <f>IFERROR(AC171/AC445, "NA")</f>
        <v>-0.14417000484699896</v>
      </c>
    </row>
    <row r="172" spans="1:30" ht="16.5" customHeight="1" x14ac:dyDescent="0.45">
      <c r="A172" s="22" t="s">
        <v>160</v>
      </c>
      <c r="B172" s="23">
        <f>IFERROR(B124-B171, "NA")</f>
        <v>116370.99</v>
      </c>
      <c r="C172" s="24">
        <f>IFERROR(B172/B445, "NA")</f>
        <v>0.72644862905758556</v>
      </c>
      <c r="D172" s="25"/>
      <c r="E172" s="23">
        <f>IFERROR(E124-E171, "NA")</f>
        <v>143667.54000000004</v>
      </c>
      <c r="F172" s="24">
        <f>IFERROR(E172/E445, "NA")</f>
        <v>0.74599997590659761</v>
      </c>
      <c r="G172" s="25"/>
      <c r="H172" s="23">
        <f>IFERROR(B172-E172, "NA")</f>
        <v>-27296.550000000032</v>
      </c>
      <c r="I172" s="24">
        <f>IFERROR(H172/H445, "NA")</f>
        <v>0.84268872052879495</v>
      </c>
      <c r="J172" s="25"/>
      <c r="K172" s="23">
        <f>IFERROR(K124-K171, "NA")</f>
        <v>124926.75000000001</v>
      </c>
      <c r="L172" s="24">
        <f>IFERROR(K172/K445, "NA")</f>
        <v>0.70739380238278948</v>
      </c>
      <c r="M172" s="25"/>
      <c r="N172" s="23">
        <f>IFERROR(B172-K172, "NA")</f>
        <v>-8555.7600000000093</v>
      </c>
      <c r="O172" s="24">
        <f>IFERROR(N172/N445, "NA")</f>
        <v>0.5213814436382187</v>
      </c>
      <c r="P172" s="25"/>
      <c r="Q172" s="23">
        <f>IFERROR(Q124-Q171, "NA")</f>
        <v>682904.72</v>
      </c>
      <c r="R172" s="24">
        <f>IFERROR(Q172/Q445, "NA")</f>
        <v>0.7367264474314521</v>
      </c>
      <c r="S172" s="25"/>
      <c r="T172" s="23">
        <f>IFERROR(T124-T171, "NA")</f>
        <v>714518.05</v>
      </c>
      <c r="U172" s="24">
        <f>IFERROR(T172/T445, "NA")</f>
        <v>0.74437081835904395</v>
      </c>
      <c r="V172" s="25"/>
      <c r="W172" s="23">
        <f>IFERROR(Q172-T172, "NA")</f>
        <v>-31613.330000000075</v>
      </c>
      <c r="X172" s="24">
        <f>IFERROR(W172/W445, "NA")</f>
        <v>0.95941766052999555</v>
      </c>
      <c r="Y172" s="25"/>
      <c r="Z172" s="23">
        <f>IFERROR(Z124-Z171, "NA")</f>
        <v>653135.16999999993</v>
      </c>
      <c r="AA172" s="24">
        <f>IFERROR(Z172/Z445, "NA")</f>
        <v>0.73208272181209033</v>
      </c>
      <c r="AB172" s="25"/>
      <c r="AC172" s="23">
        <f>IFERROR(Q172-Z172, "NA")</f>
        <v>29769.550000000047</v>
      </c>
      <c r="AD172" s="24">
        <f>IFERROR(AC172/AC445, "NA")</f>
        <v>0.85582999515300273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IFERROR(B175/B445, "NA")</f>
        <v>0</v>
      </c>
      <c r="D175" s="9"/>
      <c r="E175" s="7">
        <v>0</v>
      </c>
      <c r="F175" s="8">
        <f>IFERROR(E175/E445, "NA")</f>
        <v>0</v>
      </c>
      <c r="G175" s="9"/>
      <c r="H175" s="10">
        <f>IFERROR(-(B175-E175), "NA")</f>
        <v>0</v>
      </c>
      <c r="I175" s="8">
        <f>IFERROR(H175/H445, "NA")</f>
        <v>0</v>
      </c>
      <c r="J175" s="9"/>
      <c r="K175" s="7">
        <v>0</v>
      </c>
      <c r="L175" s="8">
        <f>IFERROR(K175/K445, "NA")</f>
        <v>0</v>
      </c>
      <c r="M175" s="9"/>
      <c r="N175" s="10">
        <f>IFERROR(-(B175-K175), "NA")</f>
        <v>0</v>
      </c>
      <c r="O175" s="8">
        <f>IFERROR(N175/N445, "NA")</f>
        <v>0</v>
      </c>
      <c r="P175" s="9"/>
      <c r="Q175" s="7">
        <v>0</v>
      </c>
      <c r="R175" s="8">
        <f>IFERROR(Q175/Q445, "NA")</f>
        <v>0</v>
      </c>
      <c r="S175" s="9"/>
      <c r="T175" s="7">
        <v>0</v>
      </c>
      <c r="U175" s="8">
        <f>IFERROR(T175/T445, "NA")</f>
        <v>0</v>
      </c>
      <c r="V175" s="9"/>
      <c r="W175" s="10">
        <f>IFERROR(-(Q175-T175), "NA")</f>
        <v>0</v>
      </c>
      <c r="X175" s="8">
        <f>IFERROR(W175/W445, "NA")</f>
        <v>0</v>
      </c>
      <c r="Y175" s="9"/>
      <c r="Z175" s="7">
        <v>0</v>
      </c>
      <c r="AA175" s="8">
        <f>IFERROR(Z175/Z445, "NA")</f>
        <v>0</v>
      </c>
      <c r="AB175" s="9"/>
      <c r="AC175" s="10">
        <f>IFERROR(-(Q175-Z175), "NA")</f>
        <v>0</v>
      </c>
      <c r="AD175" s="8">
        <f>IFERROR(AC175/AC445,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IFERROR(B177/B445, "NA")</f>
        <v>0</v>
      </c>
      <c r="D177" s="9"/>
      <c r="E177" s="7">
        <v>0</v>
      </c>
      <c r="F177" s="8">
        <f>IFERROR(E177/E445, "NA")</f>
        <v>0</v>
      </c>
      <c r="G177" s="9"/>
      <c r="H177" s="10">
        <f t="shared" ref="H177:H184" si="44">IFERROR(-(B177-E177), "NA")</f>
        <v>0</v>
      </c>
      <c r="I177" s="8">
        <f>IFERROR(H177/H445, "NA")</f>
        <v>0</v>
      </c>
      <c r="J177" s="9"/>
      <c r="K177" s="7">
        <v>0</v>
      </c>
      <c r="L177" s="8">
        <f>IFERROR(K177/K445, "NA")</f>
        <v>0</v>
      </c>
      <c r="M177" s="9"/>
      <c r="N177" s="10">
        <f t="shared" ref="N177:N184" si="45">IFERROR(-(B177-K177), "NA")</f>
        <v>0</v>
      </c>
      <c r="O177" s="8">
        <f>IFERROR(N177/N445, "NA")</f>
        <v>0</v>
      </c>
      <c r="P177" s="9"/>
      <c r="Q177" s="7">
        <v>0</v>
      </c>
      <c r="R177" s="8">
        <f>IFERROR(Q177/Q445, "NA")</f>
        <v>0</v>
      </c>
      <c r="S177" s="9"/>
      <c r="T177" s="7">
        <v>0</v>
      </c>
      <c r="U177" s="8">
        <f>IFERROR(T177/T445, "NA")</f>
        <v>0</v>
      </c>
      <c r="V177" s="9"/>
      <c r="W177" s="10">
        <f t="shared" ref="W177:W184" si="46">IFERROR(-(Q177-T177), "NA")</f>
        <v>0</v>
      </c>
      <c r="X177" s="8">
        <f>IFERROR(W177/W445, "NA")</f>
        <v>0</v>
      </c>
      <c r="Y177" s="9"/>
      <c r="Z177" s="7">
        <v>0</v>
      </c>
      <c r="AA177" s="8">
        <f>IFERROR(Z177/Z445, "NA")</f>
        <v>0</v>
      </c>
      <c r="AB177" s="9"/>
      <c r="AC177" s="10">
        <f t="shared" ref="AC177:AC184" si="47">IFERROR(-(Q177-Z177), "NA")</f>
        <v>0</v>
      </c>
      <c r="AD177" s="8">
        <f>IFERROR(AC177/AC445,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IFERROR(B178/B445, "NA")</f>
        <v>6.2905408977984675E-2</v>
      </c>
      <c r="D178" s="9"/>
      <c r="E178" s="7">
        <v>10278.459999999999</v>
      </c>
      <c r="F178" s="8">
        <f>IFERROR(E178/E445, "NA")</f>
        <v>5.3371352445771146E-2</v>
      </c>
      <c r="G178" s="9"/>
      <c r="H178" s="10">
        <f t="shared" si="44"/>
        <v>201.53999999999905</v>
      </c>
      <c r="I178" s="8">
        <f>IFERROR(H178/H445, "NA")</f>
        <v>-6.2218663067447116E-3</v>
      </c>
      <c r="J178" s="9"/>
      <c r="K178" s="7">
        <v>10076.92</v>
      </c>
      <c r="L178" s="8">
        <f>IFERROR(K178/K445, "NA")</f>
        <v>5.706024334345669E-2</v>
      </c>
      <c r="M178" s="9"/>
      <c r="N178" s="10">
        <f t="shared" si="45"/>
        <v>0</v>
      </c>
      <c r="O178" s="8">
        <f>IFERROR(N178/N445, "NA")</f>
        <v>0</v>
      </c>
      <c r="P178" s="9"/>
      <c r="Q178" s="7">
        <v>52903.83</v>
      </c>
      <c r="R178" s="8">
        <f>IFERROR(Q178/Q445, "NA")</f>
        <v>5.7073336279499551E-2</v>
      </c>
      <c r="S178" s="9"/>
      <c r="T178" s="7">
        <v>53306.91</v>
      </c>
      <c r="U178" s="8">
        <f>IFERROR(T178/T445, "NA")</f>
        <v>5.5534087936465575E-2</v>
      </c>
      <c r="V178" s="9"/>
      <c r="W178" s="10">
        <f t="shared" si="46"/>
        <v>403.08000000000175</v>
      </c>
      <c r="X178" s="8">
        <f>IFERROR(W178/W445, "NA")</f>
        <v>-1.2232879946732323E-2</v>
      </c>
      <c r="Y178" s="9"/>
      <c r="Z178" s="7">
        <v>52903.83</v>
      </c>
      <c r="AA178" s="8">
        <f>IFERROR(Z178/Z445, "NA")</f>
        <v>5.9298567340485012E-2</v>
      </c>
      <c r="AB178" s="9"/>
      <c r="AC178" s="10">
        <f t="shared" si="47"/>
        <v>0</v>
      </c>
      <c r="AD178" s="8">
        <f>IFERROR(AC178/AC445,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IFERROR(B179/B445, "NA")</f>
        <v>0</v>
      </c>
      <c r="D179" s="9"/>
      <c r="E179" s="7">
        <v>0</v>
      </c>
      <c r="F179" s="8">
        <f>IFERROR(E179/E445, "NA")</f>
        <v>0</v>
      </c>
      <c r="G179" s="9"/>
      <c r="H179" s="10">
        <f t="shared" si="44"/>
        <v>0</v>
      </c>
      <c r="I179" s="8">
        <f>IFERROR(H179/H445, "NA")</f>
        <v>0</v>
      </c>
      <c r="J179" s="9"/>
      <c r="K179" s="7">
        <v>0</v>
      </c>
      <c r="L179" s="8">
        <f>IFERROR(K179/K445, "NA")</f>
        <v>0</v>
      </c>
      <c r="M179" s="9"/>
      <c r="N179" s="10">
        <f t="shared" si="45"/>
        <v>0</v>
      </c>
      <c r="O179" s="8">
        <f>IFERROR(N179/N445, "NA")</f>
        <v>0</v>
      </c>
      <c r="P179" s="9"/>
      <c r="Q179" s="7">
        <v>0</v>
      </c>
      <c r="R179" s="8">
        <f>IFERROR(Q179/Q445, "NA")</f>
        <v>0</v>
      </c>
      <c r="S179" s="9"/>
      <c r="T179" s="7">
        <v>0</v>
      </c>
      <c r="U179" s="8">
        <f>IFERROR(T179/T445, "NA")</f>
        <v>0</v>
      </c>
      <c r="V179" s="9"/>
      <c r="W179" s="10">
        <f t="shared" si="46"/>
        <v>0</v>
      </c>
      <c r="X179" s="8">
        <f>IFERROR(W179/W445, "NA")</f>
        <v>0</v>
      </c>
      <c r="Y179" s="9"/>
      <c r="Z179" s="7">
        <v>0</v>
      </c>
      <c r="AA179" s="8">
        <f>IFERROR(Z179/Z445, "NA")</f>
        <v>0</v>
      </c>
      <c r="AB179" s="9"/>
      <c r="AC179" s="10">
        <f t="shared" si="47"/>
        <v>0</v>
      </c>
      <c r="AD179" s="8">
        <f>IFERROR(AC179/AC445, "NA")</f>
        <v>0</v>
      </c>
    </row>
    <row r="180" spans="1:30" ht="16.5" customHeight="1" x14ac:dyDescent="0.45">
      <c r="A180" s="12" t="s">
        <v>165</v>
      </c>
      <c r="B180" s="7">
        <v>24135.49</v>
      </c>
      <c r="C180" s="8">
        <f>IFERROR(B180/B445, "NA")</f>
        <v>0.15066636128242156</v>
      </c>
      <c r="D180" s="9"/>
      <c r="E180" s="7">
        <v>30428.25</v>
      </c>
      <c r="F180" s="8">
        <f>IFERROR(E180/E445, "NA")</f>
        <v>0.15800001703154326</v>
      </c>
      <c r="G180" s="9"/>
      <c r="H180" s="10">
        <f t="shared" si="44"/>
        <v>6292.7599999999984</v>
      </c>
      <c r="I180" s="8">
        <f>IFERROR(H180/H445, "NA")</f>
        <v>-0.19426769584415512</v>
      </c>
      <c r="J180" s="9"/>
      <c r="K180" s="7">
        <v>29076.75</v>
      </c>
      <c r="L180" s="8">
        <f>IFERROR(K180/K445, "NA")</f>
        <v>0.16464618461165259</v>
      </c>
      <c r="M180" s="9"/>
      <c r="N180" s="10">
        <f t="shared" si="45"/>
        <v>4941.2599999999984</v>
      </c>
      <c r="O180" s="8">
        <f>IFERROR(N180/N445, "NA")</f>
        <v>-0.3011165895480683</v>
      </c>
      <c r="P180" s="9"/>
      <c r="Q180" s="7">
        <v>137436.82</v>
      </c>
      <c r="R180" s="8">
        <f>IFERROR(Q180/Q445, "NA")</f>
        <v>0.14826861958850709</v>
      </c>
      <c r="S180" s="9"/>
      <c r="T180" s="7">
        <v>149002.44</v>
      </c>
      <c r="U180" s="8">
        <f>IFERROR(T180/T445, "NA")</f>
        <v>0.15522780453243182</v>
      </c>
      <c r="V180" s="9"/>
      <c r="W180" s="10">
        <f t="shared" si="46"/>
        <v>11565.619999999995</v>
      </c>
      <c r="X180" s="8">
        <f>IFERROR(W180/W445, "NA")</f>
        <v>-0.3509994069899911</v>
      </c>
      <c r="Y180" s="9"/>
      <c r="Z180" s="7">
        <v>141373.1</v>
      </c>
      <c r="AA180" s="8">
        <f>IFERROR(Z180/Z445, "NA")</f>
        <v>0.15846153842705002</v>
      </c>
      <c r="AB180" s="9"/>
      <c r="AC180" s="10">
        <f t="shared" si="47"/>
        <v>3936.2799999999988</v>
      </c>
      <c r="AD180" s="8">
        <f>IFERROR(AC180/AC445, "NA")</f>
        <v>0.11316215708066986</v>
      </c>
    </row>
    <row r="181" spans="1:30" ht="16.5" customHeight="1" x14ac:dyDescent="0.45">
      <c r="A181" s="12" t="s">
        <v>166</v>
      </c>
      <c r="B181" s="7">
        <v>774.22</v>
      </c>
      <c r="C181" s="8">
        <f>IFERROR(B181/B445, "NA")</f>
        <v>4.8330864727451741E-3</v>
      </c>
      <c r="D181" s="9"/>
      <c r="E181" s="7">
        <v>0</v>
      </c>
      <c r="F181" s="8">
        <f>IFERROR(E181/E445, "NA")</f>
        <v>0</v>
      </c>
      <c r="G181" s="9"/>
      <c r="H181" s="10">
        <f t="shared" si="44"/>
        <v>-774.22</v>
      </c>
      <c r="I181" s="8">
        <f>IFERROR(H181/H445, "NA")</f>
        <v>2.3901425682285964E-2</v>
      </c>
      <c r="J181" s="9"/>
      <c r="K181" s="7">
        <v>487.2</v>
      </c>
      <c r="L181" s="8">
        <f>IFERROR(K181/K445, "NA")</f>
        <v>2.7587547144298156E-3</v>
      </c>
      <c r="M181" s="9"/>
      <c r="N181" s="10">
        <f t="shared" si="45"/>
        <v>-287.02000000000004</v>
      </c>
      <c r="O181" s="8">
        <f>IFERROR(N181/N445, "NA")</f>
        <v>1.7490778370716498E-2</v>
      </c>
      <c r="P181" s="9"/>
      <c r="Q181" s="7">
        <v>3249.81</v>
      </c>
      <c r="R181" s="8">
        <f>IFERROR(Q181/Q445, "NA")</f>
        <v>3.5059370743948108E-3</v>
      </c>
      <c r="S181" s="9"/>
      <c r="T181" s="7">
        <v>0</v>
      </c>
      <c r="U181" s="8">
        <f>IFERROR(T181/T445, "NA")</f>
        <v>0</v>
      </c>
      <c r="V181" s="9"/>
      <c r="W181" s="10">
        <f t="shared" si="46"/>
        <v>-3249.81</v>
      </c>
      <c r="X181" s="8">
        <f>IFERROR(W181/W445, "NA")</f>
        <v>9.8626911728912373E-2</v>
      </c>
      <c r="Y181" s="9"/>
      <c r="Z181" s="7">
        <v>3150.01</v>
      </c>
      <c r="AA181" s="8">
        <f>IFERROR(Z181/Z445, "NA")</f>
        <v>3.5307666781063149E-3</v>
      </c>
      <c r="AB181" s="9"/>
      <c r="AC181" s="10">
        <f t="shared" si="47"/>
        <v>-99.799999999999727</v>
      </c>
      <c r="AD181" s="8">
        <f>IFERROR(AC181/AC445, "NA")</f>
        <v>-2.8691005915866818E-3</v>
      </c>
    </row>
    <row r="182" spans="1:30" ht="16.5" customHeight="1" x14ac:dyDescent="0.45">
      <c r="A182" s="13" t="s">
        <v>167</v>
      </c>
      <c r="B182" s="14">
        <f>IFERROR(B177+B178+B179+B180+B181, "NA")</f>
        <v>34986.630000000005</v>
      </c>
      <c r="C182" s="15">
        <f>IFERROR(B182/B445, "NA")</f>
        <v>0.21840485673315144</v>
      </c>
      <c r="D182" s="2"/>
      <c r="E182" s="14">
        <f>IFERROR(E177+E178+E179+E180+E181, "NA")</f>
        <v>40706.71</v>
      </c>
      <c r="F182" s="15">
        <f>IFERROR(E182/E445, "NA")</f>
        <v>0.21137136947731439</v>
      </c>
      <c r="G182" s="2"/>
      <c r="H182" s="14">
        <f t="shared" si="44"/>
        <v>5720.0799999999945</v>
      </c>
      <c r="I182" s="15">
        <f>IFERROR(H182/H445, "NA")</f>
        <v>-0.17658813646861377</v>
      </c>
      <c r="J182" s="2"/>
      <c r="K182" s="14">
        <f>IFERROR(K177+K178+K179+K180+K181, "NA")</f>
        <v>39640.869999999995</v>
      </c>
      <c r="L182" s="15">
        <f>IFERROR(K182/K445, "NA")</f>
        <v>0.22446518266953908</v>
      </c>
      <c r="M182" s="2"/>
      <c r="N182" s="14">
        <f t="shared" si="45"/>
        <v>4654.2399999999907</v>
      </c>
      <c r="O182" s="15">
        <f>IFERROR(N182/N445, "NA")</f>
        <v>-0.28362581117735136</v>
      </c>
      <c r="P182" s="2"/>
      <c r="Q182" s="14">
        <f>IFERROR(Q177+Q178+Q179+Q180+Q181, "NA")</f>
        <v>193590.46000000002</v>
      </c>
      <c r="R182" s="15">
        <f>IFERROR(Q182/Q445, "NA")</f>
        <v>0.20884789294240147</v>
      </c>
      <c r="S182" s="2"/>
      <c r="T182" s="14">
        <f>IFERROR(T177+T178+T179+T180+T181, "NA")</f>
        <v>202309.35</v>
      </c>
      <c r="U182" s="15">
        <f>IFERROR(T182/T445, "NA")</f>
        <v>0.21076189246889737</v>
      </c>
      <c r="V182" s="2"/>
      <c r="W182" s="14">
        <f t="shared" si="46"/>
        <v>8718.8899999999849</v>
      </c>
      <c r="X182" s="15">
        <f>IFERROR(W182/W445, "NA")</f>
        <v>-0.26460537520781069</v>
      </c>
      <c r="Y182" s="2"/>
      <c r="Z182" s="14">
        <f>IFERROR(Z177+Z178+Z179+Z180+Z181, "NA")</f>
        <v>197426.94</v>
      </c>
      <c r="AA182" s="15">
        <f>IFERROR(Z182/Z445, "NA")</f>
        <v>0.22129087244564133</v>
      </c>
      <c r="AB182" s="2"/>
      <c r="AC182" s="14">
        <f t="shared" si="47"/>
        <v>3836.4799999999814</v>
      </c>
      <c r="AD182" s="15">
        <f>IFERROR(AC182/AC445, "NA")</f>
        <v>0.11029305648908266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IFERROR(B183/B445, "NA")</f>
        <v>0</v>
      </c>
      <c r="D183" s="9"/>
      <c r="E183" s="7">
        <v>0</v>
      </c>
      <c r="F183" s="8">
        <f>IFERROR(E183/E445, "NA")</f>
        <v>0</v>
      </c>
      <c r="G183" s="9"/>
      <c r="H183" s="10">
        <f t="shared" si="44"/>
        <v>0</v>
      </c>
      <c r="I183" s="8">
        <f>IFERROR(H183/H445, "NA")</f>
        <v>0</v>
      </c>
      <c r="J183" s="9"/>
      <c r="K183" s="7">
        <v>0</v>
      </c>
      <c r="L183" s="8">
        <f>IFERROR(K183/K445, "NA")</f>
        <v>0</v>
      </c>
      <c r="M183" s="9"/>
      <c r="N183" s="10">
        <f t="shared" si="45"/>
        <v>0</v>
      </c>
      <c r="O183" s="8">
        <f>IFERROR(N183/N445, "NA")</f>
        <v>0</v>
      </c>
      <c r="P183" s="9"/>
      <c r="Q183" s="7">
        <v>0</v>
      </c>
      <c r="R183" s="8">
        <f>IFERROR(Q183/Q445, "NA")</f>
        <v>0</v>
      </c>
      <c r="S183" s="9"/>
      <c r="T183" s="7">
        <v>0</v>
      </c>
      <c r="U183" s="8">
        <f>IFERROR(T183/T445, "NA")</f>
        <v>0</v>
      </c>
      <c r="V183" s="9"/>
      <c r="W183" s="10">
        <f t="shared" si="46"/>
        <v>0</v>
      </c>
      <c r="X183" s="8">
        <f>IFERROR(W183/W445, "NA")</f>
        <v>0</v>
      </c>
      <c r="Y183" s="9"/>
      <c r="Z183" s="7">
        <v>0</v>
      </c>
      <c r="AA183" s="8">
        <f>IFERROR(Z183/Z445, "NA")</f>
        <v>0</v>
      </c>
      <c r="AB183" s="9"/>
      <c r="AC183" s="10">
        <f t="shared" si="47"/>
        <v>0</v>
      </c>
      <c r="AD183" s="8">
        <f>IFERROR(AC183/AC445, "NA")</f>
        <v>0</v>
      </c>
    </row>
    <row r="184" spans="1:30" ht="16.5" customHeight="1" x14ac:dyDescent="0.45">
      <c r="A184" s="6" t="s">
        <v>169</v>
      </c>
      <c r="B184" s="7">
        <v>624</v>
      </c>
      <c r="C184" s="8">
        <f>IFERROR(B184/B445, "NA")</f>
        <v>3.8953346064335569E-3</v>
      </c>
      <c r="D184" s="9"/>
      <c r="E184" s="7">
        <v>862.5</v>
      </c>
      <c r="F184" s="8">
        <f>IFERROR(E184/E445, "NA")</f>
        <v>4.4785689183474585E-3</v>
      </c>
      <c r="G184" s="9"/>
      <c r="H184" s="10">
        <f t="shared" si="44"/>
        <v>238.5</v>
      </c>
      <c r="I184" s="8">
        <f>IFERROR(H184/H445, "NA")</f>
        <v>-7.3628813841352617E-3</v>
      </c>
      <c r="J184" s="9"/>
      <c r="K184" s="7">
        <v>1150</v>
      </c>
      <c r="L184" s="8">
        <f>IFERROR(K184/K445, "NA")</f>
        <v>6.5118389195285061E-3</v>
      </c>
      <c r="M184" s="9"/>
      <c r="N184" s="10">
        <f t="shared" si="45"/>
        <v>526</v>
      </c>
      <c r="O184" s="8">
        <f>IFERROR(N184/N445, "NA")</f>
        <v>-3.2054036035805436E-2</v>
      </c>
      <c r="P184" s="9"/>
      <c r="Q184" s="7">
        <v>1576</v>
      </c>
      <c r="R184" s="8">
        <f>IFERROR(Q184/Q445, "NA")</f>
        <v>1.7002091904592027E-3</v>
      </c>
      <c r="S184" s="9"/>
      <c r="T184" s="7">
        <v>4462.5</v>
      </c>
      <c r="U184" s="8">
        <f>IFERROR(T184/T445, "NA")</f>
        <v>4.6489445255123137E-3</v>
      </c>
      <c r="V184" s="9"/>
      <c r="W184" s="10">
        <f t="shared" si="46"/>
        <v>2886.5</v>
      </c>
      <c r="X184" s="8">
        <f>IFERROR(W184/W445, "NA")</f>
        <v>-8.7600992275088566E-2</v>
      </c>
      <c r="Y184" s="9"/>
      <c r="Z184" s="7">
        <v>5750</v>
      </c>
      <c r="AA184" s="8">
        <f>IFERROR(Z184/Z445, "NA")</f>
        <v>6.4450298250200181E-3</v>
      </c>
      <c r="AB184" s="9"/>
      <c r="AC184" s="10">
        <f t="shared" si="47"/>
        <v>4174</v>
      </c>
      <c r="AD184" s="8">
        <f>IFERROR(AC184/AC445, "NA")</f>
        <v>0.11999625119521887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3596.74</v>
      </c>
      <c r="C186" s="8">
        <f>IFERROR(B186/B445, "NA")</f>
        <v>2.2452733641576652E-2</v>
      </c>
      <c r="D186" s="9"/>
      <c r="E186" s="7">
        <v>4178.8599999999997</v>
      </c>
      <c r="F186" s="8">
        <f>IFERROR(E186/E445, "NA")</f>
        <v>2.1698913055217924E-2</v>
      </c>
      <c r="G186" s="9"/>
      <c r="H186" s="10">
        <f t="shared" ref="H186:H197" si="48">IFERROR(-(B186-E186), "NA")</f>
        <v>582.11999999999989</v>
      </c>
      <c r="I186" s="8">
        <f>IFERROR(H186/H445, "NA")</f>
        <v>-1.7970987468900704E-2</v>
      </c>
      <c r="J186" s="9"/>
      <c r="K186" s="7">
        <v>3832.06</v>
      </c>
      <c r="L186" s="8">
        <f>IFERROR(K186/K445, "NA")</f>
        <v>2.1698919521711657E-2</v>
      </c>
      <c r="M186" s="9"/>
      <c r="N186" s="10">
        <f t="shared" ref="N186:N197" si="49">IFERROR(-(B186-K186), "NA")</f>
        <v>235.32000000000016</v>
      </c>
      <c r="O186" s="8">
        <f>IFERROR(N186/N445, "NA")</f>
        <v>-1.4340220075942474E-2</v>
      </c>
      <c r="P186" s="9"/>
      <c r="Q186" s="7">
        <v>21419.54</v>
      </c>
      <c r="R186" s="8">
        <f>IFERROR(Q186/Q445, "NA")</f>
        <v>2.310767688033535E-2</v>
      </c>
      <c r="S186" s="9"/>
      <c r="T186" s="7">
        <v>22010.61</v>
      </c>
      <c r="U186" s="8">
        <f>IFERROR(T186/T445, "NA")</f>
        <v>2.2930219577072624E-2</v>
      </c>
      <c r="V186" s="9"/>
      <c r="W186" s="10">
        <f t="shared" ref="W186:W197" si="50">IFERROR(-(Q186-T186), "NA")</f>
        <v>591.06999999999971</v>
      </c>
      <c r="X186" s="8">
        <f>IFERROR(W186/W445, "NA")</f>
        <v>-1.7938097524350102E-2</v>
      </c>
      <c r="Y186" s="9"/>
      <c r="Z186" s="7">
        <v>20481.04</v>
      </c>
      <c r="AA186" s="8">
        <f>IFERROR(Z186/Z445, "NA")</f>
        <v>2.2956680634335307E-2</v>
      </c>
      <c r="AB186" s="9"/>
      <c r="AC186" s="10">
        <f t="shared" ref="AC186:AC197" si="51">IFERROR(-(Q186-Z186), "NA")</f>
        <v>-938.5</v>
      </c>
      <c r="AD186" s="8">
        <f>IFERROR(AC186/AC445, "NA")</f>
        <v>-2.6980469992025132E-2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IFERROR(B187/B445, "NA")</f>
        <v>0</v>
      </c>
      <c r="D187" s="9"/>
      <c r="E187" s="7">
        <v>0</v>
      </c>
      <c r="F187" s="8">
        <f>IFERROR(E187/E445, "NA")</f>
        <v>0</v>
      </c>
      <c r="G187" s="9"/>
      <c r="H187" s="10">
        <f t="shared" si="48"/>
        <v>0</v>
      </c>
      <c r="I187" s="8">
        <f>IFERROR(H187/H445, "NA")</f>
        <v>0</v>
      </c>
      <c r="J187" s="9"/>
      <c r="K187" s="7">
        <v>0</v>
      </c>
      <c r="L187" s="8">
        <f>IFERROR(K187/K445, "NA")</f>
        <v>0</v>
      </c>
      <c r="M187" s="9"/>
      <c r="N187" s="10">
        <f t="shared" si="49"/>
        <v>0</v>
      </c>
      <c r="O187" s="8">
        <f>IFERROR(N187/N445, "NA")</f>
        <v>0</v>
      </c>
      <c r="P187" s="9"/>
      <c r="Q187" s="7">
        <v>0</v>
      </c>
      <c r="R187" s="8">
        <f>IFERROR(Q187/Q445, "NA")</f>
        <v>0</v>
      </c>
      <c r="S187" s="9"/>
      <c r="T187" s="7">
        <v>0</v>
      </c>
      <c r="U187" s="8">
        <f>IFERROR(T187/T445, "NA")</f>
        <v>0</v>
      </c>
      <c r="V187" s="9"/>
      <c r="W187" s="10">
        <f t="shared" si="50"/>
        <v>0</v>
      </c>
      <c r="X187" s="8">
        <f>IFERROR(W187/W445, "NA")</f>
        <v>0</v>
      </c>
      <c r="Y187" s="9"/>
      <c r="Z187" s="7">
        <v>0</v>
      </c>
      <c r="AA187" s="8">
        <f>IFERROR(Z187/Z445, "NA")</f>
        <v>0</v>
      </c>
      <c r="AB187" s="9"/>
      <c r="AC187" s="10">
        <f t="shared" si="51"/>
        <v>0</v>
      </c>
      <c r="AD187" s="8">
        <f>IFERROR(AC187/AC445,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IFERROR(B188/B445, "NA")</f>
        <v>0</v>
      </c>
      <c r="D188" s="9"/>
      <c r="E188" s="7">
        <v>0</v>
      </c>
      <c r="F188" s="8">
        <f>IFERROR(E188/E445, "NA")</f>
        <v>0</v>
      </c>
      <c r="G188" s="9"/>
      <c r="H188" s="10">
        <f t="shared" si="48"/>
        <v>0</v>
      </c>
      <c r="I188" s="8">
        <f>IFERROR(H188/H445, "NA")</f>
        <v>0</v>
      </c>
      <c r="J188" s="9"/>
      <c r="K188" s="7">
        <v>0</v>
      </c>
      <c r="L188" s="8">
        <f>IFERROR(K188/K445, "NA")</f>
        <v>0</v>
      </c>
      <c r="M188" s="9"/>
      <c r="N188" s="10">
        <f t="shared" si="49"/>
        <v>0</v>
      </c>
      <c r="O188" s="8">
        <f>IFERROR(N188/N445, "NA")</f>
        <v>0</v>
      </c>
      <c r="P188" s="9"/>
      <c r="Q188" s="7">
        <v>0</v>
      </c>
      <c r="R188" s="8">
        <f>IFERROR(Q188/Q445, "NA")</f>
        <v>0</v>
      </c>
      <c r="S188" s="9"/>
      <c r="T188" s="7">
        <v>0</v>
      </c>
      <c r="U188" s="8">
        <f>IFERROR(T188/T445, "NA")</f>
        <v>0</v>
      </c>
      <c r="V188" s="9"/>
      <c r="W188" s="10">
        <f t="shared" si="50"/>
        <v>0</v>
      </c>
      <c r="X188" s="8">
        <f>IFERROR(W188/W445, "NA")</f>
        <v>0</v>
      </c>
      <c r="Y188" s="9"/>
      <c r="Z188" s="7">
        <v>0</v>
      </c>
      <c r="AA188" s="8">
        <f>IFERROR(Z188/Z445, "NA")</f>
        <v>0</v>
      </c>
      <c r="AB188" s="9"/>
      <c r="AC188" s="10">
        <f t="shared" si="51"/>
        <v>0</v>
      </c>
      <c r="AD188" s="8">
        <f>IFERROR(AC188/AC445,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IFERROR(B189/B445, "NA")</f>
        <v>0</v>
      </c>
      <c r="D189" s="9"/>
      <c r="E189" s="7">
        <v>0</v>
      </c>
      <c r="F189" s="8">
        <f>IFERROR(E189/E445, "NA")</f>
        <v>0</v>
      </c>
      <c r="G189" s="9"/>
      <c r="H189" s="10">
        <f t="shared" si="48"/>
        <v>0</v>
      </c>
      <c r="I189" s="8">
        <f>IFERROR(H189/H445, "NA")</f>
        <v>0</v>
      </c>
      <c r="J189" s="9"/>
      <c r="K189" s="7">
        <v>0</v>
      </c>
      <c r="L189" s="8">
        <f>IFERROR(K189/K445, "NA")</f>
        <v>0</v>
      </c>
      <c r="M189" s="9"/>
      <c r="N189" s="10">
        <f t="shared" si="49"/>
        <v>0</v>
      </c>
      <c r="O189" s="8">
        <f>IFERROR(N189/N445, "NA")</f>
        <v>0</v>
      </c>
      <c r="P189" s="9"/>
      <c r="Q189" s="7">
        <v>0</v>
      </c>
      <c r="R189" s="8">
        <f>IFERROR(Q189/Q445, "NA")</f>
        <v>0</v>
      </c>
      <c r="S189" s="9"/>
      <c r="T189" s="7">
        <v>0</v>
      </c>
      <c r="U189" s="8">
        <f>IFERROR(T189/T445, "NA")</f>
        <v>0</v>
      </c>
      <c r="V189" s="9"/>
      <c r="W189" s="10">
        <f t="shared" si="50"/>
        <v>0</v>
      </c>
      <c r="X189" s="8">
        <f>IFERROR(W189/W445, "NA")</f>
        <v>0</v>
      </c>
      <c r="Y189" s="9"/>
      <c r="Z189" s="7">
        <v>0</v>
      </c>
      <c r="AA189" s="8">
        <f>IFERROR(Z189/Z445, "NA")</f>
        <v>0</v>
      </c>
      <c r="AB189" s="9"/>
      <c r="AC189" s="10">
        <f t="shared" si="51"/>
        <v>0</v>
      </c>
      <c r="AD189" s="8">
        <f>IFERROR(AC189/AC445,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IFERROR(B190/B445, "NA")</f>
        <v>0</v>
      </c>
      <c r="D190" s="9"/>
      <c r="E190" s="7">
        <v>0</v>
      </c>
      <c r="F190" s="8">
        <f>IFERROR(E190/E445, "NA")</f>
        <v>0</v>
      </c>
      <c r="G190" s="9"/>
      <c r="H190" s="10">
        <f t="shared" si="48"/>
        <v>0</v>
      </c>
      <c r="I190" s="8">
        <f>IFERROR(H190/H445, "NA")</f>
        <v>0</v>
      </c>
      <c r="J190" s="9"/>
      <c r="K190" s="7">
        <v>0</v>
      </c>
      <c r="L190" s="8">
        <f>IFERROR(K190/K445, "NA")</f>
        <v>0</v>
      </c>
      <c r="M190" s="9"/>
      <c r="N190" s="10">
        <f t="shared" si="49"/>
        <v>0</v>
      </c>
      <c r="O190" s="8">
        <f>IFERROR(N190/N445, "NA")</f>
        <v>0</v>
      </c>
      <c r="P190" s="9"/>
      <c r="Q190" s="7">
        <v>0</v>
      </c>
      <c r="R190" s="8">
        <f>IFERROR(Q190/Q445, "NA")</f>
        <v>0</v>
      </c>
      <c r="S190" s="9"/>
      <c r="T190" s="7">
        <v>0</v>
      </c>
      <c r="U190" s="8">
        <f>IFERROR(T190/T445, "NA")</f>
        <v>0</v>
      </c>
      <c r="V190" s="9"/>
      <c r="W190" s="10">
        <f t="shared" si="50"/>
        <v>0</v>
      </c>
      <c r="X190" s="8">
        <f>IFERROR(W190/W445, "NA")</f>
        <v>0</v>
      </c>
      <c r="Y190" s="9"/>
      <c r="Z190" s="7">
        <v>0</v>
      </c>
      <c r="AA190" s="8">
        <f>IFERROR(Z190/Z445, "NA")</f>
        <v>0</v>
      </c>
      <c r="AB190" s="9"/>
      <c r="AC190" s="10">
        <f t="shared" si="51"/>
        <v>0</v>
      </c>
      <c r="AD190" s="8">
        <f>IFERROR(AC190/AC445,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IFERROR(B191/B445, "NA")</f>
        <v>0</v>
      </c>
      <c r="D191" s="9"/>
      <c r="E191" s="7">
        <v>0</v>
      </c>
      <c r="F191" s="8">
        <f>IFERROR(E191/E445, "NA")</f>
        <v>0</v>
      </c>
      <c r="G191" s="9"/>
      <c r="H191" s="10">
        <f t="shared" si="48"/>
        <v>0</v>
      </c>
      <c r="I191" s="8">
        <f>IFERROR(H191/H445, "NA")</f>
        <v>0</v>
      </c>
      <c r="J191" s="9"/>
      <c r="K191" s="7">
        <v>0</v>
      </c>
      <c r="L191" s="8">
        <f>IFERROR(K191/K445, "NA")</f>
        <v>0</v>
      </c>
      <c r="M191" s="9"/>
      <c r="N191" s="10">
        <f t="shared" si="49"/>
        <v>0</v>
      </c>
      <c r="O191" s="8">
        <f>IFERROR(N191/N445, "NA")</f>
        <v>0</v>
      </c>
      <c r="P191" s="9"/>
      <c r="Q191" s="7">
        <v>0</v>
      </c>
      <c r="R191" s="8">
        <f>IFERROR(Q191/Q445, "NA")</f>
        <v>0</v>
      </c>
      <c r="S191" s="9"/>
      <c r="T191" s="7">
        <v>0</v>
      </c>
      <c r="U191" s="8">
        <f>IFERROR(T191/T445, "NA")</f>
        <v>0</v>
      </c>
      <c r="V191" s="9"/>
      <c r="W191" s="10">
        <f t="shared" si="50"/>
        <v>0</v>
      </c>
      <c r="X191" s="8">
        <f>IFERROR(W191/W445, "NA")</f>
        <v>0</v>
      </c>
      <c r="Y191" s="9"/>
      <c r="Z191" s="7">
        <v>0</v>
      </c>
      <c r="AA191" s="8">
        <f>IFERROR(Z191/Z445, "NA")</f>
        <v>0</v>
      </c>
      <c r="AB191" s="9"/>
      <c r="AC191" s="10">
        <f t="shared" si="51"/>
        <v>0</v>
      </c>
      <c r="AD191" s="8">
        <f>IFERROR(AC191/AC445,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IFERROR(B192/B445, "NA")</f>
        <v>0</v>
      </c>
      <c r="D192" s="9"/>
      <c r="E192" s="7">
        <v>0</v>
      </c>
      <c r="F192" s="8">
        <f>IFERROR(E192/E445, "NA")</f>
        <v>0</v>
      </c>
      <c r="G192" s="9"/>
      <c r="H192" s="10">
        <f t="shared" si="48"/>
        <v>0</v>
      </c>
      <c r="I192" s="8">
        <f>IFERROR(H192/H445, "NA")</f>
        <v>0</v>
      </c>
      <c r="J192" s="9"/>
      <c r="K192" s="7">
        <v>0</v>
      </c>
      <c r="L192" s="8">
        <f>IFERROR(K192/K445, "NA")</f>
        <v>0</v>
      </c>
      <c r="M192" s="9"/>
      <c r="N192" s="10">
        <f t="shared" si="49"/>
        <v>0</v>
      </c>
      <c r="O192" s="8">
        <f>IFERROR(N192/N445, "NA")</f>
        <v>0</v>
      </c>
      <c r="P192" s="9"/>
      <c r="Q192" s="7">
        <v>0</v>
      </c>
      <c r="R192" s="8">
        <f>IFERROR(Q192/Q445, "NA")</f>
        <v>0</v>
      </c>
      <c r="S192" s="9"/>
      <c r="T192" s="7">
        <v>0</v>
      </c>
      <c r="U192" s="8">
        <f>IFERROR(T192/T445, "NA")</f>
        <v>0</v>
      </c>
      <c r="V192" s="9"/>
      <c r="W192" s="10">
        <f t="shared" si="50"/>
        <v>0</v>
      </c>
      <c r="X192" s="8">
        <f>IFERROR(W192/W445, "NA")</f>
        <v>0</v>
      </c>
      <c r="Y192" s="9"/>
      <c r="Z192" s="7">
        <v>0</v>
      </c>
      <c r="AA192" s="8">
        <f>IFERROR(Z192/Z445, "NA")</f>
        <v>0</v>
      </c>
      <c r="AB192" s="9"/>
      <c r="AC192" s="10">
        <f t="shared" si="51"/>
        <v>0</v>
      </c>
      <c r="AD192" s="8">
        <f>IFERROR(AC192/AC445,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3596.74</v>
      </c>
      <c r="C193" s="15">
        <f>IFERROR(B193/B445, "NA")</f>
        <v>2.2452733641576652E-2</v>
      </c>
      <c r="D193" s="2"/>
      <c r="E193" s="14">
        <f>IFERROR(E186+E187+E188+E189+E190+E191+E192, "NA")</f>
        <v>4178.8599999999997</v>
      </c>
      <c r="F193" s="15">
        <f>IFERROR(E193/E445, "NA")</f>
        <v>2.1698913055217924E-2</v>
      </c>
      <c r="G193" s="2"/>
      <c r="H193" s="14">
        <f t="shared" si="48"/>
        <v>582.11999999999989</v>
      </c>
      <c r="I193" s="15">
        <f>IFERROR(H193/H445, "NA")</f>
        <v>-1.7970987468900704E-2</v>
      </c>
      <c r="J193" s="2"/>
      <c r="K193" s="14">
        <f>IFERROR(K186+K187+K188+K189+K190+K191+K192, "NA")</f>
        <v>3832.06</v>
      </c>
      <c r="L193" s="15">
        <f>IFERROR(K193/K445, "NA")</f>
        <v>2.1698919521711657E-2</v>
      </c>
      <c r="M193" s="2"/>
      <c r="N193" s="14">
        <f t="shared" si="49"/>
        <v>235.32000000000016</v>
      </c>
      <c r="O193" s="15">
        <f>IFERROR(N193/N445, "NA")</f>
        <v>-1.4340220075942474E-2</v>
      </c>
      <c r="P193" s="2"/>
      <c r="Q193" s="14">
        <f>IFERROR(Q186+Q187+Q188+Q189+Q190+Q191+Q192, "NA")</f>
        <v>21419.54</v>
      </c>
      <c r="R193" s="15">
        <f>IFERROR(Q193/Q445, "NA")</f>
        <v>2.310767688033535E-2</v>
      </c>
      <c r="S193" s="2"/>
      <c r="T193" s="14">
        <f>IFERROR(T186+T187+T188+T189+T190+T191+T192, "NA")</f>
        <v>22010.61</v>
      </c>
      <c r="U193" s="15">
        <f>IFERROR(T193/T445, "NA")</f>
        <v>2.2930219577072624E-2</v>
      </c>
      <c r="V193" s="2"/>
      <c r="W193" s="14">
        <f t="shared" si="50"/>
        <v>591.06999999999971</v>
      </c>
      <c r="X193" s="15">
        <f>IFERROR(W193/W445, "NA")</f>
        <v>-1.7938097524350102E-2</v>
      </c>
      <c r="Y193" s="2"/>
      <c r="Z193" s="14">
        <f>IFERROR(Z186+Z187+Z188+Z189+Z190+Z191+Z192, "NA")</f>
        <v>20481.04</v>
      </c>
      <c r="AA193" s="15">
        <f>IFERROR(Z193/Z445, "NA")</f>
        <v>2.2956680634335307E-2</v>
      </c>
      <c r="AB193" s="2"/>
      <c r="AC193" s="14">
        <f t="shared" si="51"/>
        <v>-938.5</v>
      </c>
      <c r="AD193" s="15">
        <f>IFERROR(AC193/AC445, "NA")</f>
        <v>-2.6980469992025132E-2</v>
      </c>
    </row>
    <row r="194" spans="1:30" ht="16.5" customHeight="1" x14ac:dyDescent="0.45">
      <c r="A194" s="6" t="s">
        <v>178</v>
      </c>
      <c r="B194" s="7">
        <v>242.04</v>
      </c>
      <c r="C194" s="8">
        <f>IFERROR(B194/B445, "NA")</f>
        <v>1.5109403656108624E-3</v>
      </c>
      <c r="D194" s="9"/>
      <c r="E194" s="7">
        <v>332.55</v>
      </c>
      <c r="F194" s="8">
        <f>IFERROR(E194/E445, "NA")</f>
        <v>1.7267803986045767E-3</v>
      </c>
      <c r="G194" s="9"/>
      <c r="H194" s="10">
        <f t="shared" si="48"/>
        <v>90.510000000000019</v>
      </c>
      <c r="I194" s="8">
        <f>IFERROR(H194/H445, "NA")</f>
        <v>-2.794190331564288E-3</v>
      </c>
      <c r="J194" s="9"/>
      <c r="K194" s="7">
        <v>275.60000000000002</v>
      </c>
      <c r="L194" s="8">
        <f>IFERROR(K194/K445, "NA")</f>
        <v>1.5605763532365708E-3</v>
      </c>
      <c r="M194" s="9"/>
      <c r="N194" s="10">
        <f t="shared" si="49"/>
        <v>33.560000000000031</v>
      </c>
      <c r="O194" s="8">
        <f>IFERROR(N194/N445, "NA")</f>
        <v>-2.0451206261627975E-3</v>
      </c>
      <c r="P194" s="9"/>
      <c r="Q194" s="7">
        <v>1318.05</v>
      </c>
      <c r="R194" s="8">
        <f>IFERROR(Q194/Q445, "NA")</f>
        <v>1.4219293930740813E-3</v>
      </c>
      <c r="S194" s="9"/>
      <c r="T194" s="7">
        <v>1654.17</v>
      </c>
      <c r="U194" s="8">
        <f>IFERROR(T194/T445, "NA")</f>
        <v>1.7232816954099056E-3</v>
      </c>
      <c r="V194" s="9"/>
      <c r="W194" s="10">
        <f t="shared" si="50"/>
        <v>336.12000000000012</v>
      </c>
      <c r="X194" s="8">
        <f>IFERROR(W194/W445, "NA")</f>
        <v>-1.0200743295861001E-2</v>
      </c>
      <c r="Y194" s="9"/>
      <c r="Z194" s="7">
        <v>1387.54</v>
      </c>
      <c r="AA194" s="8">
        <f>IFERROR(Z194/Z445, "NA")</f>
        <v>1.5552585536362221E-3</v>
      </c>
      <c r="AB194" s="9"/>
      <c r="AC194" s="10">
        <f t="shared" si="51"/>
        <v>69.490000000000009</v>
      </c>
      <c r="AD194" s="8">
        <f>IFERROR(AC194/AC445, "NA")</f>
        <v>1.9977334680296504E-3</v>
      </c>
    </row>
    <row r="195" spans="1:30" ht="16.5" customHeight="1" x14ac:dyDescent="0.45">
      <c r="A195" s="6" t="s">
        <v>179</v>
      </c>
      <c r="B195" s="7">
        <v>239.37</v>
      </c>
      <c r="C195" s="8">
        <f>IFERROR(B195/B445, "NA")</f>
        <v>1.4942728281121804E-3</v>
      </c>
      <c r="D195" s="9"/>
      <c r="E195" s="7">
        <v>577.75</v>
      </c>
      <c r="F195" s="8">
        <f>IFERROR(E195/E445, "NA")</f>
        <v>2.9999921073336163E-3</v>
      </c>
      <c r="G195" s="9"/>
      <c r="H195" s="10">
        <f t="shared" si="48"/>
        <v>338.38</v>
      </c>
      <c r="I195" s="8">
        <f>IFERROR(H195/H445, "NA")</f>
        <v>-1.0446338795654883E-2</v>
      </c>
      <c r="J195" s="9"/>
      <c r="K195" s="7">
        <v>381.85</v>
      </c>
      <c r="L195" s="8">
        <f>IFERROR(K195/K445, "NA")</f>
        <v>2.1622136447147478E-3</v>
      </c>
      <c r="M195" s="9"/>
      <c r="N195" s="10">
        <f t="shared" si="49"/>
        <v>142.48000000000002</v>
      </c>
      <c r="O195" s="8">
        <f>IFERROR(N195/N445, "NA")</f>
        <v>-8.6826217763907969E-3</v>
      </c>
      <c r="P195" s="9"/>
      <c r="Q195" s="7">
        <v>1135.5999999999999</v>
      </c>
      <c r="R195" s="8">
        <f>IFERROR(Q195/Q445, "NA")</f>
        <v>1.2250999725161615E-3</v>
      </c>
      <c r="S195" s="9"/>
      <c r="T195" s="7">
        <v>2879.68</v>
      </c>
      <c r="U195" s="8">
        <f>IFERROR(T195/T445, "NA")</f>
        <v>2.9999938534963134E-3</v>
      </c>
      <c r="V195" s="9"/>
      <c r="W195" s="10">
        <f t="shared" si="50"/>
        <v>1744.08</v>
      </c>
      <c r="X195" s="8">
        <f>IFERROR(W195/W445, "NA")</f>
        <v>-5.2930240293482228E-2</v>
      </c>
      <c r="Y195" s="9"/>
      <c r="Z195" s="7">
        <v>1909.25</v>
      </c>
      <c r="AA195" s="8">
        <f>IFERROR(Z195/Z445, "NA")</f>
        <v>2.1400301205946903E-3</v>
      </c>
      <c r="AB195" s="9"/>
      <c r="AC195" s="10">
        <f t="shared" si="51"/>
        <v>773.65000000000009</v>
      </c>
      <c r="AD195" s="8">
        <f>IFERROR(AC195/AC445, "NA")</f>
        <v>2.224127928538119E-2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39688.780000000006</v>
      </c>
      <c r="C196" s="15">
        <f>IFERROR(B196/B445, "NA")</f>
        <v>0.24775813817488471</v>
      </c>
      <c r="D196" s="2"/>
      <c r="E196" s="14">
        <f>IFERROR(E175+E177+E178+E179+E180+E181+E183+E184+E186+E187+E188+E189+E190+E191+E192+E194+E195, "NA")</f>
        <v>46658.37</v>
      </c>
      <c r="F196" s="15">
        <f>IFERROR(E196/E445, "NA")</f>
        <v>0.24227562395681798</v>
      </c>
      <c r="G196" s="2"/>
      <c r="H196" s="14">
        <f t="shared" si="48"/>
        <v>6969.5899999999965</v>
      </c>
      <c r="I196" s="15">
        <f>IFERROR(H196/H445, "NA")</f>
        <v>-0.21516253444886899</v>
      </c>
      <c r="J196" s="2"/>
      <c r="K196" s="14">
        <f>IFERROR(K175+K177+K178+K179+K180+K181+K183+K184+K186+K187+K188+K189+K190+K191+K192+K194+K195, "NA")</f>
        <v>45280.37999999999</v>
      </c>
      <c r="L196" s="15">
        <f>IFERROR(K196/K445, "NA")</f>
        <v>0.25639873110873052</v>
      </c>
      <c r="M196" s="2"/>
      <c r="N196" s="14">
        <f t="shared" si="49"/>
        <v>5591.599999999984</v>
      </c>
      <c r="O196" s="15">
        <f>IFERROR(N196/N445, "NA")</f>
        <v>-0.34074780969165241</v>
      </c>
      <c r="P196" s="2"/>
      <c r="Q196" s="14">
        <f>IFERROR(Q175+Q177+Q178+Q179+Q180+Q181+Q183+Q184+Q186+Q187+Q188+Q189+Q190+Q191+Q192+Q194+Q195, "NA")</f>
        <v>219039.65000000002</v>
      </c>
      <c r="R196" s="15">
        <f>IFERROR(Q196/Q445, "NA")</f>
        <v>0.23630280837878626</v>
      </c>
      <c r="S196" s="2"/>
      <c r="T196" s="14">
        <f>IFERROR(T175+T177+T178+T179+T180+T181+T183+T184+T186+T187+T188+T189+T190+T191+T192+T194+T195, "NA")</f>
        <v>233316.31000000003</v>
      </c>
      <c r="U196" s="15">
        <f>IFERROR(T196/T445, "NA")</f>
        <v>0.24306433212038855</v>
      </c>
      <c r="V196" s="2"/>
      <c r="W196" s="14">
        <f t="shared" si="50"/>
        <v>14276.660000000003</v>
      </c>
      <c r="X196" s="15">
        <f>IFERROR(W196/W445, "NA")</f>
        <v>-0.43327544859659317</v>
      </c>
      <c r="Y196" s="2"/>
      <c r="Z196" s="14">
        <f>IFERROR(Z175+Z177+Z178+Z179+Z180+Z181+Z183+Z184+Z186+Z187+Z188+Z189+Z190+Z191+Z192+Z194+Z195, "NA")</f>
        <v>226954.77000000002</v>
      </c>
      <c r="AA196" s="15">
        <f>IFERROR(Z196/Z445, "NA")</f>
        <v>0.2543878715792276</v>
      </c>
      <c r="AB196" s="2"/>
      <c r="AC196" s="14">
        <f t="shared" si="51"/>
        <v>7915.1199999999953</v>
      </c>
      <c r="AD196" s="15">
        <f>IFERROR(AC196/AC445, "NA")</f>
        <v>0.22754785044568762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39688.780000000006</v>
      </c>
      <c r="C197" s="15">
        <f>IFERROR(B197/B445, "NA")</f>
        <v>0.24775813817488471</v>
      </c>
      <c r="D197" s="2"/>
      <c r="E197" s="14">
        <f>IFERROR(E175+E177+E178+E179+E180+E181+E183+E184+E186+E187+E188+E189+E190+E191+E192+E194+E195, "NA")</f>
        <v>46658.37</v>
      </c>
      <c r="F197" s="15">
        <f>IFERROR(E197/E445, "NA")</f>
        <v>0.24227562395681798</v>
      </c>
      <c r="G197" s="2"/>
      <c r="H197" s="14">
        <f t="shared" si="48"/>
        <v>6969.5899999999965</v>
      </c>
      <c r="I197" s="15">
        <f>IFERROR(H197/H445, "NA")</f>
        <v>-0.21516253444886899</v>
      </c>
      <c r="J197" s="2"/>
      <c r="K197" s="14">
        <f>IFERROR(K175+K177+K178+K179+K180+K181+K183+K184+K186+K187+K188+K189+K190+K191+K192+K194+K195, "NA")</f>
        <v>45280.37999999999</v>
      </c>
      <c r="L197" s="15">
        <f>IFERROR(K197/K445, "NA")</f>
        <v>0.25639873110873052</v>
      </c>
      <c r="M197" s="2"/>
      <c r="N197" s="14">
        <f t="shared" si="49"/>
        <v>5591.599999999984</v>
      </c>
      <c r="O197" s="15">
        <f>IFERROR(N197/N445, "NA")</f>
        <v>-0.34074780969165241</v>
      </c>
      <c r="P197" s="2"/>
      <c r="Q197" s="14">
        <f>IFERROR(Q175+Q177+Q178+Q179+Q180+Q181+Q183+Q184+Q186+Q187+Q188+Q189+Q190+Q191+Q192+Q194+Q195, "NA")</f>
        <v>219039.65000000002</v>
      </c>
      <c r="R197" s="15">
        <f>IFERROR(Q197/Q445, "NA")</f>
        <v>0.23630280837878626</v>
      </c>
      <c r="S197" s="2"/>
      <c r="T197" s="14">
        <f>IFERROR(T175+T177+T178+T179+T180+T181+T183+T184+T186+T187+T188+T189+T190+T191+T192+T194+T195, "NA")</f>
        <v>233316.31000000003</v>
      </c>
      <c r="U197" s="15">
        <f>IFERROR(T197/T445, "NA")</f>
        <v>0.24306433212038855</v>
      </c>
      <c r="V197" s="2"/>
      <c r="W197" s="14">
        <f t="shared" si="50"/>
        <v>14276.660000000003</v>
      </c>
      <c r="X197" s="15">
        <f>IFERROR(W197/W445, "NA")</f>
        <v>-0.43327544859659317</v>
      </c>
      <c r="Y197" s="2"/>
      <c r="Z197" s="14">
        <f>IFERROR(Z175+Z177+Z178+Z179+Z180+Z181+Z183+Z184+Z186+Z187+Z188+Z189+Z190+Z191+Z192+Z194+Z195, "NA")</f>
        <v>226954.77000000002</v>
      </c>
      <c r="AA197" s="15">
        <f>IFERROR(Z197/Z445, "NA")</f>
        <v>0.2543878715792276</v>
      </c>
      <c r="AB197" s="2"/>
      <c r="AC197" s="14">
        <f t="shared" si="51"/>
        <v>7915.1199999999953</v>
      </c>
      <c r="AD197" s="15">
        <f>IFERROR(AC197/AC445, "NA")</f>
        <v>0.22754785044568762</v>
      </c>
    </row>
    <row r="198" spans="1:30" ht="16.5" customHeight="1" x14ac:dyDescent="0.45">
      <c r="A198" s="22" t="s">
        <v>181</v>
      </c>
      <c r="B198" s="23">
        <f>IFERROR(B172-B197, "NA")</f>
        <v>76682.209999999992</v>
      </c>
      <c r="C198" s="24">
        <f>IFERROR(B198/B445, "NA")</f>
        <v>0.47869049088270088</v>
      </c>
      <c r="D198" s="25"/>
      <c r="E198" s="23">
        <f>IFERROR(E172-E197, "NA")</f>
        <v>97009.170000000042</v>
      </c>
      <c r="F198" s="24">
        <f>IFERROR(E198/E445, "NA")</f>
        <v>0.5037243519497796</v>
      </c>
      <c r="G198" s="25"/>
      <c r="H198" s="23">
        <f>IFERROR(B198-E198, "NA")</f>
        <v>-20326.96000000005</v>
      </c>
      <c r="I198" s="24">
        <f>IFERROR(H198/H445, "NA")</f>
        <v>0.6275261860799265</v>
      </c>
      <c r="J198" s="25"/>
      <c r="K198" s="23">
        <f>IFERROR(K172-K197, "NA")</f>
        <v>79646.370000000024</v>
      </c>
      <c r="L198" s="24">
        <f>IFERROR(K198/K445, "NA")</f>
        <v>0.45099507127405897</v>
      </c>
      <c r="M198" s="25"/>
      <c r="N198" s="23">
        <f>IFERROR(B198-K198, "NA")</f>
        <v>-2964.1600000000326</v>
      </c>
      <c r="O198" s="24">
        <f>IFERROR(N198/N445, "NA")</f>
        <v>0.18063363394656673</v>
      </c>
      <c r="P198" s="25"/>
      <c r="Q198" s="23">
        <f>IFERROR(Q172-Q197, "NA")</f>
        <v>463865.06999999995</v>
      </c>
      <c r="R198" s="24">
        <f>IFERROR(Q198/Q445, "NA")</f>
        <v>0.50042363905266585</v>
      </c>
      <c r="S198" s="25"/>
      <c r="T198" s="23">
        <f>IFERROR(T172-T197, "NA")</f>
        <v>481201.74</v>
      </c>
      <c r="U198" s="24">
        <f>IFERROR(T198/T445, "NA")</f>
        <v>0.50130648623865537</v>
      </c>
      <c r="V198" s="25"/>
      <c r="W198" s="23">
        <f>IFERROR(Q198-T198, "NA")</f>
        <v>-17336.670000000042</v>
      </c>
      <c r="X198" s="24">
        <f>IFERROR(W198/W445, "NA")</f>
        <v>0.52614221193340149</v>
      </c>
      <c r="Y198" s="25"/>
      <c r="Z198" s="23">
        <f>IFERROR(Z172-Z197, "NA")</f>
        <v>426180.39999999991</v>
      </c>
      <c r="AA198" s="24">
        <f>IFERROR(Z198/Z445, "NA")</f>
        <v>0.47769485023286279</v>
      </c>
      <c r="AB198" s="25"/>
      <c r="AC198" s="23">
        <f>IFERROR(Q198-Z198, "NA")</f>
        <v>37684.670000000042</v>
      </c>
      <c r="AD198" s="24">
        <f>IFERROR(AC198/AC445, "NA")</f>
        <v>1.0833778455986904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IFERROR(B201/B445, "NA")</f>
        <v>0</v>
      </c>
      <c r="D201" s="9"/>
      <c r="E201" s="7">
        <v>0</v>
      </c>
      <c r="F201" s="8">
        <f>IFERROR(E201/E445, "NA")</f>
        <v>0</v>
      </c>
      <c r="G201" s="9"/>
      <c r="H201" s="10">
        <f t="shared" ref="H201:H209" si="52">IFERROR(-(B201-E201), "NA")</f>
        <v>0</v>
      </c>
      <c r="I201" s="8">
        <f>IFERROR(H201/H445, "NA")</f>
        <v>0</v>
      </c>
      <c r="J201" s="9"/>
      <c r="K201" s="7">
        <v>0</v>
      </c>
      <c r="L201" s="8">
        <f>IFERROR(K201/K445, "NA")</f>
        <v>0</v>
      </c>
      <c r="M201" s="9"/>
      <c r="N201" s="10">
        <f t="shared" ref="N201:N209" si="53">IFERROR(-(B201-K201), "NA")</f>
        <v>0</v>
      </c>
      <c r="O201" s="8">
        <f>IFERROR(N201/N445, "NA")</f>
        <v>0</v>
      </c>
      <c r="P201" s="9"/>
      <c r="Q201" s="7">
        <v>0</v>
      </c>
      <c r="R201" s="8">
        <f>IFERROR(Q201/Q445, "NA")</f>
        <v>0</v>
      </c>
      <c r="S201" s="9"/>
      <c r="T201" s="7">
        <v>0</v>
      </c>
      <c r="U201" s="8">
        <f>IFERROR(T201/T445, "NA")</f>
        <v>0</v>
      </c>
      <c r="V201" s="9"/>
      <c r="W201" s="10">
        <f t="shared" ref="W201:W209" si="54">IFERROR(-(Q201-T201), "NA")</f>
        <v>0</v>
      </c>
      <c r="X201" s="8">
        <f>IFERROR(W201/W445, "NA")</f>
        <v>0</v>
      </c>
      <c r="Y201" s="9"/>
      <c r="Z201" s="7">
        <v>0</v>
      </c>
      <c r="AA201" s="8">
        <f>IFERROR(Z201/Z445, "NA")</f>
        <v>0</v>
      </c>
      <c r="AB201" s="9"/>
      <c r="AC201" s="10">
        <f t="shared" ref="AC201:AC209" si="55">IFERROR(-(Q201-Z201), "NA")</f>
        <v>0</v>
      </c>
      <c r="AD201" s="8">
        <f>IFERROR(AC201/AC445, "NA")</f>
        <v>0</v>
      </c>
    </row>
    <row r="202" spans="1:30" ht="16.5" customHeight="1" x14ac:dyDescent="0.45">
      <c r="A202" s="6" t="s">
        <v>184</v>
      </c>
      <c r="B202" s="7">
        <v>1549.72</v>
      </c>
      <c r="C202" s="8">
        <f>IFERROR(B202/B445, "NA")</f>
        <v>9.6741633754522625E-3</v>
      </c>
      <c r="D202" s="9"/>
      <c r="E202" s="7">
        <v>1733.25</v>
      </c>
      <c r="F202" s="8">
        <f>IFERROR(E202/E445, "NA")</f>
        <v>8.9999763220008494E-3</v>
      </c>
      <c r="G202" s="9"/>
      <c r="H202" s="10">
        <f t="shared" si="52"/>
        <v>183.52999999999997</v>
      </c>
      <c r="I202" s="8">
        <f>IFERROR(H202/H445, "NA")</f>
        <v>-5.6658684294773349E-3</v>
      </c>
      <c r="J202" s="9"/>
      <c r="K202" s="7">
        <v>1632.13</v>
      </c>
      <c r="L202" s="8">
        <f>IFERROR(K202/K445, "NA")</f>
        <v>9.24188491802614E-3</v>
      </c>
      <c r="M202" s="9"/>
      <c r="N202" s="10">
        <f t="shared" si="53"/>
        <v>82.410000000000082</v>
      </c>
      <c r="O202" s="8">
        <f>IFERROR(N202/N445, "NA")</f>
        <v>-5.0220021097162146E-3</v>
      </c>
      <c r="P202" s="9"/>
      <c r="Q202" s="7">
        <v>9519.42</v>
      </c>
      <c r="R202" s="8">
        <f>IFERROR(Q202/Q445, "NA")</f>
        <v>1.0269673459290066E-2</v>
      </c>
      <c r="S202" s="9"/>
      <c r="T202" s="7">
        <v>8639.0499999999993</v>
      </c>
      <c r="U202" s="8">
        <f>IFERROR(T202/T445, "NA")</f>
        <v>8.9999919782917971E-3</v>
      </c>
      <c r="V202" s="9"/>
      <c r="W202" s="10">
        <f t="shared" si="54"/>
        <v>-880.3700000000008</v>
      </c>
      <c r="X202" s="8">
        <f>IFERROR(W202/W445, "NA")</f>
        <v>2.6717923287448393E-2</v>
      </c>
      <c r="Y202" s="9"/>
      <c r="Z202" s="7">
        <v>7009.64</v>
      </c>
      <c r="AA202" s="8">
        <f>IFERROR(Z202/Z445, "NA")</f>
        <v>7.8569284978527529E-3</v>
      </c>
      <c r="AB202" s="9"/>
      <c r="AC202" s="10">
        <f t="shared" si="55"/>
        <v>-2509.7799999999997</v>
      </c>
      <c r="AD202" s="8">
        <f>IFERROR(AC202/AC445, "NA")</f>
        <v>-7.2152417662850118E-2</v>
      </c>
    </row>
    <row r="203" spans="1:30" ht="16.5" customHeight="1" x14ac:dyDescent="0.45">
      <c r="A203" s="6" t="s">
        <v>185</v>
      </c>
      <c r="B203" s="7">
        <v>831.4</v>
      </c>
      <c r="C203" s="8">
        <f>IFERROR(B203/B445, "NA")</f>
        <v>5.1900339612000945E-3</v>
      </c>
      <c r="D203" s="9"/>
      <c r="E203" s="7">
        <v>1155.5</v>
      </c>
      <c r="F203" s="8">
        <f>IFERROR(E203/E445, "NA")</f>
        <v>5.9999842146672326E-3</v>
      </c>
      <c r="G203" s="9"/>
      <c r="H203" s="10">
        <f t="shared" si="52"/>
        <v>324.10000000000002</v>
      </c>
      <c r="I203" s="8">
        <f>IFERROR(H203/H445, "NA")</f>
        <v>-1.0005492061208546E-2</v>
      </c>
      <c r="J203" s="9"/>
      <c r="K203" s="7">
        <v>975.08</v>
      </c>
      <c r="L203" s="8">
        <f>IFERROR(K203/K445, "NA")</f>
        <v>5.5213599075250924E-3</v>
      </c>
      <c r="M203" s="9"/>
      <c r="N203" s="10">
        <f t="shared" si="53"/>
        <v>143.68000000000006</v>
      </c>
      <c r="O203" s="8">
        <f>IFERROR(N203/N445, "NA")</f>
        <v>-8.7557488547994819E-3</v>
      </c>
      <c r="P203" s="9"/>
      <c r="Q203" s="7">
        <v>5265.94</v>
      </c>
      <c r="R203" s="8">
        <f>IFERROR(Q203/Q445, "NA")</f>
        <v>5.6809642033037646E-3</v>
      </c>
      <c r="S203" s="9"/>
      <c r="T203" s="7">
        <v>5759.38</v>
      </c>
      <c r="U203" s="8">
        <f>IFERROR(T203/T445, "NA")</f>
        <v>6.0000085425983432E-3</v>
      </c>
      <c r="V203" s="9"/>
      <c r="W203" s="10">
        <f t="shared" si="54"/>
        <v>493.44000000000051</v>
      </c>
      <c r="X203" s="8">
        <f>IFERROR(W203/W445, "NA")</f>
        <v>-1.4975171878822014E-2</v>
      </c>
      <c r="Y203" s="9"/>
      <c r="Z203" s="7">
        <v>6506.25</v>
      </c>
      <c r="AA203" s="8">
        <f>IFERROR(Z203/Z445, "NA")</f>
        <v>7.2926913563541732E-3</v>
      </c>
      <c r="AB203" s="9"/>
      <c r="AC203" s="10">
        <f t="shared" si="55"/>
        <v>1240.3100000000004</v>
      </c>
      <c r="AD203" s="8">
        <f>IFERROR(AC203/AC445, "NA")</f>
        <v>3.5657055658826535E-2</v>
      </c>
    </row>
    <row r="204" spans="1:30" ht="16.5" customHeight="1" x14ac:dyDescent="0.45">
      <c r="A204" s="6" t="s">
        <v>186</v>
      </c>
      <c r="B204" s="7">
        <v>316.01</v>
      </c>
      <c r="C204" s="8">
        <f>IFERROR(B204/B445, "NA")</f>
        <v>1.9726998220818402E-3</v>
      </c>
      <c r="D204" s="9"/>
      <c r="E204" s="7">
        <v>385.17</v>
      </c>
      <c r="F204" s="8">
        <f>IFERROR(E204/E445, "NA")</f>
        <v>2.0000120467013227E-3</v>
      </c>
      <c r="G204" s="9"/>
      <c r="H204" s="10">
        <f t="shared" si="52"/>
        <v>69.160000000000025</v>
      </c>
      <c r="I204" s="8">
        <f>IFERROR(H204/H445, "NA")</f>
        <v>-2.1350812432989301E-3</v>
      </c>
      <c r="J204" s="9"/>
      <c r="K204" s="7">
        <v>359.13</v>
      </c>
      <c r="L204" s="8">
        <f>IFERROR(K204/K445, "NA")</f>
        <v>2.0335623575393671E-3</v>
      </c>
      <c r="M204" s="9"/>
      <c r="N204" s="10">
        <f t="shared" si="53"/>
        <v>43.120000000000005</v>
      </c>
      <c r="O204" s="8">
        <f>IFERROR(N204/N445, "NA")</f>
        <v>-2.6276996841519593E-3</v>
      </c>
      <c r="P204" s="9"/>
      <c r="Q204" s="7">
        <v>1490</v>
      </c>
      <c r="R204" s="8">
        <f>IFERROR(Q204/Q445, "NA")</f>
        <v>1.6074312777818605E-3</v>
      </c>
      <c r="S204" s="9"/>
      <c r="T204" s="7">
        <v>1919.8</v>
      </c>
      <c r="U204" s="8">
        <f>IFERROR(T204/T445, "NA")</f>
        <v>2.0000097927346866E-3</v>
      </c>
      <c r="V204" s="9"/>
      <c r="W204" s="10">
        <f t="shared" si="54"/>
        <v>429.79999999999995</v>
      </c>
      <c r="X204" s="8">
        <f>IFERROR(W204/W445, "NA")</f>
        <v>-1.3043792302038129E-2</v>
      </c>
      <c r="Y204" s="9"/>
      <c r="Z204" s="7">
        <v>771.72</v>
      </c>
      <c r="AA204" s="8">
        <f>IFERROR(Z204/Z445, "NA")</f>
        <v>8.6500146375033892E-4</v>
      </c>
      <c r="AB204" s="9"/>
      <c r="AC204" s="10">
        <f t="shared" si="55"/>
        <v>-718.28</v>
      </c>
      <c r="AD204" s="8">
        <f>IFERROR(AC204/AC445, "NA")</f>
        <v>-2.0649474678606086E-2</v>
      </c>
    </row>
    <row r="205" spans="1:30" ht="16.5" customHeight="1" x14ac:dyDescent="0.45">
      <c r="A205" s="6" t="s">
        <v>187</v>
      </c>
      <c r="B205" s="7">
        <v>697.04</v>
      </c>
      <c r="C205" s="8">
        <f>IFERROR(B205/B445, "NA")</f>
        <v>4.3512885161353307E-3</v>
      </c>
      <c r="D205" s="9"/>
      <c r="E205" s="7">
        <v>577.75</v>
      </c>
      <c r="F205" s="8">
        <f>IFERROR(E205/E445, "NA")</f>
        <v>2.9999921073336163E-3</v>
      </c>
      <c r="G205" s="9"/>
      <c r="H205" s="10">
        <f t="shared" si="52"/>
        <v>-119.28999999999996</v>
      </c>
      <c r="I205" s="8">
        <f>IFERROR(H205/H445, "NA")</f>
        <v>3.6826755568700005E-3</v>
      </c>
      <c r="J205" s="9"/>
      <c r="K205" s="7">
        <v>739.03</v>
      </c>
      <c r="L205" s="8">
        <f>IFERROR(K205/K445, "NA")</f>
        <v>4.1847341884340451E-3</v>
      </c>
      <c r="M205" s="9"/>
      <c r="N205" s="10">
        <f t="shared" si="53"/>
        <v>41.990000000000009</v>
      </c>
      <c r="O205" s="8">
        <f>IFERROR(N205/N445, "NA")</f>
        <v>-2.5588383519837845E-3</v>
      </c>
      <c r="P205" s="9"/>
      <c r="Q205" s="7">
        <v>3108.69</v>
      </c>
      <c r="R205" s="8">
        <f>IFERROR(Q205/Q445, "NA")</f>
        <v>3.3536949925689207E-3</v>
      </c>
      <c r="S205" s="9"/>
      <c r="T205" s="7">
        <v>2879.68</v>
      </c>
      <c r="U205" s="8">
        <f>IFERROR(T205/T445, "NA")</f>
        <v>2.9999938534963134E-3</v>
      </c>
      <c r="V205" s="9"/>
      <c r="W205" s="10">
        <f t="shared" si="54"/>
        <v>-229.01000000000022</v>
      </c>
      <c r="X205" s="8">
        <f>IFERROR(W205/W445, "NA")</f>
        <v>6.950113715890543E-3</v>
      </c>
      <c r="Y205" s="9"/>
      <c r="Z205" s="7">
        <v>3734.07</v>
      </c>
      <c r="AA205" s="8">
        <f>IFERROR(Z205/Z445, "NA")</f>
        <v>4.185424785863044E-3</v>
      </c>
      <c r="AB205" s="9"/>
      <c r="AC205" s="10">
        <f t="shared" si="55"/>
        <v>625.38000000000011</v>
      </c>
      <c r="AD205" s="8">
        <f>IFERROR(AC205/AC445, "NA")</f>
        <v>1.7978738757179202E-2</v>
      </c>
    </row>
    <row r="206" spans="1:30" ht="16.5" customHeight="1" x14ac:dyDescent="0.45">
      <c r="A206" s="6" t="s">
        <v>188</v>
      </c>
      <c r="B206" s="7">
        <v>26.94</v>
      </c>
      <c r="C206" s="8">
        <f>IFERROR(B206/B445, "NA")</f>
        <v>1.6817358060467955E-4</v>
      </c>
      <c r="D206" s="9"/>
      <c r="E206" s="7">
        <v>192.58</v>
      </c>
      <c r="F206" s="8">
        <f>IFERROR(E206/E445, "NA")</f>
        <v>9.9998006063229403E-4</v>
      </c>
      <c r="G206" s="9"/>
      <c r="H206" s="10">
        <f t="shared" si="52"/>
        <v>165.64000000000001</v>
      </c>
      <c r="I206" s="8">
        <f>IFERROR(H206/H445, "NA")</f>
        <v>-5.1135751466170436E-3</v>
      </c>
      <c r="J206" s="9"/>
      <c r="K206" s="7">
        <v>293.61</v>
      </c>
      <c r="L206" s="8">
        <f>IFERROR(K206/K445, "NA")</f>
        <v>1.662557413185013E-3</v>
      </c>
      <c r="M206" s="9"/>
      <c r="N206" s="10">
        <f t="shared" si="53"/>
        <v>266.67</v>
      </c>
      <c r="O206" s="8">
        <f>IFERROR(N206/N445, "NA")</f>
        <v>-1.6250664999369273E-2</v>
      </c>
      <c r="P206" s="9"/>
      <c r="Q206" s="7">
        <v>498.71</v>
      </c>
      <c r="R206" s="8">
        <f>IFERROR(Q206/Q445, "NA")</f>
        <v>5.3801480036415545E-4</v>
      </c>
      <c r="S206" s="9"/>
      <c r="T206" s="7">
        <v>959.89</v>
      </c>
      <c r="U206" s="8">
        <f>IFERROR(T206/T445, "NA")</f>
        <v>9.9999447856448506E-4</v>
      </c>
      <c r="V206" s="9"/>
      <c r="W206" s="10">
        <f t="shared" si="54"/>
        <v>461.18</v>
      </c>
      <c r="X206" s="8">
        <f>IFERROR(W206/W445, "NA")</f>
        <v>-1.3996128743261855E-2</v>
      </c>
      <c r="Y206" s="9"/>
      <c r="Z206" s="7">
        <v>587.42999999999995</v>
      </c>
      <c r="AA206" s="8">
        <f>IFERROR(Z206/Z445, "NA")</f>
        <v>6.5843545567156685E-4</v>
      </c>
      <c r="AB206" s="9"/>
      <c r="AC206" s="10">
        <f t="shared" si="55"/>
        <v>88.71999999999997</v>
      </c>
      <c r="AD206" s="8">
        <f>IFERROR(AC206/AC445, "NA")</f>
        <v>2.5505671792141384E-3</v>
      </c>
    </row>
    <row r="207" spans="1:30" ht="16.5" customHeight="1" x14ac:dyDescent="0.45">
      <c r="A207" s="6" t="s">
        <v>189</v>
      </c>
      <c r="B207" s="7">
        <v>0</v>
      </c>
      <c r="C207" s="8">
        <f>IFERROR(B207/B445, "NA")</f>
        <v>0</v>
      </c>
      <c r="D207" s="9"/>
      <c r="E207" s="7">
        <v>100</v>
      </c>
      <c r="F207" s="8">
        <f>IFERROR(E207/E445, "NA")</f>
        <v>5.1925436734463282E-4</v>
      </c>
      <c r="G207" s="9"/>
      <c r="H207" s="10">
        <f t="shared" si="52"/>
        <v>100</v>
      </c>
      <c r="I207" s="8">
        <f>IFERROR(H207/H445, "NA")</f>
        <v>-3.0871620059267344E-3</v>
      </c>
      <c r="J207" s="9"/>
      <c r="K207" s="7">
        <v>488.7</v>
      </c>
      <c r="L207" s="8">
        <f>IFERROR(K207/K445, "NA")</f>
        <v>2.7672484173683312E-3</v>
      </c>
      <c r="M207" s="9"/>
      <c r="N207" s="10">
        <f t="shared" si="53"/>
        <v>488.7</v>
      </c>
      <c r="O207" s="8">
        <f>IFERROR(N207/N445, "NA")</f>
        <v>-2.9781002681935585E-2</v>
      </c>
      <c r="P207" s="9"/>
      <c r="Q207" s="7">
        <v>247.78</v>
      </c>
      <c r="R207" s="8">
        <f>IFERROR(Q207/Q445, "NA")</f>
        <v>2.6730826980455664E-4</v>
      </c>
      <c r="S207" s="9"/>
      <c r="T207" s="7">
        <v>500</v>
      </c>
      <c r="U207" s="8">
        <f>IFERROR(T207/T445, "NA")</f>
        <v>5.2089014291454487E-4</v>
      </c>
      <c r="V207" s="9"/>
      <c r="W207" s="10">
        <f t="shared" si="54"/>
        <v>252.22</v>
      </c>
      <c r="X207" s="8">
        <f>IFERROR(W207/W445, "NA")</f>
        <v>-7.6545027790136284E-3</v>
      </c>
      <c r="Y207" s="9"/>
      <c r="Z207" s="7">
        <v>588.29999999999995</v>
      </c>
      <c r="AA207" s="8">
        <f>IFERROR(Z207/Z445, "NA")</f>
        <v>6.5941061670596118E-4</v>
      </c>
      <c r="AB207" s="9"/>
      <c r="AC207" s="10">
        <f t="shared" si="55"/>
        <v>340.52</v>
      </c>
      <c r="AD207" s="8">
        <f>IFERROR(AC207/AC445, "NA")</f>
        <v>9.7894402149007968E-3</v>
      </c>
    </row>
    <row r="208" spans="1:30" ht="16.5" customHeight="1" x14ac:dyDescent="0.45">
      <c r="A208" s="6" t="s">
        <v>190</v>
      </c>
      <c r="B208" s="7">
        <v>181.22</v>
      </c>
      <c r="C208" s="8">
        <f>IFERROR(B208/B445, "NA")</f>
        <v>1.1312700919517455E-3</v>
      </c>
      <c r="D208" s="9"/>
      <c r="E208" s="7">
        <v>100</v>
      </c>
      <c r="F208" s="8">
        <f>IFERROR(E208/E445, "NA")</f>
        <v>5.1925436734463282E-4</v>
      </c>
      <c r="G208" s="9"/>
      <c r="H208" s="10">
        <f t="shared" si="52"/>
        <v>-81.22</v>
      </c>
      <c r="I208" s="8">
        <f>IFERROR(H208/H445, "NA")</f>
        <v>2.5073929812136938E-3</v>
      </c>
      <c r="J208" s="9"/>
      <c r="K208" s="7">
        <v>282.14</v>
      </c>
      <c r="L208" s="8">
        <f>IFERROR(K208/K445, "NA")</f>
        <v>1.5976088980484979E-3</v>
      </c>
      <c r="M208" s="9"/>
      <c r="N208" s="10">
        <f t="shared" si="53"/>
        <v>100.91999999999999</v>
      </c>
      <c r="O208" s="8">
        <f>IFERROR(N208/N445, "NA")</f>
        <v>-6.1499872941701223E-3</v>
      </c>
      <c r="P208" s="9"/>
      <c r="Q208" s="7">
        <v>944.2</v>
      </c>
      <c r="R208" s="8">
        <f>IFERROR(Q208/Q445, "NA")</f>
        <v>1.0186151761621695E-3</v>
      </c>
      <c r="S208" s="9"/>
      <c r="T208" s="7">
        <v>500</v>
      </c>
      <c r="U208" s="8">
        <f>IFERROR(T208/T445, "NA")</f>
        <v>5.2089014291454487E-4</v>
      </c>
      <c r="V208" s="9"/>
      <c r="W208" s="10">
        <f t="shared" si="54"/>
        <v>-444.20000000000005</v>
      </c>
      <c r="X208" s="8">
        <f>IFERROR(W208/W445, "NA")</f>
        <v>1.3480810936634105E-2</v>
      </c>
      <c r="Y208" s="9"/>
      <c r="Z208" s="7">
        <v>918.71</v>
      </c>
      <c r="AA208" s="8">
        <f>IFERROR(Z208/Z445, "NA")</f>
        <v>1.0297588435728942E-3</v>
      </c>
      <c r="AB208" s="9"/>
      <c r="AC208" s="10">
        <f t="shared" si="55"/>
        <v>-25.490000000000009</v>
      </c>
      <c r="AD208" s="8">
        <f>IFERROR(AC208/AC445, "NA")</f>
        <v>-7.327993394743962E-4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3602.33</v>
      </c>
      <c r="C209" s="15">
        <f>IFERROR(B209/B445, "NA")</f>
        <v>2.2487629347425955E-2</v>
      </c>
      <c r="D209" s="2"/>
      <c r="E209" s="14">
        <f>IFERROR(E201+E202+E203+E204+E205+E206+E207+E208, "NA")</f>
        <v>4244.25</v>
      </c>
      <c r="F209" s="15">
        <f>IFERROR(E209/E445, "NA")</f>
        <v>2.2038453486024581E-2</v>
      </c>
      <c r="G209" s="2"/>
      <c r="H209" s="14">
        <f t="shared" si="52"/>
        <v>641.92000000000007</v>
      </c>
      <c r="I209" s="15">
        <f>IFERROR(H209/H445, "NA")</f>
        <v>-1.9817110348444897E-2</v>
      </c>
      <c r="J209" s="2"/>
      <c r="K209" s="14">
        <f>IFERROR(K201+K202+K203+K204+K205+K206+K207+K208, "NA")</f>
        <v>4769.8200000000006</v>
      </c>
      <c r="L209" s="15">
        <f>IFERROR(K209/K445, "NA")</f>
        <v>2.7008956100126491E-2</v>
      </c>
      <c r="M209" s="2"/>
      <c r="N209" s="14">
        <f t="shared" si="53"/>
        <v>1167.4900000000007</v>
      </c>
      <c r="O209" s="15">
        <f>IFERROR(N209/N445, "NA")</f>
        <v>-7.1145943976126447E-2</v>
      </c>
      <c r="P209" s="2"/>
      <c r="Q209" s="14">
        <f>IFERROR(Q201+Q202+Q203+Q204+Q205+Q206+Q207+Q208, "NA")</f>
        <v>21074.739999999998</v>
      </c>
      <c r="R209" s="15">
        <f>IFERROR(Q209/Q445, "NA")</f>
        <v>2.273570217927549E-2</v>
      </c>
      <c r="S209" s="2"/>
      <c r="T209" s="14">
        <f>IFERROR(T201+T202+T203+T204+T205+T206+T207+T208, "NA")</f>
        <v>21157.8</v>
      </c>
      <c r="U209" s="15">
        <f>IFERROR(T209/T445, "NA")</f>
        <v>2.2041778931514718E-2</v>
      </c>
      <c r="V209" s="2"/>
      <c r="W209" s="14">
        <f t="shared" si="54"/>
        <v>83.06000000000131</v>
      </c>
      <c r="X209" s="15">
        <f>IFERROR(W209/W445, "NA")</f>
        <v>-2.5207477631626436E-3</v>
      </c>
      <c r="Y209" s="2"/>
      <c r="Z209" s="14">
        <f>IFERROR(Z201+Z202+Z203+Z204+Z205+Z206+Z207+Z208, "NA")</f>
        <v>20116.12</v>
      </c>
      <c r="AA209" s="15">
        <f>IFERROR(Z209/Z445, "NA")</f>
        <v>2.2547651019770729E-2</v>
      </c>
      <c r="AB209" s="2"/>
      <c r="AC209" s="14">
        <f t="shared" si="55"/>
        <v>-958.61999999999898</v>
      </c>
      <c r="AD209" s="15">
        <f>IFERROR(AC209/AC445, "NA")</f>
        <v>-2.7558889870809913E-2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IFERROR(B211/B445, "NA")</f>
        <v>0</v>
      </c>
      <c r="D211" s="9"/>
      <c r="E211" s="7">
        <v>0</v>
      </c>
      <c r="F211" s="8">
        <f>IFERROR(E211/E445, "NA")</f>
        <v>0</v>
      </c>
      <c r="G211" s="9"/>
      <c r="H211" s="10">
        <f>IFERROR(-(B211-E211), "NA")</f>
        <v>0</v>
      </c>
      <c r="I211" s="8">
        <f>IFERROR(H211/H445, "NA")</f>
        <v>0</v>
      </c>
      <c r="J211" s="9"/>
      <c r="K211" s="7">
        <v>0</v>
      </c>
      <c r="L211" s="8">
        <f>IFERROR(K211/K445, "NA")</f>
        <v>0</v>
      </c>
      <c r="M211" s="9"/>
      <c r="N211" s="10">
        <f>IFERROR(-(B211-K211), "NA")</f>
        <v>0</v>
      </c>
      <c r="O211" s="8">
        <f>IFERROR(N211/N445, "NA")</f>
        <v>0</v>
      </c>
      <c r="P211" s="9"/>
      <c r="Q211" s="7">
        <v>0</v>
      </c>
      <c r="R211" s="8">
        <f>IFERROR(Q211/Q445, "NA")</f>
        <v>0</v>
      </c>
      <c r="S211" s="9"/>
      <c r="T211" s="7">
        <v>0</v>
      </c>
      <c r="U211" s="8">
        <f>IFERROR(T211/T445, "NA")</f>
        <v>0</v>
      </c>
      <c r="V211" s="9"/>
      <c r="W211" s="10">
        <f>IFERROR(-(Q211-T211), "NA")</f>
        <v>0</v>
      </c>
      <c r="X211" s="8">
        <f>IFERROR(W211/W445, "NA")</f>
        <v>0</v>
      </c>
      <c r="Y211" s="9"/>
      <c r="Z211" s="7">
        <v>0</v>
      </c>
      <c r="AA211" s="8">
        <f>IFERROR(Z211/Z445, "NA")</f>
        <v>0</v>
      </c>
      <c r="AB211" s="9"/>
      <c r="AC211" s="10">
        <f>IFERROR(-(Q211-Z211), "NA")</f>
        <v>0</v>
      </c>
      <c r="AD211" s="8">
        <f>IFERROR(AC211/AC445,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-10</v>
      </c>
      <c r="C213" s="8">
        <f>IFERROR(B213/B445, "NA")</f>
        <v>-6.2425234077460851E-5</v>
      </c>
      <c r="D213" s="9"/>
      <c r="E213" s="7">
        <v>7318.19</v>
      </c>
      <c r="F213" s="8">
        <f>IFERROR(E213/E445, "NA")</f>
        <v>3.8000021185578187E-2</v>
      </c>
      <c r="G213" s="9"/>
      <c r="H213" s="10">
        <f t="shared" ref="H213:H227" si="56">IFERROR(-(B213-E213), "NA")</f>
        <v>7328.19</v>
      </c>
      <c r="I213" s="8">
        <f>IFERROR(H213/H445, "NA")</f>
        <v>-0.22623309740212236</v>
      </c>
      <c r="J213" s="9"/>
      <c r="K213" s="7">
        <v>0</v>
      </c>
      <c r="L213" s="8">
        <f>IFERROR(K213/K445, "NA")</f>
        <v>0</v>
      </c>
      <c r="M213" s="9"/>
      <c r="N213" s="10">
        <f t="shared" ref="N213:N227" si="57">IFERROR(-(B213-K213), "NA")</f>
        <v>10</v>
      </c>
      <c r="O213" s="8">
        <f>IFERROR(N213/N445, "NA")</f>
        <v>-6.0939232007234671E-4</v>
      </c>
      <c r="P213" s="9"/>
      <c r="Q213" s="7">
        <v>-10</v>
      </c>
      <c r="R213" s="8">
        <f>IFERROR(Q213/Q445, "NA")</f>
        <v>-1.0788129381086312E-5</v>
      </c>
      <c r="S213" s="9"/>
      <c r="T213" s="7">
        <v>36476.04</v>
      </c>
      <c r="U213" s="8">
        <f>IFERROR(T213/T445, "NA")</f>
        <v>3.8000019377113316E-2</v>
      </c>
      <c r="V213" s="9"/>
      <c r="W213" s="10">
        <f t="shared" ref="W213:W227" si="58">IFERROR(-(Q213-T213), "NA")</f>
        <v>36486.04</v>
      </c>
      <c r="X213" s="8">
        <f>IFERROR(W213/W445, "NA")</f>
        <v>-1.1072971793481976</v>
      </c>
      <c r="Y213" s="9"/>
      <c r="Z213" s="7">
        <v>0</v>
      </c>
      <c r="AA213" s="8">
        <f>IFERROR(Z213/Z445, "NA")</f>
        <v>0</v>
      </c>
      <c r="AB213" s="9"/>
      <c r="AC213" s="10">
        <f t="shared" ref="AC213:AC227" si="59">IFERROR(-(Q213-Z213), "NA")</f>
        <v>10</v>
      </c>
      <c r="AD213" s="8">
        <f>IFERROR(AC213/AC445, "NA")</f>
        <v>2.8748502921710316E-4</v>
      </c>
    </row>
    <row r="214" spans="1:30" ht="16.5" customHeight="1" x14ac:dyDescent="0.45">
      <c r="A214" s="12" t="s">
        <v>194</v>
      </c>
      <c r="B214" s="7">
        <v>1599.97</v>
      </c>
      <c r="C214" s="8">
        <f>IFERROR(B214/B445, "NA")</f>
        <v>9.9878501766915029E-3</v>
      </c>
      <c r="D214" s="9"/>
      <c r="E214" s="7">
        <v>0</v>
      </c>
      <c r="F214" s="8">
        <f>IFERROR(E214/E445, "NA")</f>
        <v>0</v>
      </c>
      <c r="G214" s="9"/>
      <c r="H214" s="10">
        <f t="shared" si="56"/>
        <v>-1599.97</v>
      </c>
      <c r="I214" s="8">
        <f>IFERROR(H214/H445, "NA")</f>
        <v>4.9393665946225976E-2</v>
      </c>
      <c r="J214" s="9"/>
      <c r="K214" s="7">
        <v>1103.73</v>
      </c>
      <c r="L214" s="8">
        <f>IFERROR(K214/K445, "NA")</f>
        <v>6.2498364962184335E-3</v>
      </c>
      <c r="M214" s="9"/>
      <c r="N214" s="10">
        <f t="shared" si="57"/>
        <v>-496.24</v>
      </c>
      <c r="O214" s="8">
        <f>IFERROR(N214/N445, "NA")</f>
        <v>3.0240484491270137E-2</v>
      </c>
      <c r="P214" s="9"/>
      <c r="Q214" s="7">
        <v>13278.77</v>
      </c>
      <c r="R214" s="8">
        <f>IFERROR(Q214/Q445, "NA")</f>
        <v>1.432530887816875E-2</v>
      </c>
      <c r="S214" s="9"/>
      <c r="T214" s="7">
        <v>0</v>
      </c>
      <c r="U214" s="8">
        <f>IFERROR(T214/T445, "NA")</f>
        <v>0</v>
      </c>
      <c r="V214" s="9"/>
      <c r="W214" s="10">
        <f t="shared" si="58"/>
        <v>-13278.77</v>
      </c>
      <c r="X214" s="8">
        <f>IFERROR(W214/W445, "NA")</f>
        <v>0.40299096767458092</v>
      </c>
      <c r="Y214" s="9"/>
      <c r="Z214" s="7">
        <v>22327.63</v>
      </c>
      <c r="AA214" s="8">
        <f>IFERROR(Z214/Z445, "NA")</f>
        <v>2.5026476742958562E-2</v>
      </c>
      <c r="AB214" s="9"/>
      <c r="AC214" s="10">
        <f t="shared" si="59"/>
        <v>9048.86</v>
      </c>
      <c r="AD214" s="8">
        <f>IFERROR(AC214/AC445, "NA")</f>
        <v>0.26014117814814763</v>
      </c>
    </row>
    <row r="215" spans="1:30" ht="16.5" customHeight="1" x14ac:dyDescent="0.45">
      <c r="A215" s="12" t="s">
        <v>195</v>
      </c>
      <c r="B215" s="7">
        <v>900.12</v>
      </c>
      <c r="C215" s="8">
        <f>IFERROR(B215/B445, "NA")</f>
        <v>5.6190201697804056E-3</v>
      </c>
      <c r="D215" s="9"/>
      <c r="E215" s="7">
        <v>0</v>
      </c>
      <c r="F215" s="8">
        <f>IFERROR(E215/E445, "NA")</f>
        <v>0</v>
      </c>
      <c r="G215" s="9"/>
      <c r="H215" s="10">
        <f t="shared" si="56"/>
        <v>-900.12</v>
      </c>
      <c r="I215" s="8">
        <f>IFERROR(H215/H445, "NA")</f>
        <v>2.7788162647747722E-2</v>
      </c>
      <c r="J215" s="9"/>
      <c r="K215" s="7">
        <v>0</v>
      </c>
      <c r="L215" s="8">
        <f>IFERROR(K215/K445, "NA")</f>
        <v>0</v>
      </c>
      <c r="M215" s="9"/>
      <c r="N215" s="10">
        <f t="shared" si="57"/>
        <v>-900.12</v>
      </c>
      <c r="O215" s="8">
        <f>IFERROR(N215/N445, "NA")</f>
        <v>5.4852621514352079E-2</v>
      </c>
      <c r="P215" s="9"/>
      <c r="Q215" s="7">
        <v>6182.69</v>
      </c>
      <c r="R215" s="8">
        <f>IFERROR(Q215/Q445, "NA")</f>
        <v>6.6699659643148527E-3</v>
      </c>
      <c r="S215" s="9"/>
      <c r="T215" s="7">
        <v>0</v>
      </c>
      <c r="U215" s="8">
        <f>IFERROR(T215/T445, "NA")</f>
        <v>0</v>
      </c>
      <c r="V215" s="9"/>
      <c r="W215" s="10">
        <f t="shared" si="58"/>
        <v>-6182.69</v>
      </c>
      <c r="X215" s="8">
        <f>IFERROR(W215/W445, "NA")</f>
        <v>0.18763546818959545</v>
      </c>
      <c r="Y215" s="9"/>
      <c r="Z215" s="7">
        <v>0</v>
      </c>
      <c r="AA215" s="8">
        <f>IFERROR(Z215/Z445, "NA")</f>
        <v>0</v>
      </c>
      <c r="AB215" s="9"/>
      <c r="AC215" s="10">
        <f t="shared" si="59"/>
        <v>-6182.69</v>
      </c>
      <c r="AD215" s="8">
        <f>IFERROR(AC215/AC445, "NA")</f>
        <v>-0.17774308152902915</v>
      </c>
    </row>
    <row r="216" spans="1:30" ht="16.5" customHeight="1" x14ac:dyDescent="0.45">
      <c r="A216" s="12" t="s">
        <v>196</v>
      </c>
      <c r="B216" s="7">
        <v>120</v>
      </c>
      <c r="C216" s="8">
        <f>IFERROR(B216/B445, "NA")</f>
        <v>7.4910280892953021E-4</v>
      </c>
      <c r="D216" s="9"/>
      <c r="E216" s="7">
        <v>0</v>
      </c>
      <c r="F216" s="8">
        <f>IFERROR(E216/E445, "NA")</f>
        <v>0</v>
      </c>
      <c r="G216" s="9"/>
      <c r="H216" s="10">
        <f t="shared" si="56"/>
        <v>-120</v>
      </c>
      <c r="I216" s="8">
        <f>IFERROR(H216/H445, "NA")</f>
        <v>3.7045944071120813E-3</v>
      </c>
      <c r="J216" s="9"/>
      <c r="K216" s="7">
        <v>275.89</v>
      </c>
      <c r="L216" s="8">
        <f>IFERROR(K216/K445, "NA")</f>
        <v>1.5622184691380168E-3</v>
      </c>
      <c r="M216" s="9"/>
      <c r="N216" s="10">
        <f t="shared" si="57"/>
        <v>155.88999999999999</v>
      </c>
      <c r="O216" s="8">
        <f>IFERROR(N216/N445, "NA")</f>
        <v>-9.4998168776078123E-3</v>
      </c>
      <c r="P216" s="9"/>
      <c r="Q216" s="7">
        <v>478</v>
      </c>
      <c r="R216" s="8">
        <f>IFERROR(Q216/Q445, "NA")</f>
        <v>5.1567258441592571E-4</v>
      </c>
      <c r="S216" s="9"/>
      <c r="T216" s="7">
        <v>0</v>
      </c>
      <c r="U216" s="8">
        <f>IFERROR(T216/T445, "NA")</f>
        <v>0</v>
      </c>
      <c r="V216" s="9"/>
      <c r="W216" s="10">
        <f t="shared" si="58"/>
        <v>-478</v>
      </c>
      <c r="X216" s="8">
        <f>IFERROR(W216/W445, "NA")</f>
        <v>1.4506590787282983E-2</v>
      </c>
      <c r="Y216" s="9"/>
      <c r="Z216" s="7">
        <v>390.89</v>
      </c>
      <c r="AA216" s="8">
        <f>IFERROR(Z216/Z445, "NA")</f>
        <v>4.3813873187862175E-4</v>
      </c>
      <c r="AB216" s="9"/>
      <c r="AC216" s="10">
        <f t="shared" si="59"/>
        <v>-87.110000000000014</v>
      </c>
      <c r="AD216" s="8">
        <f>IFERROR(AC216/AC445, "NA")</f>
        <v>-2.5042820895101862E-3</v>
      </c>
    </row>
    <row r="217" spans="1:30" ht="16.5" customHeight="1" x14ac:dyDescent="0.45">
      <c r="A217" s="12" t="s">
        <v>197</v>
      </c>
      <c r="B217" s="7">
        <v>2319.4299999999998</v>
      </c>
      <c r="C217" s="8">
        <f>IFERROR(B217/B445, "NA")</f>
        <v>1.44790960676285E-2</v>
      </c>
      <c r="D217" s="9"/>
      <c r="E217" s="7">
        <v>0</v>
      </c>
      <c r="F217" s="8">
        <f>IFERROR(E217/E445, "NA")</f>
        <v>0</v>
      </c>
      <c r="G217" s="9"/>
      <c r="H217" s="10">
        <f t="shared" si="56"/>
        <v>-2319.4299999999998</v>
      </c>
      <c r="I217" s="8">
        <f>IFERROR(H217/H445, "NA")</f>
        <v>7.1604561714066456E-2</v>
      </c>
      <c r="J217" s="9"/>
      <c r="K217" s="7">
        <v>3207.55</v>
      </c>
      <c r="L217" s="8">
        <f>IFERROR(K217/K445, "NA")</f>
        <v>1.816265124029014E-2</v>
      </c>
      <c r="M217" s="9"/>
      <c r="N217" s="10">
        <f t="shared" si="57"/>
        <v>888.12000000000035</v>
      </c>
      <c r="O217" s="8">
        <f>IFERROR(N217/N445, "NA")</f>
        <v>-5.4121350730265284E-2</v>
      </c>
      <c r="P217" s="9"/>
      <c r="Q217" s="7">
        <v>25081.42</v>
      </c>
      <c r="R217" s="8">
        <f>IFERROR(Q217/Q445, "NA")</f>
        <v>2.7058160402136582E-2</v>
      </c>
      <c r="S217" s="9"/>
      <c r="T217" s="7">
        <v>0</v>
      </c>
      <c r="U217" s="8">
        <f>IFERROR(T217/T445, "NA")</f>
        <v>0</v>
      </c>
      <c r="V217" s="9"/>
      <c r="W217" s="10">
        <f t="shared" si="58"/>
        <v>-25081.42</v>
      </c>
      <c r="X217" s="8">
        <f>IFERROR(W217/W445, "NA")</f>
        <v>0.76118388348111954</v>
      </c>
      <c r="Y217" s="9"/>
      <c r="Z217" s="7">
        <v>23576.89</v>
      </c>
      <c r="AA217" s="8">
        <f>IFERROR(Z217/Z445, "NA")</f>
        <v>2.642674073586369E-2</v>
      </c>
      <c r="AB217" s="9"/>
      <c r="AC217" s="10">
        <f t="shared" si="59"/>
        <v>-1504.5299999999988</v>
      </c>
      <c r="AD217" s="8">
        <f>IFERROR(AC217/AC445, "NA")</f>
        <v>-4.3252985100800792E-2</v>
      </c>
    </row>
    <row r="218" spans="1:30" ht="16.5" customHeight="1" x14ac:dyDescent="0.45">
      <c r="A218" s="13" t="s">
        <v>198</v>
      </c>
      <c r="B218" s="14">
        <f>IFERROR(B213+B214+B215+B216+B217, "NA")</f>
        <v>4929.5200000000004</v>
      </c>
      <c r="C218" s="15">
        <f>IFERROR(B218/B445, "NA")</f>
        <v>3.0772643988952485E-2</v>
      </c>
      <c r="D218" s="2"/>
      <c r="E218" s="14">
        <f>IFERROR(E213+E214+E215+E216+E217, "NA")</f>
        <v>7318.19</v>
      </c>
      <c r="F218" s="15">
        <f>IFERROR(E218/E445, "NA")</f>
        <v>3.8000021185578187E-2</v>
      </c>
      <c r="G218" s="2"/>
      <c r="H218" s="14">
        <f t="shared" si="56"/>
        <v>2388.6699999999992</v>
      </c>
      <c r="I218" s="15">
        <f>IFERROR(H218/H445, "NA")</f>
        <v>-7.3742112686970104E-2</v>
      </c>
      <c r="J218" s="2"/>
      <c r="K218" s="14">
        <f>IFERROR(K213+K214+K215+K216+K217, "NA")</f>
        <v>4587.17</v>
      </c>
      <c r="L218" s="15">
        <f>IFERROR(K218/K445, "NA")</f>
        <v>2.597470620564659E-2</v>
      </c>
      <c r="M218" s="2"/>
      <c r="N218" s="14">
        <f t="shared" si="57"/>
        <v>-342.35000000000036</v>
      </c>
      <c r="O218" s="15">
        <f>IFERROR(N218/N445, "NA")</f>
        <v>2.0862546077676812E-2</v>
      </c>
      <c r="P218" s="2"/>
      <c r="Q218" s="14">
        <f>IFERROR(Q213+Q214+Q215+Q216+Q217, "NA")</f>
        <v>45010.879999999997</v>
      </c>
      <c r="R218" s="15">
        <f>IFERROR(Q218/Q445, "NA")</f>
        <v>4.8558319699655024E-2</v>
      </c>
      <c r="S218" s="2"/>
      <c r="T218" s="14">
        <f>IFERROR(T213+T214+T215+T216+T217, "NA")</f>
        <v>36476.04</v>
      </c>
      <c r="U218" s="15">
        <f>IFERROR(T218/T445, "NA")</f>
        <v>3.8000019377113316E-2</v>
      </c>
      <c r="V218" s="2"/>
      <c r="W218" s="14">
        <f t="shared" si="58"/>
        <v>-8534.8399999999965</v>
      </c>
      <c r="X218" s="15">
        <f>IFERROR(W218/W445, "NA")</f>
        <v>0.25901973078438129</v>
      </c>
      <c r="Y218" s="2"/>
      <c r="Z218" s="14">
        <f>IFERROR(Z213+Z214+Z215+Z216+Z217, "NA")</f>
        <v>46295.41</v>
      </c>
      <c r="AA218" s="15">
        <f>IFERROR(Z218/Z445, "NA")</f>
        <v>5.1891356210700873E-2</v>
      </c>
      <c r="AB218" s="2"/>
      <c r="AC218" s="14">
        <f t="shared" si="59"/>
        <v>1284.5300000000061</v>
      </c>
      <c r="AD218" s="15">
        <f>IFERROR(AC218/AC445, "NA")</f>
        <v>3.6928314458024733E-2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IFERROR(B219/B445, "NA")</f>
        <v>0</v>
      </c>
      <c r="D219" s="9"/>
      <c r="E219" s="7">
        <v>0</v>
      </c>
      <c r="F219" s="8">
        <f>IFERROR(E219/E445, "NA")</f>
        <v>0</v>
      </c>
      <c r="G219" s="9"/>
      <c r="H219" s="10">
        <f t="shared" si="56"/>
        <v>0</v>
      </c>
      <c r="I219" s="8">
        <f>IFERROR(H219/H445, "NA")</f>
        <v>0</v>
      </c>
      <c r="J219" s="9"/>
      <c r="K219" s="7">
        <v>0</v>
      </c>
      <c r="L219" s="8">
        <f>IFERROR(K219/K445, "NA")</f>
        <v>0</v>
      </c>
      <c r="M219" s="9"/>
      <c r="N219" s="10">
        <f t="shared" si="57"/>
        <v>0</v>
      </c>
      <c r="O219" s="8">
        <f>IFERROR(N219/N445, "NA")</f>
        <v>0</v>
      </c>
      <c r="P219" s="9"/>
      <c r="Q219" s="7">
        <v>0</v>
      </c>
      <c r="R219" s="8">
        <f>IFERROR(Q219/Q445, "NA")</f>
        <v>0</v>
      </c>
      <c r="S219" s="9"/>
      <c r="T219" s="7">
        <v>0</v>
      </c>
      <c r="U219" s="8">
        <f>IFERROR(T219/T445, "NA")</f>
        <v>0</v>
      </c>
      <c r="V219" s="9"/>
      <c r="W219" s="10">
        <f t="shared" si="58"/>
        <v>0</v>
      </c>
      <c r="X219" s="8">
        <f>IFERROR(W219/W445, "NA")</f>
        <v>0</v>
      </c>
      <c r="Y219" s="9"/>
      <c r="Z219" s="7">
        <v>0</v>
      </c>
      <c r="AA219" s="8">
        <f>IFERROR(Z219/Z445, "NA")</f>
        <v>0</v>
      </c>
      <c r="AB219" s="9"/>
      <c r="AC219" s="10">
        <f t="shared" si="59"/>
        <v>0</v>
      </c>
      <c r="AD219" s="8">
        <f>IFERROR(AC219/AC445,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IFERROR(B220/B445, "NA")</f>
        <v>0</v>
      </c>
      <c r="D220" s="9"/>
      <c r="E220" s="7">
        <v>0</v>
      </c>
      <c r="F220" s="8">
        <f>IFERROR(E220/E445, "NA")</f>
        <v>0</v>
      </c>
      <c r="G220" s="9"/>
      <c r="H220" s="10">
        <f t="shared" si="56"/>
        <v>0</v>
      </c>
      <c r="I220" s="8">
        <f>IFERROR(H220/H445, "NA")</f>
        <v>0</v>
      </c>
      <c r="J220" s="9"/>
      <c r="K220" s="7">
        <v>0</v>
      </c>
      <c r="L220" s="8">
        <f>IFERROR(K220/K445, "NA")</f>
        <v>0</v>
      </c>
      <c r="M220" s="9"/>
      <c r="N220" s="10">
        <f t="shared" si="57"/>
        <v>0</v>
      </c>
      <c r="O220" s="8">
        <f>IFERROR(N220/N445, "NA")</f>
        <v>0</v>
      </c>
      <c r="P220" s="9"/>
      <c r="Q220" s="7">
        <v>0</v>
      </c>
      <c r="R220" s="8">
        <f>IFERROR(Q220/Q445, "NA")</f>
        <v>0</v>
      </c>
      <c r="S220" s="9"/>
      <c r="T220" s="7">
        <v>0</v>
      </c>
      <c r="U220" s="8">
        <f>IFERROR(T220/T445, "NA")</f>
        <v>0</v>
      </c>
      <c r="V220" s="9"/>
      <c r="W220" s="10">
        <f t="shared" si="58"/>
        <v>0</v>
      </c>
      <c r="X220" s="8">
        <f>IFERROR(W220/W445, "NA")</f>
        <v>0</v>
      </c>
      <c r="Y220" s="9"/>
      <c r="Z220" s="7">
        <v>0</v>
      </c>
      <c r="AA220" s="8">
        <f>IFERROR(Z220/Z445, "NA")</f>
        <v>0</v>
      </c>
      <c r="AB220" s="9"/>
      <c r="AC220" s="10">
        <f t="shared" si="59"/>
        <v>0</v>
      </c>
      <c r="AD220" s="8">
        <f>IFERROR(AC220/AC445,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IFERROR(B221/B445, "NA")</f>
        <v>0</v>
      </c>
      <c r="D221" s="9"/>
      <c r="E221" s="7">
        <v>0</v>
      </c>
      <c r="F221" s="8">
        <f>IFERROR(E221/E445, "NA")</f>
        <v>0</v>
      </c>
      <c r="G221" s="9"/>
      <c r="H221" s="10">
        <f t="shared" si="56"/>
        <v>0</v>
      </c>
      <c r="I221" s="8">
        <f>IFERROR(H221/H445, "NA")</f>
        <v>0</v>
      </c>
      <c r="J221" s="9"/>
      <c r="K221" s="7">
        <v>0</v>
      </c>
      <c r="L221" s="8">
        <f>IFERROR(K221/K445, "NA")</f>
        <v>0</v>
      </c>
      <c r="M221" s="9"/>
      <c r="N221" s="10">
        <f t="shared" si="57"/>
        <v>0</v>
      </c>
      <c r="O221" s="8">
        <f>IFERROR(N221/N445, "NA")</f>
        <v>0</v>
      </c>
      <c r="P221" s="9"/>
      <c r="Q221" s="7">
        <v>0</v>
      </c>
      <c r="R221" s="8">
        <f>IFERROR(Q221/Q445, "NA")</f>
        <v>0</v>
      </c>
      <c r="S221" s="9"/>
      <c r="T221" s="7">
        <v>0</v>
      </c>
      <c r="U221" s="8">
        <f>IFERROR(T221/T445, "NA")</f>
        <v>0</v>
      </c>
      <c r="V221" s="9"/>
      <c r="W221" s="10">
        <f t="shared" si="58"/>
        <v>0</v>
      </c>
      <c r="X221" s="8">
        <f>IFERROR(W221/W445, "NA")</f>
        <v>0</v>
      </c>
      <c r="Y221" s="9"/>
      <c r="Z221" s="7">
        <v>0</v>
      </c>
      <c r="AA221" s="8">
        <f>IFERROR(Z221/Z445, "NA")</f>
        <v>0</v>
      </c>
      <c r="AB221" s="9"/>
      <c r="AC221" s="10">
        <f t="shared" si="59"/>
        <v>0</v>
      </c>
      <c r="AD221" s="8">
        <f>IFERROR(AC221/AC445, "NA")</f>
        <v>0</v>
      </c>
    </row>
    <row r="222" spans="1:30" ht="16.5" customHeight="1" x14ac:dyDescent="0.45">
      <c r="A222" s="6" t="s">
        <v>202</v>
      </c>
      <c r="B222" s="7">
        <v>243.17</v>
      </c>
      <c r="C222" s="8">
        <f>IFERROR(B222/B445, "NA")</f>
        <v>1.5179944170616154E-3</v>
      </c>
      <c r="D222" s="9"/>
      <c r="E222" s="7">
        <v>100</v>
      </c>
      <c r="F222" s="8">
        <f>IFERROR(E222/E445, "NA")</f>
        <v>5.1925436734463282E-4</v>
      </c>
      <c r="G222" s="9"/>
      <c r="H222" s="10">
        <f t="shared" si="56"/>
        <v>-143.16999999999999</v>
      </c>
      <c r="I222" s="8">
        <f>IFERROR(H222/H445, "NA")</f>
        <v>4.4198898438853051E-3</v>
      </c>
      <c r="J222" s="9"/>
      <c r="K222" s="7">
        <v>87.5</v>
      </c>
      <c r="L222" s="8">
        <f>IFERROR(K222/K445, "NA")</f>
        <v>4.9546600474673422E-4</v>
      </c>
      <c r="M222" s="9"/>
      <c r="N222" s="10">
        <f t="shared" si="57"/>
        <v>-155.66999999999999</v>
      </c>
      <c r="O222" s="8">
        <f>IFERROR(N222/N445, "NA")</f>
        <v>9.4864102465662212E-3</v>
      </c>
      <c r="P222" s="9"/>
      <c r="Q222" s="7">
        <v>2010.32</v>
      </c>
      <c r="R222" s="8">
        <f>IFERROR(Q222/Q445, "NA")</f>
        <v>2.1687592257385434E-3</v>
      </c>
      <c r="S222" s="9"/>
      <c r="T222" s="7">
        <v>500</v>
      </c>
      <c r="U222" s="8">
        <f>IFERROR(T222/T445, "NA")</f>
        <v>5.2089014291454487E-4</v>
      </c>
      <c r="V222" s="9"/>
      <c r="W222" s="10">
        <f t="shared" si="58"/>
        <v>-1510.32</v>
      </c>
      <c r="X222" s="8">
        <f>IFERROR(W222/W445, "NA")</f>
        <v>4.5835971125207604E-2</v>
      </c>
      <c r="Y222" s="9"/>
      <c r="Z222" s="7">
        <v>1441.3</v>
      </c>
      <c r="AA222" s="8">
        <f>IFERROR(Z222/Z445, "NA")</f>
        <v>1.6155167803132786E-3</v>
      </c>
      <c r="AB222" s="9"/>
      <c r="AC222" s="10">
        <f t="shared" si="59"/>
        <v>-569.02</v>
      </c>
      <c r="AD222" s="8">
        <f>IFERROR(AC222/AC445, "NA")</f>
        <v>-1.6358473132511604E-2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IFERROR(B223/B445, "NA")</f>
        <v>0</v>
      </c>
      <c r="D223" s="9"/>
      <c r="E223" s="7">
        <v>0</v>
      </c>
      <c r="F223" s="8">
        <f>IFERROR(E223/E445, "NA")</f>
        <v>0</v>
      </c>
      <c r="G223" s="9"/>
      <c r="H223" s="10">
        <f t="shared" si="56"/>
        <v>0</v>
      </c>
      <c r="I223" s="8">
        <f>IFERROR(H223/H445, "NA")</f>
        <v>0</v>
      </c>
      <c r="J223" s="9"/>
      <c r="K223" s="7">
        <v>0</v>
      </c>
      <c r="L223" s="8">
        <f>IFERROR(K223/K445, "NA")</f>
        <v>0</v>
      </c>
      <c r="M223" s="9"/>
      <c r="N223" s="10">
        <f t="shared" si="57"/>
        <v>0</v>
      </c>
      <c r="O223" s="8">
        <f>IFERROR(N223/N445, "NA")</f>
        <v>0</v>
      </c>
      <c r="P223" s="9"/>
      <c r="Q223" s="7">
        <v>0</v>
      </c>
      <c r="R223" s="8">
        <f>IFERROR(Q223/Q445, "NA")</f>
        <v>0</v>
      </c>
      <c r="S223" s="9"/>
      <c r="T223" s="7">
        <v>0</v>
      </c>
      <c r="U223" s="8">
        <f>IFERROR(T223/T445, "NA")</f>
        <v>0</v>
      </c>
      <c r="V223" s="9"/>
      <c r="W223" s="10">
        <f t="shared" si="58"/>
        <v>0</v>
      </c>
      <c r="X223" s="8">
        <f>IFERROR(W223/W445, "NA")</f>
        <v>0</v>
      </c>
      <c r="Y223" s="9"/>
      <c r="Z223" s="7">
        <v>0</v>
      </c>
      <c r="AA223" s="8">
        <f>IFERROR(Z223/Z445, "NA")</f>
        <v>0</v>
      </c>
      <c r="AB223" s="9"/>
      <c r="AC223" s="10">
        <f t="shared" si="59"/>
        <v>0</v>
      </c>
      <c r="AD223" s="8">
        <f>IFERROR(AC223/AC445,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IFERROR(B224/B445, "NA")</f>
        <v>0</v>
      </c>
      <c r="D224" s="9"/>
      <c r="E224" s="7">
        <v>0</v>
      </c>
      <c r="F224" s="8">
        <f>IFERROR(E224/E445, "NA")</f>
        <v>0</v>
      </c>
      <c r="G224" s="9"/>
      <c r="H224" s="10">
        <f t="shared" si="56"/>
        <v>0</v>
      </c>
      <c r="I224" s="8">
        <f>IFERROR(H224/H445, "NA")</f>
        <v>0</v>
      </c>
      <c r="J224" s="9"/>
      <c r="K224" s="7">
        <v>0</v>
      </c>
      <c r="L224" s="8">
        <f>IFERROR(K224/K445, "NA")</f>
        <v>0</v>
      </c>
      <c r="M224" s="9"/>
      <c r="N224" s="10">
        <f t="shared" si="57"/>
        <v>0</v>
      </c>
      <c r="O224" s="8">
        <f>IFERROR(N224/N445, "NA")</f>
        <v>0</v>
      </c>
      <c r="P224" s="9"/>
      <c r="Q224" s="7">
        <v>0</v>
      </c>
      <c r="R224" s="8">
        <f>IFERROR(Q224/Q445, "NA")</f>
        <v>0</v>
      </c>
      <c r="S224" s="9"/>
      <c r="T224" s="7">
        <v>0</v>
      </c>
      <c r="U224" s="8">
        <f>IFERROR(T224/T445, "NA")</f>
        <v>0</v>
      </c>
      <c r="V224" s="9"/>
      <c r="W224" s="10">
        <f t="shared" si="58"/>
        <v>0</v>
      </c>
      <c r="X224" s="8">
        <f>IFERROR(W224/W445, "NA")</f>
        <v>0</v>
      </c>
      <c r="Y224" s="9"/>
      <c r="Z224" s="7">
        <v>0</v>
      </c>
      <c r="AA224" s="8">
        <f>IFERROR(Z224/Z445, "NA")</f>
        <v>0</v>
      </c>
      <c r="AB224" s="9"/>
      <c r="AC224" s="10">
        <f t="shared" si="59"/>
        <v>0</v>
      </c>
      <c r="AD224" s="8">
        <f>IFERROR(AC224/AC445,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IFERROR(B225/B445, "NA")</f>
        <v>0</v>
      </c>
      <c r="D225" s="9"/>
      <c r="E225" s="7">
        <v>0</v>
      </c>
      <c r="F225" s="8">
        <f>IFERROR(E225/E445, "NA")</f>
        <v>0</v>
      </c>
      <c r="G225" s="9"/>
      <c r="H225" s="10">
        <f t="shared" si="56"/>
        <v>0</v>
      </c>
      <c r="I225" s="8">
        <f>IFERROR(H225/H445, "NA")</f>
        <v>0</v>
      </c>
      <c r="J225" s="9"/>
      <c r="K225" s="7">
        <v>0</v>
      </c>
      <c r="L225" s="8">
        <f>IFERROR(K225/K445, "NA")</f>
        <v>0</v>
      </c>
      <c r="M225" s="9"/>
      <c r="N225" s="10">
        <f t="shared" si="57"/>
        <v>0</v>
      </c>
      <c r="O225" s="8">
        <f>IFERROR(N225/N445, "NA")</f>
        <v>0</v>
      </c>
      <c r="P225" s="9"/>
      <c r="Q225" s="7">
        <v>0</v>
      </c>
      <c r="R225" s="8">
        <f>IFERROR(Q225/Q445, "NA")</f>
        <v>0</v>
      </c>
      <c r="S225" s="9"/>
      <c r="T225" s="7">
        <v>0</v>
      </c>
      <c r="U225" s="8">
        <f>IFERROR(T225/T445, "NA")</f>
        <v>0</v>
      </c>
      <c r="V225" s="9"/>
      <c r="W225" s="10">
        <f t="shared" si="58"/>
        <v>0</v>
      </c>
      <c r="X225" s="8">
        <f>IFERROR(W225/W445, "NA")</f>
        <v>0</v>
      </c>
      <c r="Y225" s="9"/>
      <c r="Z225" s="7">
        <v>0</v>
      </c>
      <c r="AA225" s="8">
        <f>IFERROR(Z225/Z445, "NA")</f>
        <v>0</v>
      </c>
      <c r="AB225" s="9"/>
      <c r="AC225" s="10">
        <f t="shared" si="59"/>
        <v>0</v>
      </c>
      <c r="AD225" s="8">
        <f>IFERROR(AC225/AC445,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IFERROR(B226/B445, "NA")</f>
        <v>0</v>
      </c>
      <c r="D226" s="9"/>
      <c r="E226" s="7">
        <v>0</v>
      </c>
      <c r="F226" s="8">
        <f>IFERROR(E226/E445, "NA")</f>
        <v>0</v>
      </c>
      <c r="G226" s="9"/>
      <c r="H226" s="10">
        <f t="shared" si="56"/>
        <v>0</v>
      </c>
      <c r="I226" s="8">
        <f>IFERROR(H226/H445, "NA")</f>
        <v>0</v>
      </c>
      <c r="J226" s="9"/>
      <c r="K226" s="7">
        <v>0</v>
      </c>
      <c r="L226" s="8">
        <f>IFERROR(K226/K445, "NA")</f>
        <v>0</v>
      </c>
      <c r="M226" s="9"/>
      <c r="N226" s="10">
        <f t="shared" si="57"/>
        <v>0</v>
      </c>
      <c r="O226" s="8">
        <f>IFERROR(N226/N445, "NA")</f>
        <v>0</v>
      </c>
      <c r="P226" s="9"/>
      <c r="Q226" s="7">
        <v>0</v>
      </c>
      <c r="R226" s="8">
        <f>IFERROR(Q226/Q445, "NA")</f>
        <v>0</v>
      </c>
      <c r="S226" s="9"/>
      <c r="T226" s="7">
        <v>0</v>
      </c>
      <c r="U226" s="8">
        <f>IFERROR(T226/T445, "NA")</f>
        <v>0</v>
      </c>
      <c r="V226" s="9"/>
      <c r="W226" s="10">
        <f t="shared" si="58"/>
        <v>0</v>
      </c>
      <c r="X226" s="8">
        <f>IFERROR(W226/W445, "NA")</f>
        <v>0</v>
      </c>
      <c r="Y226" s="9"/>
      <c r="Z226" s="7">
        <v>0</v>
      </c>
      <c r="AA226" s="8">
        <f>IFERROR(Z226/Z445, "NA")</f>
        <v>0</v>
      </c>
      <c r="AB226" s="9"/>
      <c r="AC226" s="10">
        <f t="shared" si="59"/>
        <v>0</v>
      </c>
      <c r="AD226" s="8">
        <f>IFERROR(AC226/AC445,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5172.6900000000005</v>
      </c>
      <c r="C227" s="15">
        <f>IFERROR(B227/B445, "NA")</f>
        <v>3.2290638406014101E-2</v>
      </c>
      <c r="D227" s="2"/>
      <c r="E227" s="14">
        <f>IFERROR(E211+E213+E214+E215+E216+E217+E219+E220+E221+E222+E223+E224+E225+E226, "NA")</f>
        <v>7418.19</v>
      </c>
      <c r="F227" s="15">
        <f>IFERROR(E227/E445, "NA")</f>
        <v>3.8519275552922817E-2</v>
      </c>
      <c r="G227" s="2"/>
      <c r="H227" s="14">
        <f t="shared" si="56"/>
        <v>2245.4999999999991</v>
      </c>
      <c r="I227" s="15">
        <f>IFERROR(H227/H445, "NA")</f>
        <v>-6.9322222843084799E-2</v>
      </c>
      <c r="J227" s="2"/>
      <c r="K227" s="14">
        <f>IFERROR(K211+K213+K214+K215+K216+K217+K219+K220+K221+K222+K223+K224+K225+K226, "NA")</f>
        <v>4674.67</v>
      </c>
      <c r="L227" s="15">
        <f>IFERROR(K227/K445, "NA")</f>
        <v>2.6470172210393324E-2</v>
      </c>
      <c r="M227" s="2"/>
      <c r="N227" s="14">
        <f t="shared" si="57"/>
        <v>-498.02000000000044</v>
      </c>
      <c r="O227" s="15">
        <f>IFERROR(N227/N445, "NA")</f>
        <v>3.0348956324243039E-2</v>
      </c>
      <c r="P227" s="2"/>
      <c r="Q227" s="14">
        <f>IFERROR(Q211+Q213+Q214+Q215+Q216+Q217+Q219+Q220+Q221+Q222+Q223+Q224+Q225+Q226, "NA")</f>
        <v>47021.2</v>
      </c>
      <c r="R227" s="15">
        <f>IFERROR(Q227/Q445, "NA")</f>
        <v>5.0727078925393562E-2</v>
      </c>
      <c r="S227" s="2"/>
      <c r="T227" s="14">
        <f>IFERROR(T211+T213+T214+T215+T216+T217+T219+T220+T221+T222+T223+T224+T225+T226, "NA")</f>
        <v>36976.04</v>
      </c>
      <c r="U227" s="15">
        <f>IFERROR(T227/T445, "NA")</f>
        <v>3.852090952002786E-2</v>
      </c>
      <c r="V227" s="2"/>
      <c r="W227" s="14">
        <f t="shared" si="58"/>
        <v>-10045.159999999996</v>
      </c>
      <c r="X227" s="15">
        <f>IFERROR(W227/W445, "NA")</f>
        <v>0.30485570190958888</v>
      </c>
      <c r="Y227" s="2"/>
      <c r="Z227" s="14">
        <f>IFERROR(Z211+Z213+Z214+Z215+Z216+Z217+Z219+Z220+Z221+Z222+Z223+Z224+Z225+Z226, "NA")</f>
        <v>47736.710000000006</v>
      </c>
      <c r="AA227" s="15">
        <f>IFERROR(Z227/Z445, "NA")</f>
        <v>5.3506872991014157E-2</v>
      </c>
      <c r="AB227" s="2"/>
      <c r="AC227" s="14">
        <f t="shared" si="59"/>
        <v>715.51000000000931</v>
      </c>
      <c r="AD227" s="15">
        <f>IFERROR(AC227/AC445, "NA")</f>
        <v>2.0569841325513216E-2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IFERROR(B229/B445, "NA")</f>
        <v>0</v>
      </c>
      <c r="D229" s="9"/>
      <c r="E229" s="7">
        <v>4236.84</v>
      </c>
      <c r="F229" s="8">
        <f>IFERROR(E229/E445, "NA")</f>
        <v>2.1999976737404343E-2</v>
      </c>
      <c r="G229" s="9"/>
      <c r="H229" s="10">
        <f t="shared" ref="H229:H236" si="60">IFERROR(-(B229-E229), "NA")</f>
        <v>4236.84</v>
      </c>
      <c r="I229" s="8">
        <f>IFERROR(H229/H445, "NA")</f>
        <v>-0.13079811473190625</v>
      </c>
      <c r="J229" s="9"/>
      <c r="K229" s="7">
        <v>0</v>
      </c>
      <c r="L229" s="8">
        <f>IFERROR(K229/K445, "NA")</f>
        <v>0</v>
      </c>
      <c r="M229" s="9"/>
      <c r="N229" s="10">
        <f t="shared" ref="N229:N236" si="61">IFERROR(-(B229-K229), "NA")</f>
        <v>0</v>
      </c>
      <c r="O229" s="8">
        <f>IFERROR(N229/N445, "NA")</f>
        <v>0</v>
      </c>
      <c r="P229" s="9"/>
      <c r="Q229" s="7">
        <v>0</v>
      </c>
      <c r="R229" s="8">
        <f>IFERROR(Q229/Q445, "NA")</f>
        <v>0</v>
      </c>
      <c r="S229" s="9"/>
      <c r="T229" s="7">
        <v>21117.69</v>
      </c>
      <c r="U229" s="8">
        <f>IFERROR(T229/T445, "NA")</f>
        <v>2.1999993124250113E-2</v>
      </c>
      <c r="V229" s="9"/>
      <c r="W229" s="10">
        <f t="shared" ref="W229:W236" si="62">IFERROR(-(Q229-T229), "NA")</f>
        <v>21117.69</v>
      </c>
      <c r="X229" s="8">
        <f>IFERROR(W229/W445, "NA")</f>
        <v>-0.64089055900146019</v>
      </c>
      <c r="Y229" s="9"/>
      <c r="Z229" s="7">
        <v>0</v>
      </c>
      <c r="AA229" s="8">
        <f>IFERROR(Z229/Z445, "NA")</f>
        <v>0</v>
      </c>
      <c r="AB229" s="9"/>
      <c r="AC229" s="10">
        <f t="shared" ref="AC229:AC236" si="63">IFERROR(-(Q229-Z229), "NA")</f>
        <v>0</v>
      </c>
      <c r="AD229" s="8">
        <f>IFERROR(AC229/AC445,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IFERROR(B230/B445, "NA")</f>
        <v>0</v>
      </c>
      <c r="D230" s="9"/>
      <c r="E230" s="7">
        <v>0</v>
      </c>
      <c r="F230" s="8">
        <f>IFERROR(E230/E445, "NA")</f>
        <v>0</v>
      </c>
      <c r="G230" s="9"/>
      <c r="H230" s="10">
        <f t="shared" si="60"/>
        <v>0</v>
      </c>
      <c r="I230" s="8">
        <f>IFERROR(H230/H445, "NA")</f>
        <v>0</v>
      </c>
      <c r="J230" s="9"/>
      <c r="K230" s="7">
        <v>0</v>
      </c>
      <c r="L230" s="8">
        <f>IFERROR(K230/K445, "NA")</f>
        <v>0</v>
      </c>
      <c r="M230" s="9"/>
      <c r="N230" s="10">
        <f t="shared" si="61"/>
        <v>0</v>
      </c>
      <c r="O230" s="8">
        <f>IFERROR(N230/N445, "NA")</f>
        <v>0</v>
      </c>
      <c r="P230" s="9"/>
      <c r="Q230" s="7">
        <v>0</v>
      </c>
      <c r="R230" s="8">
        <f>IFERROR(Q230/Q445, "NA")</f>
        <v>0</v>
      </c>
      <c r="S230" s="9"/>
      <c r="T230" s="7">
        <v>0</v>
      </c>
      <c r="U230" s="8">
        <f>IFERROR(T230/T445, "NA")</f>
        <v>0</v>
      </c>
      <c r="V230" s="9"/>
      <c r="W230" s="10">
        <f t="shared" si="62"/>
        <v>0</v>
      </c>
      <c r="X230" s="8">
        <f>IFERROR(W230/W445, "NA")</f>
        <v>0</v>
      </c>
      <c r="Y230" s="9"/>
      <c r="Z230" s="7">
        <v>0</v>
      </c>
      <c r="AA230" s="8">
        <f>IFERROR(Z230/Z445, "NA")</f>
        <v>0</v>
      </c>
      <c r="AB230" s="9"/>
      <c r="AC230" s="10">
        <f t="shared" si="63"/>
        <v>0</v>
      </c>
      <c r="AD230" s="8">
        <f>IFERROR(AC230/AC445,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IFERROR(B231/B445, "NA")</f>
        <v>0</v>
      </c>
      <c r="D231" s="9"/>
      <c r="E231" s="7">
        <v>0</v>
      </c>
      <c r="F231" s="8">
        <f>IFERROR(E231/E445, "NA")</f>
        <v>0</v>
      </c>
      <c r="G231" s="9"/>
      <c r="H231" s="10">
        <f t="shared" si="60"/>
        <v>0</v>
      </c>
      <c r="I231" s="8">
        <f>IFERROR(H231/H445, "NA")</f>
        <v>0</v>
      </c>
      <c r="J231" s="9"/>
      <c r="K231" s="7">
        <v>427</v>
      </c>
      <c r="L231" s="8">
        <f>IFERROR(K231/K445, "NA")</f>
        <v>2.4178741031640628E-3</v>
      </c>
      <c r="M231" s="9"/>
      <c r="N231" s="10">
        <f t="shared" si="61"/>
        <v>427</v>
      </c>
      <c r="O231" s="8">
        <f>IFERROR(N231/N445, "NA")</f>
        <v>-2.6021052067089205E-2</v>
      </c>
      <c r="P231" s="9"/>
      <c r="Q231" s="7">
        <v>0</v>
      </c>
      <c r="R231" s="8">
        <f>IFERROR(Q231/Q445, "NA")</f>
        <v>0</v>
      </c>
      <c r="S231" s="9"/>
      <c r="T231" s="7">
        <v>0</v>
      </c>
      <c r="U231" s="8">
        <f>IFERROR(T231/T445, "NA")</f>
        <v>0</v>
      </c>
      <c r="V231" s="9"/>
      <c r="W231" s="10">
        <f t="shared" si="62"/>
        <v>0</v>
      </c>
      <c r="X231" s="8">
        <f>IFERROR(W231/W445, "NA")</f>
        <v>0</v>
      </c>
      <c r="Y231" s="9"/>
      <c r="Z231" s="7">
        <v>2003.81</v>
      </c>
      <c r="AA231" s="8">
        <f>IFERROR(Z231/Z445, "NA")</f>
        <v>2.246020037160585E-3</v>
      </c>
      <c r="AB231" s="9"/>
      <c r="AC231" s="10">
        <f t="shared" si="63"/>
        <v>2003.81</v>
      </c>
      <c r="AD231" s="8">
        <f>IFERROR(AC231/AC445, "NA")</f>
        <v>5.7606537639552348E-2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IFERROR(B232/B445, "NA")</f>
        <v>0</v>
      </c>
      <c r="D232" s="9"/>
      <c r="E232" s="7">
        <v>0</v>
      </c>
      <c r="F232" s="8">
        <f>IFERROR(E232/E445, "NA")</f>
        <v>0</v>
      </c>
      <c r="G232" s="9"/>
      <c r="H232" s="10">
        <f t="shared" si="60"/>
        <v>0</v>
      </c>
      <c r="I232" s="8">
        <f>IFERROR(H232/H445, "NA")</f>
        <v>0</v>
      </c>
      <c r="J232" s="9"/>
      <c r="K232" s="7">
        <v>0</v>
      </c>
      <c r="L232" s="8">
        <f>IFERROR(K232/K445, "NA")</f>
        <v>0</v>
      </c>
      <c r="M232" s="9"/>
      <c r="N232" s="10">
        <f t="shared" si="61"/>
        <v>0</v>
      </c>
      <c r="O232" s="8">
        <f>IFERROR(N232/N445, "NA")</f>
        <v>0</v>
      </c>
      <c r="P232" s="9"/>
      <c r="Q232" s="7">
        <v>0</v>
      </c>
      <c r="R232" s="8">
        <f>IFERROR(Q232/Q445, "NA")</f>
        <v>0</v>
      </c>
      <c r="S232" s="9"/>
      <c r="T232" s="7">
        <v>0</v>
      </c>
      <c r="U232" s="8">
        <f>IFERROR(T232/T445, "NA")</f>
        <v>0</v>
      </c>
      <c r="V232" s="9"/>
      <c r="W232" s="10">
        <f t="shared" si="62"/>
        <v>0</v>
      </c>
      <c r="X232" s="8">
        <f>IFERROR(W232/W445, "NA")</f>
        <v>0</v>
      </c>
      <c r="Y232" s="9"/>
      <c r="Z232" s="7">
        <v>0</v>
      </c>
      <c r="AA232" s="8">
        <f>IFERROR(Z232/Z445, "NA")</f>
        <v>0</v>
      </c>
      <c r="AB232" s="9"/>
      <c r="AC232" s="10">
        <f t="shared" si="63"/>
        <v>0</v>
      </c>
      <c r="AD232" s="8">
        <f>IFERROR(AC232/AC445, "NA")</f>
        <v>0</v>
      </c>
    </row>
    <row r="233" spans="1:30" ht="16.5" customHeight="1" x14ac:dyDescent="0.45">
      <c r="A233" s="6" t="s">
        <v>212</v>
      </c>
      <c r="B233" s="7">
        <v>57.9</v>
      </c>
      <c r="C233" s="8">
        <f>IFERROR(B233/B445, "NA")</f>
        <v>3.6144210530849832E-4</v>
      </c>
      <c r="D233" s="9"/>
      <c r="E233" s="7">
        <v>0</v>
      </c>
      <c r="F233" s="8">
        <f>IFERROR(E233/E445, "NA")</f>
        <v>0</v>
      </c>
      <c r="G233" s="9"/>
      <c r="H233" s="10">
        <f t="shared" si="60"/>
        <v>-57.9</v>
      </c>
      <c r="I233" s="8">
        <f>IFERROR(H233/H445, "NA")</f>
        <v>1.7874668014315792E-3</v>
      </c>
      <c r="J233" s="9"/>
      <c r="K233" s="7">
        <v>0</v>
      </c>
      <c r="L233" s="8">
        <f>IFERROR(K233/K445, "NA")</f>
        <v>0</v>
      </c>
      <c r="M233" s="9"/>
      <c r="N233" s="10">
        <f t="shared" si="61"/>
        <v>-57.9</v>
      </c>
      <c r="O233" s="8">
        <f>IFERROR(N233/N445, "NA")</f>
        <v>3.5283815332188876E-3</v>
      </c>
      <c r="P233" s="9"/>
      <c r="Q233" s="7">
        <v>382.66</v>
      </c>
      <c r="R233" s="8">
        <f>IFERROR(Q233/Q445, "NA")</f>
        <v>4.1281855889664881E-4</v>
      </c>
      <c r="S233" s="9"/>
      <c r="T233" s="7">
        <v>0</v>
      </c>
      <c r="U233" s="8">
        <f>IFERROR(T233/T445, "NA")</f>
        <v>0</v>
      </c>
      <c r="V233" s="9"/>
      <c r="W233" s="10">
        <f t="shared" si="62"/>
        <v>-382.66</v>
      </c>
      <c r="X233" s="8">
        <f>IFERROR(W233/W445, "NA")</f>
        <v>1.1613163244062148E-2</v>
      </c>
      <c r="Y233" s="9"/>
      <c r="Z233" s="7">
        <v>0</v>
      </c>
      <c r="AA233" s="8">
        <f>IFERROR(Z233/Z445, "NA")</f>
        <v>0</v>
      </c>
      <c r="AB233" s="9"/>
      <c r="AC233" s="10">
        <f t="shared" si="63"/>
        <v>-382.66</v>
      </c>
      <c r="AD233" s="8">
        <f>IFERROR(AC233/AC445, "NA")</f>
        <v>-1.1000902128021671E-2</v>
      </c>
    </row>
    <row r="234" spans="1:30" ht="16.5" customHeight="1" x14ac:dyDescent="0.45">
      <c r="A234" s="6" t="s">
        <v>213</v>
      </c>
      <c r="B234" s="7">
        <v>3621.63</v>
      </c>
      <c r="C234" s="8">
        <f>IFERROR(B234/B445, "NA")</f>
        <v>2.2608110049195454E-2</v>
      </c>
      <c r="D234" s="9"/>
      <c r="E234" s="7">
        <v>0</v>
      </c>
      <c r="F234" s="8">
        <f>IFERROR(E234/E445, "NA")</f>
        <v>0</v>
      </c>
      <c r="G234" s="9"/>
      <c r="H234" s="10">
        <f t="shared" si="60"/>
        <v>-3621.63</v>
      </c>
      <c r="I234" s="8">
        <f>IFERROR(H234/H445, "NA")</f>
        <v>0.11180558535524439</v>
      </c>
      <c r="J234" s="9"/>
      <c r="K234" s="7">
        <v>3919.04</v>
      </c>
      <c r="L234" s="8">
        <f>IFERROR(K234/K445, "NA")</f>
        <v>2.2191441042773041E-2</v>
      </c>
      <c r="M234" s="9"/>
      <c r="N234" s="10">
        <f t="shared" si="61"/>
        <v>297.40999999999985</v>
      </c>
      <c r="O234" s="8">
        <f>IFERROR(N234/N445, "NA")</f>
        <v>-1.8123936991271655E-2</v>
      </c>
      <c r="P234" s="9"/>
      <c r="Q234" s="7">
        <v>20930.11</v>
      </c>
      <c r="R234" s="8">
        <f>IFERROR(Q234/Q445, "NA")</f>
        <v>2.2579673464036842E-2</v>
      </c>
      <c r="S234" s="9"/>
      <c r="T234" s="7">
        <v>0</v>
      </c>
      <c r="U234" s="8">
        <f>IFERROR(T234/T445, "NA")</f>
        <v>0</v>
      </c>
      <c r="V234" s="9"/>
      <c r="W234" s="10">
        <f t="shared" si="62"/>
        <v>-20930.11</v>
      </c>
      <c r="X234" s="8">
        <f>IFERROR(W234/W445, "NA")</f>
        <v>0.63519778431552187</v>
      </c>
      <c r="Y234" s="9"/>
      <c r="Z234" s="7">
        <v>18543.810000000001</v>
      </c>
      <c r="AA234" s="8">
        <f>IFERROR(Z234/Z445, "NA")</f>
        <v>2.0785288438174693E-2</v>
      </c>
      <c r="AB234" s="9"/>
      <c r="AC234" s="10">
        <f t="shared" si="63"/>
        <v>-2386.2999999999993</v>
      </c>
      <c r="AD234" s="8">
        <f>IFERROR(AC234/AC445, "NA")</f>
        <v>-6.8602552522077309E-2</v>
      </c>
    </row>
    <row r="235" spans="1:30" ht="16.5" customHeight="1" x14ac:dyDescent="0.45">
      <c r="A235" s="6" t="s">
        <v>214</v>
      </c>
      <c r="B235" s="7">
        <v>100.48</v>
      </c>
      <c r="C235" s="8">
        <f>IFERROR(B235/B445, "NA")</f>
        <v>6.2724875201032669E-4</v>
      </c>
      <c r="D235" s="9"/>
      <c r="E235" s="7">
        <v>0</v>
      </c>
      <c r="F235" s="8">
        <f>IFERROR(E235/E445, "NA")</f>
        <v>0</v>
      </c>
      <c r="G235" s="9"/>
      <c r="H235" s="10">
        <f t="shared" si="60"/>
        <v>-100.48</v>
      </c>
      <c r="I235" s="8">
        <f>IFERROR(H235/H445, "NA")</f>
        <v>3.1019803835551827E-3</v>
      </c>
      <c r="J235" s="9"/>
      <c r="K235" s="7">
        <v>0</v>
      </c>
      <c r="L235" s="8">
        <f>IFERROR(K235/K445, "NA")</f>
        <v>0</v>
      </c>
      <c r="M235" s="9"/>
      <c r="N235" s="10">
        <f t="shared" si="61"/>
        <v>-100.48</v>
      </c>
      <c r="O235" s="8">
        <f>IFERROR(N235/N445, "NA")</f>
        <v>6.1231740320869402E-3</v>
      </c>
      <c r="P235" s="9"/>
      <c r="Q235" s="7">
        <v>291.2</v>
      </c>
      <c r="R235" s="8">
        <f>IFERROR(Q235/Q445, "NA")</f>
        <v>3.1415032757723337E-4</v>
      </c>
      <c r="S235" s="9"/>
      <c r="T235" s="7">
        <v>0</v>
      </c>
      <c r="U235" s="8">
        <f>IFERROR(T235/T445, "NA")</f>
        <v>0</v>
      </c>
      <c r="V235" s="9"/>
      <c r="W235" s="10">
        <f t="shared" si="62"/>
        <v>-291.2</v>
      </c>
      <c r="X235" s="8">
        <f>IFERROR(W235/W445, "NA")</f>
        <v>8.8374879440518937E-3</v>
      </c>
      <c r="Y235" s="9"/>
      <c r="Z235" s="7">
        <v>0</v>
      </c>
      <c r="AA235" s="8">
        <f>IFERROR(Z235/Z445, "NA")</f>
        <v>0</v>
      </c>
      <c r="AB235" s="9"/>
      <c r="AC235" s="10">
        <f t="shared" si="63"/>
        <v>-291.2</v>
      </c>
      <c r="AD235" s="8">
        <f>IFERROR(AC235/AC445, "NA")</f>
        <v>-8.3715640508020446E-3</v>
      </c>
    </row>
    <row r="236" spans="1:30" ht="16.5" customHeight="1" x14ac:dyDescent="0.45">
      <c r="A236" s="19" t="s">
        <v>215</v>
      </c>
      <c r="B236" s="14">
        <f>IFERROR(B229+B230+B231+B232+B233+B234+B235, "NA")</f>
        <v>3780.01</v>
      </c>
      <c r="C236" s="15">
        <f>IFERROR(B236/B445, "NA")</f>
        <v>2.3596800906514281E-2</v>
      </c>
      <c r="D236" s="2"/>
      <c r="E236" s="14">
        <f>IFERROR(E229+E230+E231+E232+E233+E234+E235, "NA")</f>
        <v>4236.84</v>
      </c>
      <c r="F236" s="15">
        <f>IFERROR(E236/E445, "NA")</f>
        <v>2.1999976737404343E-2</v>
      </c>
      <c r="G236" s="2"/>
      <c r="H236" s="14">
        <f t="shared" si="60"/>
        <v>456.82999999999993</v>
      </c>
      <c r="I236" s="15">
        <f>IFERROR(H236/H445, "NA")</f>
        <v>-1.4103082191675099E-2</v>
      </c>
      <c r="J236" s="2"/>
      <c r="K236" s="14">
        <f>IFERROR(K229+K230+K231+K232+K233+K234+K235, "NA")</f>
        <v>4346.04</v>
      </c>
      <c r="L236" s="15">
        <f>IFERROR(K236/K445, "NA")</f>
        <v>2.4609315145937102E-2</v>
      </c>
      <c r="M236" s="2"/>
      <c r="N236" s="14">
        <f t="shared" si="61"/>
        <v>566.02999999999975</v>
      </c>
      <c r="O236" s="15">
        <f>IFERROR(N236/N445, "NA")</f>
        <v>-3.4493433493055024E-2</v>
      </c>
      <c r="P236" s="2"/>
      <c r="Q236" s="14">
        <f>IFERROR(Q229+Q230+Q231+Q232+Q233+Q234+Q235, "NA")</f>
        <v>21603.97</v>
      </c>
      <c r="R236" s="15">
        <f>IFERROR(Q236/Q445, "NA")</f>
        <v>2.3306642350510727E-2</v>
      </c>
      <c r="S236" s="2"/>
      <c r="T236" s="14">
        <f>IFERROR(T229+T230+T231+T232+T233+T234+T235, "NA")</f>
        <v>21117.69</v>
      </c>
      <c r="U236" s="15">
        <f>IFERROR(T236/T445, "NA")</f>
        <v>2.1999993124250113E-2</v>
      </c>
      <c r="V236" s="2"/>
      <c r="W236" s="14">
        <f t="shared" si="62"/>
        <v>-486.28000000000247</v>
      </c>
      <c r="X236" s="15">
        <f>IFERROR(W236/W445, "NA")</f>
        <v>1.4757876502175743E-2</v>
      </c>
      <c r="Y236" s="2"/>
      <c r="Z236" s="14">
        <f>IFERROR(Z229+Z230+Z231+Z232+Z233+Z234+Z235, "NA")</f>
        <v>20547.620000000003</v>
      </c>
      <c r="AA236" s="15">
        <f>IFERROR(Z236/Z445, "NA")</f>
        <v>2.3031308475335278E-2</v>
      </c>
      <c r="AB236" s="2"/>
      <c r="AC236" s="14">
        <f t="shared" si="63"/>
        <v>-1056.3499999999985</v>
      </c>
      <c r="AD236" s="15">
        <f>IFERROR(AC236/AC445, "NA")</f>
        <v>-3.0368481061348651E-2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IFERROR(B238/B445, "NA")</f>
        <v>0</v>
      </c>
      <c r="D238" s="9"/>
      <c r="E238" s="7">
        <v>0</v>
      </c>
      <c r="F238" s="8">
        <f>IFERROR(E238/E445, "NA")</f>
        <v>0</v>
      </c>
      <c r="G238" s="9"/>
      <c r="H238" s="10">
        <f>IFERROR(-(B238-E238), "NA")</f>
        <v>0</v>
      </c>
      <c r="I238" s="8">
        <f>IFERROR(H238/H445, "NA")</f>
        <v>0</v>
      </c>
      <c r="J238" s="9"/>
      <c r="K238" s="7">
        <v>0</v>
      </c>
      <c r="L238" s="8">
        <f>IFERROR(K238/K445, "NA")</f>
        <v>0</v>
      </c>
      <c r="M238" s="9"/>
      <c r="N238" s="10">
        <f>IFERROR(-(B238-K238), "NA")</f>
        <v>0</v>
      </c>
      <c r="O238" s="8">
        <f>IFERROR(N238/N445, "NA")</f>
        <v>0</v>
      </c>
      <c r="P238" s="9"/>
      <c r="Q238" s="7">
        <v>0</v>
      </c>
      <c r="R238" s="8">
        <f>IFERROR(Q238/Q445, "NA")</f>
        <v>0</v>
      </c>
      <c r="S238" s="9"/>
      <c r="T238" s="7">
        <v>0</v>
      </c>
      <c r="U238" s="8">
        <f>IFERROR(T238/T445, "NA")</f>
        <v>0</v>
      </c>
      <c r="V238" s="9"/>
      <c r="W238" s="10">
        <f>IFERROR(-(Q238-T238), "NA")</f>
        <v>0</v>
      </c>
      <c r="X238" s="8">
        <f>IFERROR(W238/W445, "NA")</f>
        <v>0</v>
      </c>
      <c r="Y238" s="9"/>
      <c r="Z238" s="7">
        <v>0</v>
      </c>
      <c r="AA238" s="8">
        <f>IFERROR(Z238/Z445, "NA")</f>
        <v>0</v>
      </c>
      <c r="AB238" s="9"/>
      <c r="AC238" s="10">
        <f>IFERROR(-(Q238-Z238), "NA")</f>
        <v>0</v>
      </c>
      <c r="AD238" s="8">
        <f>IFERROR(AC238/AC445,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IFERROR(B240/B445, "NA")</f>
        <v>0</v>
      </c>
      <c r="D240" s="9"/>
      <c r="E240" s="7">
        <v>16369.63</v>
      </c>
      <c r="F240" s="8">
        <f>IFERROR(E240/E445, "NA")</f>
        <v>8.5000018693157223E-2</v>
      </c>
      <c r="G240" s="9"/>
      <c r="H240" s="10">
        <f t="shared" ref="H240:H264" si="64">IFERROR(-(B240-E240), "NA")</f>
        <v>16369.63</v>
      </c>
      <c r="I240" s="8">
        <f>IFERROR(H240/H445, "NA")</f>
        <v>-0.50535699787078447</v>
      </c>
      <c r="J240" s="9"/>
      <c r="K240" s="7">
        <v>0</v>
      </c>
      <c r="L240" s="8">
        <f>IFERROR(K240/K445, "NA")</f>
        <v>0</v>
      </c>
      <c r="M240" s="9"/>
      <c r="N240" s="10">
        <f t="shared" ref="N240:N264" si="65">IFERROR(-(B240-K240), "NA")</f>
        <v>0</v>
      </c>
      <c r="O240" s="8">
        <f>IFERROR(N240/N445, "NA")</f>
        <v>0</v>
      </c>
      <c r="P240" s="9"/>
      <c r="Q240" s="7">
        <v>0</v>
      </c>
      <c r="R240" s="8">
        <f>IFERROR(Q240/Q445, "NA")</f>
        <v>0</v>
      </c>
      <c r="S240" s="9"/>
      <c r="T240" s="7">
        <v>81591.100000000006</v>
      </c>
      <c r="U240" s="8">
        <f>IFERROR(T240/T445, "NA")</f>
        <v>8.4999999479109856E-2</v>
      </c>
      <c r="V240" s="9"/>
      <c r="W240" s="10">
        <f t="shared" ref="W240:W264" si="66">IFERROR(-(Q240-T240), "NA")</f>
        <v>81591.100000000006</v>
      </c>
      <c r="X240" s="8">
        <f>IFERROR(W240/W445, "NA")</f>
        <v>-2.4761688275821858</v>
      </c>
      <c r="Y240" s="9"/>
      <c r="Z240" s="7">
        <v>0</v>
      </c>
      <c r="AA240" s="8">
        <f>IFERROR(Z240/Z445, "NA")</f>
        <v>0</v>
      </c>
      <c r="AB240" s="9"/>
      <c r="AC240" s="10">
        <f t="shared" ref="AC240:AC264" si="67">IFERROR(-(Q240-Z240), "NA")</f>
        <v>0</v>
      </c>
      <c r="AD240" s="8">
        <f>IFERROR(AC240/AC445,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IFERROR(B241/B445, "NA")</f>
        <v>0</v>
      </c>
      <c r="D241" s="9"/>
      <c r="E241" s="7">
        <v>0</v>
      </c>
      <c r="F241" s="8">
        <f>IFERROR(E241/E445, "NA")</f>
        <v>0</v>
      </c>
      <c r="G241" s="9"/>
      <c r="H241" s="10">
        <f t="shared" si="64"/>
        <v>0</v>
      </c>
      <c r="I241" s="8">
        <f>IFERROR(H241/H445, "NA")</f>
        <v>0</v>
      </c>
      <c r="J241" s="9"/>
      <c r="K241" s="7">
        <v>0</v>
      </c>
      <c r="L241" s="8">
        <f>IFERROR(K241/K445, "NA")</f>
        <v>0</v>
      </c>
      <c r="M241" s="9"/>
      <c r="N241" s="10">
        <f t="shared" si="65"/>
        <v>0</v>
      </c>
      <c r="O241" s="8">
        <f>IFERROR(N241/N445, "NA")</f>
        <v>0</v>
      </c>
      <c r="P241" s="9"/>
      <c r="Q241" s="7">
        <v>0</v>
      </c>
      <c r="R241" s="8">
        <f>IFERROR(Q241/Q445, "NA")</f>
        <v>0</v>
      </c>
      <c r="S241" s="9"/>
      <c r="T241" s="7">
        <v>0</v>
      </c>
      <c r="U241" s="8">
        <f>IFERROR(T241/T445, "NA")</f>
        <v>0</v>
      </c>
      <c r="V241" s="9"/>
      <c r="W241" s="10">
        <f t="shared" si="66"/>
        <v>0</v>
      </c>
      <c r="X241" s="8">
        <f>IFERROR(W241/W445, "NA")</f>
        <v>0</v>
      </c>
      <c r="Y241" s="9"/>
      <c r="Z241" s="7">
        <v>0</v>
      </c>
      <c r="AA241" s="8">
        <f>IFERROR(Z241/Z445, "NA")</f>
        <v>0</v>
      </c>
      <c r="AB241" s="9"/>
      <c r="AC241" s="10">
        <f t="shared" si="67"/>
        <v>0</v>
      </c>
      <c r="AD241" s="8">
        <f>IFERROR(AC241/AC445, "NA")</f>
        <v>0</v>
      </c>
    </row>
    <row r="242" spans="1:30" ht="16.5" customHeight="1" x14ac:dyDescent="0.45">
      <c r="A242" s="12" t="s">
        <v>219</v>
      </c>
      <c r="B242" s="7">
        <v>2432.9</v>
      </c>
      <c r="C242" s="8">
        <f>IFERROR(B242/B445, "NA")</f>
        <v>1.5187435198705451E-2</v>
      </c>
      <c r="D242" s="9"/>
      <c r="E242" s="7">
        <v>0</v>
      </c>
      <c r="F242" s="8">
        <f>IFERROR(E242/E445, "NA")</f>
        <v>0</v>
      </c>
      <c r="G242" s="9"/>
      <c r="H242" s="10">
        <f t="shared" si="64"/>
        <v>-2432.9</v>
      </c>
      <c r="I242" s="8">
        <f>IFERROR(H242/H445, "NA")</f>
        <v>7.5107564442191521E-2</v>
      </c>
      <c r="J242" s="9"/>
      <c r="K242" s="7">
        <v>1895.43</v>
      </c>
      <c r="L242" s="8">
        <f>IFERROR(K242/K445, "NA")</f>
        <v>1.0732812907166885E-2</v>
      </c>
      <c r="M242" s="9"/>
      <c r="N242" s="10">
        <f t="shared" si="65"/>
        <v>-537.47</v>
      </c>
      <c r="O242" s="8">
        <f>IFERROR(N242/N445, "NA")</f>
        <v>3.2753009026928424E-2</v>
      </c>
      <c r="P242" s="9"/>
      <c r="Q242" s="7">
        <v>14556.37</v>
      </c>
      <c r="R242" s="8">
        <f>IFERROR(Q242/Q445, "NA")</f>
        <v>1.5703600287896337E-2</v>
      </c>
      <c r="S242" s="9"/>
      <c r="T242" s="7">
        <v>0</v>
      </c>
      <c r="U242" s="8">
        <f>IFERROR(T242/T445, "NA")</f>
        <v>0</v>
      </c>
      <c r="V242" s="9"/>
      <c r="W242" s="10">
        <f t="shared" si="66"/>
        <v>-14556.37</v>
      </c>
      <c r="X242" s="8">
        <f>IFERROR(W242/W445, "NA")</f>
        <v>0.44176423208845694</v>
      </c>
      <c r="Y242" s="9"/>
      <c r="Z242" s="7">
        <v>12284.2</v>
      </c>
      <c r="AA242" s="8">
        <f>IFERROR(Z242/Z445, "NA")</f>
        <v>1.376904963069755E-2</v>
      </c>
      <c r="AB242" s="9"/>
      <c r="AC242" s="10">
        <f t="shared" si="67"/>
        <v>-2272.17</v>
      </c>
      <c r="AD242" s="8">
        <f>IFERROR(AC242/AC445, "NA")</f>
        <v>-6.5321485883622535E-2</v>
      </c>
    </row>
    <row r="243" spans="1:30" ht="16.5" customHeight="1" x14ac:dyDescent="0.45">
      <c r="A243" s="12" t="s">
        <v>220</v>
      </c>
      <c r="B243" s="7">
        <v>5281.16</v>
      </c>
      <c r="C243" s="8">
        <f>IFERROR(B243/B445, "NA")</f>
        <v>3.2967764920052316E-2</v>
      </c>
      <c r="D243" s="9"/>
      <c r="E243" s="7">
        <v>0</v>
      </c>
      <c r="F243" s="8">
        <f>IFERROR(E243/E445, "NA")</f>
        <v>0</v>
      </c>
      <c r="G243" s="9"/>
      <c r="H243" s="10">
        <f t="shared" si="64"/>
        <v>-5281.16</v>
      </c>
      <c r="I243" s="8">
        <f>IFERROR(H243/H445, "NA")</f>
        <v>0.16303796499220033</v>
      </c>
      <c r="J243" s="9"/>
      <c r="K243" s="7">
        <v>7464.77</v>
      </c>
      <c r="L243" s="8">
        <f>IFERROR(K243/K445, "NA")</f>
        <v>4.2269025922894617E-2</v>
      </c>
      <c r="M243" s="9"/>
      <c r="N243" s="10">
        <f t="shared" si="65"/>
        <v>2183.6100000000006</v>
      </c>
      <c r="O243" s="8">
        <f>IFERROR(N243/N445, "NA")</f>
        <v>-0.13306751640331774</v>
      </c>
      <c r="P243" s="9"/>
      <c r="Q243" s="7">
        <v>36215.68</v>
      </c>
      <c r="R243" s="8">
        <f>IFERROR(Q243/Q445, "NA")</f>
        <v>3.906994414640199E-2</v>
      </c>
      <c r="S243" s="9"/>
      <c r="T243" s="7">
        <v>0</v>
      </c>
      <c r="U243" s="8">
        <f>IFERROR(T243/T445, "NA")</f>
        <v>0</v>
      </c>
      <c r="V243" s="9"/>
      <c r="W243" s="10">
        <f t="shared" si="66"/>
        <v>-36215.68</v>
      </c>
      <c r="X243" s="8">
        <f>IFERROR(W243/W445, "NA")</f>
        <v>1.0990921544836583</v>
      </c>
      <c r="Y243" s="9"/>
      <c r="Z243" s="7">
        <v>34080.120000000003</v>
      </c>
      <c r="AA243" s="8">
        <f>IFERROR(Z243/Z445, "NA")</f>
        <v>3.8199546059175866E-2</v>
      </c>
      <c r="AB243" s="9"/>
      <c r="AC243" s="10">
        <f t="shared" si="67"/>
        <v>-2135.5599999999977</v>
      </c>
      <c r="AD243" s="8">
        <f>IFERROR(AC243/AC445, "NA")</f>
        <v>-6.1394152899487617E-2</v>
      </c>
    </row>
    <row r="244" spans="1:30" ht="16.5" customHeight="1" x14ac:dyDescent="0.45">
      <c r="A244" s="12" t="s">
        <v>221</v>
      </c>
      <c r="B244" s="7">
        <v>734.34</v>
      </c>
      <c r="C244" s="8">
        <f>IFERROR(B244/B445, "NA")</f>
        <v>4.5841346392442601E-3</v>
      </c>
      <c r="D244" s="9"/>
      <c r="E244" s="7">
        <v>0</v>
      </c>
      <c r="F244" s="8">
        <f>IFERROR(E244/E445, "NA")</f>
        <v>0</v>
      </c>
      <c r="G244" s="9"/>
      <c r="H244" s="10">
        <f t="shared" si="64"/>
        <v>-734.34</v>
      </c>
      <c r="I244" s="8">
        <f>IFERROR(H244/H445, "NA")</f>
        <v>2.2670265474322382E-2</v>
      </c>
      <c r="J244" s="9"/>
      <c r="K244" s="7">
        <v>0</v>
      </c>
      <c r="L244" s="8">
        <f>IFERROR(K244/K445, "NA")</f>
        <v>0</v>
      </c>
      <c r="M244" s="9"/>
      <c r="N244" s="10">
        <f t="shared" si="65"/>
        <v>-734.34</v>
      </c>
      <c r="O244" s="8">
        <f>IFERROR(N244/N445, "NA")</f>
        <v>4.4750115632192715E-2</v>
      </c>
      <c r="P244" s="9"/>
      <c r="Q244" s="7">
        <v>3224.13</v>
      </c>
      <c r="R244" s="8">
        <f>IFERROR(Q244/Q445, "NA")</f>
        <v>3.4782331581441812E-3</v>
      </c>
      <c r="S244" s="9"/>
      <c r="T244" s="7">
        <v>0</v>
      </c>
      <c r="U244" s="8">
        <f>IFERROR(T244/T445, "NA")</f>
        <v>0</v>
      </c>
      <c r="V244" s="9"/>
      <c r="W244" s="10">
        <f t="shared" si="66"/>
        <v>-3224.13</v>
      </c>
      <c r="X244" s="8">
        <f>IFERROR(W244/W445, "NA")</f>
        <v>9.7847561830549559E-2</v>
      </c>
      <c r="Y244" s="9"/>
      <c r="Z244" s="7">
        <v>590</v>
      </c>
      <c r="AA244" s="8">
        <f>IFERROR(Z244/Z445, "NA")</f>
        <v>6.6131610378466273E-4</v>
      </c>
      <c r="AB244" s="9"/>
      <c r="AC244" s="10">
        <f t="shared" si="67"/>
        <v>-2634.13</v>
      </c>
      <c r="AD244" s="8">
        <f>IFERROR(AC244/AC445, "NA")</f>
        <v>-7.5727294001164805E-2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IFERROR(B245/B445, "NA")</f>
        <v>0</v>
      </c>
      <c r="D245" s="9"/>
      <c r="E245" s="7">
        <v>0</v>
      </c>
      <c r="F245" s="8">
        <f>IFERROR(E245/E445, "NA")</f>
        <v>0</v>
      </c>
      <c r="G245" s="9"/>
      <c r="H245" s="10">
        <f t="shared" si="64"/>
        <v>0</v>
      </c>
      <c r="I245" s="8">
        <f>IFERROR(H245/H445, "NA")</f>
        <v>0</v>
      </c>
      <c r="J245" s="9"/>
      <c r="K245" s="7">
        <v>0</v>
      </c>
      <c r="L245" s="8">
        <f>IFERROR(K245/K445, "NA")</f>
        <v>0</v>
      </c>
      <c r="M245" s="9"/>
      <c r="N245" s="10">
        <f t="shared" si="65"/>
        <v>0</v>
      </c>
      <c r="O245" s="8">
        <f>IFERROR(N245/N445, "NA")</f>
        <v>0</v>
      </c>
      <c r="P245" s="9"/>
      <c r="Q245" s="7">
        <v>0</v>
      </c>
      <c r="R245" s="8">
        <f>IFERROR(Q245/Q445, "NA")</f>
        <v>0</v>
      </c>
      <c r="S245" s="9"/>
      <c r="T245" s="7">
        <v>0</v>
      </c>
      <c r="U245" s="8">
        <f>IFERROR(T245/T445, "NA")</f>
        <v>0</v>
      </c>
      <c r="V245" s="9"/>
      <c r="W245" s="10">
        <f t="shared" si="66"/>
        <v>0</v>
      </c>
      <c r="X245" s="8">
        <f>IFERROR(W245/W445, "NA")</f>
        <v>0</v>
      </c>
      <c r="Y245" s="9"/>
      <c r="Z245" s="7">
        <v>0</v>
      </c>
      <c r="AA245" s="8">
        <f>IFERROR(Z245/Z445, "NA")</f>
        <v>0</v>
      </c>
      <c r="AB245" s="9"/>
      <c r="AC245" s="10">
        <f t="shared" si="67"/>
        <v>0</v>
      </c>
      <c r="AD245" s="8">
        <f>IFERROR(AC245/AC445, "NA")</f>
        <v>0</v>
      </c>
    </row>
    <row r="246" spans="1:30" ht="16.5" customHeight="1" x14ac:dyDescent="0.45">
      <c r="A246" s="12" t="s">
        <v>223</v>
      </c>
      <c r="B246" s="7">
        <v>240.83</v>
      </c>
      <c r="C246" s="8">
        <f>IFERROR(B246/B445, "NA")</f>
        <v>1.5033869122874897E-3</v>
      </c>
      <c r="D246" s="9"/>
      <c r="E246" s="7">
        <v>0</v>
      </c>
      <c r="F246" s="8">
        <f>IFERROR(E246/E445, "NA")</f>
        <v>0</v>
      </c>
      <c r="G246" s="9"/>
      <c r="H246" s="10">
        <f t="shared" si="64"/>
        <v>-240.83</v>
      </c>
      <c r="I246" s="8">
        <f>IFERROR(H246/H445, "NA")</f>
        <v>7.4348122588733549E-3</v>
      </c>
      <c r="J246" s="9"/>
      <c r="K246" s="7">
        <v>809.66</v>
      </c>
      <c r="L246" s="8">
        <f>IFERROR(K246/K445, "NA")</f>
        <v>4.5846743474656088E-3</v>
      </c>
      <c r="M246" s="9"/>
      <c r="N246" s="10">
        <f t="shared" si="65"/>
        <v>568.82999999999993</v>
      </c>
      <c r="O246" s="8">
        <f>IFERROR(N246/N445, "NA")</f>
        <v>-3.4664063342675293E-2</v>
      </c>
      <c r="P246" s="9"/>
      <c r="Q246" s="7">
        <v>1348.41</v>
      </c>
      <c r="R246" s="8">
        <f>IFERROR(Q246/Q445, "NA")</f>
        <v>1.4546821538750595E-3</v>
      </c>
      <c r="S246" s="9"/>
      <c r="T246" s="7">
        <v>0</v>
      </c>
      <c r="U246" s="8">
        <f>IFERROR(T246/T445, "NA")</f>
        <v>0</v>
      </c>
      <c r="V246" s="9"/>
      <c r="W246" s="10">
        <f t="shared" si="66"/>
        <v>-1348.41</v>
      </c>
      <c r="X246" s="8">
        <f>IFERROR(W246/W445, "NA")</f>
        <v>4.0922242852469141E-2</v>
      </c>
      <c r="Y246" s="9"/>
      <c r="Z246" s="7">
        <v>3537.6</v>
      </c>
      <c r="AA246" s="8">
        <f>IFERROR(Z246/Z445, "NA")</f>
        <v>3.9652065233027507E-3</v>
      </c>
      <c r="AB246" s="9"/>
      <c r="AC246" s="10">
        <f t="shared" si="67"/>
        <v>2189.1899999999996</v>
      </c>
      <c r="AD246" s="8">
        <f>IFERROR(AC246/AC445, "NA")</f>
        <v>6.2935935111178995E-2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IFERROR(B247/B445, "NA")</f>
        <v>0</v>
      </c>
      <c r="D247" s="9"/>
      <c r="E247" s="7">
        <v>0</v>
      </c>
      <c r="F247" s="8">
        <f>IFERROR(E247/E445, "NA")</f>
        <v>0</v>
      </c>
      <c r="G247" s="9"/>
      <c r="H247" s="10">
        <f t="shared" si="64"/>
        <v>0</v>
      </c>
      <c r="I247" s="8">
        <f>IFERROR(H247/H445, "NA")</f>
        <v>0</v>
      </c>
      <c r="J247" s="9"/>
      <c r="K247" s="7">
        <v>0</v>
      </c>
      <c r="L247" s="8">
        <f>IFERROR(K247/K445, "NA")</f>
        <v>0</v>
      </c>
      <c r="M247" s="9"/>
      <c r="N247" s="10">
        <f t="shared" si="65"/>
        <v>0</v>
      </c>
      <c r="O247" s="8">
        <f>IFERROR(N247/N445, "NA")</f>
        <v>0</v>
      </c>
      <c r="P247" s="9"/>
      <c r="Q247" s="7">
        <v>0</v>
      </c>
      <c r="R247" s="8">
        <f>IFERROR(Q247/Q445, "NA")</f>
        <v>0</v>
      </c>
      <c r="S247" s="9"/>
      <c r="T247" s="7">
        <v>0</v>
      </c>
      <c r="U247" s="8">
        <f>IFERROR(T247/T445, "NA")</f>
        <v>0</v>
      </c>
      <c r="V247" s="9"/>
      <c r="W247" s="10">
        <f t="shared" si="66"/>
        <v>0</v>
      </c>
      <c r="X247" s="8">
        <f>IFERROR(W247/W445, "NA")</f>
        <v>0</v>
      </c>
      <c r="Y247" s="9"/>
      <c r="Z247" s="7">
        <v>0</v>
      </c>
      <c r="AA247" s="8">
        <f>IFERROR(Z247/Z445, "NA")</f>
        <v>0</v>
      </c>
      <c r="AB247" s="9"/>
      <c r="AC247" s="10">
        <f t="shared" si="67"/>
        <v>0</v>
      </c>
      <c r="AD247" s="8">
        <f>IFERROR(AC247/AC445, "NA")</f>
        <v>0</v>
      </c>
    </row>
    <row r="248" spans="1:30" ht="16.5" customHeight="1" x14ac:dyDescent="0.45">
      <c r="A248" s="12" t="s">
        <v>225</v>
      </c>
      <c r="B248" s="7">
        <v>267.5</v>
      </c>
      <c r="C248" s="8">
        <f>IFERROR(B248/B445, "NA")</f>
        <v>1.6698750115720776E-3</v>
      </c>
      <c r="D248" s="9"/>
      <c r="E248" s="7">
        <v>0</v>
      </c>
      <c r="F248" s="8">
        <f>IFERROR(E248/E445, "NA")</f>
        <v>0</v>
      </c>
      <c r="G248" s="9"/>
      <c r="H248" s="10">
        <f t="shared" si="64"/>
        <v>-267.5</v>
      </c>
      <c r="I248" s="8">
        <f>IFERROR(H248/H445, "NA")</f>
        <v>8.2581583658540153E-3</v>
      </c>
      <c r="J248" s="9"/>
      <c r="K248" s="7">
        <v>246.65</v>
      </c>
      <c r="L248" s="8">
        <f>IFERROR(K248/K445, "NA")</f>
        <v>1.3966478865232227E-3</v>
      </c>
      <c r="M248" s="9"/>
      <c r="N248" s="10">
        <f t="shared" si="65"/>
        <v>-20.849999999999994</v>
      </c>
      <c r="O248" s="8">
        <f>IFERROR(N248/N445, "NA")</f>
        <v>1.2705829873508427E-3</v>
      </c>
      <c r="P248" s="9"/>
      <c r="Q248" s="7">
        <v>1065.3599999999999</v>
      </c>
      <c r="R248" s="8">
        <f>IFERROR(Q248/Q445, "NA")</f>
        <v>1.1493241517434112E-3</v>
      </c>
      <c r="S248" s="9"/>
      <c r="T248" s="7">
        <v>0</v>
      </c>
      <c r="U248" s="8">
        <f>IFERROR(T248/T445, "NA")</f>
        <v>0</v>
      </c>
      <c r="V248" s="9"/>
      <c r="W248" s="10">
        <f t="shared" si="66"/>
        <v>-1065.3599999999999</v>
      </c>
      <c r="X248" s="8">
        <f>IFERROR(W248/W445, "NA")</f>
        <v>3.233209531619205E-2</v>
      </c>
      <c r="Y248" s="9"/>
      <c r="Z248" s="7">
        <v>976.4</v>
      </c>
      <c r="AA248" s="8">
        <f>IFERROR(Z248/Z445, "NA")</f>
        <v>1.0944221080260079E-3</v>
      </c>
      <c r="AB248" s="9"/>
      <c r="AC248" s="10">
        <f t="shared" si="67"/>
        <v>-88.959999999999923</v>
      </c>
      <c r="AD248" s="8">
        <f>IFERROR(AC248/AC445, "NA")</f>
        <v>-2.5574668199153474E-3</v>
      </c>
    </row>
    <row r="249" spans="1:30" ht="16.5" customHeight="1" x14ac:dyDescent="0.45">
      <c r="A249" s="12" t="s">
        <v>226</v>
      </c>
      <c r="B249" s="7">
        <v>4756.84</v>
      </c>
      <c r="C249" s="8">
        <f>IFERROR(B249/B445, "NA")</f>
        <v>2.9694685046902886E-2</v>
      </c>
      <c r="D249" s="9"/>
      <c r="E249" s="7">
        <v>0</v>
      </c>
      <c r="F249" s="8">
        <f>IFERROR(E249/E445, "NA")</f>
        <v>0</v>
      </c>
      <c r="G249" s="9"/>
      <c r="H249" s="10">
        <f t="shared" si="64"/>
        <v>-4756.84</v>
      </c>
      <c r="I249" s="8">
        <f>IFERROR(H249/H445, "NA")</f>
        <v>0.14685135716272527</v>
      </c>
      <c r="J249" s="9"/>
      <c r="K249" s="7">
        <v>2872.58</v>
      </c>
      <c r="L249" s="8">
        <f>IFERROR(K249/K445, "NA")</f>
        <v>1.6265894124747125E-2</v>
      </c>
      <c r="M249" s="9"/>
      <c r="N249" s="10">
        <f t="shared" si="65"/>
        <v>-1884.2600000000002</v>
      </c>
      <c r="O249" s="8">
        <f>IFERROR(N249/N445, "NA")</f>
        <v>0.11482535730195202</v>
      </c>
      <c r="P249" s="9"/>
      <c r="Q249" s="7">
        <v>25515.96</v>
      </c>
      <c r="R249" s="8">
        <f>IFERROR(Q249/Q445, "NA")</f>
        <v>2.7526947776262307E-2</v>
      </c>
      <c r="S249" s="9"/>
      <c r="T249" s="7">
        <v>0</v>
      </c>
      <c r="U249" s="8">
        <f>IFERROR(T249/T445, "NA")</f>
        <v>0</v>
      </c>
      <c r="V249" s="9"/>
      <c r="W249" s="10">
        <f t="shared" si="66"/>
        <v>-25515.96</v>
      </c>
      <c r="X249" s="8">
        <f>IFERROR(W249/W445, "NA")</f>
        <v>0.77437152775037887</v>
      </c>
      <c r="Y249" s="9"/>
      <c r="Z249" s="7">
        <v>18197.05</v>
      </c>
      <c r="AA249" s="8">
        <f>IFERROR(Z249/Z445, "NA")</f>
        <v>2.0396613909109657E-2</v>
      </c>
      <c r="AB249" s="9"/>
      <c r="AC249" s="10">
        <f t="shared" si="67"/>
        <v>-7318.91</v>
      </c>
      <c r="AD249" s="8">
        <f>IFERROR(AC249/AC445, "NA")</f>
        <v>-0.21040770551873486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IFERROR(B250/B445, "NA")</f>
        <v>0</v>
      </c>
      <c r="D250" s="9"/>
      <c r="E250" s="7">
        <v>0</v>
      </c>
      <c r="F250" s="8">
        <f>IFERROR(E250/E445, "NA")</f>
        <v>0</v>
      </c>
      <c r="G250" s="9"/>
      <c r="H250" s="10">
        <f t="shared" si="64"/>
        <v>0</v>
      </c>
      <c r="I250" s="8">
        <f>IFERROR(H250/H445, "NA")</f>
        <v>0</v>
      </c>
      <c r="J250" s="9"/>
      <c r="K250" s="7">
        <v>0</v>
      </c>
      <c r="L250" s="8">
        <f>IFERROR(K250/K445, "NA")</f>
        <v>0</v>
      </c>
      <c r="M250" s="9"/>
      <c r="N250" s="10">
        <f t="shared" si="65"/>
        <v>0</v>
      </c>
      <c r="O250" s="8">
        <f>IFERROR(N250/N445, "NA")</f>
        <v>0</v>
      </c>
      <c r="P250" s="9"/>
      <c r="Q250" s="7">
        <v>0</v>
      </c>
      <c r="R250" s="8">
        <f>IFERROR(Q250/Q445, "NA")</f>
        <v>0</v>
      </c>
      <c r="S250" s="9"/>
      <c r="T250" s="7">
        <v>0</v>
      </c>
      <c r="U250" s="8">
        <f>IFERROR(T250/T445, "NA")</f>
        <v>0</v>
      </c>
      <c r="V250" s="9"/>
      <c r="W250" s="10">
        <f t="shared" si="66"/>
        <v>0</v>
      </c>
      <c r="X250" s="8">
        <f>IFERROR(W250/W445, "NA")</f>
        <v>0</v>
      </c>
      <c r="Y250" s="9"/>
      <c r="Z250" s="7">
        <v>0</v>
      </c>
      <c r="AA250" s="8">
        <f>IFERROR(Z250/Z445, "NA")</f>
        <v>0</v>
      </c>
      <c r="AB250" s="9"/>
      <c r="AC250" s="10">
        <f t="shared" si="67"/>
        <v>0</v>
      </c>
      <c r="AD250" s="8">
        <f>IFERROR(AC250/AC445,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IFERROR(B251/B445, "NA")</f>
        <v>0</v>
      </c>
      <c r="D251" s="9"/>
      <c r="E251" s="7">
        <v>0</v>
      </c>
      <c r="F251" s="8">
        <f>IFERROR(E251/E445, "NA")</f>
        <v>0</v>
      </c>
      <c r="G251" s="9"/>
      <c r="H251" s="10">
        <f t="shared" si="64"/>
        <v>0</v>
      </c>
      <c r="I251" s="8">
        <f>IFERROR(H251/H445, "NA")</f>
        <v>0</v>
      </c>
      <c r="J251" s="9"/>
      <c r="K251" s="7">
        <v>0</v>
      </c>
      <c r="L251" s="8">
        <f>IFERROR(K251/K445, "NA")</f>
        <v>0</v>
      </c>
      <c r="M251" s="9"/>
      <c r="N251" s="10">
        <f t="shared" si="65"/>
        <v>0</v>
      </c>
      <c r="O251" s="8">
        <f>IFERROR(N251/N445, "NA")</f>
        <v>0</v>
      </c>
      <c r="P251" s="9"/>
      <c r="Q251" s="7">
        <v>0</v>
      </c>
      <c r="R251" s="8">
        <f>IFERROR(Q251/Q445, "NA")</f>
        <v>0</v>
      </c>
      <c r="S251" s="9"/>
      <c r="T251" s="7">
        <v>0</v>
      </c>
      <c r="U251" s="8">
        <f>IFERROR(T251/T445, "NA")</f>
        <v>0</v>
      </c>
      <c r="V251" s="9"/>
      <c r="W251" s="10">
        <f t="shared" si="66"/>
        <v>0</v>
      </c>
      <c r="X251" s="8">
        <f>IFERROR(W251/W445, "NA")</f>
        <v>0</v>
      </c>
      <c r="Y251" s="9"/>
      <c r="Z251" s="7">
        <v>0</v>
      </c>
      <c r="AA251" s="8">
        <f>IFERROR(Z251/Z445, "NA")</f>
        <v>0</v>
      </c>
      <c r="AB251" s="9"/>
      <c r="AC251" s="10">
        <f t="shared" si="67"/>
        <v>0</v>
      </c>
      <c r="AD251" s="8">
        <f>IFERROR(AC251/AC445,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IFERROR(B252/B445, "NA")</f>
        <v>0</v>
      </c>
      <c r="D252" s="9"/>
      <c r="E252" s="7">
        <v>0</v>
      </c>
      <c r="F252" s="8">
        <f>IFERROR(E252/E445, "NA")</f>
        <v>0</v>
      </c>
      <c r="G252" s="9"/>
      <c r="H252" s="10">
        <f t="shared" si="64"/>
        <v>0</v>
      </c>
      <c r="I252" s="8">
        <f>IFERROR(H252/H445, "NA")</f>
        <v>0</v>
      </c>
      <c r="J252" s="9"/>
      <c r="K252" s="7">
        <v>0</v>
      </c>
      <c r="L252" s="8">
        <f>IFERROR(K252/K445, "NA")</f>
        <v>0</v>
      </c>
      <c r="M252" s="9"/>
      <c r="N252" s="10">
        <f t="shared" si="65"/>
        <v>0</v>
      </c>
      <c r="O252" s="8">
        <f>IFERROR(N252/N445, "NA")</f>
        <v>0</v>
      </c>
      <c r="P252" s="9"/>
      <c r="Q252" s="7">
        <v>0</v>
      </c>
      <c r="R252" s="8">
        <f>IFERROR(Q252/Q445, "NA")</f>
        <v>0</v>
      </c>
      <c r="S252" s="9"/>
      <c r="T252" s="7">
        <v>0</v>
      </c>
      <c r="U252" s="8">
        <f>IFERROR(T252/T445, "NA")</f>
        <v>0</v>
      </c>
      <c r="V252" s="9"/>
      <c r="W252" s="10">
        <f t="shared" si="66"/>
        <v>0</v>
      </c>
      <c r="X252" s="8">
        <f>IFERROR(W252/W445, "NA")</f>
        <v>0</v>
      </c>
      <c r="Y252" s="9"/>
      <c r="Z252" s="7">
        <v>0</v>
      </c>
      <c r="AA252" s="8">
        <f>IFERROR(Z252/Z445, "NA")</f>
        <v>0</v>
      </c>
      <c r="AB252" s="9"/>
      <c r="AC252" s="10">
        <f t="shared" si="67"/>
        <v>0</v>
      </c>
      <c r="AD252" s="8">
        <f>IFERROR(AC252/AC445,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IFERROR(B253/B445, "NA")</f>
        <v>0</v>
      </c>
      <c r="D253" s="9"/>
      <c r="E253" s="7">
        <v>0</v>
      </c>
      <c r="F253" s="8">
        <f>IFERROR(E253/E445, "NA")</f>
        <v>0</v>
      </c>
      <c r="G253" s="9"/>
      <c r="H253" s="10">
        <f t="shared" si="64"/>
        <v>0</v>
      </c>
      <c r="I253" s="8">
        <f>IFERROR(H253/H445, "NA")</f>
        <v>0</v>
      </c>
      <c r="J253" s="9"/>
      <c r="K253" s="7">
        <v>0</v>
      </c>
      <c r="L253" s="8">
        <f>IFERROR(K253/K445, "NA")</f>
        <v>0</v>
      </c>
      <c r="M253" s="9"/>
      <c r="N253" s="10">
        <f t="shared" si="65"/>
        <v>0</v>
      </c>
      <c r="O253" s="8">
        <f>IFERROR(N253/N445, "NA")</f>
        <v>0</v>
      </c>
      <c r="P253" s="9"/>
      <c r="Q253" s="7">
        <v>0</v>
      </c>
      <c r="R253" s="8">
        <f>IFERROR(Q253/Q445, "NA")</f>
        <v>0</v>
      </c>
      <c r="S253" s="9"/>
      <c r="T253" s="7">
        <v>0</v>
      </c>
      <c r="U253" s="8">
        <f>IFERROR(T253/T445, "NA")</f>
        <v>0</v>
      </c>
      <c r="V253" s="9"/>
      <c r="W253" s="10">
        <f t="shared" si="66"/>
        <v>0</v>
      </c>
      <c r="X253" s="8">
        <f>IFERROR(W253/W445, "NA")</f>
        <v>0</v>
      </c>
      <c r="Y253" s="9"/>
      <c r="Z253" s="7">
        <v>0</v>
      </c>
      <c r="AA253" s="8">
        <f>IFERROR(Z253/Z445, "NA")</f>
        <v>0</v>
      </c>
      <c r="AB253" s="9"/>
      <c r="AC253" s="10">
        <f t="shared" si="67"/>
        <v>0</v>
      </c>
      <c r="AD253" s="8">
        <f>IFERROR(AC253/AC445, "NA")</f>
        <v>0</v>
      </c>
    </row>
    <row r="254" spans="1:30" ht="16.5" customHeight="1" x14ac:dyDescent="0.45">
      <c r="A254" s="12" t="s">
        <v>231</v>
      </c>
      <c r="B254" s="7">
        <v>2238.73</v>
      </c>
      <c r="C254" s="8">
        <f>IFERROR(B254/B445, "NA")</f>
        <v>1.3975324428623393E-2</v>
      </c>
      <c r="D254" s="9"/>
      <c r="E254" s="7">
        <v>0</v>
      </c>
      <c r="F254" s="8">
        <f>IFERROR(E254/E445, "NA")</f>
        <v>0</v>
      </c>
      <c r="G254" s="9"/>
      <c r="H254" s="10">
        <f t="shared" si="64"/>
        <v>-2238.73</v>
      </c>
      <c r="I254" s="8">
        <f>IFERROR(H254/H445, "NA")</f>
        <v>6.9113221975283579E-2</v>
      </c>
      <c r="J254" s="9"/>
      <c r="K254" s="7">
        <v>2565.52</v>
      </c>
      <c r="L254" s="8">
        <f>IFERROR(K254/K445, "NA")</f>
        <v>1.452717650854676E-2</v>
      </c>
      <c r="M254" s="9"/>
      <c r="N254" s="10">
        <f t="shared" si="65"/>
        <v>326.78999999999996</v>
      </c>
      <c r="O254" s="8">
        <f>IFERROR(N254/N445, "NA")</f>
        <v>-1.9914331627644218E-2</v>
      </c>
      <c r="P254" s="9"/>
      <c r="Q254" s="7">
        <v>12659.38</v>
      </c>
      <c r="R254" s="8">
        <f>IFERROR(Q254/Q445, "NA")</f>
        <v>1.3657102932433643E-2</v>
      </c>
      <c r="S254" s="9"/>
      <c r="T254" s="7">
        <v>0</v>
      </c>
      <c r="U254" s="8">
        <f>IFERROR(T254/T445, "NA")</f>
        <v>0</v>
      </c>
      <c r="V254" s="9"/>
      <c r="W254" s="10">
        <f t="shared" si="66"/>
        <v>-12659.38</v>
      </c>
      <c r="X254" s="8">
        <f>IFERROR(W254/W445, "NA")</f>
        <v>0.38419340016885867</v>
      </c>
      <c r="Y254" s="9"/>
      <c r="Z254" s="7">
        <v>10974.5</v>
      </c>
      <c r="AA254" s="8">
        <f>IFERROR(Z254/Z445, "NA")</f>
        <v>1.2301039967770816E-2</v>
      </c>
      <c r="AB254" s="9"/>
      <c r="AC254" s="10">
        <f t="shared" si="67"/>
        <v>-1684.8799999999992</v>
      </c>
      <c r="AD254" s="8">
        <f>IFERROR(AC254/AC445, "NA")</f>
        <v>-4.8437777602731255E-2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IFERROR(B255/B445, "NA")</f>
        <v>0</v>
      </c>
      <c r="D255" s="9"/>
      <c r="E255" s="7">
        <v>0</v>
      </c>
      <c r="F255" s="8">
        <f>IFERROR(E255/E445, "NA")</f>
        <v>0</v>
      </c>
      <c r="G255" s="9"/>
      <c r="H255" s="10">
        <f t="shared" si="64"/>
        <v>0</v>
      </c>
      <c r="I255" s="8">
        <f>IFERROR(H255/H445, "NA")</f>
        <v>0</v>
      </c>
      <c r="J255" s="9"/>
      <c r="K255" s="7">
        <v>0</v>
      </c>
      <c r="L255" s="8">
        <f>IFERROR(K255/K445, "NA")</f>
        <v>0</v>
      </c>
      <c r="M255" s="9"/>
      <c r="N255" s="10">
        <f t="shared" si="65"/>
        <v>0</v>
      </c>
      <c r="O255" s="8">
        <f>IFERROR(N255/N445, "NA")</f>
        <v>0</v>
      </c>
      <c r="P255" s="9"/>
      <c r="Q255" s="7">
        <v>0</v>
      </c>
      <c r="R255" s="8">
        <f>IFERROR(Q255/Q445, "NA")</f>
        <v>0</v>
      </c>
      <c r="S255" s="9"/>
      <c r="T255" s="7">
        <v>0</v>
      </c>
      <c r="U255" s="8">
        <f>IFERROR(T255/T445, "NA")</f>
        <v>0</v>
      </c>
      <c r="V255" s="9"/>
      <c r="W255" s="10">
        <f t="shared" si="66"/>
        <v>0</v>
      </c>
      <c r="X255" s="8">
        <f>IFERROR(W255/W445, "NA")</f>
        <v>0</v>
      </c>
      <c r="Y255" s="9"/>
      <c r="Z255" s="7">
        <v>0</v>
      </c>
      <c r="AA255" s="8">
        <f>IFERROR(Z255/Z445, "NA")</f>
        <v>0</v>
      </c>
      <c r="AB255" s="9"/>
      <c r="AC255" s="10">
        <f t="shared" si="67"/>
        <v>0</v>
      </c>
      <c r="AD255" s="8">
        <f>IFERROR(AC255/AC445,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IFERROR(B256/B445, "NA")</f>
        <v>0</v>
      </c>
      <c r="D256" s="9"/>
      <c r="E256" s="7">
        <v>0</v>
      </c>
      <c r="F256" s="8">
        <f>IFERROR(E256/E445, "NA")</f>
        <v>0</v>
      </c>
      <c r="G256" s="9"/>
      <c r="H256" s="10">
        <f t="shared" si="64"/>
        <v>0</v>
      </c>
      <c r="I256" s="8">
        <f>IFERROR(H256/H445, "NA")</f>
        <v>0</v>
      </c>
      <c r="J256" s="9"/>
      <c r="K256" s="7">
        <v>0</v>
      </c>
      <c r="L256" s="8">
        <f>IFERROR(K256/K445, "NA")</f>
        <v>0</v>
      </c>
      <c r="M256" s="9"/>
      <c r="N256" s="10">
        <f t="shared" si="65"/>
        <v>0</v>
      </c>
      <c r="O256" s="8">
        <f>IFERROR(N256/N445, "NA")</f>
        <v>0</v>
      </c>
      <c r="P256" s="9"/>
      <c r="Q256" s="7">
        <v>0</v>
      </c>
      <c r="R256" s="8">
        <f>IFERROR(Q256/Q445, "NA")</f>
        <v>0</v>
      </c>
      <c r="S256" s="9"/>
      <c r="T256" s="7">
        <v>0</v>
      </c>
      <c r="U256" s="8">
        <f>IFERROR(T256/T445, "NA")</f>
        <v>0</v>
      </c>
      <c r="V256" s="9"/>
      <c r="W256" s="10">
        <f t="shared" si="66"/>
        <v>0</v>
      </c>
      <c r="X256" s="8">
        <f>IFERROR(W256/W445, "NA")</f>
        <v>0</v>
      </c>
      <c r="Y256" s="9"/>
      <c r="Z256" s="7">
        <v>0</v>
      </c>
      <c r="AA256" s="8">
        <f>IFERROR(Z256/Z445, "NA")</f>
        <v>0</v>
      </c>
      <c r="AB256" s="9"/>
      <c r="AC256" s="10">
        <f t="shared" si="67"/>
        <v>0</v>
      </c>
      <c r="AD256" s="8">
        <f>IFERROR(AC256/AC445,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IFERROR(B257/B445, "NA")</f>
        <v>0</v>
      </c>
      <c r="D257" s="9"/>
      <c r="E257" s="7">
        <v>0</v>
      </c>
      <c r="F257" s="8">
        <f>IFERROR(E257/E445, "NA")</f>
        <v>0</v>
      </c>
      <c r="G257" s="9"/>
      <c r="H257" s="10">
        <f t="shared" si="64"/>
        <v>0</v>
      </c>
      <c r="I257" s="8">
        <f>IFERROR(H257/H445, "NA")</f>
        <v>0</v>
      </c>
      <c r="J257" s="9"/>
      <c r="K257" s="7">
        <v>0</v>
      </c>
      <c r="L257" s="8">
        <f>IFERROR(K257/K445, "NA")</f>
        <v>0</v>
      </c>
      <c r="M257" s="9"/>
      <c r="N257" s="10">
        <f t="shared" si="65"/>
        <v>0</v>
      </c>
      <c r="O257" s="8">
        <f>IFERROR(N257/N445, "NA")</f>
        <v>0</v>
      </c>
      <c r="P257" s="9"/>
      <c r="Q257" s="7">
        <v>0</v>
      </c>
      <c r="R257" s="8">
        <f>IFERROR(Q257/Q445, "NA")</f>
        <v>0</v>
      </c>
      <c r="S257" s="9"/>
      <c r="T257" s="7">
        <v>0</v>
      </c>
      <c r="U257" s="8">
        <f>IFERROR(T257/T445, "NA")</f>
        <v>0</v>
      </c>
      <c r="V257" s="9"/>
      <c r="W257" s="10">
        <f t="shared" si="66"/>
        <v>0</v>
      </c>
      <c r="X257" s="8">
        <f>IFERROR(W257/W445, "NA")</f>
        <v>0</v>
      </c>
      <c r="Y257" s="9"/>
      <c r="Z257" s="7">
        <v>328.82</v>
      </c>
      <c r="AA257" s="8">
        <f>IFERROR(Z257/Z445, "NA")</f>
        <v>3.6856603601097087E-4</v>
      </c>
      <c r="AB257" s="9"/>
      <c r="AC257" s="10">
        <f t="shared" si="67"/>
        <v>328.82</v>
      </c>
      <c r="AD257" s="8">
        <f>IFERROR(AC257/AC445, "NA")</f>
        <v>9.4530827307167855E-3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IFERROR(B258/B445, "NA")</f>
        <v>0</v>
      </c>
      <c r="D258" s="9"/>
      <c r="E258" s="7">
        <v>0</v>
      </c>
      <c r="F258" s="8">
        <f>IFERROR(E258/E445, "NA")</f>
        <v>0</v>
      </c>
      <c r="G258" s="9"/>
      <c r="H258" s="10">
        <f t="shared" si="64"/>
        <v>0</v>
      </c>
      <c r="I258" s="8">
        <f>IFERROR(H258/H445, "NA")</f>
        <v>0</v>
      </c>
      <c r="J258" s="9"/>
      <c r="K258" s="7">
        <v>0</v>
      </c>
      <c r="L258" s="8">
        <f>IFERROR(K258/K445, "NA")</f>
        <v>0</v>
      </c>
      <c r="M258" s="9"/>
      <c r="N258" s="10">
        <f t="shared" si="65"/>
        <v>0</v>
      </c>
      <c r="O258" s="8">
        <f>IFERROR(N258/N445, "NA")</f>
        <v>0</v>
      </c>
      <c r="P258" s="9"/>
      <c r="Q258" s="7">
        <v>0</v>
      </c>
      <c r="R258" s="8">
        <f>IFERROR(Q258/Q445, "NA")</f>
        <v>0</v>
      </c>
      <c r="S258" s="9"/>
      <c r="T258" s="7">
        <v>0</v>
      </c>
      <c r="U258" s="8">
        <f>IFERROR(T258/T445, "NA")</f>
        <v>0</v>
      </c>
      <c r="V258" s="9"/>
      <c r="W258" s="10">
        <f t="shared" si="66"/>
        <v>0</v>
      </c>
      <c r="X258" s="8">
        <f>IFERROR(W258/W445, "NA")</f>
        <v>0</v>
      </c>
      <c r="Y258" s="9"/>
      <c r="Z258" s="7">
        <v>0</v>
      </c>
      <c r="AA258" s="8">
        <f>IFERROR(Z258/Z445, "NA")</f>
        <v>0</v>
      </c>
      <c r="AB258" s="9"/>
      <c r="AC258" s="10">
        <f t="shared" si="67"/>
        <v>0</v>
      </c>
      <c r="AD258" s="8">
        <f>IFERROR(AC258/AC445,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IFERROR(B259/B445, "NA")</f>
        <v>0</v>
      </c>
      <c r="D259" s="9"/>
      <c r="E259" s="7">
        <v>0</v>
      </c>
      <c r="F259" s="8">
        <f>IFERROR(E259/E445, "NA")</f>
        <v>0</v>
      </c>
      <c r="G259" s="9"/>
      <c r="H259" s="10">
        <f t="shared" si="64"/>
        <v>0</v>
      </c>
      <c r="I259" s="8">
        <f>IFERROR(H259/H445, "NA")</f>
        <v>0</v>
      </c>
      <c r="J259" s="9"/>
      <c r="K259" s="7">
        <v>0</v>
      </c>
      <c r="L259" s="8">
        <f>IFERROR(K259/K445, "NA")</f>
        <v>0</v>
      </c>
      <c r="M259" s="9"/>
      <c r="N259" s="10">
        <f t="shared" si="65"/>
        <v>0</v>
      </c>
      <c r="O259" s="8">
        <f>IFERROR(N259/N445, "NA")</f>
        <v>0</v>
      </c>
      <c r="P259" s="9"/>
      <c r="Q259" s="7">
        <v>0</v>
      </c>
      <c r="R259" s="8">
        <f>IFERROR(Q259/Q445, "NA")</f>
        <v>0</v>
      </c>
      <c r="S259" s="9"/>
      <c r="T259" s="7">
        <v>0</v>
      </c>
      <c r="U259" s="8">
        <f>IFERROR(T259/T445, "NA")</f>
        <v>0</v>
      </c>
      <c r="V259" s="9"/>
      <c r="W259" s="10">
        <f t="shared" si="66"/>
        <v>0</v>
      </c>
      <c r="X259" s="8">
        <f>IFERROR(W259/W445, "NA")</f>
        <v>0</v>
      </c>
      <c r="Y259" s="9"/>
      <c r="Z259" s="7">
        <v>0</v>
      </c>
      <c r="AA259" s="8">
        <f>IFERROR(Z259/Z445, "NA")</f>
        <v>0</v>
      </c>
      <c r="AB259" s="9"/>
      <c r="AC259" s="10">
        <f t="shared" si="67"/>
        <v>0</v>
      </c>
      <c r="AD259" s="8">
        <f>IFERROR(AC259/AC445, "NA")</f>
        <v>0</v>
      </c>
    </row>
    <row r="260" spans="1:30" ht="16.5" customHeight="1" x14ac:dyDescent="0.45">
      <c r="A260" s="12" t="s">
        <v>237</v>
      </c>
      <c r="B260" s="7">
        <v>0</v>
      </c>
      <c r="C260" s="8">
        <f>IFERROR(B260/B445, "NA")</f>
        <v>0</v>
      </c>
      <c r="D260" s="9"/>
      <c r="E260" s="7">
        <v>0</v>
      </c>
      <c r="F260" s="8">
        <f>IFERROR(E260/E445, "NA")</f>
        <v>0</v>
      </c>
      <c r="G260" s="9"/>
      <c r="H260" s="10">
        <f t="shared" si="64"/>
        <v>0</v>
      </c>
      <c r="I260" s="8">
        <f>IFERROR(H260/H445, "NA")</f>
        <v>0</v>
      </c>
      <c r="J260" s="9"/>
      <c r="K260" s="7">
        <v>0</v>
      </c>
      <c r="L260" s="8">
        <f>IFERROR(K260/K445, "NA")</f>
        <v>0</v>
      </c>
      <c r="M260" s="9"/>
      <c r="N260" s="10">
        <f t="shared" si="65"/>
        <v>0</v>
      </c>
      <c r="O260" s="8">
        <f>IFERROR(N260/N445, "NA")</f>
        <v>0</v>
      </c>
      <c r="P260" s="9"/>
      <c r="Q260" s="7">
        <v>456.8</v>
      </c>
      <c r="R260" s="8">
        <f>IFERROR(Q260/Q445, "NA")</f>
        <v>4.928017501280227E-4</v>
      </c>
      <c r="S260" s="9"/>
      <c r="T260" s="7">
        <v>0</v>
      </c>
      <c r="U260" s="8">
        <f>IFERROR(T260/T445, "NA")</f>
        <v>0</v>
      </c>
      <c r="V260" s="9"/>
      <c r="W260" s="10">
        <f t="shared" si="66"/>
        <v>-456.8</v>
      </c>
      <c r="X260" s="8">
        <f>IFERROR(W260/W445, "NA")</f>
        <v>1.386320224190558E-2</v>
      </c>
      <c r="Y260" s="9"/>
      <c r="Z260" s="7">
        <v>0</v>
      </c>
      <c r="AA260" s="8">
        <f>IFERROR(Z260/Z445, "NA")</f>
        <v>0</v>
      </c>
      <c r="AB260" s="9"/>
      <c r="AC260" s="10">
        <f t="shared" si="67"/>
        <v>-456.8</v>
      </c>
      <c r="AD260" s="8">
        <f>IFERROR(AC260/AC445, "NA")</f>
        <v>-1.3132316134637273E-2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IFERROR(B261/B445, "NA")</f>
        <v>0</v>
      </c>
      <c r="D261" s="9"/>
      <c r="E261" s="7">
        <v>0</v>
      </c>
      <c r="F261" s="8">
        <f>IFERROR(E261/E445, "NA")</f>
        <v>0</v>
      </c>
      <c r="G261" s="9"/>
      <c r="H261" s="10">
        <f t="shared" si="64"/>
        <v>0</v>
      </c>
      <c r="I261" s="8">
        <f>IFERROR(H261/H445, "NA")</f>
        <v>0</v>
      </c>
      <c r="J261" s="9"/>
      <c r="K261" s="7">
        <v>0</v>
      </c>
      <c r="L261" s="8">
        <f>IFERROR(K261/K445, "NA")</f>
        <v>0</v>
      </c>
      <c r="M261" s="9"/>
      <c r="N261" s="10">
        <f t="shared" si="65"/>
        <v>0</v>
      </c>
      <c r="O261" s="8">
        <f>IFERROR(N261/N445, "NA")</f>
        <v>0</v>
      </c>
      <c r="P261" s="9"/>
      <c r="Q261" s="7">
        <v>0</v>
      </c>
      <c r="R261" s="8">
        <f>IFERROR(Q261/Q445, "NA")</f>
        <v>0</v>
      </c>
      <c r="S261" s="9"/>
      <c r="T261" s="7">
        <v>0</v>
      </c>
      <c r="U261" s="8">
        <f>IFERROR(T261/T445, "NA")</f>
        <v>0</v>
      </c>
      <c r="V261" s="9"/>
      <c r="W261" s="10">
        <f t="shared" si="66"/>
        <v>0</v>
      </c>
      <c r="X261" s="8">
        <f>IFERROR(W261/W445, "NA")</f>
        <v>0</v>
      </c>
      <c r="Y261" s="9"/>
      <c r="Z261" s="7">
        <v>0</v>
      </c>
      <c r="AA261" s="8">
        <f>IFERROR(Z261/Z445, "NA")</f>
        <v>0</v>
      </c>
      <c r="AB261" s="9"/>
      <c r="AC261" s="10">
        <f t="shared" si="67"/>
        <v>0</v>
      </c>
      <c r="AD261" s="8">
        <f>IFERROR(AC261/AC445, "NA")</f>
        <v>0</v>
      </c>
    </row>
    <row r="262" spans="1:30" ht="16.5" hidden="1" customHeight="1" x14ac:dyDescent="0.45">
      <c r="A262" s="12" t="s">
        <v>239</v>
      </c>
      <c r="B262" s="7">
        <v>0</v>
      </c>
      <c r="C262" s="8">
        <f>IFERROR(B262/B445, "NA")</f>
        <v>0</v>
      </c>
      <c r="D262" s="9"/>
      <c r="E262" s="7">
        <v>0</v>
      </c>
      <c r="F262" s="8">
        <f>IFERROR(E262/E445, "NA")</f>
        <v>0</v>
      </c>
      <c r="G262" s="9"/>
      <c r="H262" s="10">
        <f t="shared" si="64"/>
        <v>0</v>
      </c>
      <c r="I262" s="8">
        <f>IFERROR(H262/H445, "NA")</f>
        <v>0</v>
      </c>
      <c r="J262" s="9"/>
      <c r="K262" s="7">
        <v>0</v>
      </c>
      <c r="L262" s="8">
        <f>IFERROR(K262/K445, "NA")</f>
        <v>0</v>
      </c>
      <c r="M262" s="9"/>
      <c r="N262" s="10">
        <f t="shared" si="65"/>
        <v>0</v>
      </c>
      <c r="O262" s="8">
        <f>IFERROR(N262/N445, "NA")</f>
        <v>0</v>
      </c>
      <c r="P262" s="9"/>
      <c r="Q262" s="7">
        <v>0</v>
      </c>
      <c r="R262" s="8">
        <f>IFERROR(Q262/Q445, "NA")</f>
        <v>0</v>
      </c>
      <c r="S262" s="9"/>
      <c r="T262" s="7">
        <v>0</v>
      </c>
      <c r="U262" s="8">
        <f>IFERROR(T262/T445, "NA")</f>
        <v>0</v>
      </c>
      <c r="V262" s="9"/>
      <c r="W262" s="10">
        <f t="shared" si="66"/>
        <v>0</v>
      </c>
      <c r="X262" s="8">
        <f>IFERROR(W262/W445, "NA")</f>
        <v>0</v>
      </c>
      <c r="Y262" s="9"/>
      <c r="Z262" s="7">
        <v>0</v>
      </c>
      <c r="AA262" s="8">
        <f>IFERROR(Z262/Z445, "NA")</f>
        <v>0</v>
      </c>
      <c r="AB262" s="9"/>
      <c r="AC262" s="10">
        <f t="shared" si="67"/>
        <v>0</v>
      </c>
      <c r="AD262" s="8">
        <f>IFERROR(AC262/AC445, "NA")</f>
        <v>0</v>
      </c>
    </row>
    <row r="263" spans="1:30" ht="16.5" customHeight="1" x14ac:dyDescent="0.45">
      <c r="A263" s="13" t="s">
        <v>240</v>
      </c>
      <c r="B263" s="14">
        <f>IFERROR(B240+B241+B242+B243+B244+B245+B246+B247+B248+B249+B250+B251+B252+B253+B254+B255+B256+B257+B258+B259+B260+B261+B262, "NA")</f>
        <v>15952.3</v>
      </c>
      <c r="C263" s="15">
        <f>IFERROR(B263/B445, "NA")</f>
        <v>9.9582606157387871E-2</v>
      </c>
      <c r="D263" s="2"/>
      <c r="E263" s="14">
        <f>IFERROR(E240+E241+E242+E243+E244+E245+E246+E247+E248+E249+E250+E251+E252+E253+E254+E255+E256+E257+E258+E259+E260+E261+E262, "NA")</f>
        <v>16369.63</v>
      </c>
      <c r="F263" s="15">
        <f>IFERROR(E263/E445, "NA")</f>
        <v>8.5000018693157223E-2</v>
      </c>
      <c r="G263" s="2"/>
      <c r="H263" s="14">
        <f t="shared" si="64"/>
        <v>417.32999999999993</v>
      </c>
      <c r="I263" s="15">
        <f>IFERROR(H263/H445, "NA")</f>
        <v>-1.2883653199334039E-2</v>
      </c>
      <c r="J263" s="2"/>
      <c r="K263" s="14">
        <f>IFERROR(K240+K241+K242+K243+K244+K245+K246+K247+K248+K249+K250+K251+K252+K253+K254+K255+K256+K257+K258+K259+K260+K261+K262, "NA")</f>
        <v>15854.61</v>
      </c>
      <c r="L263" s="15">
        <f>IFERROR(K263/K445, "NA")</f>
        <v>8.9776231697344222E-2</v>
      </c>
      <c r="M263" s="2"/>
      <c r="N263" s="14">
        <f t="shared" si="65"/>
        <v>-97.68999999999869</v>
      </c>
      <c r="O263" s="15">
        <f>IFERROR(N263/N445, "NA")</f>
        <v>5.9531535747866758E-3</v>
      </c>
      <c r="P263" s="2"/>
      <c r="Q263" s="14">
        <f>IFERROR(Q240+Q241+Q242+Q243+Q244+Q245+Q246+Q247+Q248+Q249+Q250+Q251+Q252+Q253+Q254+Q255+Q256+Q257+Q258+Q259+Q260+Q261+Q262, "NA")</f>
        <v>95042.090000000011</v>
      </c>
      <c r="R263" s="15">
        <f>IFERROR(Q263/Q445, "NA")</f>
        <v>0.10253263635688496</v>
      </c>
      <c r="S263" s="2"/>
      <c r="T263" s="14">
        <f>IFERROR(T240+T241+T242+T243+T244+T245+T246+T247+T248+T249+T250+T251+T252+T253+T254+T255+T256+T257+T258+T259+T260+T261+T262, "NA")</f>
        <v>81591.100000000006</v>
      </c>
      <c r="U263" s="15">
        <f>IFERROR(T263/T445, "NA")</f>
        <v>8.4999999479109856E-2</v>
      </c>
      <c r="V263" s="2"/>
      <c r="W263" s="14">
        <f t="shared" si="66"/>
        <v>-13450.990000000005</v>
      </c>
      <c r="X263" s="15">
        <f>IFERROR(W263/W445, "NA")</f>
        <v>0.40821758915028372</v>
      </c>
      <c r="Y263" s="2"/>
      <c r="Z263" s="14">
        <f>IFERROR(Z240+Z241+Z242+Z243+Z244+Z245+Z246+Z247+Z248+Z249+Z250+Z251+Z252+Z253+Z254+Z255+Z256+Z257+Z258+Z259+Z260+Z261+Z262, "NA")</f>
        <v>80968.690000000017</v>
      </c>
      <c r="AA263" s="15">
        <f>IFERROR(Z263/Z445, "NA")</f>
        <v>9.07557603378783E-2</v>
      </c>
      <c r="AB263" s="2"/>
      <c r="AC263" s="14">
        <f t="shared" si="67"/>
        <v>-14073.399999999994</v>
      </c>
      <c r="AD263" s="15">
        <f>IFERROR(AC263/AC445, "NA")</f>
        <v>-0.4045891810183978</v>
      </c>
    </row>
    <row r="264" spans="1:30" ht="16.5" customHeight="1" x14ac:dyDescent="0.45">
      <c r="A264" s="19" t="s">
        <v>241</v>
      </c>
      <c r="B264" s="14">
        <f>IFERROR(B238+B240+B241+B242+B243+B244+B245+B246+B247+B248+B249+B250+B251+B252+B253+B254+B255+B256+B257+B258+B259+B260+B261+B262, "NA")</f>
        <v>15952.3</v>
      </c>
      <c r="C264" s="15">
        <f>IFERROR(B264/B445, "NA")</f>
        <v>9.9582606157387871E-2</v>
      </c>
      <c r="D264" s="2"/>
      <c r="E264" s="14">
        <f>IFERROR(E238+E240+E241+E242+E243+E244+E245+E246+E247+E248+E249+E250+E251+E252+E253+E254+E255+E256+E257+E258+E259+E260+E261+E262, "NA")</f>
        <v>16369.63</v>
      </c>
      <c r="F264" s="15">
        <f>IFERROR(E264/E445, "NA")</f>
        <v>8.5000018693157223E-2</v>
      </c>
      <c r="G264" s="2"/>
      <c r="H264" s="14">
        <f t="shared" si="64"/>
        <v>417.32999999999993</v>
      </c>
      <c r="I264" s="15">
        <f>IFERROR(H264/H445, "NA")</f>
        <v>-1.2883653199334039E-2</v>
      </c>
      <c r="J264" s="2"/>
      <c r="K264" s="14">
        <f>IFERROR(K238+K240+K241+K242+K243+K244+K245+K246+K247+K248+K249+K250+K251+K252+K253+K254+K255+K256+K257+K258+K259+K260+K261+K262, "NA")</f>
        <v>15854.61</v>
      </c>
      <c r="L264" s="15">
        <f>IFERROR(K264/K445, "NA")</f>
        <v>8.9776231697344222E-2</v>
      </c>
      <c r="M264" s="2"/>
      <c r="N264" s="14">
        <f t="shared" si="65"/>
        <v>-97.68999999999869</v>
      </c>
      <c r="O264" s="15">
        <f>IFERROR(N264/N445, "NA")</f>
        <v>5.9531535747866758E-3</v>
      </c>
      <c r="P264" s="2"/>
      <c r="Q264" s="14">
        <f>IFERROR(Q238+Q240+Q241+Q242+Q243+Q244+Q245+Q246+Q247+Q248+Q249+Q250+Q251+Q252+Q253+Q254+Q255+Q256+Q257+Q258+Q259+Q260+Q261+Q262, "NA")</f>
        <v>95042.090000000011</v>
      </c>
      <c r="R264" s="15">
        <f>IFERROR(Q264/Q445, "NA")</f>
        <v>0.10253263635688496</v>
      </c>
      <c r="S264" s="2"/>
      <c r="T264" s="14">
        <f>IFERROR(T238+T240+T241+T242+T243+T244+T245+T246+T247+T248+T249+T250+T251+T252+T253+T254+T255+T256+T257+T258+T259+T260+T261+T262, "NA")</f>
        <v>81591.100000000006</v>
      </c>
      <c r="U264" s="15">
        <f>IFERROR(T264/T445, "NA")</f>
        <v>8.4999999479109856E-2</v>
      </c>
      <c r="V264" s="2"/>
      <c r="W264" s="14">
        <f t="shared" si="66"/>
        <v>-13450.990000000005</v>
      </c>
      <c r="X264" s="15">
        <f>IFERROR(W264/W445, "NA")</f>
        <v>0.40821758915028372</v>
      </c>
      <c r="Y264" s="2"/>
      <c r="Z264" s="14">
        <f>IFERROR(Z238+Z240+Z241+Z242+Z243+Z244+Z245+Z246+Z247+Z248+Z249+Z250+Z251+Z252+Z253+Z254+Z255+Z256+Z257+Z258+Z259+Z260+Z261+Z262, "NA")</f>
        <v>80968.690000000017</v>
      </c>
      <c r="AA264" s="15">
        <f>IFERROR(Z264/Z445, "NA")</f>
        <v>9.07557603378783E-2</v>
      </c>
      <c r="AB264" s="2"/>
      <c r="AC264" s="14">
        <f t="shared" si="67"/>
        <v>-14073.399999999994</v>
      </c>
      <c r="AD264" s="15">
        <f>IFERROR(AC264/AC445, "NA")</f>
        <v>-0.4045891810183978</v>
      </c>
    </row>
    <row r="265" spans="1:30" ht="16.5" customHeight="1" x14ac:dyDescent="0.45">
      <c r="A265" s="5" t="s">
        <v>242</v>
      </c>
      <c r="B265" s="2"/>
      <c r="C265" s="3"/>
      <c r="D265" s="4"/>
      <c r="E265" s="2"/>
      <c r="F265" s="3"/>
      <c r="G265" s="4"/>
      <c r="H265" s="2"/>
      <c r="I265" s="3"/>
      <c r="J265" s="4"/>
      <c r="K265" s="2"/>
      <c r="L265" s="3"/>
      <c r="M265" s="4"/>
      <c r="N265" s="2"/>
      <c r="O265" s="3"/>
      <c r="P265" s="4"/>
      <c r="Q265" s="2"/>
      <c r="R265" s="3"/>
      <c r="S265" s="4"/>
      <c r="T265" s="2"/>
      <c r="U265" s="3"/>
      <c r="V265" s="4"/>
      <c r="W265" s="2"/>
      <c r="X265" s="3"/>
      <c r="Y265" s="4"/>
      <c r="Z265" s="2"/>
      <c r="AA265" s="3"/>
      <c r="AB265" s="4"/>
      <c r="AC265" s="2"/>
      <c r="AD265" s="3"/>
    </row>
    <row r="266" spans="1:30" ht="16.5" customHeight="1" x14ac:dyDescent="0.45">
      <c r="A266" s="6" t="s">
        <v>242</v>
      </c>
      <c r="B266" s="7">
        <v>4394.1899999999996</v>
      </c>
      <c r="C266" s="8">
        <f>IFERROR(B266/B445, "NA")</f>
        <v>2.7430833933083765E-2</v>
      </c>
      <c r="D266" s="9"/>
      <c r="E266" s="7">
        <v>4622.01</v>
      </c>
      <c r="F266" s="8">
        <f>IFERROR(E266/E445, "NA")</f>
        <v>2.3999988784105666E-2</v>
      </c>
      <c r="G266" s="9"/>
      <c r="H266" s="10">
        <f>IFERROR(-(B266-E266), "NA")</f>
        <v>227.82000000000062</v>
      </c>
      <c r="I266" s="8">
        <f>IFERROR(H266/H445, "NA")</f>
        <v>-7.0331724819023052E-3</v>
      </c>
      <c r="J266" s="9"/>
      <c r="K266" s="7">
        <v>4478.51</v>
      </c>
      <c r="L266" s="8">
        <f>IFERROR(K266/K445, "NA")</f>
        <v>2.5359422364780532E-2</v>
      </c>
      <c r="M266" s="9"/>
      <c r="N266" s="10">
        <f>IFERROR(-(B266-K266), "NA")</f>
        <v>84.320000000000618</v>
      </c>
      <c r="O266" s="8">
        <f>IFERROR(N266/N445, "NA")</f>
        <v>-5.1383960428500654E-3</v>
      </c>
      <c r="P266" s="9"/>
      <c r="Q266" s="7">
        <v>24775.59</v>
      </c>
      <c r="R266" s="8">
        <f>IFERROR(Q266/Q445, "NA")</f>
        <v>2.6728227041274821E-2</v>
      </c>
      <c r="S266" s="9"/>
      <c r="T266" s="7">
        <v>23037.49</v>
      </c>
      <c r="U266" s="8">
        <f>IFERROR(T266/T445, "NA")</f>
        <v>2.40000029169848E-2</v>
      </c>
      <c r="V266" s="9"/>
      <c r="W266" s="10">
        <f>IFERROR(-(Q266-T266), "NA")</f>
        <v>-1738.0999999999985</v>
      </c>
      <c r="X266" s="8">
        <f>IFERROR(W266/W445, "NA")</f>
        <v>5.2748756166059695E-2</v>
      </c>
      <c r="Y266" s="9"/>
      <c r="Z266" s="7">
        <v>21469.02</v>
      </c>
      <c r="AA266" s="8">
        <f>IFERROR(Z266/Z445, "NA")</f>
        <v>2.4064082471991526E-2</v>
      </c>
      <c r="AB266" s="9"/>
      <c r="AC266" s="10">
        <f>IFERROR(-(Q266-Z266), "NA")</f>
        <v>-3306.5699999999997</v>
      </c>
      <c r="AD266" s="8">
        <f>IFERROR(AC266/AC445, "NA")</f>
        <v>-9.5058937305839669E-2</v>
      </c>
    </row>
    <row r="267" spans="1:30" ht="16.5" hidden="1" customHeight="1" x14ac:dyDescent="0.45">
      <c r="A267" s="6" t="s">
        <v>243</v>
      </c>
      <c r="B267" s="7">
        <v>0</v>
      </c>
      <c r="C267" s="8">
        <f>IFERROR(B267/B445, "NA")</f>
        <v>0</v>
      </c>
      <c r="D267" s="9"/>
      <c r="E267" s="7">
        <v>0</v>
      </c>
      <c r="F267" s="8">
        <f>IFERROR(E267/E445, "NA")</f>
        <v>0</v>
      </c>
      <c r="G267" s="9"/>
      <c r="H267" s="10">
        <f>IFERROR(-(B267-E267), "NA")</f>
        <v>0</v>
      </c>
      <c r="I267" s="8">
        <f>IFERROR(H267/H445, "NA")</f>
        <v>0</v>
      </c>
      <c r="J267" s="9"/>
      <c r="K267" s="7">
        <v>0</v>
      </c>
      <c r="L267" s="8">
        <f>IFERROR(K267/K445, "NA")</f>
        <v>0</v>
      </c>
      <c r="M267" s="9"/>
      <c r="N267" s="10">
        <f>IFERROR(-(B267-K267), "NA")</f>
        <v>0</v>
      </c>
      <c r="O267" s="8">
        <f>IFERROR(N267/N445, "NA")</f>
        <v>0</v>
      </c>
      <c r="P267" s="9"/>
      <c r="Q267" s="7">
        <v>0</v>
      </c>
      <c r="R267" s="8">
        <f>IFERROR(Q267/Q445, "NA")</f>
        <v>0</v>
      </c>
      <c r="S267" s="9"/>
      <c r="T267" s="7">
        <v>0</v>
      </c>
      <c r="U267" s="8">
        <f>IFERROR(T267/T445, "NA")</f>
        <v>0</v>
      </c>
      <c r="V267" s="9"/>
      <c r="W267" s="10">
        <f>IFERROR(-(Q267-T267), "NA")</f>
        <v>0</v>
      </c>
      <c r="X267" s="8">
        <f>IFERROR(W267/W445, "NA")</f>
        <v>0</v>
      </c>
      <c r="Y267" s="9"/>
      <c r="Z267" s="7">
        <v>0</v>
      </c>
      <c r="AA267" s="8">
        <f>IFERROR(Z267/Z445, "NA")</f>
        <v>0</v>
      </c>
      <c r="AB267" s="9"/>
      <c r="AC267" s="10">
        <f>IFERROR(-(Q267-Z267), "NA")</f>
        <v>0</v>
      </c>
      <c r="AD267" s="8">
        <f>IFERROR(AC267/AC445, "NA")</f>
        <v>0</v>
      </c>
    </row>
    <row r="268" spans="1:30" ht="16.5" customHeight="1" x14ac:dyDescent="0.45">
      <c r="A268" s="19" t="s">
        <v>244</v>
      </c>
      <c r="B268" s="14">
        <f>IFERROR(B266+B267, "NA")</f>
        <v>4394.1899999999996</v>
      </c>
      <c r="C268" s="15">
        <f>IFERROR(B268/B445, "NA")</f>
        <v>2.7430833933083765E-2</v>
      </c>
      <c r="D268" s="2"/>
      <c r="E268" s="14">
        <f>IFERROR(E266+E267, "NA")</f>
        <v>4622.01</v>
      </c>
      <c r="F268" s="15">
        <f>IFERROR(E268/E445, "NA")</f>
        <v>2.3999988784105666E-2</v>
      </c>
      <c r="G268" s="2"/>
      <c r="H268" s="14">
        <f>IFERROR(-(B268-E268), "NA")</f>
        <v>227.82000000000062</v>
      </c>
      <c r="I268" s="15">
        <f>IFERROR(H268/H445, "NA")</f>
        <v>-7.0331724819023052E-3</v>
      </c>
      <c r="J268" s="2"/>
      <c r="K268" s="14">
        <f>IFERROR(K266+K267, "NA")</f>
        <v>4478.51</v>
      </c>
      <c r="L268" s="15">
        <f>IFERROR(K268/K445, "NA")</f>
        <v>2.5359422364780532E-2</v>
      </c>
      <c r="M268" s="2"/>
      <c r="N268" s="14">
        <f>IFERROR(-(B268-K268), "NA")</f>
        <v>84.320000000000618</v>
      </c>
      <c r="O268" s="15">
        <f>IFERROR(N268/N445, "NA")</f>
        <v>-5.1383960428500654E-3</v>
      </c>
      <c r="P268" s="2"/>
      <c r="Q268" s="14">
        <f>IFERROR(Q266+Q267, "NA")</f>
        <v>24775.59</v>
      </c>
      <c r="R268" s="15">
        <f>IFERROR(Q268/Q445, "NA")</f>
        <v>2.6728227041274821E-2</v>
      </c>
      <c r="S268" s="2"/>
      <c r="T268" s="14">
        <f>IFERROR(T266+T267, "NA")</f>
        <v>23037.49</v>
      </c>
      <c r="U268" s="15">
        <f>IFERROR(T268/T445, "NA")</f>
        <v>2.40000029169848E-2</v>
      </c>
      <c r="V268" s="2"/>
      <c r="W268" s="14">
        <f>IFERROR(-(Q268-T268), "NA")</f>
        <v>-1738.0999999999985</v>
      </c>
      <c r="X268" s="15">
        <f>IFERROR(W268/W445, "NA")</f>
        <v>5.2748756166059695E-2</v>
      </c>
      <c r="Y268" s="2"/>
      <c r="Z268" s="14">
        <f>IFERROR(Z266+Z267, "NA")</f>
        <v>21469.02</v>
      </c>
      <c r="AA268" s="15">
        <f>IFERROR(Z268/Z445, "NA")</f>
        <v>2.4064082471991526E-2</v>
      </c>
      <c r="AB268" s="2"/>
      <c r="AC268" s="14">
        <f>IFERROR(-(Q268-Z268), "NA")</f>
        <v>-3306.5699999999997</v>
      </c>
      <c r="AD268" s="15">
        <f>IFERROR(AC268/AC445, "NA")</f>
        <v>-9.5058937305839669E-2</v>
      </c>
    </row>
    <row r="269" spans="1:30" ht="16.5" customHeight="1" x14ac:dyDescent="0.45">
      <c r="A269" s="5" t="s">
        <v>245</v>
      </c>
      <c r="B269" s="2"/>
      <c r="C269" s="3"/>
      <c r="D269" s="4"/>
      <c r="E269" s="2"/>
      <c r="F269" s="3"/>
      <c r="G269" s="4"/>
      <c r="H269" s="2"/>
      <c r="I269" s="3"/>
      <c r="J269" s="4"/>
      <c r="K269" s="2"/>
      <c r="L269" s="3"/>
      <c r="M269" s="4"/>
      <c r="N269" s="2"/>
      <c r="O269" s="3"/>
      <c r="P269" s="4"/>
      <c r="Q269" s="2"/>
      <c r="R269" s="3"/>
      <c r="S269" s="4"/>
      <c r="T269" s="2"/>
      <c r="U269" s="3"/>
      <c r="V269" s="4"/>
      <c r="W269" s="2"/>
      <c r="X269" s="3"/>
      <c r="Y269" s="4"/>
      <c r="Z269" s="2"/>
      <c r="AA269" s="3"/>
      <c r="AB269" s="4"/>
      <c r="AC269" s="2"/>
      <c r="AD269" s="3"/>
    </row>
    <row r="270" spans="1:30" ht="16.5" hidden="1" customHeight="1" x14ac:dyDescent="0.45">
      <c r="A270" s="6" t="s">
        <v>245</v>
      </c>
      <c r="B270" s="7">
        <v>0</v>
      </c>
      <c r="C270" s="8">
        <f>IFERROR(B270/B445, "NA")</f>
        <v>0</v>
      </c>
      <c r="D270" s="9"/>
      <c r="E270" s="7">
        <v>0</v>
      </c>
      <c r="F270" s="8">
        <f>IFERROR(E270/E445, "NA")</f>
        <v>0</v>
      </c>
      <c r="G270" s="9"/>
      <c r="H270" s="10">
        <f>IFERROR(-(B270-E270), "NA")</f>
        <v>0</v>
      </c>
      <c r="I270" s="8">
        <f>IFERROR(H270/H445, "NA")</f>
        <v>0</v>
      </c>
      <c r="J270" s="9"/>
      <c r="K270" s="7">
        <v>0</v>
      </c>
      <c r="L270" s="8">
        <f>IFERROR(K270/K445, "NA")</f>
        <v>0</v>
      </c>
      <c r="M270" s="9"/>
      <c r="N270" s="10">
        <f>IFERROR(-(B270-K270), "NA")</f>
        <v>0</v>
      </c>
      <c r="O270" s="8">
        <f>IFERROR(N270/N445, "NA")</f>
        <v>0</v>
      </c>
      <c r="P270" s="9"/>
      <c r="Q270" s="7">
        <v>0</v>
      </c>
      <c r="R270" s="8">
        <f>IFERROR(Q270/Q445, "NA")</f>
        <v>0</v>
      </c>
      <c r="S270" s="9"/>
      <c r="T270" s="7">
        <v>0</v>
      </c>
      <c r="U270" s="8">
        <f>IFERROR(T270/T445, "NA")</f>
        <v>0</v>
      </c>
      <c r="V270" s="9"/>
      <c r="W270" s="10">
        <f>IFERROR(-(Q270-T270), "NA")</f>
        <v>0</v>
      </c>
      <c r="X270" s="8">
        <f>IFERROR(W270/W445, "NA")</f>
        <v>0</v>
      </c>
      <c r="Y270" s="9"/>
      <c r="Z270" s="7">
        <v>0</v>
      </c>
      <c r="AA270" s="8">
        <f>IFERROR(Z270/Z445, "NA")</f>
        <v>0</v>
      </c>
      <c r="AB270" s="9"/>
      <c r="AC270" s="10">
        <f>IFERROR(-(Q270-Z270), "NA")</f>
        <v>0</v>
      </c>
      <c r="AD270" s="8">
        <f>IFERROR(AC270/AC445, "NA")</f>
        <v>0</v>
      </c>
    </row>
    <row r="271" spans="1:30" ht="16.5" customHeight="1" x14ac:dyDescent="0.45">
      <c r="A271" s="6" t="s">
        <v>246</v>
      </c>
      <c r="B271" s="7">
        <v>241.5</v>
      </c>
      <c r="C271" s="8">
        <f>IFERROR(B271/B445, "NA")</f>
        <v>1.5075694029706794E-3</v>
      </c>
      <c r="D271" s="9"/>
      <c r="E271" s="7">
        <v>236.63</v>
      </c>
      <c r="F271" s="8">
        <f>IFERROR(E271/E445, "NA")</f>
        <v>1.2287116094476047E-3</v>
      </c>
      <c r="G271" s="9"/>
      <c r="H271" s="10">
        <f>IFERROR(-(B271-E271), "NA")</f>
        <v>-4.8700000000000045</v>
      </c>
      <c r="I271" s="8">
        <f>IFERROR(H271/H445, "NA")</f>
        <v>1.5034478968863209E-4</v>
      </c>
      <c r="J271" s="9"/>
      <c r="K271" s="7">
        <v>229.7</v>
      </c>
      <c r="L271" s="8">
        <f>IFERROR(K271/K445, "NA")</f>
        <v>1.300669043317998E-3</v>
      </c>
      <c r="M271" s="9"/>
      <c r="N271" s="10">
        <f>IFERROR(-(B271-K271), "NA")</f>
        <v>-11.800000000000011</v>
      </c>
      <c r="O271" s="8">
        <f>IFERROR(N271/N445, "NA")</f>
        <v>7.190829376853699E-4</v>
      </c>
      <c r="P271" s="9"/>
      <c r="Q271" s="7">
        <v>1207.5</v>
      </c>
      <c r="R271" s="8">
        <f>IFERROR(Q271/Q445, "NA")</f>
        <v>1.3026666227661722E-3</v>
      </c>
      <c r="S271" s="9"/>
      <c r="T271" s="7">
        <v>1183.1500000000001</v>
      </c>
      <c r="U271" s="8">
        <f>IFERROR(T271/T445, "NA")</f>
        <v>1.2325823451786878E-3</v>
      </c>
      <c r="V271" s="9"/>
      <c r="W271" s="10">
        <f>IFERROR(-(Q271-T271), "NA")</f>
        <v>-24.349999999999909</v>
      </c>
      <c r="X271" s="8">
        <f>IFERROR(W271/W445, "NA")</f>
        <v>7.3898637169527055E-4</v>
      </c>
      <c r="Y271" s="9"/>
      <c r="Z271" s="7">
        <v>1148.5</v>
      </c>
      <c r="AA271" s="8">
        <f>IFERROR(Z271/Z445, "NA")</f>
        <v>1.2873246528757377E-3</v>
      </c>
      <c r="AB271" s="9"/>
      <c r="AC271" s="10">
        <f>IFERROR(-(Q271-Z271), "NA")</f>
        <v>-59</v>
      </c>
      <c r="AD271" s="8">
        <f>IFERROR(AC271/AC445, "NA")</f>
        <v>-1.6961616723809086E-3</v>
      </c>
    </row>
    <row r="272" spans="1:30" ht="16.5" customHeight="1" x14ac:dyDescent="0.45">
      <c r="A272" s="6" t="s">
        <v>247</v>
      </c>
      <c r="B272" s="7">
        <v>1068.3</v>
      </c>
      <c r="C272" s="8">
        <f>IFERROR(B272/B445, "NA")</f>
        <v>6.6688877564951426E-3</v>
      </c>
      <c r="D272" s="9"/>
      <c r="E272" s="7">
        <v>1068.3</v>
      </c>
      <c r="F272" s="8">
        <f>IFERROR(E272/E445, "NA")</f>
        <v>5.547194406342713E-3</v>
      </c>
      <c r="G272" s="9"/>
      <c r="H272" s="10">
        <f>IFERROR(-(B272-E272), "NA")</f>
        <v>0</v>
      </c>
      <c r="I272" s="8">
        <f>IFERROR(H272/H445, "NA")</f>
        <v>0</v>
      </c>
      <c r="J272" s="9"/>
      <c r="K272" s="7">
        <v>852.8</v>
      </c>
      <c r="L272" s="8">
        <f>IFERROR(K272/K445, "NA")</f>
        <v>4.8289532439773127E-3</v>
      </c>
      <c r="M272" s="9"/>
      <c r="N272" s="10">
        <f>IFERROR(-(B272-K272), "NA")</f>
        <v>-215.5</v>
      </c>
      <c r="O272" s="8">
        <f>IFERROR(N272/N445, "NA")</f>
        <v>1.3132404497559072E-2</v>
      </c>
      <c r="P272" s="9"/>
      <c r="Q272" s="7">
        <v>5341.5</v>
      </c>
      <c r="R272" s="8">
        <f>IFERROR(Q272/Q445, "NA")</f>
        <v>5.7624793089072531E-3</v>
      </c>
      <c r="S272" s="9"/>
      <c r="T272" s="7">
        <v>5341.5</v>
      </c>
      <c r="U272" s="8">
        <f>IFERROR(T272/T445, "NA")</f>
        <v>5.5646693967560832E-3</v>
      </c>
      <c r="V272" s="9"/>
      <c r="W272" s="10">
        <f>IFERROR(-(Q272-T272), "NA")</f>
        <v>0</v>
      </c>
      <c r="X272" s="8">
        <f>IFERROR(W272/W445, "NA")</f>
        <v>0</v>
      </c>
      <c r="Y272" s="9"/>
      <c r="Z272" s="7">
        <v>4264</v>
      </c>
      <c r="AA272" s="8">
        <f>IFERROR(Z272/Z445, "NA")</f>
        <v>4.7794099432844099E-3</v>
      </c>
      <c r="AB272" s="9"/>
      <c r="AC272" s="10">
        <f>IFERROR(-(Q272-Z272), "NA")</f>
        <v>-1077.5</v>
      </c>
      <c r="AD272" s="8">
        <f>IFERROR(AC272/AC445, "NA")</f>
        <v>-3.0976511898142867E-2</v>
      </c>
    </row>
    <row r="273" spans="1:30" ht="16.5" hidden="1" customHeight="1" x14ac:dyDescent="0.45">
      <c r="A273" s="6" t="s">
        <v>248</v>
      </c>
      <c r="B273" s="7">
        <v>0</v>
      </c>
      <c r="C273" s="8">
        <f>IFERROR(B273/B445, "NA")</f>
        <v>0</v>
      </c>
      <c r="D273" s="9"/>
      <c r="E273" s="7">
        <v>0</v>
      </c>
      <c r="F273" s="8">
        <f>IFERROR(E273/E445, "NA")</f>
        <v>0</v>
      </c>
      <c r="G273" s="9"/>
      <c r="H273" s="10">
        <f>IFERROR(-(B273-E273), "NA")</f>
        <v>0</v>
      </c>
      <c r="I273" s="8">
        <f>IFERROR(H273/H445, "NA")</f>
        <v>0</v>
      </c>
      <c r="J273" s="9"/>
      <c r="K273" s="7">
        <v>0</v>
      </c>
      <c r="L273" s="8">
        <f>IFERROR(K273/K445, "NA")</f>
        <v>0</v>
      </c>
      <c r="M273" s="9"/>
      <c r="N273" s="10">
        <f>IFERROR(-(B273-K273), "NA")</f>
        <v>0</v>
      </c>
      <c r="O273" s="8">
        <f>IFERROR(N273/N445, "NA")</f>
        <v>0</v>
      </c>
      <c r="P273" s="9"/>
      <c r="Q273" s="7">
        <v>0</v>
      </c>
      <c r="R273" s="8">
        <f>IFERROR(Q273/Q445, "NA")</f>
        <v>0</v>
      </c>
      <c r="S273" s="9"/>
      <c r="T273" s="7">
        <v>0</v>
      </c>
      <c r="U273" s="8">
        <f>IFERROR(T273/T445, "NA")</f>
        <v>0</v>
      </c>
      <c r="V273" s="9"/>
      <c r="W273" s="10">
        <f>IFERROR(-(Q273-T273), "NA")</f>
        <v>0</v>
      </c>
      <c r="X273" s="8">
        <f>IFERROR(W273/W445, "NA")</f>
        <v>0</v>
      </c>
      <c r="Y273" s="9"/>
      <c r="Z273" s="7">
        <v>0</v>
      </c>
      <c r="AA273" s="8">
        <f>IFERROR(Z273/Z445, "NA")</f>
        <v>0</v>
      </c>
      <c r="AB273" s="9"/>
      <c r="AC273" s="10">
        <f>IFERROR(-(Q273-Z273), "NA")</f>
        <v>0</v>
      </c>
      <c r="AD273" s="8">
        <f>IFERROR(AC273/AC445, "NA")</f>
        <v>0</v>
      </c>
    </row>
    <row r="274" spans="1:30" ht="16.5" customHeight="1" x14ac:dyDescent="0.45">
      <c r="A274" s="19" t="s">
        <v>249</v>
      </c>
      <c r="B274" s="14">
        <f>IFERROR(B270+B271+B272+B273, "NA")</f>
        <v>1309.8</v>
      </c>
      <c r="C274" s="15">
        <f>IFERROR(B274/B445, "NA")</f>
        <v>8.1764571594658223E-3</v>
      </c>
      <c r="D274" s="2"/>
      <c r="E274" s="14">
        <f>IFERROR(E270+E271+E272+E273, "NA")</f>
        <v>1304.9299999999998</v>
      </c>
      <c r="F274" s="15">
        <f>IFERROR(E274/E445, "NA")</f>
        <v>6.7759060157903169E-3</v>
      </c>
      <c r="G274" s="2"/>
      <c r="H274" s="14">
        <f>IFERROR(-(B274-E274), "NA")</f>
        <v>-4.8700000000001182</v>
      </c>
      <c r="I274" s="15">
        <f>IFERROR(H274/H445, "NA")</f>
        <v>1.5034478968863562E-4</v>
      </c>
      <c r="J274" s="2"/>
      <c r="K274" s="14">
        <f>IFERROR(K270+K271+K272+K273, "NA")</f>
        <v>1082.5</v>
      </c>
      <c r="L274" s="15">
        <f>IFERROR(K274/K445, "NA")</f>
        <v>6.1296222872953112E-3</v>
      </c>
      <c r="M274" s="2"/>
      <c r="N274" s="14">
        <f>IFERROR(-(B274-K274), "NA")</f>
        <v>-227.29999999999995</v>
      </c>
      <c r="O274" s="15">
        <f>IFERROR(N274/N445, "NA")</f>
        <v>1.3851487435244439E-2</v>
      </c>
      <c r="P274" s="2"/>
      <c r="Q274" s="14">
        <f>IFERROR(Q270+Q271+Q272+Q273, "NA")</f>
        <v>6549</v>
      </c>
      <c r="R274" s="15">
        <f>IFERROR(Q274/Q445, "NA")</f>
        <v>7.065145931673426E-3</v>
      </c>
      <c r="S274" s="2"/>
      <c r="T274" s="14">
        <f>IFERROR(T270+T271+T272+T273, "NA")</f>
        <v>6524.65</v>
      </c>
      <c r="U274" s="15">
        <f>IFERROR(T274/T445, "NA")</f>
        <v>6.7972517419347704E-3</v>
      </c>
      <c r="V274" s="2"/>
      <c r="W274" s="14">
        <f>IFERROR(-(Q274-T274), "NA")</f>
        <v>-24.350000000000364</v>
      </c>
      <c r="X274" s="15">
        <f>IFERROR(W274/W445, "NA")</f>
        <v>7.3898637169528443E-4</v>
      </c>
      <c r="Y274" s="2"/>
      <c r="Z274" s="14">
        <f>IFERROR(Z270+Z271+Z272+Z273, "NA")</f>
        <v>5412.5</v>
      </c>
      <c r="AA274" s="15">
        <f>IFERROR(Z274/Z445, "NA")</f>
        <v>6.066734596160148E-3</v>
      </c>
      <c r="AB274" s="2"/>
      <c r="AC274" s="14">
        <f>IFERROR(-(Q274-Z274), "NA")</f>
        <v>-1136.5</v>
      </c>
      <c r="AD274" s="15">
        <f>IFERROR(AC274/AC445, "NA")</f>
        <v>-3.2672673570523773E-2</v>
      </c>
    </row>
    <row r="275" spans="1:30" ht="16.5" customHeight="1" x14ac:dyDescent="0.45">
      <c r="A275" s="5" t="s">
        <v>250</v>
      </c>
      <c r="B275" s="2"/>
      <c r="C275" s="3"/>
      <c r="D275" s="4"/>
      <c r="E275" s="2"/>
      <c r="F275" s="3"/>
      <c r="G275" s="4"/>
      <c r="H275" s="2"/>
      <c r="I275" s="3"/>
      <c r="J275" s="4"/>
      <c r="K275" s="2"/>
      <c r="L275" s="3"/>
      <c r="M275" s="4"/>
      <c r="N275" s="2"/>
      <c r="O275" s="3"/>
      <c r="P275" s="4"/>
      <c r="Q275" s="2"/>
      <c r="R275" s="3"/>
      <c r="S275" s="4"/>
      <c r="T275" s="2"/>
      <c r="U275" s="3"/>
      <c r="V275" s="4"/>
      <c r="W275" s="2"/>
      <c r="X275" s="3"/>
      <c r="Y275" s="4"/>
      <c r="Z275" s="2"/>
      <c r="AA275" s="3"/>
      <c r="AB275" s="4"/>
      <c r="AC275" s="2"/>
      <c r="AD275" s="3"/>
    </row>
    <row r="276" spans="1:30" ht="16.5" hidden="1" customHeight="1" x14ac:dyDescent="0.45">
      <c r="A276" s="6" t="s">
        <v>250</v>
      </c>
      <c r="B276" s="7">
        <v>0</v>
      </c>
      <c r="C276" s="8">
        <f>IFERROR(B276/B445, "NA")</f>
        <v>0</v>
      </c>
      <c r="D276" s="9"/>
      <c r="E276" s="7">
        <v>0</v>
      </c>
      <c r="F276" s="8">
        <f>IFERROR(E276/E445, "NA")</f>
        <v>0</v>
      </c>
      <c r="G276" s="9"/>
      <c r="H276" s="10">
        <f t="shared" ref="H276:H285" si="68">IFERROR(-(B276-E276), "NA")</f>
        <v>0</v>
      </c>
      <c r="I276" s="8">
        <f>IFERROR(H276/H445, "NA")</f>
        <v>0</v>
      </c>
      <c r="J276" s="9"/>
      <c r="K276" s="7">
        <v>0</v>
      </c>
      <c r="L276" s="8">
        <f>IFERROR(K276/K445, "NA")</f>
        <v>0</v>
      </c>
      <c r="M276" s="9"/>
      <c r="N276" s="10">
        <f t="shared" ref="N276:N285" si="69">IFERROR(-(B276-K276), "NA")</f>
        <v>0</v>
      </c>
      <c r="O276" s="8">
        <f>IFERROR(N276/N445, "NA")</f>
        <v>0</v>
      </c>
      <c r="P276" s="9"/>
      <c r="Q276" s="7">
        <v>0</v>
      </c>
      <c r="R276" s="8">
        <f>IFERROR(Q276/Q445, "NA")</f>
        <v>0</v>
      </c>
      <c r="S276" s="9"/>
      <c r="T276" s="7">
        <v>0</v>
      </c>
      <c r="U276" s="8">
        <f>IFERROR(T276/T445, "NA")</f>
        <v>0</v>
      </c>
      <c r="V276" s="9"/>
      <c r="W276" s="10">
        <f t="shared" ref="W276:W285" si="70">IFERROR(-(Q276-T276), "NA")</f>
        <v>0</v>
      </c>
      <c r="X276" s="8">
        <f>IFERROR(W276/W445, "NA")</f>
        <v>0</v>
      </c>
      <c r="Y276" s="9"/>
      <c r="Z276" s="7">
        <v>0</v>
      </c>
      <c r="AA276" s="8">
        <f>IFERROR(Z276/Z445, "NA")</f>
        <v>0</v>
      </c>
      <c r="AB276" s="9"/>
      <c r="AC276" s="10">
        <f t="shared" ref="AC276:AC285" si="71">IFERROR(-(Q276-Z276), "NA")</f>
        <v>0</v>
      </c>
      <c r="AD276" s="8">
        <f>IFERROR(AC276/AC445,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IFERROR(B277/B445, "NA")</f>
        <v>0</v>
      </c>
      <c r="D277" s="9"/>
      <c r="E277" s="7">
        <v>0</v>
      </c>
      <c r="F277" s="8">
        <f>IFERROR(E277/E445, "NA")</f>
        <v>0</v>
      </c>
      <c r="G277" s="9"/>
      <c r="H277" s="10">
        <f t="shared" si="68"/>
        <v>0</v>
      </c>
      <c r="I277" s="8">
        <f>IFERROR(H277/H445, "NA")</f>
        <v>0</v>
      </c>
      <c r="J277" s="9"/>
      <c r="K277" s="7">
        <v>0</v>
      </c>
      <c r="L277" s="8">
        <f>IFERROR(K277/K445, "NA")</f>
        <v>0</v>
      </c>
      <c r="M277" s="9"/>
      <c r="N277" s="10">
        <f t="shared" si="69"/>
        <v>0</v>
      </c>
      <c r="O277" s="8">
        <f>IFERROR(N277/N445, "NA")</f>
        <v>0</v>
      </c>
      <c r="P277" s="9"/>
      <c r="Q277" s="7">
        <v>0</v>
      </c>
      <c r="R277" s="8">
        <f>IFERROR(Q277/Q445, "NA")</f>
        <v>0</v>
      </c>
      <c r="S277" s="9"/>
      <c r="T277" s="7">
        <v>0</v>
      </c>
      <c r="U277" s="8">
        <f>IFERROR(T277/T445, "NA")</f>
        <v>0</v>
      </c>
      <c r="V277" s="9"/>
      <c r="W277" s="10">
        <f t="shared" si="70"/>
        <v>0</v>
      </c>
      <c r="X277" s="8">
        <f>IFERROR(W277/W445, "NA")</f>
        <v>0</v>
      </c>
      <c r="Y277" s="9"/>
      <c r="Z277" s="7">
        <v>0</v>
      </c>
      <c r="AA277" s="8">
        <f>IFERROR(Z277/Z445, "NA")</f>
        <v>0</v>
      </c>
      <c r="AB277" s="9"/>
      <c r="AC277" s="10">
        <f t="shared" si="71"/>
        <v>0</v>
      </c>
      <c r="AD277" s="8">
        <f>IFERROR(AC277/AC445,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IFERROR(B278/B445, "NA")</f>
        <v>0</v>
      </c>
      <c r="D278" s="9"/>
      <c r="E278" s="7">
        <v>0</v>
      </c>
      <c r="F278" s="8">
        <f>IFERROR(E278/E445, "NA")</f>
        <v>0</v>
      </c>
      <c r="G278" s="9"/>
      <c r="H278" s="10">
        <f t="shared" si="68"/>
        <v>0</v>
      </c>
      <c r="I278" s="8">
        <f>IFERROR(H278/H445, "NA")</f>
        <v>0</v>
      </c>
      <c r="J278" s="9"/>
      <c r="K278" s="7">
        <v>0</v>
      </c>
      <c r="L278" s="8">
        <f>IFERROR(K278/K445, "NA")</f>
        <v>0</v>
      </c>
      <c r="M278" s="9"/>
      <c r="N278" s="10">
        <f t="shared" si="69"/>
        <v>0</v>
      </c>
      <c r="O278" s="8">
        <f>IFERROR(N278/N445, "NA")</f>
        <v>0</v>
      </c>
      <c r="P278" s="9"/>
      <c r="Q278" s="7">
        <v>0</v>
      </c>
      <c r="R278" s="8">
        <f>IFERROR(Q278/Q445, "NA")</f>
        <v>0</v>
      </c>
      <c r="S278" s="9"/>
      <c r="T278" s="7">
        <v>0</v>
      </c>
      <c r="U278" s="8">
        <f>IFERROR(T278/T445, "NA")</f>
        <v>0</v>
      </c>
      <c r="V278" s="9"/>
      <c r="W278" s="10">
        <f t="shared" si="70"/>
        <v>0</v>
      </c>
      <c r="X278" s="8">
        <f>IFERROR(W278/W445, "NA")</f>
        <v>0</v>
      </c>
      <c r="Y278" s="9"/>
      <c r="Z278" s="7">
        <v>0</v>
      </c>
      <c r="AA278" s="8">
        <f>IFERROR(Z278/Z445, "NA")</f>
        <v>0</v>
      </c>
      <c r="AB278" s="9"/>
      <c r="AC278" s="10">
        <f t="shared" si="71"/>
        <v>0</v>
      </c>
      <c r="AD278" s="8">
        <f>IFERROR(AC278/AC445,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IFERROR(B279/B445, "NA")</f>
        <v>0</v>
      </c>
      <c r="D279" s="9"/>
      <c r="E279" s="7">
        <v>0</v>
      </c>
      <c r="F279" s="8">
        <f>IFERROR(E279/E445, "NA")</f>
        <v>0</v>
      </c>
      <c r="G279" s="9"/>
      <c r="H279" s="10">
        <f t="shared" si="68"/>
        <v>0</v>
      </c>
      <c r="I279" s="8">
        <f>IFERROR(H279/H445, "NA")</f>
        <v>0</v>
      </c>
      <c r="J279" s="9"/>
      <c r="K279" s="7">
        <v>0</v>
      </c>
      <c r="L279" s="8">
        <f>IFERROR(K279/K445, "NA")</f>
        <v>0</v>
      </c>
      <c r="M279" s="9"/>
      <c r="N279" s="10">
        <f t="shared" si="69"/>
        <v>0</v>
      </c>
      <c r="O279" s="8">
        <f>IFERROR(N279/N445, "NA")</f>
        <v>0</v>
      </c>
      <c r="P279" s="9"/>
      <c r="Q279" s="7">
        <v>0</v>
      </c>
      <c r="R279" s="8">
        <f>IFERROR(Q279/Q445, "NA")</f>
        <v>0</v>
      </c>
      <c r="S279" s="9"/>
      <c r="T279" s="7">
        <v>0</v>
      </c>
      <c r="U279" s="8">
        <f>IFERROR(T279/T445, "NA")</f>
        <v>0</v>
      </c>
      <c r="V279" s="9"/>
      <c r="W279" s="10">
        <f t="shared" si="70"/>
        <v>0</v>
      </c>
      <c r="X279" s="8">
        <f>IFERROR(W279/W445, "NA")</f>
        <v>0</v>
      </c>
      <c r="Y279" s="9"/>
      <c r="Z279" s="7">
        <v>0</v>
      </c>
      <c r="AA279" s="8">
        <f>IFERROR(Z279/Z445, "NA")</f>
        <v>0</v>
      </c>
      <c r="AB279" s="9"/>
      <c r="AC279" s="10">
        <f t="shared" si="71"/>
        <v>0</v>
      </c>
      <c r="AD279" s="8">
        <f>IFERROR(AC279/AC445,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IFERROR(B280/B445, "NA")</f>
        <v>0</v>
      </c>
      <c r="D280" s="9"/>
      <c r="E280" s="7">
        <v>0</v>
      </c>
      <c r="F280" s="8">
        <f>IFERROR(E280/E445, "NA")</f>
        <v>0</v>
      </c>
      <c r="G280" s="9"/>
      <c r="H280" s="10">
        <f t="shared" si="68"/>
        <v>0</v>
      </c>
      <c r="I280" s="8">
        <f>IFERROR(H280/H445, "NA")</f>
        <v>0</v>
      </c>
      <c r="J280" s="9"/>
      <c r="K280" s="7">
        <v>0</v>
      </c>
      <c r="L280" s="8">
        <f>IFERROR(K280/K445, "NA")</f>
        <v>0</v>
      </c>
      <c r="M280" s="9"/>
      <c r="N280" s="10">
        <f t="shared" si="69"/>
        <v>0</v>
      </c>
      <c r="O280" s="8">
        <f>IFERROR(N280/N445, "NA")</f>
        <v>0</v>
      </c>
      <c r="P280" s="9"/>
      <c r="Q280" s="7">
        <v>0</v>
      </c>
      <c r="R280" s="8">
        <f>IFERROR(Q280/Q445, "NA")</f>
        <v>0</v>
      </c>
      <c r="S280" s="9"/>
      <c r="T280" s="7">
        <v>0</v>
      </c>
      <c r="U280" s="8">
        <f>IFERROR(T280/T445, "NA")</f>
        <v>0</v>
      </c>
      <c r="V280" s="9"/>
      <c r="W280" s="10">
        <f t="shared" si="70"/>
        <v>0</v>
      </c>
      <c r="X280" s="8">
        <f>IFERROR(W280/W445, "NA")</f>
        <v>0</v>
      </c>
      <c r="Y280" s="9"/>
      <c r="Z280" s="7">
        <v>0</v>
      </c>
      <c r="AA280" s="8">
        <f>IFERROR(Z280/Z445, "NA")</f>
        <v>0</v>
      </c>
      <c r="AB280" s="9"/>
      <c r="AC280" s="10">
        <f t="shared" si="71"/>
        <v>0</v>
      </c>
      <c r="AD280" s="8">
        <f>IFERROR(AC280/AC445,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IFERROR(B281/B445, "NA")</f>
        <v>0</v>
      </c>
      <c r="D281" s="9"/>
      <c r="E281" s="7">
        <v>0</v>
      </c>
      <c r="F281" s="8">
        <f>IFERROR(E281/E445, "NA")</f>
        <v>0</v>
      </c>
      <c r="G281" s="9"/>
      <c r="H281" s="10">
        <f t="shared" si="68"/>
        <v>0</v>
      </c>
      <c r="I281" s="8">
        <f>IFERROR(H281/H445, "NA")</f>
        <v>0</v>
      </c>
      <c r="J281" s="9"/>
      <c r="K281" s="7">
        <v>0</v>
      </c>
      <c r="L281" s="8">
        <f>IFERROR(K281/K445, "NA")</f>
        <v>0</v>
      </c>
      <c r="M281" s="9"/>
      <c r="N281" s="10">
        <f t="shared" si="69"/>
        <v>0</v>
      </c>
      <c r="O281" s="8">
        <f>IFERROR(N281/N445, "NA")</f>
        <v>0</v>
      </c>
      <c r="P281" s="9"/>
      <c r="Q281" s="7">
        <v>0</v>
      </c>
      <c r="R281" s="8">
        <f>IFERROR(Q281/Q445, "NA")</f>
        <v>0</v>
      </c>
      <c r="S281" s="9"/>
      <c r="T281" s="7">
        <v>0</v>
      </c>
      <c r="U281" s="8">
        <f>IFERROR(T281/T445, "NA")</f>
        <v>0</v>
      </c>
      <c r="V281" s="9"/>
      <c r="W281" s="10">
        <f t="shared" si="70"/>
        <v>0</v>
      </c>
      <c r="X281" s="8">
        <f>IFERROR(W281/W445, "NA")</f>
        <v>0</v>
      </c>
      <c r="Y281" s="9"/>
      <c r="Z281" s="7">
        <v>0</v>
      </c>
      <c r="AA281" s="8">
        <f>IFERROR(Z281/Z445, "NA")</f>
        <v>0</v>
      </c>
      <c r="AB281" s="9"/>
      <c r="AC281" s="10">
        <f t="shared" si="71"/>
        <v>0</v>
      </c>
      <c r="AD281" s="8">
        <f>IFERROR(AC281/AC445,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IFERROR(B282/B445, "NA")</f>
        <v>0</v>
      </c>
      <c r="D282" s="9"/>
      <c r="E282" s="7">
        <v>0</v>
      </c>
      <c r="F282" s="8">
        <f>IFERROR(E282/E445, "NA")</f>
        <v>0</v>
      </c>
      <c r="G282" s="9"/>
      <c r="H282" s="10">
        <f t="shared" si="68"/>
        <v>0</v>
      </c>
      <c r="I282" s="8">
        <f>IFERROR(H282/H445, "NA")</f>
        <v>0</v>
      </c>
      <c r="J282" s="9"/>
      <c r="K282" s="7">
        <v>0</v>
      </c>
      <c r="L282" s="8">
        <f>IFERROR(K282/K445, "NA")</f>
        <v>0</v>
      </c>
      <c r="M282" s="9"/>
      <c r="N282" s="10">
        <f t="shared" si="69"/>
        <v>0</v>
      </c>
      <c r="O282" s="8">
        <f>IFERROR(N282/N445, "NA")</f>
        <v>0</v>
      </c>
      <c r="P282" s="9"/>
      <c r="Q282" s="7">
        <v>0</v>
      </c>
      <c r="R282" s="8">
        <f>IFERROR(Q282/Q445, "NA")</f>
        <v>0</v>
      </c>
      <c r="S282" s="9"/>
      <c r="T282" s="7">
        <v>0</v>
      </c>
      <c r="U282" s="8">
        <f>IFERROR(T282/T445, "NA")</f>
        <v>0</v>
      </c>
      <c r="V282" s="9"/>
      <c r="W282" s="10">
        <f t="shared" si="70"/>
        <v>0</v>
      </c>
      <c r="X282" s="8">
        <f>IFERROR(W282/W445, "NA")</f>
        <v>0</v>
      </c>
      <c r="Y282" s="9"/>
      <c r="Z282" s="7">
        <v>0</v>
      </c>
      <c r="AA282" s="8">
        <f>IFERROR(Z282/Z445, "NA")</f>
        <v>0</v>
      </c>
      <c r="AB282" s="9"/>
      <c r="AC282" s="10">
        <f t="shared" si="71"/>
        <v>0</v>
      </c>
      <c r="AD282" s="8">
        <f>IFERROR(AC282/AC445,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IFERROR(B283/B445, "NA")</f>
        <v>0</v>
      </c>
      <c r="D283" s="9"/>
      <c r="E283" s="7">
        <v>0</v>
      </c>
      <c r="F283" s="8">
        <f>IFERROR(E283/E445, "NA")</f>
        <v>0</v>
      </c>
      <c r="G283" s="9"/>
      <c r="H283" s="10">
        <f t="shared" si="68"/>
        <v>0</v>
      </c>
      <c r="I283" s="8">
        <f>IFERROR(H283/H445, "NA")</f>
        <v>0</v>
      </c>
      <c r="J283" s="9"/>
      <c r="K283" s="7">
        <v>0</v>
      </c>
      <c r="L283" s="8">
        <f>IFERROR(K283/K445, "NA")</f>
        <v>0</v>
      </c>
      <c r="M283" s="9"/>
      <c r="N283" s="10">
        <f t="shared" si="69"/>
        <v>0</v>
      </c>
      <c r="O283" s="8">
        <f>IFERROR(N283/N445, "NA")</f>
        <v>0</v>
      </c>
      <c r="P283" s="9"/>
      <c r="Q283" s="7">
        <v>0</v>
      </c>
      <c r="R283" s="8">
        <f>IFERROR(Q283/Q445, "NA")</f>
        <v>0</v>
      </c>
      <c r="S283" s="9"/>
      <c r="T283" s="7">
        <v>0</v>
      </c>
      <c r="U283" s="8">
        <f>IFERROR(T283/T445, "NA")</f>
        <v>0</v>
      </c>
      <c r="V283" s="9"/>
      <c r="W283" s="10">
        <f t="shared" si="70"/>
        <v>0</v>
      </c>
      <c r="X283" s="8">
        <f>IFERROR(W283/W445, "NA")</f>
        <v>0</v>
      </c>
      <c r="Y283" s="9"/>
      <c r="Z283" s="7">
        <v>0</v>
      </c>
      <c r="AA283" s="8">
        <f>IFERROR(Z283/Z445, "NA")</f>
        <v>0</v>
      </c>
      <c r="AB283" s="9"/>
      <c r="AC283" s="10">
        <f t="shared" si="71"/>
        <v>0</v>
      </c>
      <c r="AD283" s="8">
        <f>IFERROR(AC283/AC445, "NA")</f>
        <v>0</v>
      </c>
    </row>
    <row r="284" spans="1:30" ht="16.5" hidden="1" customHeight="1" x14ac:dyDescent="0.45">
      <c r="A284" s="6" t="s">
        <v>258</v>
      </c>
      <c r="B284" s="7">
        <v>0</v>
      </c>
      <c r="C284" s="8">
        <f>IFERROR(B284/B445, "NA")</f>
        <v>0</v>
      </c>
      <c r="D284" s="9"/>
      <c r="E284" s="7">
        <v>0</v>
      </c>
      <c r="F284" s="8">
        <f>IFERROR(E284/E445, "NA")</f>
        <v>0</v>
      </c>
      <c r="G284" s="9"/>
      <c r="H284" s="10">
        <f t="shared" si="68"/>
        <v>0</v>
      </c>
      <c r="I284" s="8">
        <f>IFERROR(H284/H445, "NA")</f>
        <v>0</v>
      </c>
      <c r="J284" s="9"/>
      <c r="K284" s="7">
        <v>0</v>
      </c>
      <c r="L284" s="8">
        <f>IFERROR(K284/K445, "NA")</f>
        <v>0</v>
      </c>
      <c r="M284" s="9"/>
      <c r="N284" s="10">
        <f t="shared" si="69"/>
        <v>0</v>
      </c>
      <c r="O284" s="8">
        <f>IFERROR(N284/N445, "NA")</f>
        <v>0</v>
      </c>
      <c r="P284" s="9"/>
      <c r="Q284" s="7">
        <v>0</v>
      </c>
      <c r="R284" s="8">
        <f>IFERROR(Q284/Q445, "NA")</f>
        <v>0</v>
      </c>
      <c r="S284" s="9"/>
      <c r="T284" s="7">
        <v>0</v>
      </c>
      <c r="U284" s="8">
        <f>IFERROR(T284/T445, "NA")</f>
        <v>0</v>
      </c>
      <c r="V284" s="9"/>
      <c r="W284" s="10">
        <f t="shared" si="70"/>
        <v>0</v>
      </c>
      <c r="X284" s="8">
        <f>IFERROR(W284/W445, "NA")</f>
        <v>0</v>
      </c>
      <c r="Y284" s="9"/>
      <c r="Z284" s="7">
        <v>0</v>
      </c>
      <c r="AA284" s="8">
        <f>IFERROR(Z284/Z445, "NA")</f>
        <v>0</v>
      </c>
      <c r="AB284" s="9"/>
      <c r="AC284" s="10">
        <f t="shared" si="71"/>
        <v>0</v>
      </c>
      <c r="AD284" s="8">
        <f>IFERROR(AC284/AC445, "NA")</f>
        <v>0</v>
      </c>
    </row>
    <row r="285" spans="1:30" ht="16.5" customHeight="1" x14ac:dyDescent="0.45">
      <c r="A285" s="19" t="s">
        <v>259</v>
      </c>
      <c r="B285" s="14">
        <f>IFERROR(B276+B277+B278+B279+B280+B281+B282+B283+B284, "NA")</f>
        <v>0</v>
      </c>
      <c r="C285" s="15">
        <f>IFERROR(B285/B445, "NA")</f>
        <v>0</v>
      </c>
      <c r="D285" s="2"/>
      <c r="E285" s="14">
        <f>IFERROR(E276+E277+E278+E279+E280+E281+E282+E283+E284, "NA")</f>
        <v>0</v>
      </c>
      <c r="F285" s="15">
        <f>IFERROR(E285/E445, "NA")</f>
        <v>0</v>
      </c>
      <c r="G285" s="2"/>
      <c r="H285" s="14">
        <f t="shared" si="68"/>
        <v>0</v>
      </c>
      <c r="I285" s="15">
        <f>IFERROR(H285/H445, "NA")</f>
        <v>0</v>
      </c>
      <c r="J285" s="2"/>
      <c r="K285" s="14">
        <f>IFERROR(K276+K277+K278+K279+K280+K281+K282+K283+K284, "NA")</f>
        <v>0</v>
      </c>
      <c r="L285" s="15">
        <f>IFERROR(K285/K445, "NA")</f>
        <v>0</v>
      </c>
      <c r="M285" s="2"/>
      <c r="N285" s="14">
        <f t="shared" si="69"/>
        <v>0</v>
      </c>
      <c r="O285" s="15">
        <f>IFERROR(N285/N445, "NA")</f>
        <v>0</v>
      </c>
      <c r="P285" s="2"/>
      <c r="Q285" s="14">
        <f>IFERROR(Q276+Q277+Q278+Q279+Q280+Q281+Q282+Q283+Q284, "NA")</f>
        <v>0</v>
      </c>
      <c r="R285" s="15">
        <f>IFERROR(Q285/Q445, "NA")</f>
        <v>0</v>
      </c>
      <c r="S285" s="2"/>
      <c r="T285" s="14">
        <f>IFERROR(T276+T277+T278+T279+T280+T281+T282+T283+T284, "NA")</f>
        <v>0</v>
      </c>
      <c r="U285" s="15">
        <f>IFERROR(T285/T445, "NA")</f>
        <v>0</v>
      </c>
      <c r="V285" s="2"/>
      <c r="W285" s="14">
        <f t="shared" si="70"/>
        <v>0</v>
      </c>
      <c r="X285" s="15">
        <f>IFERROR(W285/W445, "NA")</f>
        <v>0</v>
      </c>
      <c r="Y285" s="2"/>
      <c r="Z285" s="14">
        <f>IFERROR(Z276+Z277+Z278+Z279+Z280+Z281+Z282+Z283+Z284, "NA")</f>
        <v>0</v>
      </c>
      <c r="AA285" s="15">
        <f>IFERROR(Z285/Z445, "NA")</f>
        <v>0</v>
      </c>
      <c r="AB285" s="2"/>
      <c r="AC285" s="14">
        <f t="shared" si="71"/>
        <v>0</v>
      </c>
      <c r="AD285" s="15">
        <f>IFERROR(AC285/AC445, "NA")</f>
        <v>0</v>
      </c>
    </row>
    <row r="286" spans="1:30" ht="16.5" customHeight="1" x14ac:dyDescent="0.45">
      <c r="A286" s="5" t="s">
        <v>260</v>
      </c>
      <c r="B286" s="2"/>
      <c r="C286" s="3"/>
      <c r="D286" s="4"/>
      <c r="E286" s="2"/>
      <c r="F286" s="3"/>
      <c r="G286" s="4"/>
      <c r="H286" s="2"/>
      <c r="I286" s="3"/>
      <c r="J286" s="4"/>
      <c r="K286" s="2"/>
      <c r="L286" s="3"/>
      <c r="M286" s="4"/>
      <c r="N286" s="2"/>
      <c r="O286" s="3"/>
      <c r="P286" s="4"/>
      <c r="Q286" s="2"/>
      <c r="R286" s="3"/>
      <c r="S286" s="4"/>
      <c r="T286" s="2"/>
      <c r="U286" s="3"/>
      <c r="V286" s="4"/>
      <c r="W286" s="2"/>
      <c r="X286" s="3"/>
      <c r="Y286" s="4"/>
      <c r="Z286" s="2"/>
      <c r="AA286" s="3"/>
      <c r="AB286" s="4"/>
      <c r="AC286" s="2"/>
      <c r="AD286" s="3"/>
    </row>
    <row r="287" spans="1:30" ht="16.5" hidden="1" customHeight="1" x14ac:dyDescent="0.45">
      <c r="A287" s="6" t="s">
        <v>260</v>
      </c>
      <c r="B287" s="7">
        <v>0</v>
      </c>
      <c r="C287" s="8">
        <f>IFERROR(B287/B445, "NA")</f>
        <v>0</v>
      </c>
      <c r="D287" s="9"/>
      <c r="E287" s="7">
        <v>0</v>
      </c>
      <c r="F287" s="8">
        <f>IFERROR(E287/E445, "NA")</f>
        <v>0</v>
      </c>
      <c r="G287" s="9"/>
      <c r="H287" s="10">
        <f t="shared" ref="H287:H296" si="72">IFERROR(-(B287-E287), "NA")</f>
        <v>0</v>
      </c>
      <c r="I287" s="8">
        <f>IFERROR(H287/H445, "NA")</f>
        <v>0</v>
      </c>
      <c r="J287" s="9"/>
      <c r="K287" s="7">
        <v>0</v>
      </c>
      <c r="L287" s="8">
        <f>IFERROR(K287/K445, "NA")</f>
        <v>0</v>
      </c>
      <c r="M287" s="9"/>
      <c r="N287" s="10">
        <f t="shared" ref="N287:N296" si="73">IFERROR(-(B287-K287), "NA")</f>
        <v>0</v>
      </c>
      <c r="O287" s="8">
        <f>IFERROR(N287/N445, "NA")</f>
        <v>0</v>
      </c>
      <c r="P287" s="9"/>
      <c r="Q287" s="7">
        <v>0</v>
      </c>
      <c r="R287" s="8">
        <f>IFERROR(Q287/Q445, "NA")</f>
        <v>0</v>
      </c>
      <c r="S287" s="9"/>
      <c r="T287" s="7">
        <v>0</v>
      </c>
      <c r="U287" s="8">
        <f>IFERROR(T287/T445, "NA")</f>
        <v>0</v>
      </c>
      <c r="V287" s="9"/>
      <c r="W287" s="10">
        <f t="shared" ref="W287:W296" si="74">IFERROR(-(Q287-T287), "NA")</f>
        <v>0</v>
      </c>
      <c r="X287" s="8">
        <f>IFERROR(W287/W445, "NA")</f>
        <v>0</v>
      </c>
      <c r="Y287" s="9"/>
      <c r="Z287" s="7">
        <v>0</v>
      </c>
      <c r="AA287" s="8">
        <f>IFERROR(Z287/Z445, "NA")</f>
        <v>0</v>
      </c>
      <c r="AB287" s="9"/>
      <c r="AC287" s="10">
        <f t="shared" ref="AC287:AC296" si="75">IFERROR(-(Q287-Z287), "NA")</f>
        <v>0</v>
      </c>
      <c r="AD287" s="8">
        <f>IFERROR(AC287/AC445, "NA")</f>
        <v>0</v>
      </c>
    </row>
    <row r="288" spans="1:30" ht="16.5" hidden="1" customHeight="1" x14ac:dyDescent="0.45">
      <c r="A288" s="6" t="s">
        <v>261</v>
      </c>
      <c r="B288" s="7">
        <v>0</v>
      </c>
      <c r="C288" s="8">
        <f>IFERROR(B288/B445, "NA")</f>
        <v>0</v>
      </c>
      <c r="D288" s="9"/>
      <c r="E288" s="7">
        <v>0</v>
      </c>
      <c r="F288" s="8">
        <f>IFERROR(E288/E445, "NA")</f>
        <v>0</v>
      </c>
      <c r="G288" s="9"/>
      <c r="H288" s="10">
        <f t="shared" si="72"/>
        <v>0</v>
      </c>
      <c r="I288" s="8">
        <f>IFERROR(H288/H445, "NA")</f>
        <v>0</v>
      </c>
      <c r="J288" s="9"/>
      <c r="K288" s="7">
        <v>0</v>
      </c>
      <c r="L288" s="8">
        <f>IFERROR(K288/K445, "NA")</f>
        <v>0</v>
      </c>
      <c r="M288" s="9"/>
      <c r="N288" s="10">
        <f t="shared" si="73"/>
        <v>0</v>
      </c>
      <c r="O288" s="8">
        <f>IFERROR(N288/N445, "NA")</f>
        <v>0</v>
      </c>
      <c r="P288" s="9"/>
      <c r="Q288" s="7">
        <v>0</v>
      </c>
      <c r="R288" s="8">
        <f>IFERROR(Q288/Q445, "NA")</f>
        <v>0</v>
      </c>
      <c r="S288" s="9"/>
      <c r="T288" s="7">
        <v>0</v>
      </c>
      <c r="U288" s="8">
        <f>IFERROR(T288/T445, "NA")</f>
        <v>0</v>
      </c>
      <c r="V288" s="9"/>
      <c r="W288" s="10">
        <f t="shared" si="74"/>
        <v>0</v>
      </c>
      <c r="X288" s="8">
        <f>IFERROR(W288/W445, "NA")</f>
        <v>0</v>
      </c>
      <c r="Y288" s="9"/>
      <c r="Z288" s="7">
        <v>0</v>
      </c>
      <c r="AA288" s="8">
        <f>IFERROR(Z288/Z445, "NA")</f>
        <v>0</v>
      </c>
      <c r="AB288" s="9"/>
      <c r="AC288" s="10">
        <f t="shared" si="75"/>
        <v>0</v>
      </c>
      <c r="AD288" s="8">
        <f>IFERROR(AC288/AC445, "NA")</f>
        <v>0</v>
      </c>
    </row>
    <row r="289" spans="1:30" ht="16.5" customHeight="1" x14ac:dyDescent="0.45">
      <c r="A289" s="6" t="s">
        <v>262</v>
      </c>
      <c r="B289" s="7">
        <v>145.75</v>
      </c>
      <c r="C289" s="8">
        <f>IFERROR(B289/B445, "NA")</f>
        <v>9.0984778667899189E-4</v>
      </c>
      <c r="D289" s="9"/>
      <c r="E289" s="7">
        <v>146</v>
      </c>
      <c r="F289" s="8">
        <f>IFERROR(E289/E445, "NA")</f>
        <v>7.5811137632316404E-4</v>
      </c>
      <c r="G289" s="9"/>
      <c r="H289" s="10">
        <f t="shared" si="72"/>
        <v>0.25</v>
      </c>
      <c r="I289" s="8">
        <f>IFERROR(H289/H445, "NA")</f>
        <v>-7.7179050148168354E-6</v>
      </c>
      <c r="J289" s="9"/>
      <c r="K289" s="7">
        <v>146.85</v>
      </c>
      <c r="L289" s="8">
        <f>IFERROR(K289/K445, "NA")</f>
        <v>8.3153351768066187E-4</v>
      </c>
      <c r="M289" s="9"/>
      <c r="N289" s="10">
        <f t="shared" si="73"/>
        <v>1.0999999999999943</v>
      </c>
      <c r="O289" s="8">
        <f>IFERROR(N289/N445, "NA")</f>
        <v>-6.7033155207957794E-5</v>
      </c>
      <c r="P289" s="9"/>
      <c r="Q289" s="7">
        <v>728.75</v>
      </c>
      <c r="R289" s="8">
        <f>IFERROR(Q289/Q445, "NA")</f>
        <v>7.8618492864666498E-4</v>
      </c>
      <c r="S289" s="9"/>
      <c r="T289" s="7">
        <v>730</v>
      </c>
      <c r="U289" s="8">
        <f>IFERROR(T289/T445, "NA")</f>
        <v>7.6049960865523557E-4</v>
      </c>
      <c r="V289" s="9"/>
      <c r="W289" s="10">
        <f t="shared" si="74"/>
        <v>1.25</v>
      </c>
      <c r="X289" s="8">
        <f>IFERROR(W289/W445, "NA")</f>
        <v>-3.7935645364233742E-5</v>
      </c>
      <c r="Y289" s="9"/>
      <c r="Z289" s="7">
        <v>727.65</v>
      </c>
      <c r="AA289" s="8">
        <f>IFERROR(Z289/Z445, "NA")</f>
        <v>8.1560451342188112E-4</v>
      </c>
      <c r="AB289" s="9"/>
      <c r="AC289" s="10">
        <f t="shared" si="75"/>
        <v>-1.1000000000000227</v>
      </c>
      <c r="AD289" s="8">
        <f>IFERROR(AC289/AC445, "NA")</f>
        <v>-3.1623353213882003E-5</v>
      </c>
    </row>
    <row r="290" spans="1:30" ht="16.5" customHeight="1" x14ac:dyDescent="0.45">
      <c r="A290" s="6" t="s">
        <v>263</v>
      </c>
      <c r="B290" s="7">
        <v>505.94</v>
      </c>
      <c r="C290" s="8">
        <f>IFERROR(B290/B445, "NA")</f>
        <v>3.1583422929150544E-3</v>
      </c>
      <c r="D290" s="9"/>
      <c r="E290" s="7">
        <v>247</v>
      </c>
      <c r="F290" s="8">
        <f>IFERROR(E290/E445, "NA")</f>
        <v>1.2825582873412433E-3</v>
      </c>
      <c r="G290" s="9"/>
      <c r="H290" s="10">
        <f t="shared" si="72"/>
        <v>-258.94</v>
      </c>
      <c r="I290" s="8">
        <f>IFERROR(H290/H445, "NA")</f>
        <v>7.993897298146686E-3</v>
      </c>
      <c r="J290" s="9"/>
      <c r="K290" s="7">
        <v>228.98</v>
      </c>
      <c r="L290" s="8">
        <f>IFERROR(K290/K445, "NA")</f>
        <v>1.2965920659075106E-3</v>
      </c>
      <c r="M290" s="9"/>
      <c r="N290" s="10">
        <f t="shared" si="73"/>
        <v>-276.96000000000004</v>
      </c>
      <c r="O290" s="8">
        <f>IFERROR(N290/N445, "NA")</f>
        <v>1.6877729696723718E-2</v>
      </c>
      <c r="P290" s="9"/>
      <c r="Q290" s="7">
        <v>1542.57</v>
      </c>
      <c r="R290" s="8">
        <f>IFERROR(Q290/Q445, "NA")</f>
        <v>1.6641444739382311E-3</v>
      </c>
      <c r="S290" s="9"/>
      <c r="T290" s="7">
        <v>1235</v>
      </c>
      <c r="U290" s="8">
        <f>IFERROR(T290/T445, "NA")</f>
        <v>1.2865986529989259E-3</v>
      </c>
      <c r="V290" s="9"/>
      <c r="W290" s="10">
        <f t="shared" si="74"/>
        <v>-307.56999999999994</v>
      </c>
      <c r="X290" s="8">
        <f>IFERROR(W290/W445, "NA")</f>
        <v>9.3342931557418973E-3</v>
      </c>
      <c r="Y290" s="9"/>
      <c r="Z290" s="7">
        <v>1107.0999999999999</v>
      </c>
      <c r="AA290" s="8">
        <f>IFERROR(Z290/Z445, "NA")</f>
        <v>1.2409204381355933E-3</v>
      </c>
      <c r="AB290" s="9"/>
      <c r="AC290" s="10">
        <f t="shared" si="75"/>
        <v>-435.47</v>
      </c>
      <c r="AD290" s="8">
        <f>IFERROR(AC290/AC445, "NA")</f>
        <v>-1.2519110567317193E-2</v>
      </c>
    </row>
    <row r="291" spans="1:30" ht="16.5" customHeight="1" x14ac:dyDescent="0.45">
      <c r="A291" s="6" t="s">
        <v>264</v>
      </c>
      <c r="B291" s="7">
        <v>0</v>
      </c>
      <c r="C291" s="8">
        <f>IFERROR(B291/B445, "NA")</f>
        <v>0</v>
      </c>
      <c r="D291" s="9"/>
      <c r="E291" s="7">
        <v>1155.5</v>
      </c>
      <c r="F291" s="8">
        <f>IFERROR(E291/E445, "NA")</f>
        <v>5.9999842146672326E-3</v>
      </c>
      <c r="G291" s="9"/>
      <c r="H291" s="10">
        <f t="shared" si="72"/>
        <v>1155.5</v>
      </c>
      <c r="I291" s="8">
        <f>IFERROR(H291/H445, "NA")</f>
        <v>-3.5672156978483416E-2</v>
      </c>
      <c r="J291" s="9"/>
      <c r="K291" s="7">
        <v>1058.55</v>
      </c>
      <c r="L291" s="8">
        <f>IFERROR(K291/K445, "NA")</f>
        <v>5.9940061637103479E-3</v>
      </c>
      <c r="M291" s="9"/>
      <c r="N291" s="10">
        <f t="shared" si="73"/>
        <v>1058.55</v>
      </c>
      <c r="O291" s="8">
        <f>IFERROR(N291/N445, "NA")</f>
        <v>-6.4507224041258263E-2</v>
      </c>
      <c r="P291" s="9"/>
      <c r="Q291" s="7">
        <v>3526.5</v>
      </c>
      <c r="R291" s="8">
        <f>IFERROR(Q291/Q445, "NA")</f>
        <v>3.8044338262400879E-3</v>
      </c>
      <c r="S291" s="9"/>
      <c r="T291" s="7">
        <v>5516.86</v>
      </c>
      <c r="U291" s="8">
        <f>IFERROR(T291/T445, "NA")</f>
        <v>5.7473559876790722E-3</v>
      </c>
      <c r="V291" s="9"/>
      <c r="W291" s="10">
        <f t="shared" si="74"/>
        <v>1990.3599999999997</v>
      </c>
      <c r="X291" s="8">
        <f>IFERROR(W291/W445, "NA")</f>
        <v>-6.0404472885725015E-2</v>
      </c>
      <c r="Y291" s="9"/>
      <c r="Z291" s="7">
        <v>6625.04</v>
      </c>
      <c r="AA291" s="8">
        <f>IFERROR(Z291/Z445, "NA")</f>
        <v>7.4258400681653253E-3</v>
      </c>
      <c r="AB291" s="9"/>
      <c r="AC291" s="10">
        <f t="shared" si="75"/>
        <v>3098.54</v>
      </c>
      <c r="AD291" s="8">
        <f>IFERROR(AC291/AC445, "NA")</f>
        <v>8.9078386243036281E-2</v>
      </c>
    </row>
    <row r="292" spans="1:30" ht="16.5" customHeight="1" x14ac:dyDescent="0.45">
      <c r="A292" s="6" t="s">
        <v>265</v>
      </c>
      <c r="B292" s="7">
        <v>1980.28</v>
      </c>
      <c r="C292" s="8">
        <f>IFERROR(B292/B445, "NA")</f>
        <v>1.2361944253891416E-2</v>
      </c>
      <c r="D292" s="9"/>
      <c r="E292" s="7">
        <v>962.92</v>
      </c>
      <c r="F292" s="8">
        <f>IFERROR(E292/E445, "NA")</f>
        <v>5.0000041540349391E-3</v>
      </c>
      <c r="G292" s="9"/>
      <c r="H292" s="10">
        <f t="shared" si="72"/>
        <v>-1017.36</v>
      </c>
      <c r="I292" s="8">
        <f>IFERROR(H292/H445, "NA")</f>
        <v>3.1407551383496227E-2</v>
      </c>
      <c r="J292" s="9"/>
      <c r="K292" s="7">
        <v>860.72</v>
      </c>
      <c r="L292" s="8">
        <f>IFERROR(K292/K445, "NA")</f>
        <v>4.8737999954926751E-3</v>
      </c>
      <c r="M292" s="9"/>
      <c r="N292" s="10">
        <f t="shared" si="73"/>
        <v>-1119.56</v>
      </c>
      <c r="O292" s="8">
        <f>IFERROR(N292/N445, "NA")</f>
        <v>6.8225126586019647E-2</v>
      </c>
      <c r="P292" s="9"/>
      <c r="Q292" s="7">
        <v>7070.61</v>
      </c>
      <c r="R292" s="8">
        <f>IFERROR(Q292/Q445, "NA")</f>
        <v>7.6278655483202687E-3</v>
      </c>
      <c r="S292" s="9"/>
      <c r="T292" s="7">
        <v>4799.47</v>
      </c>
      <c r="U292" s="8">
        <f>IFERROR(T292/T445, "NA")</f>
        <v>4.9999932284281422E-3</v>
      </c>
      <c r="V292" s="9"/>
      <c r="W292" s="10">
        <f t="shared" si="74"/>
        <v>-2271.1399999999994</v>
      </c>
      <c r="X292" s="8">
        <f>IFERROR(W292/W445, "NA")</f>
        <v>6.8925729290020651E-2</v>
      </c>
      <c r="Y292" s="9"/>
      <c r="Z292" s="7">
        <v>7193.47</v>
      </c>
      <c r="AA292" s="8">
        <f>IFERROR(Z292/Z445, "NA")</f>
        <v>8.0629789035455233E-3</v>
      </c>
      <c r="AB292" s="9"/>
      <c r="AC292" s="10">
        <f t="shared" si="75"/>
        <v>122.86000000000058</v>
      </c>
      <c r="AD292" s="8">
        <f>IFERROR(AC292/AC445, "NA")</f>
        <v>3.5320410689613463E-3</v>
      </c>
    </row>
    <row r="293" spans="1:30" ht="16.5" customHeight="1" x14ac:dyDescent="0.45">
      <c r="A293" s="6" t="s">
        <v>266</v>
      </c>
      <c r="B293" s="7">
        <v>0</v>
      </c>
      <c r="C293" s="8">
        <f>IFERROR(B293/B445, "NA")</f>
        <v>0</v>
      </c>
      <c r="D293" s="9"/>
      <c r="E293" s="7">
        <v>192.58</v>
      </c>
      <c r="F293" s="8">
        <f>IFERROR(E293/E445, "NA")</f>
        <v>9.9998006063229403E-4</v>
      </c>
      <c r="G293" s="9"/>
      <c r="H293" s="10">
        <f t="shared" si="72"/>
        <v>192.58</v>
      </c>
      <c r="I293" s="8">
        <f>IFERROR(H293/H445, "NA")</f>
        <v>-5.9452565910137053E-3</v>
      </c>
      <c r="J293" s="9"/>
      <c r="K293" s="7">
        <v>0</v>
      </c>
      <c r="L293" s="8">
        <f>IFERROR(K293/K445, "NA")</f>
        <v>0</v>
      </c>
      <c r="M293" s="9"/>
      <c r="N293" s="10">
        <f t="shared" si="73"/>
        <v>0</v>
      </c>
      <c r="O293" s="8">
        <f>IFERROR(N293/N445, "NA")</f>
        <v>0</v>
      </c>
      <c r="P293" s="9"/>
      <c r="Q293" s="7">
        <v>804.07</v>
      </c>
      <c r="R293" s="8">
        <f>IFERROR(Q293/Q445, "NA")</f>
        <v>8.6744111914500717E-4</v>
      </c>
      <c r="S293" s="9"/>
      <c r="T293" s="7">
        <v>959.89</v>
      </c>
      <c r="U293" s="8">
        <f>IFERROR(T293/T445, "NA")</f>
        <v>9.9999447856448506E-4</v>
      </c>
      <c r="V293" s="9"/>
      <c r="W293" s="10">
        <f t="shared" si="74"/>
        <v>155.81999999999994</v>
      </c>
      <c r="X293" s="8">
        <f>IFERROR(W293/W445, "NA")</f>
        <v>-4.72890580852392E-3</v>
      </c>
      <c r="Y293" s="9"/>
      <c r="Z293" s="7">
        <v>681.63</v>
      </c>
      <c r="AA293" s="8">
        <f>IFERROR(Z293/Z445, "NA")</f>
        <v>7.6402185732667746E-4</v>
      </c>
      <c r="AB293" s="9"/>
      <c r="AC293" s="10">
        <f t="shared" si="75"/>
        <v>-122.44000000000005</v>
      </c>
      <c r="AD293" s="8">
        <f>IFERROR(AC293/AC445, "NA")</f>
        <v>-3.5199666977342127E-3</v>
      </c>
    </row>
    <row r="294" spans="1:30" ht="16.5" customHeight="1" x14ac:dyDescent="0.45">
      <c r="A294" s="6" t="s">
        <v>267</v>
      </c>
      <c r="B294" s="7">
        <v>662.88</v>
      </c>
      <c r="C294" s="8">
        <f>IFERROR(B294/B445, "NA")</f>
        <v>4.1380439165267244E-3</v>
      </c>
      <c r="D294" s="9"/>
      <c r="E294" s="7">
        <v>288.88</v>
      </c>
      <c r="F294" s="8">
        <f>IFERROR(E294/E445, "NA")</f>
        <v>1.5000220163851755E-3</v>
      </c>
      <c r="G294" s="9"/>
      <c r="H294" s="10">
        <f t="shared" si="72"/>
        <v>-374</v>
      </c>
      <c r="I294" s="8">
        <f>IFERROR(H294/H445, "NA")</f>
        <v>1.1545985902165986E-2</v>
      </c>
      <c r="J294" s="9"/>
      <c r="K294" s="7">
        <v>375.22</v>
      </c>
      <c r="L294" s="8">
        <f>IFERROR(K294/K445, "NA")</f>
        <v>2.1246714777265097E-3</v>
      </c>
      <c r="M294" s="9"/>
      <c r="N294" s="10">
        <f t="shared" si="73"/>
        <v>-287.65999999999997</v>
      </c>
      <c r="O294" s="8">
        <f>IFERROR(N294/N445, "NA")</f>
        <v>1.7529779479201126E-2</v>
      </c>
      <c r="P294" s="9"/>
      <c r="Q294" s="7">
        <v>872.84</v>
      </c>
      <c r="R294" s="8">
        <f>IFERROR(Q294/Q445, "NA")</f>
        <v>9.4163108489873763E-4</v>
      </c>
      <c r="S294" s="9"/>
      <c r="T294" s="7">
        <v>1439.84</v>
      </c>
      <c r="U294" s="8">
        <f>IFERROR(T294/T445, "NA")</f>
        <v>1.4999969267481567E-3</v>
      </c>
      <c r="V294" s="9"/>
      <c r="W294" s="10">
        <f t="shared" si="74"/>
        <v>566.99999999999989</v>
      </c>
      <c r="X294" s="8">
        <f>IFERROR(W294/W445, "NA")</f>
        <v>-1.7207608737216423E-2</v>
      </c>
      <c r="Y294" s="9"/>
      <c r="Z294" s="7">
        <v>825.43</v>
      </c>
      <c r="AA294" s="8">
        <f>IFERROR(Z294/Z445, "NA")</f>
        <v>9.2520364668978667E-4</v>
      </c>
      <c r="AB294" s="9"/>
      <c r="AC294" s="10">
        <f t="shared" si="75"/>
        <v>-47.410000000000082</v>
      </c>
      <c r="AD294" s="8">
        <f>IFERROR(AC294/AC445, "NA")</f>
        <v>-1.3629665235182886E-3</v>
      </c>
    </row>
    <row r="295" spans="1:30" ht="16.5" customHeight="1" x14ac:dyDescent="0.45">
      <c r="A295" s="6" t="s">
        <v>268</v>
      </c>
      <c r="B295" s="7">
        <v>300</v>
      </c>
      <c r="C295" s="8">
        <f>IFERROR(B295/B445, "NA")</f>
        <v>1.8727570223238256E-3</v>
      </c>
      <c r="D295" s="9"/>
      <c r="E295" s="7">
        <v>311</v>
      </c>
      <c r="F295" s="8">
        <f>IFERROR(E295/E445, "NA")</f>
        <v>1.6148810824418082E-3</v>
      </c>
      <c r="G295" s="9"/>
      <c r="H295" s="10">
        <f t="shared" si="72"/>
        <v>11</v>
      </c>
      <c r="I295" s="8">
        <f>IFERROR(H295/H445, "NA")</f>
        <v>-3.395878206519408E-4</v>
      </c>
      <c r="J295" s="9"/>
      <c r="K295" s="7">
        <v>325</v>
      </c>
      <c r="L295" s="8">
        <f>IFERROR(K295/K445, "NA")</f>
        <v>1.8403023033450126E-3</v>
      </c>
      <c r="M295" s="9"/>
      <c r="N295" s="10">
        <f t="shared" si="73"/>
        <v>25</v>
      </c>
      <c r="O295" s="8">
        <f>IFERROR(N295/N445, "NA")</f>
        <v>-1.5234808001808669E-3</v>
      </c>
      <c r="P295" s="9"/>
      <c r="Q295" s="7">
        <v>1499.97</v>
      </c>
      <c r="R295" s="8">
        <f>IFERROR(Q295/Q445, "NA")</f>
        <v>1.6181870427748035E-3</v>
      </c>
      <c r="S295" s="9"/>
      <c r="T295" s="7">
        <v>1555</v>
      </c>
      <c r="U295" s="8">
        <f>IFERROR(T295/T445, "NA")</f>
        <v>1.6199683444642348E-3</v>
      </c>
      <c r="V295" s="9"/>
      <c r="W295" s="10">
        <f t="shared" si="74"/>
        <v>55.029999999999973</v>
      </c>
      <c r="X295" s="8">
        <f>IFERROR(W295/W445, "NA")</f>
        <v>-1.6700788515150256E-3</v>
      </c>
      <c r="Y295" s="9"/>
      <c r="Z295" s="7">
        <v>1838.98</v>
      </c>
      <c r="AA295" s="8">
        <f>IFERROR(Z295/Z445, "NA")</f>
        <v>2.0612662517591851E-3</v>
      </c>
      <c r="AB295" s="9"/>
      <c r="AC295" s="10">
        <f t="shared" si="75"/>
        <v>339.01</v>
      </c>
      <c r="AD295" s="8">
        <f>IFERROR(AC295/AC445, "NA")</f>
        <v>9.746029975489014E-3</v>
      </c>
    </row>
    <row r="296" spans="1:30" ht="16.5" customHeight="1" x14ac:dyDescent="0.45">
      <c r="A296" s="19" t="s">
        <v>269</v>
      </c>
      <c r="B296" s="14">
        <f>IFERROR(B287+B288+B289+B290+B291+B292+B293+B294+B295, "NA")</f>
        <v>3594.8500000000004</v>
      </c>
      <c r="C296" s="15">
        <f>IFERROR(B296/B445, "NA")</f>
        <v>2.2440935272336017E-2</v>
      </c>
      <c r="D296" s="2"/>
      <c r="E296" s="14">
        <f>IFERROR(E287+E288+E289+E290+E291+E292+E293+E294+E295, "NA")</f>
        <v>3303.88</v>
      </c>
      <c r="F296" s="15">
        <f>IFERROR(E296/E445, "NA")</f>
        <v>1.7155541191825857E-2</v>
      </c>
      <c r="G296" s="2"/>
      <c r="H296" s="14">
        <f t="shared" si="72"/>
        <v>-290.97000000000025</v>
      </c>
      <c r="I296" s="15">
        <f>IFERROR(H296/H445, "NA")</f>
        <v>8.9827152886450268E-3</v>
      </c>
      <c r="J296" s="2"/>
      <c r="K296" s="14">
        <f>IFERROR(K287+K288+K289+K290+K291+K292+K293+K294+K295, "NA")</f>
        <v>2995.3199999999997</v>
      </c>
      <c r="L296" s="15">
        <f>IFERROR(K296/K445, "NA")</f>
        <v>1.6960905523862715E-2</v>
      </c>
      <c r="M296" s="2"/>
      <c r="N296" s="14">
        <f t="shared" si="73"/>
        <v>-599.53000000000065</v>
      </c>
      <c r="O296" s="15">
        <f>IFERROR(N296/N445, "NA")</f>
        <v>3.6534897765297447E-2</v>
      </c>
      <c r="P296" s="2"/>
      <c r="Q296" s="14">
        <f>IFERROR(Q287+Q288+Q289+Q290+Q291+Q292+Q293+Q294+Q295, "NA")</f>
        <v>16045.31</v>
      </c>
      <c r="R296" s="15">
        <f>IFERROR(Q296/Q445, "NA")</f>
        <v>1.7309888023963802E-2</v>
      </c>
      <c r="S296" s="2"/>
      <c r="T296" s="14">
        <f>IFERROR(T287+T288+T289+T290+T291+T292+T293+T294+T295, "NA")</f>
        <v>16236.06</v>
      </c>
      <c r="U296" s="15">
        <f>IFERROR(T296/T445, "NA")</f>
        <v>1.6914407227538251E-2</v>
      </c>
      <c r="V296" s="2"/>
      <c r="W296" s="14">
        <f t="shared" si="74"/>
        <v>190.75</v>
      </c>
      <c r="X296" s="15">
        <f>IFERROR(W296/W445, "NA")</f>
        <v>-5.7889794825820694E-3</v>
      </c>
      <c r="Y296" s="2"/>
      <c r="Z296" s="14">
        <f>IFERROR(Z287+Z288+Z289+Z290+Z291+Z292+Z293+Z294+Z295, "NA")</f>
        <v>18999.3</v>
      </c>
      <c r="AA296" s="15">
        <f>IFERROR(Z296/Z445, "NA")</f>
        <v>2.1295835679043969E-2</v>
      </c>
      <c r="AB296" s="2"/>
      <c r="AC296" s="14">
        <f t="shared" si="75"/>
        <v>2953.99</v>
      </c>
      <c r="AD296" s="15">
        <f>IFERROR(AC296/AC445, "NA")</f>
        <v>8.4922790145703059E-2</v>
      </c>
    </row>
    <row r="297" spans="1:30" ht="16.5" customHeight="1" x14ac:dyDescent="0.45">
      <c r="A297" s="5" t="s">
        <v>270</v>
      </c>
      <c r="B297" s="2"/>
      <c r="C297" s="3"/>
      <c r="D297" s="4"/>
      <c r="E297" s="2"/>
      <c r="F297" s="3"/>
      <c r="G297" s="4"/>
      <c r="H297" s="2"/>
      <c r="I297" s="3"/>
      <c r="J297" s="4"/>
      <c r="K297" s="2"/>
      <c r="L297" s="3"/>
      <c r="M297" s="4"/>
      <c r="N297" s="2"/>
      <c r="O297" s="3"/>
      <c r="P297" s="4"/>
      <c r="Q297" s="2"/>
      <c r="R297" s="3"/>
      <c r="S297" s="4"/>
      <c r="T297" s="2"/>
      <c r="U297" s="3"/>
      <c r="V297" s="4"/>
      <c r="W297" s="2"/>
      <c r="X297" s="3"/>
      <c r="Y297" s="4"/>
      <c r="Z297" s="2"/>
      <c r="AA297" s="3"/>
      <c r="AB297" s="4"/>
      <c r="AC297" s="2"/>
      <c r="AD297" s="3"/>
    </row>
    <row r="298" spans="1:30" ht="16.5" hidden="1" customHeight="1" x14ac:dyDescent="0.45">
      <c r="A298" s="6" t="s">
        <v>270</v>
      </c>
      <c r="B298" s="7">
        <v>0</v>
      </c>
      <c r="C298" s="8">
        <f>IFERROR(B298/B445, "NA")</f>
        <v>0</v>
      </c>
      <c r="D298" s="9"/>
      <c r="E298" s="7">
        <v>0</v>
      </c>
      <c r="F298" s="8">
        <f>IFERROR(E298/E445, "NA")</f>
        <v>0</v>
      </c>
      <c r="G298" s="9"/>
      <c r="H298" s="10">
        <f t="shared" ref="H298:H326" si="76">IFERROR(-(B298-E298), "NA")</f>
        <v>0</v>
      </c>
      <c r="I298" s="8">
        <f>IFERROR(H298/H445, "NA")</f>
        <v>0</v>
      </c>
      <c r="J298" s="9"/>
      <c r="K298" s="7">
        <v>0</v>
      </c>
      <c r="L298" s="8">
        <f>IFERROR(K298/K445, "NA")</f>
        <v>0</v>
      </c>
      <c r="M298" s="9"/>
      <c r="N298" s="10">
        <f t="shared" ref="N298:N326" si="77">IFERROR(-(B298-K298), "NA")</f>
        <v>0</v>
      </c>
      <c r="O298" s="8">
        <f>IFERROR(N298/N445, "NA")</f>
        <v>0</v>
      </c>
      <c r="P298" s="9"/>
      <c r="Q298" s="7">
        <v>0</v>
      </c>
      <c r="R298" s="8">
        <f>IFERROR(Q298/Q445, "NA")</f>
        <v>0</v>
      </c>
      <c r="S298" s="9"/>
      <c r="T298" s="7">
        <v>0</v>
      </c>
      <c r="U298" s="8">
        <f>IFERROR(T298/T445, "NA")</f>
        <v>0</v>
      </c>
      <c r="V298" s="9"/>
      <c r="W298" s="10">
        <f t="shared" ref="W298:W326" si="78">IFERROR(-(Q298-T298), "NA")</f>
        <v>0</v>
      </c>
      <c r="X298" s="8">
        <f>IFERROR(W298/W445, "NA")</f>
        <v>0</v>
      </c>
      <c r="Y298" s="9"/>
      <c r="Z298" s="7">
        <v>0</v>
      </c>
      <c r="AA298" s="8">
        <f>IFERROR(Z298/Z445, "NA")</f>
        <v>0</v>
      </c>
      <c r="AB298" s="9"/>
      <c r="AC298" s="10">
        <f t="shared" ref="AC298:AC326" si="79">IFERROR(-(Q298-Z298), "NA")</f>
        <v>0</v>
      </c>
      <c r="AD298" s="8">
        <f>IFERROR(AC298/AC445,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IFERROR(B299/B445, "NA")</f>
        <v>0</v>
      </c>
      <c r="D299" s="9"/>
      <c r="E299" s="7">
        <v>0</v>
      </c>
      <c r="F299" s="8">
        <f>IFERROR(E299/E445, "NA")</f>
        <v>0</v>
      </c>
      <c r="G299" s="9"/>
      <c r="H299" s="10">
        <f t="shared" si="76"/>
        <v>0</v>
      </c>
      <c r="I299" s="8">
        <f>IFERROR(H299/H445, "NA")</f>
        <v>0</v>
      </c>
      <c r="J299" s="9"/>
      <c r="K299" s="7">
        <v>0</v>
      </c>
      <c r="L299" s="8">
        <f>IFERROR(K299/K445, "NA")</f>
        <v>0</v>
      </c>
      <c r="M299" s="9"/>
      <c r="N299" s="10">
        <f t="shared" si="77"/>
        <v>0</v>
      </c>
      <c r="O299" s="8">
        <f>IFERROR(N299/N445, "NA")</f>
        <v>0</v>
      </c>
      <c r="P299" s="9"/>
      <c r="Q299" s="7">
        <v>0</v>
      </c>
      <c r="R299" s="8">
        <f>IFERROR(Q299/Q445, "NA")</f>
        <v>0</v>
      </c>
      <c r="S299" s="9"/>
      <c r="T299" s="7">
        <v>0</v>
      </c>
      <c r="U299" s="8">
        <f>IFERROR(T299/T445, "NA")</f>
        <v>0</v>
      </c>
      <c r="V299" s="9"/>
      <c r="W299" s="10">
        <f t="shared" si="78"/>
        <v>0</v>
      </c>
      <c r="X299" s="8">
        <f>IFERROR(W299/W445, "NA")</f>
        <v>0</v>
      </c>
      <c r="Y299" s="9"/>
      <c r="Z299" s="7">
        <v>0</v>
      </c>
      <c r="AA299" s="8">
        <f>IFERROR(Z299/Z445, "NA")</f>
        <v>0</v>
      </c>
      <c r="AB299" s="9"/>
      <c r="AC299" s="10">
        <f t="shared" si="79"/>
        <v>0</v>
      </c>
      <c r="AD299" s="8">
        <f>IFERROR(AC299/AC445, "NA")</f>
        <v>0</v>
      </c>
    </row>
    <row r="300" spans="1:30" ht="16.5" customHeight="1" x14ac:dyDescent="0.45">
      <c r="A300" s="6" t="s">
        <v>272</v>
      </c>
      <c r="B300" s="7">
        <v>2556.77</v>
      </c>
      <c r="C300" s="8">
        <f>IFERROR(B300/B445, "NA")</f>
        <v>1.5960696573222959E-2</v>
      </c>
      <c r="D300" s="9"/>
      <c r="E300" s="7">
        <v>517</v>
      </c>
      <c r="F300" s="8">
        <f>IFERROR(E300/E445, "NA")</f>
        <v>2.684545079171752E-3</v>
      </c>
      <c r="G300" s="9"/>
      <c r="H300" s="10">
        <f t="shared" si="76"/>
        <v>-2039.77</v>
      </c>
      <c r="I300" s="8">
        <f>IFERROR(H300/H445, "NA")</f>
        <v>6.2971004448291748E-2</v>
      </c>
      <c r="J300" s="9"/>
      <c r="K300" s="7">
        <v>1088.8599999999999</v>
      </c>
      <c r="L300" s="8">
        <f>IFERROR(K300/K445, "NA")</f>
        <v>6.1656355877546158E-3</v>
      </c>
      <c r="M300" s="9"/>
      <c r="N300" s="10">
        <f t="shared" si="77"/>
        <v>-1467.91</v>
      </c>
      <c r="O300" s="8">
        <f>IFERROR(N300/N445, "NA")</f>
        <v>8.9453308055739852E-2</v>
      </c>
      <c r="P300" s="9"/>
      <c r="Q300" s="7">
        <v>4658.74</v>
      </c>
      <c r="R300" s="8">
        <f>IFERROR(Q300/Q445, "NA")</f>
        <v>5.025908987284204E-3</v>
      </c>
      <c r="S300" s="9"/>
      <c r="T300" s="7">
        <v>2585</v>
      </c>
      <c r="U300" s="8">
        <f>IFERROR(T300/T445, "NA")</f>
        <v>2.6930020388681972E-3</v>
      </c>
      <c r="V300" s="9"/>
      <c r="W300" s="10">
        <f t="shared" si="78"/>
        <v>-2073.7399999999998</v>
      </c>
      <c r="X300" s="8">
        <f>IFERROR(W300/W445, "NA")</f>
        <v>6.2934932174100858E-2</v>
      </c>
      <c r="Y300" s="9"/>
      <c r="Z300" s="7">
        <v>4326.16</v>
      </c>
      <c r="AA300" s="8">
        <f>IFERROR(Z300/Z445, "NA")</f>
        <v>4.849083517879757E-3</v>
      </c>
      <c r="AB300" s="9"/>
      <c r="AC300" s="10">
        <f t="shared" si="79"/>
        <v>-332.57999999999993</v>
      </c>
      <c r="AD300" s="8">
        <f>IFERROR(AC300/AC445, "NA")</f>
        <v>-9.5611771017024144E-3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IFERROR(B301/B445, "NA")</f>
        <v>0</v>
      </c>
      <c r="D301" s="9"/>
      <c r="E301" s="7">
        <v>0</v>
      </c>
      <c r="F301" s="8">
        <f>IFERROR(E301/E445, "NA")</f>
        <v>0</v>
      </c>
      <c r="G301" s="9"/>
      <c r="H301" s="10">
        <f t="shared" si="76"/>
        <v>0</v>
      </c>
      <c r="I301" s="8">
        <f>IFERROR(H301/H445, "NA")</f>
        <v>0</v>
      </c>
      <c r="J301" s="9"/>
      <c r="K301" s="7">
        <v>0</v>
      </c>
      <c r="L301" s="8">
        <f>IFERROR(K301/K445, "NA")</f>
        <v>0</v>
      </c>
      <c r="M301" s="9"/>
      <c r="N301" s="10">
        <f t="shared" si="77"/>
        <v>0</v>
      </c>
      <c r="O301" s="8">
        <f>IFERROR(N301/N445, "NA")</f>
        <v>0</v>
      </c>
      <c r="P301" s="9"/>
      <c r="Q301" s="7">
        <v>0</v>
      </c>
      <c r="R301" s="8">
        <f>IFERROR(Q301/Q445, "NA")</f>
        <v>0</v>
      </c>
      <c r="S301" s="9"/>
      <c r="T301" s="7">
        <v>0</v>
      </c>
      <c r="U301" s="8">
        <f>IFERROR(T301/T445, "NA")</f>
        <v>0</v>
      </c>
      <c r="V301" s="9"/>
      <c r="W301" s="10">
        <f t="shared" si="78"/>
        <v>0</v>
      </c>
      <c r="X301" s="8">
        <f>IFERROR(W301/W445, "NA")</f>
        <v>0</v>
      </c>
      <c r="Y301" s="9"/>
      <c r="Z301" s="7">
        <v>0</v>
      </c>
      <c r="AA301" s="8">
        <f>IFERROR(Z301/Z445, "NA")</f>
        <v>0</v>
      </c>
      <c r="AB301" s="9"/>
      <c r="AC301" s="10">
        <f t="shared" si="79"/>
        <v>0</v>
      </c>
      <c r="AD301" s="8">
        <f>IFERROR(AC301/AC445,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IFERROR(B302/B445, "NA")</f>
        <v>0</v>
      </c>
      <c r="D302" s="9"/>
      <c r="E302" s="7">
        <v>0</v>
      </c>
      <c r="F302" s="8">
        <f>IFERROR(E302/E445, "NA")</f>
        <v>0</v>
      </c>
      <c r="G302" s="9"/>
      <c r="H302" s="10">
        <f t="shared" si="76"/>
        <v>0</v>
      </c>
      <c r="I302" s="8">
        <f>IFERROR(H302/H445, "NA")</f>
        <v>0</v>
      </c>
      <c r="J302" s="9"/>
      <c r="K302" s="7">
        <v>0</v>
      </c>
      <c r="L302" s="8">
        <f>IFERROR(K302/K445, "NA")</f>
        <v>0</v>
      </c>
      <c r="M302" s="9"/>
      <c r="N302" s="10">
        <f t="shared" si="77"/>
        <v>0</v>
      </c>
      <c r="O302" s="8">
        <f>IFERROR(N302/N445, "NA")</f>
        <v>0</v>
      </c>
      <c r="P302" s="9"/>
      <c r="Q302" s="7">
        <v>0</v>
      </c>
      <c r="R302" s="8">
        <f>IFERROR(Q302/Q445, "NA")</f>
        <v>0</v>
      </c>
      <c r="S302" s="9"/>
      <c r="T302" s="7">
        <v>0</v>
      </c>
      <c r="U302" s="8">
        <f>IFERROR(T302/T445, "NA")</f>
        <v>0</v>
      </c>
      <c r="V302" s="9"/>
      <c r="W302" s="10">
        <f t="shared" si="78"/>
        <v>0</v>
      </c>
      <c r="X302" s="8">
        <f>IFERROR(W302/W445, "NA")</f>
        <v>0</v>
      </c>
      <c r="Y302" s="9"/>
      <c r="Z302" s="7">
        <v>0</v>
      </c>
      <c r="AA302" s="8">
        <f>IFERROR(Z302/Z445, "NA")</f>
        <v>0</v>
      </c>
      <c r="AB302" s="9"/>
      <c r="AC302" s="10">
        <f t="shared" si="79"/>
        <v>0</v>
      </c>
      <c r="AD302" s="8">
        <f>IFERROR(AC302/AC445,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IFERROR(B303/B445, "NA")</f>
        <v>0</v>
      </c>
      <c r="D303" s="9"/>
      <c r="E303" s="7">
        <v>0</v>
      </c>
      <c r="F303" s="8">
        <f>IFERROR(E303/E445, "NA")</f>
        <v>0</v>
      </c>
      <c r="G303" s="9"/>
      <c r="H303" s="10">
        <f t="shared" si="76"/>
        <v>0</v>
      </c>
      <c r="I303" s="8">
        <f>IFERROR(H303/H445, "NA")</f>
        <v>0</v>
      </c>
      <c r="J303" s="9"/>
      <c r="K303" s="7">
        <v>0</v>
      </c>
      <c r="L303" s="8">
        <f>IFERROR(K303/K445, "NA")</f>
        <v>0</v>
      </c>
      <c r="M303" s="9"/>
      <c r="N303" s="10">
        <f t="shared" si="77"/>
        <v>0</v>
      </c>
      <c r="O303" s="8">
        <f>IFERROR(N303/N445, "NA")</f>
        <v>0</v>
      </c>
      <c r="P303" s="9"/>
      <c r="Q303" s="7">
        <v>0</v>
      </c>
      <c r="R303" s="8">
        <f>IFERROR(Q303/Q445, "NA")</f>
        <v>0</v>
      </c>
      <c r="S303" s="9"/>
      <c r="T303" s="7">
        <v>0</v>
      </c>
      <c r="U303" s="8">
        <f>IFERROR(T303/T445, "NA")</f>
        <v>0</v>
      </c>
      <c r="V303" s="9"/>
      <c r="W303" s="10">
        <f t="shared" si="78"/>
        <v>0</v>
      </c>
      <c r="X303" s="8">
        <f>IFERROR(W303/W445, "NA")</f>
        <v>0</v>
      </c>
      <c r="Y303" s="9"/>
      <c r="Z303" s="7">
        <v>0</v>
      </c>
      <c r="AA303" s="8">
        <f>IFERROR(Z303/Z445, "NA")</f>
        <v>0</v>
      </c>
      <c r="AB303" s="9"/>
      <c r="AC303" s="10">
        <f t="shared" si="79"/>
        <v>0</v>
      </c>
      <c r="AD303" s="8">
        <f>IFERROR(AC303/AC445,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IFERROR(B304/B445, "NA")</f>
        <v>0</v>
      </c>
      <c r="D304" s="9"/>
      <c r="E304" s="7">
        <v>0</v>
      </c>
      <c r="F304" s="8">
        <f>IFERROR(E304/E445, "NA")</f>
        <v>0</v>
      </c>
      <c r="G304" s="9"/>
      <c r="H304" s="10">
        <f t="shared" si="76"/>
        <v>0</v>
      </c>
      <c r="I304" s="8">
        <f>IFERROR(H304/H445, "NA")</f>
        <v>0</v>
      </c>
      <c r="J304" s="9"/>
      <c r="K304" s="7">
        <v>0</v>
      </c>
      <c r="L304" s="8">
        <f>IFERROR(K304/K445, "NA")</f>
        <v>0</v>
      </c>
      <c r="M304" s="9"/>
      <c r="N304" s="10">
        <f t="shared" si="77"/>
        <v>0</v>
      </c>
      <c r="O304" s="8">
        <f>IFERROR(N304/N445, "NA")</f>
        <v>0</v>
      </c>
      <c r="P304" s="9"/>
      <c r="Q304" s="7">
        <v>0</v>
      </c>
      <c r="R304" s="8">
        <f>IFERROR(Q304/Q445, "NA")</f>
        <v>0</v>
      </c>
      <c r="S304" s="9"/>
      <c r="T304" s="7">
        <v>0</v>
      </c>
      <c r="U304" s="8">
        <f>IFERROR(T304/T445, "NA")</f>
        <v>0</v>
      </c>
      <c r="V304" s="9"/>
      <c r="W304" s="10">
        <f t="shared" si="78"/>
        <v>0</v>
      </c>
      <c r="X304" s="8">
        <f>IFERROR(W304/W445, "NA")</f>
        <v>0</v>
      </c>
      <c r="Y304" s="9"/>
      <c r="Z304" s="7">
        <v>0</v>
      </c>
      <c r="AA304" s="8">
        <f>IFERROR(Z304/Z445, "NA")</f>
        <v>0</v>
      </c>
      <c r="AB304" s="9"/>
      <c r="AC304" s="10">
        <f t="shared" si="79"/>
        <v>0</v>
      </c>
      <c r="AD304" s="8">
        <f>IFERROR(AC304/AC445, "NA")</f>
        <v>0</v>
      </c>
    </row>
    <row r="305" spans="1:30" ht="16.5" customHeight="1" x14ac:dyDescent="0.45">
      <c r="A305" s="6" t="s">
        <v>277</v>
      </c>
      <c r="B305" s="7">
        <v>55</v>
      </c>
      <c r="C305" s="8">
        <f>IFERROR(B305/B445, "NA")</f>
        <v>3.4333878742603469E-4</v>
      </c>
      <c r="D305" s="9"/>
      <c r="E305" s="7">
        <v>0</v>
      </c>
      <c r="F305" s="8">
        <f>IFERROR(E305/E445, "NA")</f>
        <v>0</v>
      </c>
      <c r="G305" s="9"/>
      <c r="H305" s="10">
        <f t="shared" si="76"/>
        <v>-55</v>
      </c>
      <c r="I305" s="8">
        <f>IFERROR(H305/H445, "NA")</f>
        <v>1.6979391032597038E-3</v>
      </c>
      <c r="J305" s="9"/>
      <c r="K305" s="7">
        <v>0</v>
      </c>
      <c r="L305" s="8">
        <f>IFERROR(K305/K445, "NA")</f>
        <v>0</v>
      </c>
      <c r="M305" s="9"/>
      <c r="N305" s="10">
        <f t="shared" si="77"/>
        <v>-55</v>
      </c>
      <c r="O305" s="8">
        <f>IFERROR(N305/N445, "NA")</f>
        <v>3.351657760397907E-3</v>
      </c>
      <c r="P305" s="9"/>
      <c r="Q305" s="7">
        <v>515</v>
      </c>
      <c r="R305" s="8">
        <f>IFERROR(Q305/Q445, "NA")</f>
        <v>5.5558866312594509E-4</v>
      </c>
      <c r="S305" s="9"/>
      <c r="T305" s="7">
        <v>0</v>
      </c>
      <c r="U305" s="8">
        <f>IFERROR(T305/T445, "NA")</f>
        <v>0</v>
      </c>
      <c r="V305" s="9"/>
      <c r="W305" s="10">
        <f t="shared" si="78"/>
        <v>-515</v>
      </c>
      <c r="X305" s="8">
        <f>IFERROR(W305/W445, "NA")</f>
        <v>1.5629485890064302E-2</v>
      </c>
      <c r="Y305" s="9"/>
      <c r="Z305" s="7">
        <v>0</v>
      </c>
      <c r="AA305" s="8">
        <f>IFERROR(Z305/Z445, "NA")</f>
        <v>0</v>
      </c>
      <c r="AB305" s="9"/>
      <c r="AC305" s="10">
        <f t="shared" si="79"/>
        <v>-515</v>
      </c>
      <c r="AD305" s="8">
        <f>IFERROR(AC305/AC445, "NA")</f>
        <v>-1.4805479004680813E-2</v>
      </c>
    </row>
    <row r="306" spans="1:30" ht="16.5" customHeight="1" x14ac:dyDescent="0.45">
      <c r="A306" s="6" t="s">
        <v>278</v>
      </c>
      <c r="B306" s="7">
        <v>0</v>
      </c>
      <c r="C306" s="8">
        <f>IFERROR(B306/B445, "NA")</f>
        <v>0</v>
      </c>
      <c r="D306" s="9"/>
      <c r="E306" s="7">
        <v>0</v>
      </c>
      <c r="F306" s="8">
        <f>IFERROR(E306/E445, "NA")</f>
        <v>0</v>
      </c>
      <c r="G306" s="9"/>
      <c r="H306" s="10">
        <f t="shared" si="76"/>
        <v>0</v>
      </c>
      <c r="I306" s="8">
        <f>IFERROR(H306/H445, "NA")</f>
        <v>0</v>
      </c>
      <c r="J306" s="9"/>
      <c r="K306" s="7">
        <v>0</v>
      </c>
      <c r="L306" s="8">
        <f>IFERROR(K306/K445, "NA")</f>
        <v>0</v>
      </c>
      <c r="M306" s="9"/>
      <c r="N306" s="10">
        <f t="shared" si="77"/>
        <v>0</v>
      </c>
      <c r="O306" s="8">
        <f>IFERROR(N306/N445, "NA")</f>
        <v>0</v>
      </c>
      <c r="P306" s="9"/>
      <c r="Q306" s="7">
        <v>40.479999999999997</v>
      </c>
      <c r="R306" s="8">
        <f>IFERROR(Q306/Q445, "NA")</f>
        <v>4.367034773463739E-5</v>
      </c>
      <c r="S306" s="9"/>
      <c r="T306" s="7">
        <v>0</v>
      </c>
      <c r="U306" s="8">
        <f>IFERROR(T306/T445, "NA")</f>
        <v>0</v>
      </c>
      <c r="V306" s="9"/>
      <c r="W306" s="10">
        <f t="shared" si="78"/>
        <v>-40.479999999999997</v>
      </c>
      <c r="X306" s="8">
        <f>IFERROR(W306/W445, "NA")</f>
        <v>1.2285079394753456E-3</v>
      </c>
      <c r="Y306" s="9"/>
      <c r="Z306" s="7">
        <v>0</v>
      </c>
      <c r="AA306" s="8">
        <f>IFERROR(Z306/Z445, "NA")</f>
        <v>0</v>
      </c>
      <c r="AB306" s="9"/>
      <c r="AC306" s="10">
        <f t="shared" si="79"/>
        <v>-40.479999999999997</v>
      </c>
      <c r="AD306" s="8">
        <f>IFERROR(AC306/AC445, "NA")</f>
        <v>-1.1637393982708336E-3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IFERROR(B307/B445, "NA")</f>
        <v>0</v>
      </c>
      <c r="D307" s="9"/>
      <c r="E307" s="7">
        <v>0</v>
      </c>
      <c r="F307" s="8">
        <f>IFERROR(E307/E445, "NA")</f>
        <v>0</v>
      </c>
      <c r="G307" s="9"/>
      <c r="H307" s="10">
        <f t="shared" si="76"/>
        <v>0</v>
      </c>
      <c r="I307" s="8">
        <f>IFERROR(H307/H445, "NA")</f>
        <v>0</v>
      </c>
      <c r="J307" s="9"/>
      <c r="K307" s="7">
        <v>0</v>
      </c>
      <c r="L307" s="8">
        <f>IFERROR(K307/K445, "NA")</f>
        <v>0</v>
      </c>
      <c r="M307" s="9"/>
      <c r="N307" s="10">
        <f t="shared" si="77"/>
        <v>0</v>
      </c>
      <c r="O307" s="8">
        <f>IFERROR(N307/N445, "NA")</f>
        <v>0</v>
      </c>
      <c r="P307" s="9"/>
      <c r="Q307" s="7">
        <v>0</v>
      </c>
      <c r="R307" s="8">
        <f>IFERROR(Q307/Q445, "NA")</f>
        <v>0</v>
      </c>
      <c r="S307" s="9"/>
      <c r="T307" s="7">
        <v>0</v>
      </c>
      <c r="U307" s="8">
        <f>IFERROR(T307/T445, "NA")</f>
        <v>0</v>
      </c>
      <c r="V307" s="9"/>
      <c r="W307" s="10">
        <f t="shared" si="78"/>
        <v>0</v>
      </c>
      <c r="X307" s="8">
        <f>IFERROR(W307/W445, "NA")</f>
        <v>0</v>
      </c>
      <c r="Y307" s="9"/>
      <c r="Z307" s="7">
        <v>0</v>
      </c>
      <c r="AA307" s="8">
        <f>IFERROR(Z307/Z445, "NA")</f>
        <v>0</v>
      </c>
      <c r="AB307" s="9"/>
      <c r="AC307" s="10">
        <f t="shared" si="79"/>
        <v>0</v>
      </c>
      <c r="AD307" s="8">
        <f>IFERROR(AC307/AC445,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IFERROR(B308/B445, "NA")</f>
        <v>0</v>
      </c>
      <c r="D308" s="9"/>
      <c r="E308" s="7">
        <v>0</v>
      </c>
      <c r="F308" s="8">
        <f>IFERROR(E308/E445, "NA")</f>
        <v>0</v>
      </c>
      <c r="G308" s="9"/>
      <c r="H308" s="10">
        <f t="shared" si="76"/>
        <v>0</v>
      </c>
      <c r="I308" s="8">
        <f>IFERROR(H308/H445, "NA")</f>
        <v>0</v>
      </c>
      <c r="J308" s="9"/>
      <c r="K308" s="7">
        <v>0</v>
      </c>
      <c r="L308" s="8">
        <f>IFERROR(K308/K445, "NA")</f>
        <v>0</v>
      </c>
      <c r="M308" s="9"/>
      <c r="N308" s="10">
        <f t="shared" si="77"/>
        <v>0</v>
      </c>
      <c r="O308" s="8">
        <f>IFERROR(N308/N445, "NA")</f>
        <v>0</v>
      </c>
      <c r="P308" s="9"/>
      <c r="Q308" s="7">
        <v>0</v>
      </c>
      <c r="R308" s="8">
        <f>IFERROR(Q308/Q445, "NA")</f>
        <v>0</v>
      </c>
      <c r="S308" s="9"/>
      <c r="T308" s="7">
        <v>0</v>
      </c>
      <c r="U308" s="8">
        <f>IFERROR(T308/T445, "NA")</f>
        <v>0</v>
      </c>
      <c r="V308" s="9"/>
      <c r="W308" s="10">
        <f t="shared" si="78"/>
        <v>0</v>
      </c>
      <c r="X308" s="8">
        <f>IFERROR(W308/W445, "NA")</f>
        <v>0</v>
      </c>
      <c r="Y308" s="9"/>
      <c r="Z308" s="7">
        <v>0</v>
      </c>
      <c r="AA308" s="8">
        <f>IFERROR(Z308/Z445, "NA")</f>
        <v>0</v>
      </c>
      <c r="AB308" s="9"/>
      <c r="AC308" s="10">
        <f t="shared" si="79"/>
        <v>0</v>
      </c>
      <c r="AD308" s="8">
        <f>IFERROR(AC308/AC445,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IFERROR(B309/B445, "NA")</f>
        <v>0</v>
      </c>
      <c r="D309" s="9"/>
      <c r="E309" s="7">
        <v>0</v>
      </c>
      <c r="F309" s="8">
        <f>IFERROR(E309/E445, "NA")</f>
        <v>0</v>
      </c>
      <c r="G309" s="9"/>
      <c r="H309" s="10">
        <f t="shared" si="76"/>
        <v>0</v>
      </c>
      <c r="I309" s="8">
        <f>IFERROR(H309/H445, "NA")</f>
        <v>0</v>
      </c>
      <c r="J309" s="9"/>
      <c r="K309" s="7">
        <v>0</v>
      </c>
      <c r="L309" s="8">
        <f>IFERROR(K309/K445, "NA")</f>
        <v>0</v>
      </c>
      <c r="M309" s="9"/>
      <c r="N309" s="10">
        <f t="shared" si="77"/>
        <v>0</v>
      </c>
      <c r="O309" s="8">
        <f>IFERROR(N309/N445, "NA")</f>
        <v>0</v>
      </c>
      <c r="P309" s="9"/>
      <c r="Q309" s="7">
        <v>0</v>
      </c>
      <c r="R309" s="8">
        <f>IFERROR(Q309/Q445, "NA")</f>
        <v>0</v>
      </c>
      <c r="S309" s="9"/>
      <c r="T309" s="7">
        <v>0</v>
      </c>
      <c r="U309" s="8">
        <f>IFERROR(T309/T445, "NA")</f>
        <v>0</v>
      </c>
      <c r="V309" s="9"/>
      <c r="W309" s="10">
        <f t="shared" si="78"/>
        <v>0</v>
      </c>
      <c r="X309" s="8">
        <f>IFERROR(W309/W445, "NA")</f>
        <v>0</v>
      </c>
      <c r="Y309" s="9"/>
      <c r="Z309" s="7">
        <v>0</v>
      </c>
      <c r="AA309" s="8">
        <f>IFERROR(Z309/Z445, "NA")</f>
        <v>0</v>
      </c>
      <c r="AB309" s="9"/>
      <c r="AC309" s="10">
        <f t="shared" si="79"/>
        <v>0</v>
      </c>
      <c r="AD309" s="8">
        <f>IFERROR(AC309/AC445, "NA")</f>
        <v>0</v>
      </c>
    </row>
    <row r="310" spans="1:30" ht="16.5" hidden="1" customHeight="1" x14ac:dyDescent="0.45">
      <c r="A310" s="6" t="s">
        <v>282</v>
      </c>
      <c r="B310" s="7">
        <v>0</v>
      </c>
      <c r="C310" s="8">
        <f>IFERROR(B310/B445, "NA")</f>
        <v>0</v>
      </c>
      <c r="D310" s="9"/>
      <c r="E310" s="7">
        <v>0</v>
      </c>
      <c r="F310" s="8">
        <f>IFERROR(E310/E445, "NA")</f>
        <v>0</v>
      </c>
      <c r="G310" s="9"/>
      <c r="H310" s="10">
        <f t="shared" si="76"/>
        <v>0</v>
      </c>
      <c r="I310" s="8">
        <f>IFERROR(H310/H445, "NA")</f>
        <v>0</v>
      </c>
      <c r="J310" s="9"/>
      <c r="K310" s="7">
        <v>0</v>
      </c>
      <c r="L310" s="8">
        <f>IFERROR(K310/K445, "NA")</f>
        <v>0</v>
      </c>
      <c r="M310" s="9"/>
      <c r="N310" s="10">
        <f t="shared" si="77"/>
        <v>0</v>
      </c>
      <c r="O310" s="8">
        <f>IFERROR(N310/N445, "NA")</f>
        <v>0</v>
      </c>
      <c r="P310" s="9"/>
      <c r="Q310" s="7">
        <v>0</v>
      </c>
      <c r="R310" s="8">
        <f>IFERROR(Q310/Q445, "NA")</f>
        <v>0</v>
      </c>
      <c r="S310" s="9"/>
      <c r="T310" s="7">
        <v>0</v>
      </c>
      <c r="U310" s="8">
        <f>IFERROR(T310/T445, "NA")</f>
        <v>0</v>
      </c>
      <c r="V310" s="9"/>
      <c r="W310" s="10">
        <f t="shared" si="78"/>
        <v>0</v>
      </c>
      <c r="X310" s="8">
        <f>IFERROR(W310/W445, "NA")</f>
        <v>0</v>
      </c>
      <c r="Y310" s="9"/>
      <c r="Z310" s="7">
        <v>0</v>
      </c>
      <c r="AA310" s="8">
        <f>IFERROR(Z310/Z445, "NA")</f>
        <v>0</v>
      </c>
      <c r="AB310" s="9"/>
      <c r="AC310" s="10">
        <f t="shared" si="79"/>
        <v>0</v>
      </c>
      <c r="AD310" s="8">
        <f>IFERROR(AC310/AC445, "NA")</f>
        <v>0</v>
      </c>
    </row>
    <row r="311" spans="1:30" ht="16.5" customHeight="1" x14ac:dyDescent="0.45">
      <c r="A311" s="6" t="s">
        <v>283</v>
      </c>
      <c r="B311" s="7">
        <v>60</v>
      </c>
      <c r="C311" s="8">
        <f>IFERROR(B311/B445, "NA")</f>
        <v>3.7455140446476511E-4</v>
      </c>
      <c r="D311" s="9"/>
      <c r="E311" s="7">
        <v>55</v>
      </c>
      <c r="F311" s="8">
        <f>IFERROR(E311/E445, "NA")</f>
        <v>2.8558990203954808E-4</v>
      </c>
      <c r="G311" s="9"/>
      <c r="H311" s="10">
        <f t="shared" si="76"/>
        <v>-5</v>
      </c>
      <c r="I311" s="8">
        <f>IFERROR(H311/H445, "NA")</f>
        <v>1.5435810029633672E-4</v>
      </c>
      <c r="J311" s="9"/>
      <c r="K311" s="7">
        <v>107.95</v>
      </c>
      <c r="L311" s="8">
        <f>IFERROR(K311/K445, "NA")</f>
        <v>6.1126348814182808E-4</v>
      </c>
      <c r="M311" s="9"/>
      <c r="N311" s="10">
        <f t="shared" si="77"/>
        <v>47.95</v>
      </c>
      <c r="O311" s="8">
        <f>IFERROR(N311/N445, "NA")</f>
        <v>-2.922036174746903E-3</v>
      </c>
      <c r="P311" s="9"/>
      <c r="Q311" s="7">
        <v>679.74</v>
      </c>
      <c r="R311" s="8">
        <f>IFERROR(Q311/Q445, "NA")</f>
        <v>7.3331230654996094E-4</v>
      </c>
      <c r="S311" s="9"/>
      <c r="T311" s="7">
        <v>275</v>
      </c>
      <c r="U311" s="8">
        <f>IFERROR(T311/T445, "NA")</f>
        <v>2.8648957860299973E-4</v>
      </c>
      <c r="V311" s="9"/>
      <c r="W311" s="10">
        <f t="shared" si="78"/>
        <v>-404.74</v>
      </c>
      <c r="X311" s="8">
        <f>IFERROR(W311/W445, "NA")</f>
        <v>1.2283258483775972E-2</v>
      </c>
      <c r="Y311" s="9"/>
      <c r="Z311" s="7">
        <v>329.78</v>
      </c>
      <c r="AA311" s="8">
        <f>IFERROR(Z311/Z445, "NA")</f>
        <v>3.6964207577306116E-4</v>
      </c>
      <c r="AB311" s="9"/>
      <c r="AC311" s="10">
        <f t="shared" si="79"/>
        <v>-349.96000000000004</v>
      </c>
      <c r="AD311" s="8">
        <f>IFERROR(AC311/AC445, "NA")</f>
        <v>-1.0060826082481744E-2</v>
      </c>
    </row>
    <row r="312" spans="1:30" ht="16.5" customHeight="1" x14ac:dyDescent="0.45">
      <c r="A312" s="6" t="s">
        <v>284</v>
      </c>
      <c r="B312" s="7">
        <v>0</v>
      </c>
      <c r="C312" s="8">
        <f>IFERROR(B312/B445, "NA")</f>
        <v>0</v>
      </c>
      <c r="D312" s="9"/>
      <c r="E312" s="7">
        <v>0</v>
      </c>
      <c r="F312" s="8">
        <f>IFERROR(E312/E445, "NA")</f>
        <v>0</v>
      </c>
      <c r="G312" s="9"/>
      <c r="H312" s="10">
        <f t="shared" si="76"/>
        <v>0</v>
      </c>
      <c r="I312" s="8">
        <f>IFERROR(H312/H445, "NA")</f>
        <v>0</v>
      </c>
      <c r="J312" s="9"/>
      <c r="K312" s="7">
        <v>0</v>
      </c>
      <c r="L312" s="8">
        <f>IFERROR(K312/K445, "NA")</f>
        <v>0</v>
      </c>
      <c r="M312" s="9"/>
      <c r="N312" s="10">
        <f t="shared" si="77"/>
        <v>0</v>
      </c>
      <c r="O312" s="8">
        <f>IFERROR(N312/N445, "NA")</f>
        <v>0</v>
      </c>
      <c r="P312" s="9"/>
      <c r="Q312" s="7">
        <v>0</v>
      </c>
      <c r="R312" s="8">
        <f>IFERROR(Q312/Q445, "NA")</f>
        <v>0</v>
      </c>
      <c r="S312" s="9"/>
      <c r="T312" s="7">
        <v>0</v>
      </c>
      <c r="U312" s="8">
        <f>IFERROR(T312/T445, "NA")</f>
        <v>0</v>
      </c>
      <c r="V312" s="9"/>
      <c r="W312" s="10">
        <f t="shared" si="78"/>
        <v>0</v>
      </c>
      <c r="X312" s="8">
        <f>IFERROR(W312/W445, "NA")</f>
        <v>0</v>
      </c>
      <c r="Y312" s="9"/>
      <c r="Z312" s="7">
        <v>26.73</v>
      </c>
      <c r="AA312" s="8">
        <f>IFERROR(Z312/Z445, "NA")</f>
        <v>2.9960982125701757E-5</v>
      </c>
      <c r="AB312" s="9"/>
      <c r="AC312" s="10">
        <f t="shared" si="79"/>
        <v>26.73</v>
      </c>
      <c r="AD312" s="8">
        <f>IFERROR(AC312/AC445, "NA")</f>
        <v>7.6844748309731683E-4</v>
      </c>
    </row>
    <row r="313" spans="1:30" ht="16.5" customHeight="1" x14ac:dyDescent="0.45">
      <c r="A313" s="6" t="s">
        <v>285</v>
      </c>
      <c r="B313" s="7">
        <v>262.39</v>
      </c>
      <c r="C313" s="8">
        <f>IFERROR(B313/B445, "NA")</f>
        <v>1.6379757169584952E-3</v>
      </c>
      <c r="D313" s="9"/>
      <c r="E313" s="7">
        <v>35</v>
      </c>
      <c r="F313" s="8">
        <f>IFERROR(E313/E445, "NA")</f>
        <v>1.817390285706215E-4</v>
      </c>
      <c r="G313" s="9"/>
      <c r="H313" s="10">
        <f t="shared" si="76"/>
        <v>-227.39</v>
      </c>
      <c r="I313" s="8">
        <f>IFERROR(H313/H445, "NA")</f>
        <v>7.0198976852768012E-3</v>
      </c>
      <c r="J313" s="9"/>
      <c r="K313" s="7">
        <v>576.87</v>
      </c>
      <c r="L313" s="8">
        <f>IFERROR(K313/K445, "NA")</f>
        <v>3.266508276094269E-3</v>
      </c>
      <c r="M313" s="9"/>
      <c r="N313" s="10">
        <f t="shared" si="77"/>
        <v>314.48</v>
      </c>
      <c r="O313" s="8">
        <f>IFERROR(N313/N445, "NA")</f>
        <v>-1.9164169681635163E-2</v>
      </c>
      <c r="P313" s="9"/>
      <c r="Q313" s="7">
        <v>3084.36</v>
      </c>
      <c r="R313" s="8">
        <f>IFERROR(Q313/Q445, "NA")</f>
        <v>3.3274474737847379E-3</v>
      </c>
      <c r="S313" s="9"/>
      <c r="T313" s="7">
        <v>175</v>
      </c>
      <c r="U313" s="8">
        <f>IFERROR(T313/T445, "NA")</f>
        <v>1.8231155002009072E-4</v>
      </c>
      <c r="V313" s="9"/>
      <c r="W313" s="10">
        <f t="shared" si="78"/>
        <v>-2909.36</v>
      </c>
      <c r="X313" s="8">
        <f>IFERROR(W313/W445, "NA")</f>
        <v>8.8294759357509675E-2</v>
      </c>
      <c r="Y313" s="9"/>
      <c r="Z313" s="7">
        <v>1359.75</v>
      </c>
      <c r="AA313" s="8">
        <f>IFERROR(Z313/Z445, "NA")</f>
        <v>1.5241094442732122E-3</v>
      </c>
      <c r="AB313" s="9"/>
      <c r="AC313" s="10">
        <f t="shared" si="79"/>
        <v>-1724.6100000000001</v>
      </c>
      <c r="AD313" s="8">
        <f>IFERROR(AC313/AC445, "NA")</f>
        <v>-4.9579955623810831E-2</v>
      </c>
    </row>
    <row r="314" spans="1:30" ht="16.5" customHeight="1" x14ac:dyDescent="0.45">
      <c r="A314" s="6" t="s">
        <v>286</v>
      </c>
      <c r="B314" s="7">
        <v>458.2</v>
      </c>
      <c r="C314" s="8">
        <f>IFERROR(B314/B445, "NA")</f>
        <v>2.860324225429256E-3</v>
      </c>
      <c r="D314" s="9"/>
      <c r="E314" s="7">
        <v>250</v>
      </c>
      <c r="F314" s="8">
        <f>IFERROR(E314/E445, "NA")</f>
        <v>1.2981359183615823E-3</v>
      </c>
      <c r="G314" s="9"/>
      <c r="H314" s="10">
        <f t="shared" si="76"/>
        <v>-208.2</v>
      </c>
      <c r="I314" s="8">
        <f>IFERROR(H314/H445, "NA")</f>
        <v>6.4274712963394605E-3</v>
      </c>
      <c r="J314" s="9"/>
      <c r="K314" s="7">
        <v>308.97000000000003</v>
      </c>
      <c r="L314" s="8">
        <f>IFERROR(K314/K445, "NA")</f>
        <v>1.749532931275411E-3</v>
      </c>
      <c r="M314" s="9"/>
      <c r="N314" s="10">
        <f t="shared" si="77"/>
        <v>-149.22999999999996</v>
      </c>
      <c r="O314" s="8">
        <f>IFERROR(N314/N445, "NA")</f>
        <v>9.093961592439628E-3</v>
      </c>
      <c r="P314" s="9"/>
      <c r="Q314" s="7">
        <v>1890.15</v>
      </c>
      <c r="R314" s="8">
        <f>IFERROR(Q314/Q445, "NA")</f>
        <v>2.0391182749660295E-3</v>
      </c>
      <c r="S314" s="9"/>
      <c r="T314" s="7">
        <v>1250</v>
      </c>
      <c r="U314" s="8">
        <f>IFERROR(T314/T445, "NA")</f>
        <v>1.3022253572863623E-3</v>
      </c>
      <c r="V314" s="9"/>
      <c r="W314" s="10">
        <f t="shared" si="78"/>
        <v>-640.15000000000009</v>
      </c>
      <c r="X314" s="8">
        <f>IFERROR(W314/W445, "NA")</f>
        <v>1.9427602703931388E-2</v>
      </c>
      <c r="Y314" s="9"/>
      <c r="Z314" s="7">
        <v>1283.97</v>
      </c>
      <c r="AA314" s="8">
        <f>IFERROR(Z314/Z445, "NA")</f>
        <v>1.4391695555532092E-3</v>
      </c>
      <c r="AB314" s="9"/>
      <c r="AC314" s="10">
        <f t="shared" si="79"/>
        <v>-606.18000000000006</v>
      </c>
      <c r="AD314" s="8">
        <f>IFERROR(AC314/AC445, "NA")</f>
        <v>-1.7426767501082362E-2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IFERROR(B315/B445, "NA")</f>
        <v>0</v>
      </c>
      <c r="D315" s="9"/>
      <c r="E315" s="7">
        <v>0</v>
      </c>
      <c r="F315" s="8">
        <f>IFERROR(E315/E445, "NA")</f>
        <v>0</v>
      </c>
      <c r="G315" s="9"/>
      <c r="H315" s="10">
        <f t="shared" si="76"/>
        <v>0</v>
      </c>
      <c r="I315" s="8">
        <f>IFERROR(H315/H445, "NA")</f>
        <v>0</v>
      </c>
      <c r="J315" s="9"/>
      <c r="K315" s="7">
        <v>0</v>
      </c>
      <c r="L315" s="8">
        <f>IFERROR(K315/K445, "NA")</f>
        <v>0</v>
      </c>
      <c r="M315" s="9"/>
      <c r="N315" s="10">
        <f t="shared" si="77"/>
        <v>0</v>
      </c>
      <c r="O315" s="8">
        <f>IFERROR(N315/N445, "NA")</f>
        <v>0</v>
      </c>
      <c r="P315" s="9"/>
      <c r="Q315" s="7">
        <v>0</v>
      </c>
      <c r="R315" s="8">
        <f>IFERROR(Q315/Q445, "NA")</f>
        <v>0</v>
      </c>
      <c r="S315" s="9"/>
      <c r="T315" s="7">
        <v>0</v>
      </c>
      <c r="U315" s="8">
        <f>IFERROR(T315/T445, "NA")</f>
        <v>0</v>
      </c>
      <c r="V315" s="9"/>
      <c r="W315" s="10">
        <f t="shared" si="78"/>
        <v>0</v>
      </c>
      <c r="X315" s="8">
        <f>IFERROR(W315/W445, "NA")</f>
        <v>0</v>
      </c>
      <c r="Y315" s="9"/>
      <c r="Z315" s="7">
        <v>0</v>
      </c>
      <c r="AA315" s="8">
        <f>IFERROR(Z315/Z445, "NA")</f>
        <v>0</v>
      </c>
      <c r="AB315" s="9"/>
      <c r="AC315" s="10">
        <f t="shared" si="79"/>
        <v>0</v>
      </c>
      <c r="AD315" s="8">
        <f>IFERROR(AC315/AC445,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IFERROR(B316/B445, "NA")</f>
        <v>0</v>
      </c>
      <c r="D316" s="9"/>
      <c r="E316" s="7">
        <v>0</v>
      </c>
      <c r="F316" s="8">
        <f>IFERROR(E316/E445, "NA")</f>
        <v>0</v>
      </c>
      <c r="G316" s="9"/>
      <c r="H316" s="10">
        <f t="shared" si="76"/>
        <v>0</v>
      </c>
      <c r="I316" s="8">
        <f>IFERROR(H316/H445, "NA")</f>
        <v>0</v>
      </c>
      <c r="J316" s="9"/>
      <c r="K316" s="7">
        <v>0</v>
      </c>
      <c r="L316" s="8">
        <f>IFERROR(K316/K445, "NA")</f>
        <v>0</v>
      </c>
      <c r="M316" s="9"/>
      <c r="N316" s="10">
        <f t="shared" si="77"/>
        <v>0</v>
      </c>
      <c r="O316" s="8">
        <f>IFERROR(N316/N445, "NA")</f>
        <v>0</v>
      </c>
      <c r="P316" s="9"/>
      <c r="Q316" s="7">
        <v>0</v>
      </c>
      <c r="R316" s="8">
        <f>IFERROR(Q316/Q445, "NA")</f>
        <v>0</v>
      </c>
      <c r="S316" s="9"/>
      <c r="T316" s="7">
        <v>0</v>
      </c>
      <c r="U316" s="8">
        <f>IFERROR(T316/T445, "NA")</f>
        <v>0</v>
      </c>
      <c r="V316" s="9"/>
      <c r="W316" s="10">
        <f t="shared" si="78"/>
        <v>0</v>
      </c>
      <c r="X316" s="8">
        <f>IFERROR(W316/W445, "NA")</f>
        <v>0</v>
      </c>
      <c r="Y316" s="9"/>
      <c r="Z316" s="7">
        <v>0</v>
      </c>
      <c r="AA316" s="8">
        <f>IFERROR(Z316/Z445, "NA")</f>
        <v>0</v>
      </c>
      <c r="AB316" s="9"/>
      <c r="AC316" s="10">
        <f t="shared" si="79"/>
        <v>0</v>
      </c>
      <c r="AD316" s="8">
        <f>IFERROR(AC316/AC445, "NA")</f>
        <v>0</v>
      </c>
    </row>
    <row r="317" spans="1:30" ht="16.5" customHeight="1" x14ac:dyDescent="0.45">
      <c r="A317" s="6" t="s">
        <v>289</v>
      </c>
      <c r="B317" s="7">
        <v>-1.61</v>
      </c>
      <c r="C317" s="8">
        <f>IFERROR(B317/B445, "NA")</f>
        <v>-1.0050462686471197E-5</v>
      </c>
      <c r="D317" s="9"/>
      <c r="E317" s="7">
        <v>0</v>
      </c>
      <c r="F317" s="8">
        <f>IFERROR(E317/E445, "NA")</f>
        <v>0</v>
      </c>
      <c r="G317" s="9"/>
      <c r="H317" s="10">
        <f t="shared" si="76"/>
        <v>1.61</v>
      </c>
      <c r="I317" s="8">
        <f>IFERROR(H317/H445, "NA")</f>
        <v>-4.9703308295420424E-5</v>
      </c>
      <c r="J317" s="9"/>
      <c r="K317" s="7">
        <v>0</v>
      </c>
      <c r="L317" s="8">
        <f>IFERROR(K317/K445, "NA")</f>
        <v>0</v>
      </c>
      <c r="M317" s="9"/>
      <c r="N317" s="10">
        <f t="shared" si="77"/>
        <v>1.61</v>
      </c>
      <c r="O317" s="8">
        <f>IFERROR(N317/N445, "NA")</f>
        <v>-9.811216353164783E-5</v>
      </c>
      <c r="P317" s="9"/>
      <c r="Q317" s="7">
        <v>292.39</v>
      </c>
      <c r="R317" s="8">
        <f>IFERROR(Q317/Q445, "NA")</f>
        <v>3.1543411497358265E-4</v>
      </c>
      <c r="S317" s="9"/>
      <c r="T317" s="7">
        <v>0</v>
      </c>
      <c r="U317" s="8">
        <f>IFERROR(T317/T445, "NA")</f>
        <v>0</v>
      </c>
      <c r="V317" s="9"/>
      <c r="W317" s="10">
        <f t="shared" si="78"/>
        <v>-292.39</v>
      </c>
      <c r="X317" s="8">
        <f>IFERROR(W317/W445, "NA")</f>
        <v>8.8736026784386433E-3</v>
      </c>
      <c r="Y317" s="9"/>
      <c r="Z317" s="7">
        <v>0</v>
      </c>
      <c r="AA317" s="8">
        <f>IFERROR(Z317/Z445, "NA")</f>
        <v>0</v>
      </c>
      <c r="AB317" s="9"/>
      <c r="AC317" s="10">
        <f t="shared" si="79"/>
        <v>-292.39</v>
      </c>
      <c r="AD317" s="8">
        <f>IFERROR(AC317/AC445, "NA")</f>
        <v>-8.4057747692788797E-3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IFERROR(B318/B445, "NA")</f>
        <v>0</v>
      </c>
      <c r="D318" s="9"/>
      <c r="E318" s="7">
        <v>0</v>
      </c>
      <c r="F318" s="8">
        <f>IFERROR(E318/E445, "NA")</f>
        <v>0</v>
      </c>
      <c r="G318" s="9"/>
      <c r="H318" s="10">
        <f t="shared" si="76"/>
        <v>0</v>
      </c>
      <c r="I318" s="8">
        <f>IFERROR(H318/H445, "NA")</f>
        <v>0</v>
      </c>
      <c r="J318" s="9"/>
      <c r="K318" s="7">
        <v>0</v>
      </c>
      <c r="L318" s="8">
        <f>IFERROR(K318/K445, "NA")</f>
        <v>0</v>
      </c>
      <c r="M318" s="9"/>
      <c r="N318" s="10">
        <f t="shared" si="77"/>
        <v>0</v>
      </c>
      <c r="O318" s="8">
        <f>IFERROR(N318/N445, "NA")</f>
        <v>0</v>
      </c>
      <c r="P318" s="9"/>
      <c r="Q318" s="7">
        <v>0</v>
      </c>
      <c r="R318" s="8">
        <f>IFERROR(Q318/Q445, "NA")</f>
        <v>0</v>
      </c>
      <c r="S318" s="9"/>
      <c r="T318" s="7">
        <v>0</v>
      </c>
      <c r="U318" s="8">
        <f>IFERROR(T318/T445, "NA")</f>
        <v>0</v>
      </c>
      <c r="V318" s="9"/>
      <c r="W318" s="10">
        <f t="shared" si="78"/>
        <v>0</v>
      </c>
      <c r="X318" s="8">
        <f>IFERROR(W318/W445, "NA")</f>
        <v>0</v>
      </c>
      <c r="Y318" s="9"/>
      <c r="Z318" s="7">
        <v>0</v>
      </c>
      <c r="AA318" s="8">
        <f>IFERROR(Z318/Z445, "NA")</f>
        <v>0</v>
      </c>
      <c r="AB318" s="9"/>
      <c r="AC318" s="10">
        <f t="shared" si="79"/>
        <v>0</v>
      </c>
      <c r="AD318" s="8">
        <f>IFERROR(AC318/AC445, "NA")</f>
        <v>0</v>
      </c>
    </row>
    <row r="319" spans="1:30" ht="16.5" hidden="1" customHeight="1" x14ac:dyDescent="0.45">
      <c r="A319" s="6" t="s">
        <v>291</v>
      </c>
      <c r="B319" s="7">
        <v>0</v>
      </c>
      <c r="C319" s="8">
        <f>IFERROR(B319/B445, "NA")</f>
        <v>0</v>
      </c>
      <c r="D319" s="9"/>
      <c r="E319" s="7">
        <v>0</v>
      </c>
      <c r="F319" s="8">
        <f>IFERROR(E319/E445, "NA")</f>
        <v>0</v>
      </c>
      <c r="G319" s="9"/>
      <c r="H319" s="10">
        <f t="shared" si="76"/>
        <v>0</v>
      </c>
      <c r="I319" s="8">
        <f>IFERROR(H319/H445, "NA")</f>
        <v>0</v>
      </c>
      <c r="J319" s="9"/>
      <c r="K319" s="7">
        <v>0</v>
      </c>
      <c r="L319" s="8">
        <f>IFERROR(K319/K445, "NA")</f>
        <v>0</v>
      </c>
      <c r="M319" s="9"/>
      <c r="N319" s="10">
        <f t="shared" si="77"/>
        <v>0</v>
      </c>
      <c r="O319" s="8">
        <f>IFERROR(N319/N445, "NA")</f>
        <v>0</v>
      </c>
      <c r="P319" s="9"/>
      <c r="Q319" s="7">
        <v>0</v>
      </c>
      <c r="R319" s="8">
        <f>IFERROR(Q319/Q445, "NA")</f>
        <v>0</v>
      </c>
      <c r="S319" s="9"/>
      <c r="T319" s="7">
        <v>0</v>
      </c>
      <c r="U319" s="8">
        <f>IFERROR(T319/T445, "NA")</f>
        <v>0</v>
      </c>
      <c r="V319" s="9"/>
      <c r="W319" s="10">
        <f t="shared" si="78"/>
        <v>0</v>
      </c>
      <c r="X319" s="8">
        <f>IFERROR(W319/W445, "NA")</f>
        <v>0</v>
      </c>
      <c r="Y319" s="9"/>
      <c r="Z319" s="7">
        <v>0</v>
      </c>
      <c r="AA319" s="8">
        <f>IFERROR(Z319/Z445, "NA")</f>
        <v>0</v>
      </c>
      <c r="AB319" s="9"/>
      <c r="AC319" s="10">
        <f t="shared" si="79"/>
        <v>0</v>
      </c>
      <c r="AD319" s="8">
        <f>IFERROR(AC319/AC445, "NA")</f>
        <v>0</v>
      </c>
    </row>
    <row r="320" spans="1:30" ht="16.5" customHeight="1" x14ac:dyDescent="0.45">
      <c r="A320" s="6" t="s">
        <v>292</v>
      </c>
      <c r="B320" s="7">
        <v>323.88</v>
      </c>
      <c r="C320" s="8">
        <f>IFERROR(B320/B445, "NA")</f>
        <v>2.021828481300802E-3</v>
      </c>
      <c r="D320" s="9"/>
      <c r="E320" s="7">
        <v>314</v>
      </c>
      <c r="F320" s="8">
        <f>IFERROR(E320/E445, "NA")</f>
        <v>1.6304587134621472E-3</v>
      </c>
      <c r="G320" s="9"/>
      <c r="H320" s="10">
        <f t="shared" si="76"/>
        <v>-9.8799999999999955</v>
      </c>
      <c r="I320" s="8">
        <f>IFERROR(H320/H445, "NA")</f>
        <v>3.0501160618556122E-4</v>
      </c>
      <c r="J320" s="9"/>
      <c r="K320" s="7">
        <v>313.20999999999998</v>
      </c>
      <c r="L320" s="8">
        <f>IFERROR(K320/K445, "NA")</f>
        <v>1.7735417982482811E-3</v>
      </c>
      <c r="M320" s="9"/>
      <c r="N320" s="10">
        <f t="shared" si="77"/>
        <v>-10.670000000000016</v>
      </c>
      <c r="O320" s="8">
        <f>IFERROR(N320/N445, "NA")</f>
        <v>6.5022160551719496E-4</v>
      </c>
      <c r="P320" s="9"/>
      <c r="Q320" s="7">
        <v>1619.58</v>
      </c>
      <c r="R320" s="8">
        <f>IFERROR(Q320/Q445, "NA")</f>
        <v>1.7472238583019768E-3</v>
      </c>
      <c r="S320" s="9"/>
      <c r="T320" s="7">
        <v>1570</v>
      </c>
      <c r="U320" s="8">
        <f>IFERROR(T320/T445, "NA")</f>
        <v>1.635595048751671E-3</v>
      </c>
      <c r="V320" s="9"/>
      <c r="W320" s="10">
        <f t="shared" si="78"/>
        <v>-49.579999999999927</v>
      </c>
      <c r="X320" s="8">
        <f>IFERROR(W320/W445, "NA")</f>
        <v>1.504679437726965E-3</v>
      </c>
      <c r="Y320" s="9"/>
      <c r="Z320" s="7">
        <v>1573.85</v>
      </c>
      <c r="AA320" s="8">
        <f>IFERROR(Z320/Z445, "NA")</f>
        <v>1.7640887287143922E-3</v>
      </c>
      <c r="AB320" s="9"/>
      <c r="AC320" s="10">
        <f t="shared" si="79"/>
        <v>-45.730000000000018</v>
      </c>
      <c r="AD320" s="8">
        <f>IFERROR(AC320/AC445, "NA")</f>
        <v>-1.3146690386098133E-3</v>
      </c>
    </row>
    <row r="321" spans="1:30" ht="16.5" customHeight="1" x14ac:dyDescent="0.45">
      <c r="A321" s="6" t="s">
        <v>293</v>
      </c>
      <c r="B321" s="7">
        <v>986.12</v>
      </c>
      <c r="C321" s="8">
        <f>IFERROR(B321/B445, "NA")</f>
        <v>6.1558771828465692E-3</v>
      </c>
      <c r="D321" s="9"/>
      <c r="E321" s="7">
        <v>1101</v>
      </c>
      <c r="F321" s="8">
        <f>IFERROR(E321/E445, "NA")</f>
        <v>5.7169905844644082E-3</v>
      </c>
      <c r="G321" s="9"/>
      <c r="H321" s="10">
        <f t="shared" si="76"/>
        <v>114.88</v>
      </c>
      <c r="I321" s="8">
        <f>IFERROR(H321/H445, "NA")</f>
        <v>-3.5465317124086324E-3</v>
      </c>
      <c r="J321" s="9"/>
      <c r="K321" s="7">
        <v>1063.69</v>
      </c>
      <c r="L321" s="8">
        <f>IFERROR(K321/K445, "NA")</f>
        <v>6.023111252446328E-3</v>
      </c>
      <c r="M321" s="9"/>
      <c r="N321" s="10">
        <f t="shared" si="77"/>
        <v>77.57000000000005</v>
      </c>
      <c r="O321" s="8">
        <f>IFERROR(N321/N445, "NA")</f>
        <v>-4.7270562268011971E-3</v>
      </c>
      <c r="P321" s="9"/>
      <c r="Q321" s="7">
        <v>5200.5200000000004</v>
      </c>
      <c r="R321" s="8">
        <f>IFERROR(Q321/Q445, "NA")</f>
        <v>5.6103882608926989E-3</v>
      </c>
      <c r="S321" s="9"/>
      <c r="T321" s="7">
        <v>5505</v>
      </c>
      <c r="U321" s="8">
        <f>IFERROR(T321/T445, "NA")</f>
        <v>5.7350004734891399E-3</v>
      </c>
      <c r="V321" s="9"/>
      <c r="W321" s="10">
        <f t="shared" si="78"/>
        <v>304.47999999999956</v>
      </c>
      <c r="X321" s="8">
        <f>IFERROR(W321/W445, "NA")</f>
        <v>-9.2405162404014998E-3</v>
      </c>
      <c r="Y321" s="9"/>
      <c r="Z321" s="7">
        <v>5198.75</v>
      </c>
      <c r="AA321" s="8">
        <f>IFERROR(Z321/Z445, "NA")</f>
        <v>5.8271476178822302E-3</v>
      </c>
      <c r="AB321" s="9"/>
      <c r="AC321" s="10">
        <f t="shared" si="79"/>
        <v>-1.7700000000004366</v>
      </c>
      <c r="AD321" s="8">
        <f>IFERROR(AC321/AC445, "NA")</f>
        <v>-5.0884850171439815E-5</v>
      </c>
    </row>
    <row r="322" spans="1:30" ht="16.5" customHeight="1" x14ac:dyDescent="0.45">
      <c r="A322" s="6" t="s">
        <v>294</v>
      </c>
      <c r="B322" s="7">
        <v>1370.23</v>
      </c>
      <c r="C322" s="8">
        <f>IFERROR(B322/B445, "NA")</f>
        <v>8.5536928489959186E-3</v>
      </c>
      <c r="D322" s="9"/>
      <c r="E322" s="7">
        <v>1925.84</v>
      </c>
      <c r="F322" s="8">
        <f>IFERROR(E322/E445, "NA")</f>
        <v>1.0000008308069878E-2</v>
      </c>
      <c r="G322" s="9"/>
      <c r="H322" s="10">
        <f t="shared" si="76"/>
        <v>555.6099999999999</v>
      </c>
      <c r="I322" s="8">
        <f>IFERROR(H322/H445, "NA")</f>
        <v>-1.7152580821129526E-2</v>
      </c>
      <c r="J322" s="9"/>
      <c r="K322" s="7">
        <v>1743.47</v>
      </c>
      <c r="L322" s="8">
        <f>IFERROR(K322/K445, "NA")</f>
        <v>9.8723441748090127E-3</v>
      </c>
      <c r="M322" s="9"/>
      <c r="N322" s="10">
        <f t="shared" si="77"/>
        <v>373.24</v>
      </c>
      <c r="O322" s="8">
        <f>IFERROR(N322/N445, "NA")</f>
        <v>-2.2744958954380272E-2</v>
      </c>
      <c r="P322" s="9"/>
      <c r="Q322" s="7">
        <v>7052.62</v>
      </c>
      <c r="R322" s="8">
        <f>IFERROR(Q322/Q445, "NA")</f>
        <v>7.6084577035636942E-3</v>
      </c>
      <c r="S322" s="9"/>
      <c r="T322" s="7">
        <v>9456.7800000000007</v>
      </c>
      <c r="U322" s="8">
        <f>IFERROR(T322/T445, "NA")</f>
        <v>9.8518869714228213E-3</v>
      </c>
      <c r="V322" s="9"/>
      <c r="W322" s="10">
        <f t="shared" si="78"/>
        <v>2404.1600000000008</v>
      </c>
      <c r="X322" s="8">
        <f>IFERROR(W322/W445, "NA")</f>
        <v>-7.2962688927100977E-2</v>
      </c>
      <c r="Y322" s="9"/>
      <c r="Z322" s="7">
        <v>12275.02</v>
      </c>
      <c r="AA322" s="8">
        <f>IFERROR(Z322/Z445, "NA")</f>
        <v>1.3758760000472561E-2</v>
      </c>
      <c r="AB322" s="9"/>
      <c r="AC322" s="10">
        <f t="shared" si="79"/>
        <v>5222.4000000000005</v>
      </c>
      <c r="AD322" s="8">
        <f>IFERROR(AC322/AC445, "NA")</f>
        <v>0.15013618165833997</v>
      </c>
    </row>
    <row r="323" spans="1:30" ht="16.5" customHeight="1" x14ac:dyDescent="0.45">
      <c r="A323" s="6" t="s">
        <v>295</v>
      </c>
      <c r="B323" s="7">
        <v>174.5</v>
      </c>
      <c r="C323" s="8">
        <f>IFERROR(B323/B445, "NA")</f>
        <v>1.0893203346516917E-3</v>
      </c>
      <c r="D323" s="9"/>
      <c r="E323" s="7">
        <v>191</v>
      </c>
      <c r="F323" s="8">
        <f>IFERROR(E323/E445, "NA")</f>
        <v>9.9177584162824873E-4</v>
      </c>
      <c r="G323" s="9"/>
      <c r="H323" s="10">
        <f t="shared" si="76"/>
        <v>16.5</v>
      </c>
      <c r="I323" s="8">
        <f>IFERROR(H323/H445, "NA")</f>
        <v>-5.0938173097791117E-4</v>
      </c>
      <c r="J323" s="9"/>
      <c r="K323" s="7">
        <v>214.38</v>
      </c>
      <c r="L323" s="8">
        <f>IFERROR(K323/K445, "NA")</f>
        <v>1.2139200239726271E-3</v>
      </c>
      <c r="M323" s="9"/>
      <c r="N323" s="10">
        <f t="shared" si="77"/>
        <v>39.879999999999995</v>
      </c>
      <c r="O323" s="8">
        <f>IFERROR(N323/N445, "NA")</f>
        <v>-2.4302565724485187E-3</v>
      </c>
      <c r="P323" s="9"/>
      <c r="Q323" s="7">
        <v>1618.32</v>
      </c>
      <c r="R323" s="8">
        <f>IFERROR(Q323/Q445, "NA")</f>
        <v>1.74586455399996E-3</v>
      </c>
      <c r="S323" s="9"/>
      <c r="T323" s="7">
        <v>955</v>
      </c>
      <c r="U323" s="8">
        <f>IFERROR(T323/T445, "NA")</f>
        <v>9.9490017296678082E-4</v>
      </c>
      <c r="V323" s="9"/>
      <c r="W323" s="10">
        <f t="shared" si="78"/>
        <v>-663.31999999999994</v>
      </c>
      <c r="X323" s="8">
        <f>IFERROR(W323/W445, "NA")</f>
        <v>2.013077782640282E-2</v>
      </c>
      <c r="Y323" s="9"/>
      <c r="Z323" s="7">
        <v>947.89</v>
      </c>
      <c r="AA323" s="8">
        <f>IFERROR(Z323/Z445, "NA")</f>
        <v>1.0624659688414305E-3</v>
      </c>
      <c r="AB323" s="9"/>
      <c r="AC323" s="10">
        <f t="shared" si="79"/>
        <v>-670.43</v>
      </c>
      <c r="AD323" s="8">
        <f>IFERROR(AC323/AC445, "NA")</f>
        <v>-1.9273858813802246E-2</v>
      </c>
    </row>
    <row r="324" spans="1:30" ht="16.5" customHeight="1" x14ac:dyDescent="0.45">
      <c r="A324" s="6" t="s">
        <v>296</v>
      </c>
      <c r="B324" s="7">
        <v>0</v>
      </c>
      <c r="C324" s="8">
        <f>IFERROR(B324/B445, "NA")</f>
        <v>0</v>
      </c>
      <c r="D324" s="9"/>
      <c r="E324" s="7">
        <v>0</v>
      </c>
      <c r="F324" s="8">
        <f>IFERROR(E324/E445, "NA")</f>
        <v>0</v>
      </c>
      <c r="G324" s="9"/>
      <c r="H324" s="10">
        <f t="shared" si="76"/>
        <v>0</v>
      </c>
      <c r="I324" s="8">
        <f>IFERROR(H324/H445, "NA")</f>
        <v>0</v>
      </c>
      <c r="J324" s="9"/>
      <c r="K324" s="7">
        <v>0</v>
      </c>
      <c r="L324" s="8">
        <f>IFERROR(K324/K445, "NA")</f>
        <v>0</v>
      </c>
      <c r="M324" s="9"/>
      <c r="N324" s="10">
        <f t="shared" si="77"/>
        <v>0</v>
      </c>
      <c r="O324" s="8">
        <f>IFERROR(N324/N445, "NA")</f>
        <v>0</v>
      </c>
      <c r="P324" s="9"/>
      <c r="Q324" s="7">
        <v>3</v>
      </c>
      <c r="R324" s="8">
        <f>IFERROR(Q324/Q445, "NA")</f>
        <v>3.2364388143258934E-6</v>
      </c>
      <c r="S324" s="9"/>
      <c r="T324" s="7">
        <v>0</v>
      </c>
      <c r="U324" s="8">
        <f>IFERROR(T324/T445, "NA")</f>
        <v>0</v>
      </c>
      <c r="V324" s="9"/>
      <c r="W324" s="10">
        <f t="shared" si="78"/>
        <v>-3</v>
      </c>
      <c r="X324" s="8">
        <f>IFERROR(W324/W445, "NA")</f>
        <v>9.1045548874160986E-5</v>
      </c>
      <c r="Y324" s="9"/>
      <c r="Z324" s="7">
        <v>0</v>
      </c>
      <c r="AA324" s="8">
        <f>IFERROR(Z324/Z445, "NA")</f>
        <v>0</v>
      </c>
      <c r="AB324" s="9"/>
      <c r="AC324" s="10">
        <f t="shared" si="79"/>
        <v>-3</v>
      </c>
      <c r="AD324" s="8">
        <f>IFERROR(AC324/AC445, "NA")</f>
        <v>-8.6245508765130948E-5</v>
      </c>
    </row>
    <row r="325" spans="1:30" ht="16.5" customHeight="1" x14ac:dyDescent="0.45">
      <c r="A325" s="19" t="s">
        <v>297</v>
      </c>
      <c r="B325" s="14">
        <f>IFERROR(B298+B299+B300+B301+B302+B303+B304+B305+B306+B307+B308+B309+B310+B311+B312+B313+B314+B315+B316+B317+B318+B319+B320+B321+B322+B323+B324, "NA")</f>
        <v>6245.48</v>
      </c>
      <c r="C325" s="15">
        <f>IFERROR(B325/B445, "NA")</f>
        <v>3.8987555092610017E-2</v>
      </c>
      <c r="D325" s="2"/>
      <c r="E325" s="14">
        <f>IFERROR(E298+E299+E300+E301+E302+E303+E304+E305+E306+E307+E308+E309+E310+E311+E312+E313+E314+E315+E316+E317+E318+E319+E320+E321+E322+E323+E324, "NA")</f>
        <v>4388.84</v>
      </c>
      <c r="F325" s="15">
        <f>IFERROR(E325/E445, "NA")</f>
        <v>2.2789243375768185E-2</v>
      </c>
      <c r="G325" s="2"/>
      <c r="H325" s="14">
        <f t="shared" si="76"/>
        <v>-1856.6399999999994</v>
      </c>
      <c r="I325" s="15">
        <f>IFERROR(H325/H445, "NA")</f>
        <v>5.7317484666838101E-2</v>
      </c>
      <c r="J325" s="2"/>
      <c r="K325" s="14">
        <f>IFERROR(K298+K299+K300+K301+K302+K303+K304+K305+K306+K307+K308+K309+K310+K311+K312+K313+K314+K315+K316+K317+K318+K319+K320+K321+K322+K323+K324, "NA")</f>
        <v>5417.4</v>
      </c>
      <c r="L325" s="15">
        <f>IFERROR(K325/K445, "NA")</f>
        <v>3.0675857532742372E-2</v>
      </c>
      <c r="M325" s="2"/>
      <c r="N325" s="14">
        <f t="shared" si="77"/>
        <v>-828.07999999999993</v>
      </c>
      <c r="O325" s="15">
        <f>IFERROR(N325/N445, "NA")</f>
        <v>5.0462559240550889E-2</v>
      </c>
      <c r="P325" s="2"/>
      <c r="Q325" s="14">
        <f>IFERROR(Q298+Q299+Q300+Q301+Q302+Q303+Q304+Q305+Q306+Q307+Q308+Q309+Q310+Q311+Q312+Q313+Q314+Q315+Q316+Q317+Q318+Q319+Q320+Q321+Q322+Q323+Q324, "NA")</f>
        <v>26654.899999999998</v>
      </c>
      <c r="R325" s="15">
        <f>IFERROR(Q325/Q445, "NA")</f>
        <v>2.875565098399175E-2</v>
      </c>
      <c r="S325" s="2"/>
      <c r="T325" s="14">
        <f>IFERROR(T298+T299+T300+T301+T302+T303+T304+T305+T306+T307+T308+T309+T310+T311+T312+T313+T314+T315+T316+T317+T318+T319+T320+T321+T322+T323+T324, "NA")</f>
        <v>21771.78</v>
      </c>
      <c r="U325" s="15">
        <f>IFERROR(T325/T445, "NA")</f>
        <v>2.2681411191408062E-2</v>
      </c>
      <c r="V325" s="2"/>
      <c r="W325" s="14">
        <f t="shared" si="78"/>
        <v>-4883.119999999999</v>
      </c>
      <c r="X325" s="15">
        <f>IFERROR(W325/W445, "NA")</f>
        <v>0.14819544687279765</v>
      </c>
      <c r="Y325" s="2"/>
      <c r="Z325" s="14">
        <f>IFERROR(Z298+Z299+Z300+Z301+Z302+Z303+Z304+Z305+Z306+Z307+Z308+Z309+Z310+Z311+Z312+Z313+Z314+Z315+Z316+Z317+Z318+Z319+Z320+Z321+Z322+Z323+Z324, "NA")</f>
        <v>27321.9</v>
      </c>
      <c r="AA325" s="15">
        <f>IFERROR(Z325/Z445, "NA")</f>
        <v>3.0624427891515558E-2</v>
      </c>
      <c r="AB325" s="2"/>
      <c r="AC325" s="14">
        <f t="shared" si="79"/>
        <v>667.00000000000364</v>
      </c>
      <c r="AD325" s="15">
        <f>IFERROR(AC325/AC445, "NA")</f>
        <v>1.9175251448780885E-2</v>
      </c>
    </row>
    <row r="326" spans="1:30" ht="16.5" customHeight="1" x14ac:dyDescent="0.45">
      <c r="A326" s="21" t="s">
        <v>298</v>
      </c>
      <c r="B326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44051.649999999994</v>
      </c>
      <c r="C326" s="15">
        <f>IFERROR(B326/B445, "NA")</f>
        <v>0.27499345627483779</v>
      </c>
      <c r="D326" s="2"/>
      <c r="E326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45888.569999999992</v>
      </c>
      <c r="F326" s="15">
        <f>IFERROR(E326/E445, "NA")</f>
        <v>0.23827840383699897</v>
      </c>
      <c r="G326" s="2"/>
      <c r="H326" s="14">
        <f t="shared" si="76"/>
        <v>1836.9199999999983</v>
      </c>
      <c r="I326" s="15">
        <f>IFERROR(H326/H445, "NA")</f>
        <v>-5.6708696319269315E-2</v>
      </c>
      <c r="J326" s="2"/>
      <c r="K326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43618.87000000001</v>
      </c>
      <c r="L326" s="15">
        <f>IFERROR(K326/K445, "NA")</f>
        <v>0.24699048286248212</v>
      </c>
      <c r="M326" s="2"/>
      <c r="N326" s="14">
        <f t="shared" si="77"/>
        <v>-432.77999999998428</v>
      </c>
      <c r="O326" s="15">
        <f>IFERROR(N326/N445, "NA")</f>
        <v>2.6373280828090064E-2</v>
      </c>
      <c r="P326" s="2"/>
      <c r="Q326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258766.79999999993</v>
      </c>
      <c r="R326" s="15">
        <f>IFERROR(Q326/Q445, "NA")</f>
        <v>0.27916097179296845</v>
      </c>
      <c r="S326" s="2"/>
      <c r="T326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228412.61</v>
      </c>
      <c r="U326" s="15">
        <f>IFERROR(T326/T445, "NA")</f>
        <v>0.2379557541327684</v>
      </c>
      <c r="V326" s="2"/>
      <c r="W326" s="14">
        <f t="shared" si="78"/>
        <v>-30354.189999999944</v>
      </c>
      <c r="X326" s="15">
        <f>IFERROR(W326/W445, "NA")</f>
        <v>0.92120462972685457</v>
      </c>
      <c r="Y326" s="2"/>
      <c r="Z326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242571.86000000002</v>
      </c>
      <c r="AA326" s="15">
        <f>IFERROR(Z326/Z445, "NA")</f>
        <v>0.27189267346270968</v>
      </c>
      <c r="AB326" s="2"/>
      <c r="AC326" s="14">
        <f t="shared" si="79"/>
        <v>-16194.939999999915</v>
      </c>
      <c r="AD326" s="15">
        <f>IFERROR(AC326/AC445, "NA")</f>
        <v>-0.46558027990692086</v>
      </c>
    </row>
    <row r="327" spans="1:30" ht="16.5" customHeight="1" x14ac:dyDescent="0.45">
      <c r="A327" s="1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customHeight="1" x14ac:dyDescent="0.45">
      <c r="A328" s="5" t="s">
        <v>300</v>
      </c>
      <c r="B328" s="2"/>
      <c r="C328" s="3"/>
      <c r="D328" s="4"/>
      <c r="E328" s="2"/>
      <c r="F328" s="3"/>
      <c r="G328" s="4"/>
      <c r="H328" s="2"/>
      <c r="I328" s="3"/>
      <c r="J328" s="4"/>
      <c r="K328" s="2"/>
      <c r="L328" s="3"/>
      <c r="M328" s="4"/>
      <c r="N328" s="2"/>
      <c r="O328" s="3"/>
      <c r="P328" s="4"/>
      <c r="Q328" s="2"/>
      <c r="R328" s="3"/>
      <c r="S328" s="4"/>
      <c r="T328" s="2"/>
      <c r="U328" s="3"/>
      <c r="V328" s="4"/>
      <c r="W328" s="2"/>
      <c r="X328" s="3"/>
      <c r="Y328" s="4"/>
      <c r="Z328" s="2"/>
      <c r="AA328" s="3"/>
      <c r="AB328" s="4"/>
      <c r="AC328" s="2"/>
      <c r="AD328" s="3"/>
    </row>
    <row r="329" spans="1:30" ht="16.5" hidden="1" customHeight="1" x14ac:dyDescent="0.45">
      <c r="A329" s="6" t="s">
        <v>300</v>
      </c>
      <c r="B329" s="7">
        <v>0</v>
      </c>
      <c r="C329" s="8">
        <f>IFERROR(B329/B445, "NA")</f>
        <v>0</v>
      </c>
      <c r="D329" s="9"/>
      <c r="E329" s="7">
        <v>0</v>
      </c>
      <c r="F329" s="8">
        <f>IFERROR(E329/E445, "NA")</f>
        <v>0</v>
      </c>
      <c r="G329" s="9"/>
      <c r="H329" s="10">
        <f t="shared" ref="H329:H336" si="80">IFERROR(-(B329-E329), "NA")</f>
        <v>0</v>
      </c>
      <c r="I329" s="8">
        <f>IFERROR(H329/H445, "NA")</f>
        <v>0</v>
      </c>
      <c r="J329" s="9"/>
      <c r="K329" s="7">
        <v>0</v>
      </c>
      <c r="L329" s="8">
        <f>IFERROR(K329/K445, "NA")</f>
        <v>0</v>
      </c>
      <c r="M329" s="9"/>
      <c r="N329" s="10">
        <f t="shared" ref="N329:N336" si="81">IFERROR(-(B329-K329), "NA")</f>
        <v>0</v>
      </c>
      <c r="O329" s="8">
        <f>IFERROR(N329/N445, "NA")</f>
        <v>0</v>
      </c>
      <c r="P329" s="9"/>
      <c r="Q329" s="7">
        <v>0</v>
      </c>
      <c r="R329" s="8">
        <f>IFERROR(Q329/Q445, "NA")</f>
        <v>0</v>
      </c>
      <c r="S329" s="9"/>
      <c r="T329" s="7">
        <v>0</v>
      </c>
      <c r="U329" s="8">
        <f>IFERROR(T329/T445, "NA")</f>
        <v>0</v>
      </c>
      <c r="V329" s="9"/>
      <c r="W329" s="10">
        <f t="shared" ref="W329:W336" si="82">IFERROR(-(Q329-T329), "NA")</f>
        <v>0</v>
      </c>
      <c r="X329" s="8">
        <f>IFERROR(W329/W445, "NA")</f>
        <v>0</v>
      </c>
      <c r="Y329" s="9"/>
      <c r="Z329" s="7">
        <v>0</v>
      </c>
      <c r="AA329" s="8">
        <f>IFERROR(Z329/Z445, "NA")</f>
        <v>0</v>
      </c>
      <c r="AB329" s="9"/>
      <c r="AC329" s="10">
        <f t="shared" ref="AC329:AC336" si="83">IFERROR(-(Q329-Z329), "NA")</f>
        <v>0</v>
      </c>
      <c r="AD329" s="8">
        <f>IFERROR(AC329/AC445, "NA")</f>
        <v>0</v>
      </c>
    </row>
    <row r="330" spans="1:30" ht="16.5" customHeight="1" x14ac:dyDescent="0.45">
      <c r="A330" s="6" t="s">
        <v>301</v>
      </c>
      <c r="B330" s="7">
        <v>10440.49</v>
      </c>
      <c r="C330" s="8">
        <f>IFERROR(B330/B445, "NA")</f>
        <v>6.5175003213338925E-2</v>
      </c>
      <c r="D330" s="9"/>
      <c r="E330" s="7">
        <v>10440.49</v>
      </c>
      <c r="F330" s="8">
        <f>IFERROR(E330/E445, "NA")</f>
        <v>5.4212700297179658E-2</v>
      </c>
      <c r="G330" s="9"/>
      <c r="H330" s="10">
        <f t="shared" si="80"/>
        <v>0</v>
      </c>
      <c r="I330" s="8">
        <f>IFERROR(H330/H445, "NA")</f>
        <v>0</v>
      </c>
      <c r="J330" s="9"/>
      <c r="K330" s="7">
        <v>10136.4</v>
      </c>
      <c r="L330" s="8">
        <f>IFERROR(K330/K445, "NA")</f>
        <v>5.7397046977311954E-2</v>
      </c>
      <c r="M330" s="9"/>
      <c r="N330" s="10">
        <f t="shared" si="81"/>
        <v>-304.09000000000015</v>
      </c>
      <c r="O330" s="8">
        <f>IFERROR(N330/N445, "NA")</f>
        <v>1.8531011061080002E-2</v>
      </c>
      <c r="P330" s="9"/>
      <c r="Q330" s="7">
        <v>52202.45</v>
      </c>
      <c r="R330" s="8">
        <f>IFERROR(Q330/Q445, "NA")</f>
        <v>5.6316678460968911E-2</v>
      </c>
      <c r="S330" s="9"/>
      <c r="T330" s="7">
        <v>52202.45</v>
      </c>
      <c r="U330" s="8">
        <f>IFERROR(T330/T445, "NA")</f>
        <v>5.438348328197877E-2</v>
      </c>
      <c r="V330" s="9"/>
      <c r="W330" s="10">
        <f t="shared" si="82"/>
        <v>0</v>
      </c>
      <c r="X330" s="8">
        <f>IFERROR(W330/W445, "NA")</f>
        <v>0</v>
      </c>
      <c r="Y330" s="9"/>
      <c r="Z330" s="7">
        <v>50682</v>
      </c>
      <c r="AA330" s="8">
        <f>IFERROR(Z330/Z445, "NA")</f>
        <v>5.6808174189854711E-2</v>
      </c>
      <c r="AB330" s="9"/>
      <c r="AC330" s="10">
        <f t="shared" si="83"/>
        <v>-1520.4499999999971</v>
      </c>
      <c r="AD330" s="8">
        <f>IFERROR(AC330/AC445, "NA")</f>
        <v>-4.371066126731437E-2</v>
      </c>
    </row>
    <row r="331" spans="1:30" ht="16.5" customHeight="1" x14ac:dyDescent="0.45">
      <c r="A331" s="6" t="s">
        <v>302</v>
      </c>
      <c r="B331" s="7">
        <v>728.65</v>
      </c>
      <c r="C331" s="8">
        <f>IFERROR(B331/B445, "NA")</f>
        <v>4.5486146810541847E-3</v>
      </c>
      <c r="D331" s="9"/>
      <c r="E331" s="7">
        <v>728.65</v>
      </c>
      <c r="F331" s="8">
        <f>IFERROR(E331/E445, "NA")</f>
        <v>3.7835469476566672E-3</v>
      </c>
      <c r="G331" s="9"/>
      <c r="H331" s="10">
        <f t="shared" si="80"/>
        <v>0</v>
      </c>
      <c r="I331" s="8">
        <f>IFERROR(H331/H445, "NA")</f>
        <v>0</v>
      </c>
      <c r="J331" s="9"/>
      <c r="K331" s="7">
        <v>728.65</v>
      </c>
      <c r="L331" s="8">
        <f>IFERROR(K331/K445, "NA")</f>
        <v>4.1259577640995184E-3</v>
      </c>
      <c r="M331" s="9"/>
      <c r="N331" s="10">
        <f t="shared" si="81"/>
        <v>0</v>
      </c>
      <c r="O331" s="8">
        <f>IFERROR(N331/N445, "NA")</f>
        <v>0</v>
      </c>
      <c r="P331" s="9"/>
      <c r="Q331" s="7">
        <v>3333.82</v>
      </c>
      <c r="R331" s="8">
        <f>IFERROR(Q331/Q445, "NA")</f>
        <v>3.5965681493253169E-3</v>
      </c>
      <c r="S331" s="9"/>
      <c r="T331" s="7">
        <v>3643.25</v>
      </c>
      <c r="U331" s="8">
        <f>IFERROR(T331/T445, "NA")</f>
        <v>3.7954660263468318E-3</v>
      </c>
      <c r="V331" s="9"/>
      <c r="W331" s="10">
        <f t="shared" si="82"/>
        <v>309.42999999999984</v>
      </c>
      <c r="X331" s="8">
        <f>IFERROR(W331/W445, "NA")</f>
        <v>-9.3907413960438724E-3</v>
      </c>
      <c r="Y331" s="9"/>
      <c r="Z331" s="7">
        <v>3643.25</v>
      </c>
      <c r="AA331" s="8">
        <f>IFERROR(Z331/Z445, "NA")</f>
        <v>4.0836269408702922E-3</v>
      </c>
      <c r="AB331" s="9"/>
      <c r="AC331" s="10">
        <f t="shared" si="83"/>
        <v>309.42999999999984</v>
      </c>
      <c r="AD331" s="8">
        <f>IFERROR(AC331/AC445, "NA")</f>
        <v>8.8956492590648185E-3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IFERROR(B332/B445, "NA")</f>
        <v>0</v>
      </c>
      <c r="D332" s="9"/>
      <c r="E332" s="7">
        <v>0</v>
      </c>
      <c r="F332" s="8">
        <f>IFERROR(E332/E445, "NA")</f>
        <v>0</v>
      </c>
      <c r="G332" s="9"/>
      <c r="H332" s="10">
        <f t="shared" si="80"/>
        <v>0</v>
      </c>
      <c r="I332" s="8">
        <f>IFERROR(H332/H445, "NA")</f>
        <v>0</v>
      </c>
      <c r="J332" s="9"/>
      <c r="K332" s="7">
        <v>0</v>
      </c>
      <c r="L332" s="8">
        <f>IFERROR(K332/K445, "NA")</f>
        <v>0</v>
      </c>
      <c r="M332" s="9"/>
      <c r="N332" s="10">
        <f t="shared" si="81"/>
        <v>0</v>
      </c>
      <c r="O332" s="8">
        <f>IFERROR(N332/N445, "NA")</f>
        <v>0</v>
      </c>
      <c r="P332" s="9"/>
      <c r="Q332" s="7">
        <v>0</v>
      </c>
      <c r="R332" s="8">
        <f>IFERROR(Q332/Q445, "NA")</f>
        <v>0</v>
      </c>
      <c r="S332" s="9"/>
      <c r="T332" s="7">
        <v>0</v>
      </c>
      <c r="U332" s="8">
        <f>IFERROR(T332/T445, "NA")</f>
        <v>0</v>
      </c>
      <c r="V332" s="9"/>
      <c r="W332" s="10">
        <f t="shared" si="82"/>
        <v>0</v>
      </c>
      <c r="X332" s="8">
        <f>IFERROR(W332/W445, "NA")</f>
        <v>0</v>
      </c>
      <c r="Y332" s="9"/>
      <c r="Z332" s="7">
        <v>0</v>
      </c>
      <c r="AA332" s="8">
        <f>IFERROR(Z332/Z445, "NA")</f>
        <v>0</v>
      </c>
      <c r="AB332" s="9"/>
      <c r="AC332" s="10">
        <f t="shared" si="83"/>
        <v>0</v>
      </c>
      <c r="AD332" s="8">
        <f>IFERROR(AC332/AC445, "NA")</f>
        <v>0</v>
      </c>
    </row>
    <row r="333" spans="1:30" ht="16.5" customHeight="1" x14ac:dyDescent="0.45">
      <c r="A333" s="6" t="s">
        <v>304</v>
      </c>
      <c r="B333" s="7">
        <v>15.16</v>
      </c>
      <c r="C333" s="8">
        <f>IFERROR(B333/B445, "NA")</f>
        <v>9.4636654861430646E-5</v>
      </c>
      <c r="D333" s="9"/>
      <c r="E333" s="7">
        <v>133</v>
      </c>
      <c r="F333" s="8">
        <f>IFERROR(E333/E445, "NA")</f>
        <v>6.9060830856836172E-4</v>
      </c>
      <c r="G333" s="9"/>
      <c r="H333" s="10">
        <f t="shared" si="80"/>
        <v>117.84</v>
      </c>
      <c r="I333" s="8">
        <f>IFERROR(H333/H445, "NA")</f>
        <v>-3.6379117077840637E-3</v>
      </c>
      <c r="J333" s="9"/>
      <c r="K333" s="7">
        <v>15.16</v>
      </c>
      <c r="L333" s="8">
        <f>IFERROR(K333/K445, "NA")</f>
        <v>8.5843024365262749E-5</v>
      </c>
      <c r="M333" s="9"/>
      <c r="N333" s="10">
        <f t="shared" si="81"/>
        <v>0</v>
      </c>
      <c r="O333" s="8">
        <f>IFERROR(N333/N445, "NA")</f>
        <v>0</v>
      </c>
      <c r="P333" s="9"/>
      <c r="Q333" s="7">
        <v>1425.42</v>
      </c>
      <c r="R333" s="8">
        <f>IFERROR(Q333/Q445, "NA")</f>
        <v>1.5377615382388052E-3</v>
      </c>
      <c r="S333" s="9"/>
      <c r="T333" s="7">
        <v>665</v>
      </c>
      <c r="U333" s="8">
        <f>IFERROR(T333/T445, "NA")</f>
        <v>6.9278389007634475E-4</v>
      </c>
      <c r="V333" s="9"/>
      <c r="W333" s="10">
        <f t="shared" si="82"/>
        <v>-760.42000000000007</v>
      </c>
      <c r="X333" s="8">
        <f>IFERROR(W333/W445, "NA")</f>
        <v>2.3077618758296503E-2</v>
      </c>
      <c r="Y333" s="9"/>
      <c r="Z333" s="7">
        <v>75.8</v>
      </c>
      <c r="AA333" s="8">
        <f>IFERROR(Z333/Z445, "NA")</f>
        <v>8.4962306215046501E-5</v>
      </c>
      <c r="AB333" s="9"/>
      <c r="AC333" s="10">
        <f t="shared" si="83"/>
        <v>-1349.6200000000001</v>
      </c>
      <c r="AD333" s="8">
        <f>IFERROR(AC333/AC445, "NA")</f>
        <v>-3.8799554513198685E-2</v>
      </c>
    </row>
    <row r="334" spans="1:30" ht="16.5" customHeight="1" x14ac:dyDescent="0.45">
      <c r="A334" s="6" t="s">
        <v>305</v>
      </c>
      <c r="B334" s="7">
        <v>964.14</v>
      </c>
      <c r="C334" s="8">
        <f>IFERROR(B334/B445, "NA")</f>
        <v>6.01866651834431E-3</v>
      </c>
      <c r="D334" s="9"/>
      <c r="E334" s="7">
        <v>964</v>
      </c>
      <c r="F334" s="8">
        <f>IFERROR(E334/E445, "NA")</f>
        <v>5.0056121012022605E-3</v>
      </c>
      <c r="G334" s="9"/>
      <c r="H334" s="10">
        <f t="shared" si="80"/>
        <v>-0.13999999999998636</v>
      </c>
      <c r="I334" s="8">
        <f>IFERROR(H334/H445, "NA")</f>
        <v>4.3220268082970072E-6</v>
      </c>
      <c r="J334" s="9"/>
      <c r="K334" s="7">
        <v>964.14</v>
      </c>
      <c r="L334" s="8">
        <f>IFERROR(K334/K445, "NA")</f>
        <v>5.4594125007601862E-3</v>
      </c>
      <c r="M334" s="9"/>
      <c r="N334" s="10">
        <f t="shared" si="81"/>
        <v>0</v>
      </c>
      <c r="O334" s="8">
        <f>IFERROR(N334/N445, "NA")</f>
        <v>0</v>
      </c>
      <c r="P334" s="9"/>
      <c r="Q334" s="7">
        <v>4820.7</v>
      </c>
      <c r="R334" s="8">
        <f>IFERROR(Q334/Q445, "NA")</f>
        <v>5.2006335307402778E-3</v>
      </c>
      <c r="S334" s="9"/>
      <c r="T334" s="7">
        <v>4820</v>
      </c>
      <c r="U334" s="8">
        <f>IFERROR(T334/T445, "NA")</f>
        <v>5.0213809776962128E-3</v>
      </c>
      <c r="V334" s="9"/>
      <c r="W334" s="10">
        <f t="shared" si="82"/>
        <v>-0.6999999999998181</v>
      </c>
      <c r="X334" s="8">
        <f>IFERROR(W334/W445, "NA")</f>
        <v>2.1243961403965376E-5</v>
      </c>
      <c r="Y334" s="9"/>
      <c r="Z334" s="7">
        <v>4820.7</v>
      </c>
      <c r="AA334" s="8">
        <f>IFERROR(Z334/Z445, "NA")</f>
        <v>5.4034009178215653E-3</v>
      </c>
      <c r="AB334" s="9"/>
      <c r="AC334" s="10">
        <f t="shared" si="83"/>
        <v>0</v>
      </c>
      <c r="AD334" s="8">
        <f>IFERROR(AC334/AC445, "NA")</f>
        <v>0</v>
      </c>
    </row>
    <row r="335" spans="1:30" ht="16.5" customHeight="1" x14ac:dyDescent="0.45">
      <c r="A335" s="6" t="s">
        <v>306</v>
      </c>
      <c r="B335" s="7">
        <v>-803.92</v>
      </c>
      <c r="C335" s="8">
        <f>IFERROR(B335/B445, "NA")</f>
        <v>-5.0184894179552322E-3</v>
      </c>
      <c r="D335" s="9"/>
      <c r="E335" s="7">
        <v>-803.92</v>
      </c>
      <c r="F335" s="8">
        <f>IFERROR(E335/E445, "NA")</f>
        <v>-4.1743897099569723E-3</v>
      </c>
      <c r="G335" s="9"/>
      <c r="H335" s="10">
        <f t="shared" si="80"/>
        <v>0</v>
      </c>
      <c r="I335" s="8">
        <f>IFERROR(H335/H445, "NA")</f>
        <v>0</v>
      </c>
      <c r="J335" s="9"/>
      <c r="K335" s="7">
        <v>-780.5</v>
      </c>
      <c r="L335" s="8">
        <f>IFERROR(K335/K445, "NA")</f>
        <v>-4.4195567623408691E-3</v>
      </c>
      <c r="M335" s="9"/>
      <c r="N335" s="10">
        <f t="shared" si="81"/>
        <v>23.419999999999959</v>
      </c>
      <c r="O335" s="8">
        <f>IFERROR(N335/N445, "NA")</f>
        <v>-1.4271968136094337E-3</v>
      </c>
      <c r="P335" s="9"/>
      <c r="Q335" s="7">
        <v>-1607.84</v>
      </c>
      <c r="R335" s="8">
        <f>IFERROR(Q335/Q445, "NA")</f>
        <v>-1.7345585944085816E-3</v>
      </c>
      <c r="S335" s="9"/>
      <c r="T335" s="7">
        <v>-1607.84</v>
      </c>
      <c r="U335" s="8">
        <f>IFERROR(T335/T445, "NA")</f>
        <v>-1.6750160147674437E-3</v>
      </c>
      <c r="V335" s="9"/>
      <c r="W335" s="10">
        <f t="shared" si="82"/>
        <v>0</v>
      </c>
      <c r="X335" s="8">
        <f>IFERROR(W335/W445, "NA")</f>
        <v>0</v>
      </c>
      <c r="Y335" s="9"/>
      <c r="Z335" s="7">
        <v>-1561</v>
      </c>
      <c r="AA335" s="8">
        <f>IFERROR(Z335/Z445, "NA")</f>
        <v>-1.7496854881489127E-3</v>
      </c>
      <c r="AB335" s="9"/>
      <c r="AC335" s="10">
        <f t="shared" si="83"/>
        <v>46.839999999999918</v>
      </c>
      <c r="AD335" s="8">
        <f>IFERROR(AC335/AC445, "NA")</f>
        <v>1.346579876852909E-3</v>
      </c>
    </row>
    <row r="336" spans="1:30" ht="16.5" customHeight="1" x14ac:dyDescent="0.45">
      <c r="A336" s="6" t="s">
        <v>307</v>
      </c>
      <c r="B336" s="7">
        <v>1747.67</v>
      </c>
      <c r="C336" s="8">
        <f>IFERROR(B336/B445, "NA")</f>
        <v>1.0909870884015601E-2</v>
      </c>
      <c r="D336" s="9"/>
      <c r="E336" s="7">
        <v>288.88</v>
      </c>
      <c r="F336" s="8">
        <f>IFERROR(E336/E445, "NA")</f>
        <v>1.5000220163851755E-3</v>
      </c>
      <c r="G336" s="9"/>
      <c r="H336" s="10">
        <f t="shared" si="80"/>
        <v>-1458.79</v>
      </c>
      <c r="I336" s="8">
        <f>IFERROR(H336/H445, "NA")</f>
        <v>4.5035210626258607E-2</v>
      </c>
      <c r="J336" s="9"/>
      <c r="K336" s="7">
        <v>0</v>
      </c>
      <c r="L336" s="8">
        <f>IFERROR(K336/K445, "NA")</f>
        <v>0</v>
      </c>
      <c r="M336" s="9"/>
      <c r="N336" s="10">
        <f t="shared" si="81"/>
        <v>-1747.67</v>
      </c>
      <c r="O336" s="8">
        <f>IFERROR(N336/N445, "NA")</f>
        <v>0.10650166760208384</v>
      </c>
      <c r="P336" s="9"/>
      <c r="Q336" s="7">
        <v>5257.68</v>
      </c>
      <c r="R336" s="8">
        <f>IFERROR(Q336/Q445, "NA")</f>
        <v>5.6720532084349887E-3</v>
      </c>
      <c r="S336" s="9"/>
      <c r="T336" s="7">
        <v>1439.84</v>
      </c>
      <c r="U336" s="8">
        <f>IFERROR(T336/T445, "NA")</f>
        <v>1.4999969267481567E-3</v>
      </c>
      <c r="V336" s="9"/>
      <c r="W336" s="10">
        <f t="shared" si="82"/>
        <v>-3817.84</v>
      </c>
      <c r="X336" s="8">
        <f>IFERROR(W336/W445, "NA")</f>
        <v>0.11586577943790893</v>
      </c>
      <c r="Y336" s="9"/>
      <c r="Z336" s="7">
        <v>3309.62</v>
      </c>
      <c r="AA336" s="8">
        <f>IFERROR(Z336/Z445, "NA")</f>
        <v>3.7096694973013482E-3</v>
      </c>
      <c r="AB336" s="9"/>
      <c r="AC336" s="10">
        <f t="shared" si="83"/>
        <v>-1948.0600000000004</v>
      </c>
      <c r="AD336" s="8">
        <f>IFERROR(AC336/AC445, "NA")</f>
        <v>-5.600380860166701E-2</v>
      </c>
    </row>
    <row r="337" spans="1:30" ht="16.5" customHeight="1" x14ac:dyDescent="0.45">
      <c r="A337" s="11" t="s">
        <v>308</v>
      </c>
      <c r="B337" s="2"/>
      <c r="C337" s="3"/>
      <c r="D337" s="4"/>
      <c r="E337" s="2"/>
      <c r="F337" s="3"/>
      <c r="G337" s="4"/>
      <c r="H337" s="2"/>
      <c r="I337" s="3"/>
      <c r="J337" s="4"/>
      <c r="K337" s="2"/>
      <c r="L337" s="3"/>
      <c r="M337" s="4"/>
      <c r="N337" s="2"/>
      <c r="O337" s="3"/>
      <c r="P337" s="4"/>
      <c r="Q337" s="2"/>
      <c r="R337" s="3"/>
      <c r="S337" s="4"/>
      <c r="T337" s="2"/>
      <c r="U337" s="3"/>
      <c r="V337" s="4"/>
      <c r="W337" s="2"/>
      <c r="X337" s="3"/>
      <c r="Y337" s="4"/>
      <c r="Z337" s="2"/>
      <c r="AA337" s="3"/>
      <c r="AB337" s="4"/>
      <c r="AC337" s="2"/>
      <c r="AD337" s="3"/>
    </row>
    <row r="338" spans="1:30" ht="16.5" hidden="1" customHeight="1" x14ac:dyDescent="0.45">
      <c r="A338" s="12" t="s">
        <v>308</v>
      </c>
      <c r="B338" s="7">
        <v>0</v>
      </c>
      <c r="C338" s="8">
        <f>IFERROR(B338/B445, "NA")</f>
        <v>0</v>
      </c>
      <c r="D338" s="9"/>
      <c r="E338" s="7">
        <v>0</v>
      </c>
      <c r="F338" s="8">
        <f>IFERROR(E338/E445, "NA")</f>
        <v>0</v>
      </c>
      <c r="G338" s="9"/>
      <c r="H338" s="10">
        <f t="shared" ref="H338:H345" si="84">IFERROR(-(B338-E338), "NA")</f>
        <v>0</v>
      </c>
      <c r="I338" s="8">
        <f>IFERROR(H338/H445, "NA")</f>
        <v>0</v>
      </c>
      <c r="J338" s="9"/>
      <c r="K338" s="7">
        <v>0</v>
      </c>
      <c r="L338" s="8">
        <f>IFERROR(K338/K445, "NA")</f>
        <v>0</v>
      </c>
      <c r="M338" s="9"/>
      <c r="N338" s="10">
        <f t="shared" ref="N338:N345" si="85">IFERROR(-(B338-K338), "NA")</f>
        <v>0</v>
      </c>
      <c r="O338" s="8">
        <f>IFERROR(N338/N445, "NA")</f>
        <v>0</v>
      </c>
      <c r="P338" s="9"/>
      <c r="Q338" s="7">
        <v>0</v>
      </c>
      <c r="R338" s="8">
        <f>IFERROR(Q338/Q445, "NA")</f>
        <v>0</v>
      </c>
      <c r="S338" s="9"/>
      <c r="T338" s="7">
        <v>0</v>
      </c>
      <c r="U338" s="8">
        <f>IFERROR(T338/T445, "NA")</f>
        <v>0</v>
      </c>
      <c r="V338" s="9"/>
      <c r="W338" s="10">
        <f t="shared" ref="W338:W345" si="86">IFERROR(-(Q338-T338), "NA")</f>
        <v>0</v>
      </c>
      <c r="X338" s="8">
        <f>IFERROR(W338/W445, "NA")</f>
        <v>0</v>
      </c>
      <c r="Y338" s="9"/>
      <c r="Z338" s="7">
        <v>0</v>
      </c>
      <c r="AA338" s="8">
        <f>IFERROR(Z338/Z445, "NA")</f>
        <v>0</v>
      </c>
      <c r="AB338" s="9"/>
      <c r="AC338" s="10">
        <f t="shared" ref="AC338:AC345" si="87">IFERROR(-(Q338-Z338), "NA")</f>
        <v>0</v>
      </c>
      <c r="AD338" s="8">
        <f>IFERROR(AC338/AC445, "NA")</f>
        <v>0</v>
      </c>
    </row>
    <row r="339" spans="1:30" ht="16.5" customHeight="1" x14ac:dyDescent="0.45">
      <c r="A339" s="12" t="s">
        <v>309</v>
      </c>
      <c r="B339" s="7">
        <v>2969.9</v>
      </c>
      <c r="C339" s="8">
        <f>IFERROR(B339/B445, "NA")</f>
        <v>1.8539670268665098E-2</v>
      </c>
      <c r="D339" s="9"/>
      <c r="E339" s="7">
        <v>3851.68</v>
      </c>
      <c r="F339" s="8">
        <f>IFERROR(E339/E445, "NA")</f>
        <v>2.0000016616139756E-2</v>
      </c>
      <c r="G339" s="9"/>
      <c r="H339" s="10">
        <f t="shared" si="84"/>
        <v>881.77999999999975</v>
      </c>
      <c r="I339" s="8">
        <f>IFERROR(H339/H445, "NA")</f>
        <v>-2.7221977135860751E-2</v>
      </c>
      <c r="J339" s="9"/>
      <c r="K339" s="7">
        <v>3096.77</v>
      </c>
      <c r="L339" s="8">
        <f>IFERROR(K339/K445, "NA")</f>
        <v>1.7535362965937645E-2</v>
      </c>
      <c r="M339" s="9"/>
      <c r="N339" s="10">
        <f t="shared" si="85"/>
        <v>126.86999999999989</v>
      </c>
      <c r="O339" s="8">
        <f>IFERROR(N339/N445, "NA")</f>
        <v>-7.7313603647578564E-3</v>
      </c>
      <c r="P339" s="9"/>
      <c r="Q339" s="7">
        <v>17556.79</v>
      </c>
      <c r="R339" s="8">
        <f>IFERROR(Q339/Q445, "NA")</f>
        <v>1.8940492203656237E-2</v>
      </c>
      <c r="S339" s="9"/>
      <c r="T339" s="7">
        <v>19197.91</v>
      </c>
      <c r="U339" s="8">
        <f>IFERROR(T339/T445, "NA")</f>
        <v>2.0000004167121142E-2</v>
      </c>
      <c r="V339" s="9"/>
      <c r="W339" s="10">
        <f t="shared" si="86"/>
        <v>1641.119999999999</v>
      </c>
      <c r="X339" s="8">
        <f>IFERROR(W339/W445, "NA")</f>
        <v>-4.9805557056120997E-2</v>
      </c>
      <c r="Y339" s="9"/>
      <c r="Z339" s="7">
        <v>19830.7</v>
      </c>
      <c r="AA339" s="8">
        <f>IFERROR(Z339/Z445, "NA")</f>
        <v>2.222773094800426E-2</v>
      </c>
      <c r="AB339" s="9"/>
      <c r="AC339" s="10">
        <f t="shared" si="87"/>
        <v>2273.91</v>
      </c>
      <c r="AD339" s="8">
        <f>IFERROR(AC339/AC445, "NA")</f>
        <v>6.5371508278706303E-2</v>
      </c>
    </row>
    <row r="340" spans="1:30" ht="16.5" customHeight="1" x14ac:dyDescent="0.45">
      <c r="A340" s="12" t="s">
        <v>310</v>
      </c>
      <c r="B340" s="7">
        <v>424.47</v>
      </c>
      <c r="C340" s="8">
        <f>IFERROR(B340/B445, "NA")</f>
        <v>2.6497639108859807E-3</v>
      </c>
      <c r="D340" s="9"/>
      <c r="E340" s="7">
        <v>385.17</v>
      </c>
      <c r="F340" s="8">
        <f>IFERROR(E340/E445, "NA")</f>
        <v>2.0000120467013227E-3</v>
      </c>
      <c r="G340" s="9"/>
      <c r="H340" s="10">
        <f t="shared" si="84"/>
        <v>-39.300000000000011</v>
      </c>
      <c r="I340" s="8">
        <f>IFERROR(H340/H445, "NA")</f>
        <v>1.2132546683292071E-3</v>
      </c>
      <c r="J340" s="9"/>
      <c r="K340" s="7">
        <v>373.99</v>
      </c>
      <c r="L340" s="8">
        <f>IFERROR(K340/K445, "NA")</f>
        <v>2.1177066413169271E-3</v>
      </c>
      <c r="M340" s="9"/>
      <c r="N340" s="10">
        <f t="shared" si="85"/>
        <v>-50.480000000000018</v>
      </c>
      <c r="O340" s="8">
        <f>IFERROR(N340/N445, "NA")</f>
        <v>3.0762124317252077E-3</v>
      </c>
      <c r="P340" s="9"/>
      <c r="Q340" s="7">
        <v>2035.22</v>
      </c>
      <c r="R340" s="8">
        <f>IFERROR(Q340/Q445, "NA")</f>
        <v>2.1956216678974483E-3</v>
      </c>
      <c r="S340" s="9"/>
      <c r="T340" s="7">
        <v>1919.8</v>
      </c>
      <c r="U340" s="8">
        <f>IFERROR(T340/T445, "NA")</f>
        <v>2.0000097927346866E-3</v>
      </c>
      <c r="V340" s="9"/>
      <c r="W340" s="10">
        <f t="shared" si="86"/>
        <v>-115.42000000000007</v>
      </c>
      <c r="X340" s="8">
        <f>IFERROR(W340/W445, "NA")</f>
        <v>3.5028257503518893E-3</v>
      </c>
      <c r="Y340" s="9"/>
      <c r="Z340" s="7">
        <v>1669.64</v>
      </c>
      <c r="AA340" s="8">
        <f>IFERROR(Z340/Z445, "NA")</f>
        <v>1.871457321225465E-3</v>
      </c>
      <c r="AB340" s="9"/>
      <c r="AC340" s="10">
        <f t="shared" si="87"/>
        <v>-365.57999999999993</v>
      </c>
      <c r="AD340" s="8">
        <f>IFERROR(AC340/AC445, "NA")</f>
        <v>-1.0509877698118855E-2</v>
      </c>
    </row>
    <row r="341" spans="1:30" ht="16.5" customHeight="1" x14ac:dyDescent="0.45">
      <c r="A341" s="12" t="s">
        <v>311</v>
      </c>
      <c r="B341" s="7">
        <v>1481.3</v>
      </c>
      <c r="C341" s="8">
        <f>IFERROR(B341/B445, "NA")</f>
        <v>9.2470499238942756E-3</v>
      </c>
      <c r="D341" s="9"/>
      <c r="E341" s="7">
        <v>770.34</v>
      </c>
      <c r="F341" s="8">
        <f>IFERROR(E341/E445, "NA")</f>
        <v>4.0000240934026455E-3</v>
      </c>
      <c r="G341" s="9"/>
      <c r="H341" s="10">
        <f t="shared" si="84"/>
        <v>-710.95999999999992</v>
      </c>
      <c r="I341" s="8">
        <f>IFERROR(H341/H445, "NA")</f>
        <v>2.1948486997336709E-2</v>
      </c>
      <c r="J341" s="9"/>
      <c r="K341" s="7">
        <v>702.42</v>
      </c>
      <c r="L341" s="8">
        <f>IFERROR(K341/K445, "NA")</f>
        <v>3.9774312120480111E-3</v>
      </c>
      <c r="M341" s="9"/>
      <c r="N341" s="10">
        <f t="shared" si="85"/>
        <v>-778.88</v>
      </c>
      <c r="O341" s="8">
        <f>IFERROR(N341/N445, "NA")</f>
        <v>4.7464349025794945E-2</v>
      </c>
      <c r="P341" s="9"/>
      <c r="Q341" s="7">
        <v>3564.65</v>
      </c>
      <c r="R341" s="8">
        <f>IFERROR(Q341/Q445, "NA")</f>
        <v>3.8455905398289323E-3</v>
      </c>
      <c r="S341" s="9"/>
      <c r="T341" s="7">
        <v>3839.59</v>
      </c>
      <c r="U341" s="8">
        <f>IFERROR(T341/T445, "NA")</f>
        <v>4.0000091676665149E-3</v>
      </c>
      <c r="V341" s="9"/>
      <c r="W341" s="10">
        <f t="shared" si="86"/>
        <v>274.94000000000005</v>
      </c>
      <c r="X341" s="8">
        <f>IFERROR(W341/W445, "NA")</f>
        <v>-8.3440210691539431E-3</v>
      </c>
      <c r="Y341" s="9"/>
      <c r="Z341" s="7">
        <v>2887.77</v>
      </c>
      <c r="AA341" s="8">
        <f>IFERROR(Z341/Z445, "NA")</f>
        <v>3.2368284830953144E-3</v>
      </c>
      <c r="AB341" s="9"/>
      <c r="AC341" s="10">
        <f t="shared" si="87"/>
        <v>-676.88000000000011</v>
      </c>
      <c r="AD341" s="8">
        <f>IFERROR(AC341/AC445, "NA")</f>
        <v>-1.9459286657647283E-2</v>
      </c>
    </row>
    <row r="342" spans="1:30" ht="16.5" customHeight="1" x14ac:dyDescent="0.45">
      <c r="A342" s="12" t="s">
        <v>312</v>
      </c>
      <c r="B342" s="7">
        <v>395.63</v>
      </c>
      <c r="C342" s="8">
        <f>IFERROR(B342/B445, "NA")</f>
        <v>2.4697295358065835E-3</v>
      </c>
      <c r="D342" s="9"/>
      <c r="E342" s="7">
        <v>385.17</v>
      </c>
      <c r="F342" s="8">
        <f>IFERROR(E342/E445, "NA")</f>
        <v>2.0000120467013227E-3</v>
      </c>
      <c r="G342" s="9"/>
      <c r="H342" s="10">
        <f t="shared" si="84"/>
        <v>-10.45999999999998</v>
      </c>
      <c r="I342" s="8">
        <f>IFERROR(H342/H445, "NA")</f>
        <v>3.2291714581993581E-4</v>
      </c>
      <c r="J342" s="9"/>
      <c r="K342" s="7">
        <v>380.17</v>
      </c>
      <c r="L342" s="8">
        <f>IFERROR(K342/K445, "NA")</f>
        <v>2.1527006974236106E-3</v>
      </c>
      <c r="M342" s="9"/>
      <c r="N342" s="10">
        <f t="shared" si="85"/>
        <v>-15.45999999999998</v>
      </c>
      <c r="O342" s="8">
        <f>IFERROR(N342/N445, "NA")</f>
        <v>9.4212052683184688E-4</v>
      </c>
      <c r="P342" s="9"/>
      <c r="Q342" s="7">
        <v>1947.23</v>
      </c>
      <c r="R342" s="8">
        <f>IFERROR(Q342/Q445, "NA")</f>
        <v>2.1006969174732701E-3</v>
      </c>
      <c r="S342" s="9"/>
      <c r="T342" s="7">
        <v>1919.8</v>
      </c>
      <c r="U342" s="8">
        <f>IFERROR(T342/T445, "NA")</f>
        <v>2.0000097927346866E-3</v>
      </c>
      <c r="V342" s="9"/>
      <c r="W342" s="10">
        <f t="shared" si="86"/>
        <v>-27.430000000000064</v>
      </c>
      <c r="X342" s="8">
        <f>IFERROR(W342/W445, "NA")</f>
        <v>8.3245980187274726E-4</v>
      </c>
      <c r="Y342" s="9"/>
      <c r="Z342" s="7">
        <v>1900.85</v>
      </c>
      <c r="AA342" s="8">
        <f>IFERROR(Z342/Z445, "NA")</f>
        <v>2.1306147726764002E-3</v>
      </c>
      <c r="AB342" s="9"/>
      <c r="AC342" s="10">
        <f t="shared" si="87"/>
        <v>-46.380000000000109</v>
      </c>
      <c r="AD342" s="8">
        <f>IFERROR(AC342/AC445, "NA")</f>
        <v>-1.3333555655089277E-3</v>
      </c>
    </row>
    <row r="343" spans="1:30" ht="16.5" customHeight="1" x14ac:dyDescent="0.45">
      <c r="A343" s="13" t="s">
        <v>313</v>
      </c>
      <c r="B343" s="14">
        <f>IFERROR(B338+B339+B340+B341+B342, "NA")</f>
        <v>5271.3</v>
      </c>
      <c r="C343" s="15">
        <f>IFERROR(B343/B445, "NA")</f>
        <v>3.290621363925194E-2</v>
      </c>
      <c r="D343" s="2"/>
      <c r="E343" s="14">
        <f>IFERROR(E338+E339+E340+E341+E342, "NA")</f>
        <v>5392.36</v>
      </c>
      <c r="F343" s="15">
        <f>IFERROR(E343/E445, "NA")</f>
        <v>2.8000064802945042E-2</v>
      </c>
      <c r="G343" s="2"/>
      <c r="H343" s="14">
        <f t="shared" si="84"/>
        <v>121.05999999999949</v>
      </c>
      <c r="I343" s="15">
        <f>IFERROR(H343/H445, "NA")</f>
        <v>-3.7373183243748888E-3</v>
      </c>
      <c r="J343" s="2"/>
      <c r="K343" s="14">
        <f>IFERROR(K338+K339+K340+K341+K342, "NA")</f>
        <v>4553.3500000000004</v>
      </c>
      <c r="L343" s="15">
        <f>IFERROR(K343/K445, "NA")</f>
        <v>2.5783201516726195E-2</v>
      </c>
      <c r="M343" s="2"/>
      <c r="N343" s="14">
        <f t="shared" si="85"/>
        <v>-717.94999999999982</v>
      </c>
      <c r="O343" s="15">
        <f>IFERROR(N343/N445, "NA")</f>
        <v>4.3751321619594122E-2</v>
      </c>
      <c r="P343" s="2"/>
      <c r="Q343" s="14">
        <f>IFERROR(Q338+Q339+Q340+Q341+Q342, "NA")</f>
        <v>25103.890000000003</v>
      </c>
      <c r="R343" s="15">
        <f>IFERROR(Q343/Q445, "NA")</f>
        <v>2.7082401328855889E-2</v>
      </c>
      <c r="S343" s="2"/>
      <c r="T343" s="14">
        <f>IFERROR(T338+T339+T340+T341+T342, "NA")</f>
        <v>26877.1</v>
      </c>
      <c r="U343" s="15">
        <f>IFERROR(T343/T445, "NA")</f>
        <v>2.8000032920257028E-2</v>
      </c>
      <c r="V343" s="2"/>
      <c r="W343" s="14">
        <f t="shared" si="86"/>
        <v>1773.2099999999955</v>
      </c>
      <c r="X343" s="15">
        <f>IFERROR(W343/W445, "NA")</f>
        <v>-5.3814292573050197E-2</v>
      </c>
      <c r="Y343" s="2"/>
      <c r="Z343" s="14">
        <f>IFERROR(Z338+Z339+Z340+Z341+Z342, "NA")</f>
        <v>26288.959999999999</v>
      </c>
      <c r="AA343" s="15">
        <f>IFERROR(Z343/Z445, "NA")</f>
        <v>2.9466631525001438E-2</v>
      </c>
      <c r="AB343" s="2"/>
      <c r="AC343" s="14">
        <f t="shared" si="87"/>
        <v>1185.0699999999961</v>
      </c>
      <c r="AD343" s="15">
        <f>IFERROR(AC343/AC445, "NA")</f>
        <v>3.4068988357431135E-2</v>
      </c>
    </row>
    <row r="344" spans="1:30" ht="16.5" customHeight="1" x14ac:dyDescent="0.45">
      <c r="A344" s="19" t="s">
        <v>314</v>
      </c>
      <c r="B344" s="14">
        <f>IFERROR(B329+B330+B331+B332+B333+B334+B335+B336+B338+B339+B340+B341+B342, "NA")</f>
        <v>18363.489999999998</v>
      </c>
      <c r="C344" s="15">
        <f>IFERROR(B344/B445, "NA")</f>
        <v>0.11463451617291114</v>
      </c>
      <c r="D344" s="2"/>
      <c r="E344" s="14">
        <f>IFERROR(E329+E330+E331+E332+E333+E334+E335+E336+E338+E339+E340+E341+E342, "NA")</f>
        <v>17143.459999999995</v>
      </c>
      <c r="F344" s="15">
        <f>IFERROR(E344/E445, "NA")</f>
        <v>8.9018164763980182E-2</v>
      </c>
      <c r="G344" s="2"/>
      <c r="H344" s="14">
        <f t="shared" si="84"/>
        <v>-1220.0300000000025</v>
      </c>
      <c r="I344" s="15">
        <f>IFERROR(H344/H445, "NA")</f>
        <v>3.7664302620908016E-2</v>
      </c>
      <c r="J344" s="2"/>
      <c r="K344" s="14">
        <f>IFERROR(K329+K330+K331+K332+K333+K334+K335+K336+K338+K339+K340+K341+K342, "NA")</f>
        <v>15617.199999999999</v>
      </c>
      <c r="L344" s="15">
        <f>IFERROR(K344/K445, "NA")</f>
        <v>8.8431905020922241E-2</v>
      </c>
      <c r="M344" s="2"/>
      <c r="N344" s="14">
        <f t="shared" si="85"/>
        <v>-2746.2899999999991</v>
      </c>
      <c r="O344" s="15">
        <f>IFERROR(N344/N445, "NA")</f>
        <v>0.16735680346914847</v>
      </c>
      <c r="P344" s="2"/>
      <c r="Q344" s="14">
        <f>IFERROR(Q329+Q330+Q331+Q332+Q333+Q334+Q335+Q336+Q338+Q339+Q340+Q341+Q342, "NA")</f>
        <v>90536.119999999981</v>
      </c>
      <c r="R344" s="15">
        <f>IFERROR(Q344/Q445, "NA")</f>
        <v>9.767153762215558E-2</v>
      </c>
      <c r="S344" s="2"/>
      <c r="T344" s="14">
        <f>IFERROR(T329+T330+T331+T332+T333+T334+T335+T336+T338+T339+T340+T341+T342, "NA")</f>
        <v>88039.8</v>
      </c>
      <c r="U344" s="15">
        <f>IFERROR(T344/T445, "NA")</f>
        <v>9.1718128008335911E-2</v>
      </c>
      <c r="V344" s="2"/>
      <c r="W344" s="14">
        <f t="shared" si="86"/>
        <v>-2496.3199999999779</v>
      </c>
      <c r="X344" s="15">
        <f>IFERROR(W344/W445, "NA")</f>
        <v>7.5759608188514516E-2</v>
      </c>
      <c r="Y344" s="2"/>
      <c r="Z344" s="14">
        <f>IFERROR(Z329+Z330+Z331+Z332+Z333+Z334+Z335+Z336+Z338+Z339+Z340+Z341+Z342, "NA")</f>
        <v>87259.330000000016</v>
      </c>
      <c r="AA344" s="15">
        <f>IFERROR(Z344/Z445, "NA")</f>
        <v>9.7806779888915507E-2</v>
      </c>
      <c r="AB344" s="2"/>
      <c r="AC344" s="14">
        <f t="shared" si="87"/>
        <v>-3276.7899999999645</v>
      </c>
      <c r="AD344" s="15">
        <f>IFERROR(AC344/AC445, "NA")</f>
        <v>-9.4202806888830135E-2</v>
      </c>
    </row>
    <row r="345" spans="1:30" ht="16.5" customHeight="1" x14ac:dyDescent="0.45">
      <c r="A345" s="21" t="s">
        <v>315</v>
      </c>
      <c r="B345" s="14">
        <f>IFERROR(B329+B330+B331+B332+B333+B334+B335+B336+B338+B339+B340+B341+B342, "NA")</f>
        <v>18363.489999999998</v>
      </c>
      <c r="C345" s="15">
        <f>IFERROR(B345/B445, "NA")</f>
        <v>0.11463451617291114</v>
      </c>
      <c r="D345" s="2"/>
      <c r="E345" s="14">
        <f>IFERROR(E329+E330+E331+E332+E333+E334+E335+E336+E338+E339+E340+E341+E342, "NA")</f>
        <v>17143.459999999995</v>
      </c>
      <c r="F345" s="15">
        <f>IFERROR(E345/E445, "NA")</f>
        <v>8.9018164763980182E-2</v>
      </c>
      <c r="G345" s="2"/>
      <c r="H345" s="14">
        <f t="shared" si="84"/>
        <v>-1220.0300000000025</v>
      </c>
      <c r="I345" s="15">
        <f>IFERROR(H345/H445, "NA")</f>
        <v>3.7664302620908016E-2</v>
      </c>
      <c r="J345" s="2"/>
      <c r="K345" s="14">
        <f>IFERROR(K329+K330+K331+K332+K333+K334+K335+K336+K338+K339+K340+K341+K342, "NA")</f>
        <v>15617.199999999999</v>
      </c>
      <c r="L345" s="15">
        <f>IFERROR(K345/K445, "NA")</f>
        <v>8.8431905020922241E-2</v>
      </c>
      <c r="M345" s="2"/>
      <c r="N345" s="14">
        <f t="shared" si="85"/>
        <v>-2746.2899999999991</v>
      </c>
      <c r="O345" s="15">
        <f>IFERROR(N345/N445, "NA")</f>
        <v>0.16735680346914847</v>
      </c>
      <c r="P345" s="2"/>
      <c r="Q345" s="14">
        <f>IFERROR(Q329+Q330+Q331+Q332+Q333+Q334+Q335+Q336+Q338+Q339+Q340+Q341+Q342, "NA")</f>
        <v>90536.119999999981</v>
      </c>
      <c r="R345" s="15">
        <f>IFERROR(Q345/Q445, "NA")</f>
        <v>9.767153762215558E-2</v>
      </c>
      <c r="S345" s="2"/>
      <c r="T345" s="14">
        <f>IFERROR(T329+T330+T331+T332+T333+T334+T335+T336+T338+T339+T340+T341+T342, "NA")</f>
        <v>88039.8</v>
      </c>
      <c r="U345" s="15">
        <f>IFERROR(T345/T445, "NA")</f>
        <v>9.1718128008335911E-2</v>
      </c>
      <c r="V345" s="2"/>
      <c r="W345" s="14">
        <f t="shared" si="86"/>
        <v>-2496.3199999999779</v>
      </c>
      <c r="X345" s="15">
        <f>IFERROR(W345/W445, "NA")</f>
        <v>7.5759608188514516E-2</v>
      </c>
      <c r="Y345" s="2"/>
      <c r="Z345" s="14">
        <f>IFERROR(Z329+Z330+Z331+Z332+Z333+Z334+Z335+Z336+Z338+Z339+Z340+Z341+Z342, "NA")</f>
        <v>87259.330000000016</v>
      </c>
      <c r="AA345" s="15">
        <f>IFERROR(Z345/Z445, "NA")</f>
        <v>9.7806779888915507E-2</v>
      </c>
      <c r="AB345" s="2"/>
      <c r="AC345" s="14">
        <f t="shared" si="87"/>
        <v>-3276.7899999999645</v>
      </c>
      <c r="AD345" s="15">
        <f>IFERROR(AC345/AC445, "NA")</f>
        <v>-9.4202806888830135E-2</v>
      </c>
    </row>
    <row r="346" spans="1:30" ht="16.5" customHeight="1" x14ac:dyDescent="0.45">
      <c r="A346" s="22" t="s">
        <v>316</v>
      </c>
      <c r="B346" s="23">
        <f>IFERROR(B198-B326-B345, "NA")</f>
        <v>14267.07</v>
      </c>
      <c r="C346" s="24">
        <f>IFERROR(B346/B445, "NA")</f>
        <v>8.9062518434951929E-2</v>
      </c>
      <c r="D346" s="25"/>
      <c r="E346" s="23">
        <f>IFERROR(E198-E326-E345, "NA")</f>
        <v>33977.140000000058</v>
      </c>
      <c r="F346" s="24">
        <f>IFERROR(E346/E445, "NA")</f>
        <v>0.17642778334880049</v>
      </c>
      <c r="G346" s="25"/>
      <c r="H346" s="23">
        <f>IFERROR(B346-E346, "NA")</f>
        <v>-19710.070000000058</v>
      </c>
      <c r="I346" s="24">
        <f>IFERROR(H346/H445, "NA")</f>
        <v>0.6084817923815653</v>
      </c>
      <c r="J346" s="25"/>
      <c r="K346" s="23">
        <f>IFERROR(K198-K326-K345, "NA")</f>
        <v>20410.300000000017</v>
      </c>
      <c r="L346" s="24">
        <f>IFERROR(K346/K445, "NA")</f>
        <v>0.11557268339065459</v>
      </c>
      <c r="M346" s="25"/>
      <c r="N346" s="23">
        <f>IFERROR(B346-K346, "NA")</f>
        <v>-6143.2300000000178</v>
      </c>
      <c r="O346" s="24">
        <f>IFERROR(N346/N445, "NA")</f>
        <v>0.37436371824380538</v>
      </c>
      <c r="P346" s="25"/>
      <c r="Q346" s="23">
        <f>IFERROR(Q198-Q326-Q345, "NA")</f>
        <v>114562.15000000004</v>
      </c>
      <c r="R346" s="24">
        <f>IFERROR(Q346/Q445, "NA")</f>
        <v>0.12359112963754176</v>
      </c>
      <c r="S346" s="25"/>
      <c r="T346" s="23">
        <f>IFERROR(T198-T326-T345, "NA")</f>
        <v>164749.33000000002</v>
      </c>
      <c r="U346" s="24">
        <f>IFERROR(T346/T445, "NA")</f>
        <v>0.17163260409755107</v>
      </c>
      <c r="V346" s="25"/>
      <c r="W346" s="23">
        <f>IFERROR(Q346-T346, "NA")</f>
        <v>-50187.179999999978</v>
      </c>
      <c r="X346" s="24">
        <f>IFERROR(W346/W445, "NA")</f>
        <v>1.523106449848771</v>
      </c>
      <c r="Y346" s="25"/>
      <c r="Z346" s="23">
        <f>IFERROR(Z198-Z326-Z345, "NA")</f>
        <v>96349.209999999875</v>
      </c>
      <c r="AA346" s="24">
        <f>IFERROR(Z346/Z445, "NA")</f>
        <v>0.1079953968812376</v>
      </c>
      <c r="AB346" s="25"/>
      <c r="AC346" s="23">
        <f>IFERROR(Q346-Z346, "NA")</f>
        <v>18212.940000000162</v>
      </c>
      <c r="AD346" s="24">
        <f>IFERROR(AC346/AC445, "NA")</f>
        <v>0.52359475880293938</v>
      </c>
    </row>
    <row r="347" spans="1:30" ht="16.5" customHeight="1" x14ac:dyDescent="0.45">
      <c r="A347" s="1" t="s">
        <v>317</v>
      </c>
      <c r="B347" s="2"/>
      <c r="C347" s="3"/>
      <c r="D347" s="4"/>
      <c r="E347" s="2"/>
      <c r="F347" s="3"/>
      <c r="G347" s="4"/>
      <c r="H347" s="2"/>
      <c r="I347" s="3"/>
      <c r="J347" s="4"/>
      <c r="K347" s="2"/>
      <c r="L347" s="3"/>
      <c r="M347" s="4"/>
      <c r="N347" s="2"/>
      <c r="O347" s="3"/>
      <c r="P347" s="4"/>
      <c r="Q347" s="2"/>
      <c r="R347" s="3"/>
      <c r="S347" s="4"/>
      <c r="T347" s="2"/>
      <c r="U347" s="3"/>
      <c r="V347" s="4"/>
      <c r="W347" s="2"/>
      <c r="X347" s="3"/>
      <c r="Y347" s="4"/>
      <c r="Z347" s="2"/>
      <c r="AA347" s="3"/>
      <c r="AB347" s="4"/>
      <c r="AC347" s="2"/>
      <c r="AD347" s="3"/>
    </row>
    <row r="348" spans="1:30" ht="16.5" hidden="1" customHeight="1" x14ac:dyDescent="0.45">
      <c r="A348" s="20" t="s">
        <v>318</v>
      </c>
      <c r="B348" s="7">
        <v>0</v>
      </c>
      <c r="C348" s="8">
        <f>IFERROR(B348/B445, "NA")</f>
        <v>0</v>
      </c>
      <c r="D348" s="9"/>
      <c r="E348" s="7">
        <v>0</v>
      </c>
      <c r="F348" s="8">
        <f>IFERROR(E348/E445, "NA")</f>
        <v>0</v>
      </c>
      <c r="G348" s="9"/>
      <c r="H348" s="10">
        <f>IFERROR(-(B348-E348), "NA")</f>
        <v>0</v>
      </c>
      <c r="I348" s="8">
        <f>IFERROR(H348/H445, "NA")</f>
        <v>0</v>
      </c>
      <c r="J348" s="9"/>
      <c r="K348" s="7">
        <v>0</v>
      </c>
      <c r="L348" s="8">
        <f>IFERROR(K348/K445, "NA")</f>
        <v>0</v>
      </c>
      <c r="M348" s="9"/>
      <c r="N348" s="10">
        <f>IFERROR(-(B348-K348), "NA")</f>
        <v>0</v>
      </c>
      <c r="O348" s="8">
        <f>IFERROR(N348/N445, "NA")</f>
        <v>0</v>
      </c>
      <c r="P348" s="9"/>
      <c r="Q348" s="7">
        <v>0</v>
      </c>
      <c r="R348" s="8">
        <f>IFERROR(Q348/Q445, "NA")</f>
        <v>0</v>
      </c>
      <c r="S348" s="9"/>
      <c r="T348" s="7">
        <v>0</v>
      </c>
      <c r="U348" s="8">
        <f>IFERROR(T348/T445, "NA")</f>
        <v>0</v>
      </c>
      <c r="V348" s="9"/>
      <c r="W348" s="10">
        <f>IFERROR(-(Q348-T348), "NA")</f>
        <v>0</v>
      </c>
      <c r="X348" s="8">
        <f>IFERROR(W348/W445, "NA")</f>
        <v>0</v>
      </c>
      <c r="Y348" s="9"/>
      <c r="Z348" s="7">
        <v>0</v>
      </c>
      <c r="AA348" s="8">
        <f>IFERROR(Z348/Z445, "NA")</f>
        <v>0</v>
      </c>
      <c r="AB348" s="9"/>
      <c r="AC348" s="10">
        <f>IFERROR(-(Q348-Z348), "NA")</f>
        <v>0</v>
      </c>
      <c r="AD348" s="8">
        <f>IFERROR(AC348/AC445, "NA")</f>
        <v>0</v>
      </c>
    </row>
    <row r="349" spans="1:30" ht="16.5" customHeight="1" x14ac:dyDescent="0.45">
      <c r="A349" s="5" t="s">
        <v>319</v>
      </c>
      <c r="B349" s="2"/>
      <c r="C349" s="3"/>
      <c r="D349" s="4"/>
      <c r="E349" s="2"/>
      <c r="F349" s="3"/>
      <c r="G349" s="4"/>
      <c r="H349" s="2"/>
      <c r="I349" s="3"/>
      <c r="J349" s="4"/>
      <c r="K349" s="2"/>
      <c r="L349" s="3"/>
      <c r="M349" s="4"/>
      <c r="N349" s="2"/>
      <c r="O349" s="3"/>
      <c r="P349" s="4"/>
      <c r="Q349" s="2"/>
      <c r="R349" s="3"/>
      <c r="S349" s="4"/>
      <c r="T349" s="2"/>
      <c r="U349" s="3"/>
      <c r="V349" s="4"/>
      <c r="W349" s="2"/>
      <c r="X349" s="3"/>
      <c r="Y349" s="4"/>
      <c r="Z349" s="2"/>
      <c r="AA349" s="3"/>
      <c r="AB349" s="4"/>
      <c r="AC349" s="2"/>
      <c r="AD349" s="3"/>
    </row>
    <row r="350" spans="1:30" ht="16.5" hidden="1" customHeight="1" x14ac:dyDescent="0.45">
      <c r="A350" s="6" t="s">
        <v>319</v>
      </c>
      <c r="B350" s="7">
        <v>0</v>
      </c>
      <c r="C350" s="8">
        <f>IFERROR(B350/B445, "NA")</f>
        <v>0</v>
      </c>
      <c r="D350" s="9"/>
      <c r="E350" s="7">
        <v>0</v>
      </c>
      <c r="F350" s="8">
        <f>IFERROR(E350/E445, "NA")</f>
        <v>0</v>
      </c>
      <c r="G350" s="9"/>
      <c r="H350" s="10">
        <f t="shared" ref="H350:H359" si="88">IFERROR(-(B350-E350), "NA")</f>
        <v>0</v>
      </c>
      <c r="I350" s="8">
        <f>IFERROR(H350/H445, "NA")</f>
        <v>0</v>
      </c>
      <c r="J350" s="9"/>
      <c r="K350" s="7">
        <v>0</v>
      </c>
      <c r="L350" s="8">
        <f>IFERROR(K350/K445, "NA")</f>
        <v>0</v>
      </c>
      <c r="M350" s="9"/>
      <c r="N350" s="10">
        <f t="shared" ref="N350:N359" si="89">IFERROR(-(B350-K350), "NA")</f>
        <v>0</v>
      </c>
      <c r="O350" s="8">
        <f>IFERROR(N350/N445, "NA")</f>
        <v>0</v>
      </c>
      <c r="P350" s="9"/>
      <c r="Q350" s="7">
        <v>0</v>
      </c>
      <c r="R350" s="8">
        <f>IFERROR(Q350/Q445, "NA")</f>
        <v>0</v>
      </c>
      <c r="S350" s="9"/>
      <c r="T350" s="7">
        <v>0</v>
      </c>
      <c r="U350" s="8">
        <f>IFERROR(T350/T445, "NA")</f>
        <v>0</v>
      </c>
      <c r="V350" s="9"/>
      <c r="W350" s="10">
        <f t="shared" ref="W350:W359" si="90">IFERROR(-(Q350-T350), "NA")</f>
        <v>0</v>
      </c>
      <c r="X350" s="8">
        <f>IFERROR(W350/W445, "NA")</f>
        <v>0</v>
      </c>
      <c r="Y350" s="9"/>
      <c r="Z350" s="7">
        <v>0</v>
      </c>
      <c r="AA350" s="8">
        <f>IFERROR(Z350/Z445, "NA")</f>
        <v>0</v>
      </c>
      <c r="AB350" s="9"/>
      <c r="AC350" s="10">
        <f t="shared" ref="AC350:AC359" si="91">IFERROR(-(Q350-Z350), "NA")</f>
        <v>0</v>
      </c>
      <c r="AD350" s="8">
        <f>IFERROR(AC350/AC445,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IFERROR(B351/B445, "NA")</f>
        <v>0</v>
      </c>
      <c r="D351" s="9"/>
      <c r="E351" s="7">
        <v>0</v>
      </c>
      <c r="F351" s="8">
        <f>IFERROR(E351/E445, "NA")</f>
        <v>0</v>
      </c>
      <c r="G351" s="9"/>
      <c r="H351" s="10">
        <f t="shared" si="88"/>
        <v>0</v>
      </c>
      <c r="I351" s="8">
        <f>IFERROR(H351/H445, "NA")</f>
        <v>0</v>
      </c>
      <c r="J351" s="9"/>
      <c r="K351" s="7">
        <v>0</v>
      </c>
      <c r="L351" s="8">
        <f>IFERROR(K351/K445, "NA")</f>
        <v>0</v>
      </c>
      <c r="M351" s="9"/>
      <c r="N351" s="10">
        <f t="shared" si="89"/>
        <v>0</v>
      </c>
      <c r="O351" s="8">
        <f>IFERROR(N351/N445, "NA")</f>
        <v>0</v>
      </c>
      <c r="P351" s="9"/>
      <c r="Q351" s="7">
        <v>0</v>
      </c>
      <c r="R351" s="8">
        <f>IFERROR(Q351/Q445, "NA")</f>
        <v>0</v>
      </c>
      <c r="S351" s="9"/>
      <c r="T351" s="7">
        <v>0</v>
      </c>
      <c r="U351" s="8">
        <f>IFERROR(T351/T445, "NA")</f>
        <v>0</v>
      </c>
      <c r="V351" s="9"/>
      <c r="W351" s="10">
        <f t="shared" si="90"/>
        <v>0</v>
      </c>
      <c r="X351" s="8">
        <f>IFERROR(W351/W445, "NA")</f>
        <v>0</v>
      </c>
      <c r="Y351" s="9"/>
      <c r="Z351" s="7">
        <v>0</v>
      </c>
      <c r="AA351" s="8">
        <f>IFERROR(Z351/Z445, "NA")</f>
        <v>0</v>
      </c>
      <c r="AB351" s="9"/>
      <c r="AC351" s="10">
        <f t="shared" si="91"/>
        <v>0</v>
      </c>
      <c r="AD351" s="8">
        <f>IFERROR(AC351/AC445,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IFERROR(B352/B445, "NA")</f>
        <v>0</v>
      </c>
      <c r="D352" s="9"/>
      <c r="E352" s="7">
        <v>0</v>
      </c>
      <c r="F352" s="8">
        <f>IFERROR(E352/E445, "NA")</f>
        <v>0</v>
      </c>
      <c r="G352" s="9"/>
      <c r="H352" s="10">
        <f t="shared" si="88"/>
        <v>0</v>
      </c>
      <c r="I352" s="8">
        <f>IFERROR(H352/H445, "NA")</f>
        <v>0</v>
      </c>
      <c r="J352" s="9"/>
      <c r="K352" s="7">
        <v>0</v>
      </c>
      <c r="L352" s="8">
        <f>IFERROR(K352/K445, "NA")</f>
        <v>0</v>
      </c>
      <c r="M352" s="9"/>
      <c r="N352" s="10">
        <f t="shared" si="89"/>
        <v>0</v>
      </c>
      <c r="O352" s="8">
        <f>IFERROR(N352/N445, "NA")</f>
        <v>0</v>
      </c>
      <c r="P352" s="9"/>
      <c r="Q352" s="7">
        <v>0</v>
      </c>
      <c r="R352" s="8">
        <f>IFERROR(Q352/Q445, "NA")</f>
        <v>0</v>
      </c>
      <c r="S352" s="9"/>
      <c r="T352" s="7">
        <v>0</v>
      </c>
      <c r="U352" s="8">
        <f>IFERROR(T352/T445, "NA")</f>
        <v>0</v>
      </c>
      <c r="V352" s="9"/>
      <c r="W352" s="10">
        <f t="shared" si="90"/>
        <v>0</v>
      </c>
      <c r="X352" s="8">
        <f>IFERROR(W352/W445, "NA")</f>
        <v>0</v>
      </c>
      <c r="Y352" s="9"/>
      <c r="Z352" s="7">
        <v>0</v>
      </c>
      <c r="AA352" s="8">
        <f>IFERROR(Z352/Z445, "NA")</f>
        <v>0</v>
      </c>
      <c r="AB352" s="9"/>
      <c r="AC352" s="10">
        <f t="shared" si="91"/>
        <v>0</v>
      </c>
      <c r="AD352" s="8">
        <f>IFERROR(AC352/AC445,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IFERROR(B353/B445, "NA")</f>
        <v>0</v>
      </c>
      <c r="D353" s="9"/>
      <c r="E353" s="7">
        <v>0</v>
      </c>
      <c r="F353" s="8">
        <f>IFERROR(E353/E445, "NA")</f>
        <v>0</v>
      </c>
      <c r="G353" s="9"/>
      <c r="H353" s="10">
        <f t="shared" si="88"/>
        <v>0</v>
      </c>
      <c r="I353" s="8">
        <f>IFERROR(H353/H445, "NA")</f>
        <v>0</v>
      </c>
      <c r="J353" s="9"/>
      <c r="K353" s="7">
        <v>0</v>
      </c>
      <c r="L353" s="8">
        <f>IFERROR(K353/K445, "NA")</f>
        <v>0</v>
      </c>
      <c r="M353" s="9"/>
      <c r="N353" s="10">
        <f t="shared" si="89"/>
        <v>0</v>
      </c>
      <c r="O353" s="8">
        <f>IFERROR(N353/N445, "NA")</f>
        <v>0</v>
      </c>
      <c r="P353" s="9"/>
      <c r="Q353" s="7">
        <v>0</v>
      </c>
      <c r="R353" s="8">
        <f>IFERROR(Q353/Q445, "NA")</f>
        <v>0</v>
      </c>
      <c r="S353" s="9"/>
      <c r="T353" s="7">
        <v>0</v>
      </c>
      <c r="U353" s="8">
        <f>IFERROR(T353/T445, "NA")</f>
        <v>0</v>
      </c>
      <c r="V353" s="9"/>
      <c r="W353" s="10">
        <f t="shared" si="90"/>
        <v>0</v>
      </c>
      <c r="X353" s="8">
        <f>IFERROR(W353/W445, "NA")</f>
        <v>0</v>
      </c>
      <c r="Y353" s="9"/>
      <c r="Z353" s="7">
        <v>0</v>
      </c>
      <c r="AA353" s="8">
        <f>IFERROR(Z353/Z445, "NA")</f>
        <v>0</v>
      </c>
      <c r="AB353" s="9"/>
      <c r="AC353" s="10">
        <f t="shared" si="91"/>
        <v>0</v>
      </c>
      <c r="AD353" s="8">
        <f>IFERROR(AC353/AC445,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IFERROR(B354/B445, "NA")</f>
        <v>0</v>
      </c>
      <c r="D354" s="9"/>
      <c r="E354" s="7">
        <v>0</v>
      </c>
      <c r="F354" s="8">
        <f>IFERROR(E354/E445, "NA")</f>
        <v>0</v>
      </c>
      <c r="G354" s="9"/>
      <c r="H354" s="10">
        <f t="shared" si="88"/>
        <v>0</v>
      </c>
      <c r="I354" s="8">
        <f>IFERROR(H354/H445, "NA")</f>
        <v>0</v>
      </c>
      <c r="J354" s="9"/>
      <c r="K354" s="7">
        <v>0</v>
      </c>
      <c r="L354" s="8">
        <f>IFERROR(K354/K445, "NA")</f>
        <v>0</v>
      </c>
      <c r="M354" s="9"/>
      <c r="N354" s="10">
        <f t="shared" si="89"/>
        <v>0</v>
      </c>
      <c r="O354" s="8">
        <f>IFERROR(N354/N445, "NA")</f>
        <v>0</v>
      </c>
      <c r="P354" s="9"/>
      <c r="Q354" s="7">
        <v>0</v>
      </c>
      <c r="R354" s="8">
        <f>IFERROR(Q354/Q445, "NA")</f>
        <v>0</v>
      </c>
      <c r="S354" s="9"/>
      <c r="T354" s="7">
        <v>0</v>
      </c>
      <c r="U354" s="8">
        <f>IFERROR(T354/T445, "NA")</f>
        <v>0</v>
      </c>
      <c r="V354" s="9"/>
      <c r="W354" s="10">
        <f t="shared" si="90"/>
        <v>0</v>
      </c>
      <c r="X354" s="8">
        <f>IFERROR(W354/W445, "NA")</f>
        <v>0</v>
      </c>
      <c r="Y354" s="9"/>
      <c r="Z354" s="7">
        <v>0</v>
      </c>
      <c r="AA354" s="8">
        <f>IFERROR(Z354/Z445, "NA")</f>
        <v>0</v>
      </c>
      <c r="AB354" s="9"/>
      <c r="AC354" s="10">
        <f t="shared" si="91"/>
        <v>0</v>
      </c>
      <c r="AD354" s="8">
        <f>IFERROR(AC354/AC445,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IFERROR(B355/B445, "NA")</f>
        <v>0</v>
      </c>
      <c r="D355" s="9"/>
      <c r="E355" s="7">
        <v>0</v>
      </c>
      <c r="F355" s="8">
        <f>IFERROR(E355/E445, "NA")</f>
        <v>0</v>
      </c>
      <c r="G355" s="9"/>
      <c r="H355" s="10">
        <f t="shared" si="88"/>
        <v>0</v>
      </c>
      <c r="I355" s="8">
        <f>IFERROR(H355/H445, "NA")</f>
        <v>0</v>
      </c>
      <c r="J355" s="9"/>
      <c r="K355" s="7">
        <v>0</v>
      </c>
      <c r="L355" s="8">
        <f>IFERROR(K355/K445, "NA")</f>
        <v>0</v>
      </c>
      <c r="M355" s="9"/>
      <c r="N355" s="10">
        <f t="shared" si="89"/>
        <v>0</v>
      </c>
      <c r="O355" s="8">
        <f>IFERROR(N355/N445, "NA")</f>
        <v>0</v>
      </c>
      <c r="P355" s="9"/>
      <c r="Q355" s="7">
        <v>0</v>
      </c>
      <c r="R355" s="8">
        <f>IFERROR(Q355/Q445, "NA")</f>
        <v>0</v>
      </c>
      <c r="S355" s="9"/>
      <c r="T355" s="7">
        <v>0</v>
      </c>
      <c r="U355" s="8">
        <f>IFERROR(T355/T445, "NA")</f>
        <v>0</v>
      </c>
      <c r="V355" s="9"/>
      <c r="W355" s="10">
        <f t="shared" si="90"/>
        <v>0</v>
      </c>
      <c r="X355" s="8">
        <f>IFERROR(W355/W445, "NA")</f>
        <v>0</v>
      </c>
      <c r="Y355" s="9"/>
      <c r="Z355" s="7">
        <v>0</v>
      </c>
      <c r="AA355" s="8">
        <f>IFERROR(Z355/Z445, "NA")</f>
        <v>0</v>
      </c>
      <c r="AB355" s="9"/>
      <c r="AC355" s="10">
        <f t="shared" si="91"/>
        <v>0</v>
      </c>
      <c r="AD355" s="8">
        <f>IFERROR(AC355/AC445,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IFERROR(B356/B445, "NA")</f>
        <v>0</v>
      </c>
      <c r="D356" s="9"/>
      <c r="E356" s="7">
        <v>0</v>
      </c>
      <c r="F356" s="8">
        <f>IFERROR(E356/E445, "NA")</f>
        <v>0</v>
      </c>
      <c r="G356" s="9"/>
      <c r="H356" s="10">
        <f t="shared" si="88"/>
        <v>0</v>
      </c>
      <c r="I356" s="8">
        <f>IFERROR(H356/H445, "NA")</f>
        <v>0</v>
      </c>
      <c r="J356" s="9"/>
      <c r="K356" s="7">
        <v>0</v>
      </c>
      <c r="L356" s="8">
        <f>IFERROR(K356/K445, "NA")</f>
        <v>0</v>
      </c>
      <c r="M356" s="9"/>
      <c r="N356" s="10">
        <f t="shared" si="89"/>
        <v>0</v>
      </c>
      <c r="O356" s="8">
        <f>IFERROR(N356/N445, "NA")</f>
        <v>0</v>
      </c>
      <c r="P356" s="9"/>
      <c r="Q356" s="7">
        <v>0</v>
      </c>
      <c r="R356" s="8">
        <f>IFERROR(Q356/Q445, "NA")</f>
        <v>0</v>
      </c>
      <c r="S356" s="9"/>
      <c r="T356" s="7">
        <v>0</v>
      </c>
      <c r="U356" s="8">
        <f>IFERROR(T356/T445, "NA")</f>
        <v>0</v>
      </c>
      <c r="V356" s="9"/>
      <c r="W356" s="10">
        <f t="shared" si="90"/>
        <v>0</v>
      </c>
      <c r="X356" s="8">
        <f>IFERROR(W356/W445, "NA")</f>
        <v>0</v>
      </c>
      <c r="Y356" s="9"/>
      <c r="Z356" s="7">
        <v>0</v>
      </c>
      <c r="AA356" s="8">
        <f>IFERROR(Z356/Z445, "NA")</f>
        <v>0</v>
      </c>
      <c r="AB356" s="9"/>
      <c r="AC356" s="10">
        <f t="shared" si="91"/>
        <v>0</v>
      </c>
      <c r="AD356" s="8">
        <f>IFERROR(AC356/AC445,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IFERROR(B357/B445, "NA")</f>
        <v>0</v>
      </c>
      <c r="D357" s="9"/>
      <c r="E357" s="7">
        <v>0</v>
      </c>
      <c r="F357" s="8">
        <f>IFERROR(E357/E445, "NA")</f>
        <v>0</v>
      </c>
      <c r="G357" s="9"/>
      <c r="H357" s="10">
        <f t="shared" si="88"/>
        <v>0</v>
      </c>
      <c r="I357" s="8">
        <f>IFERROR(H357/H445, "NA")</f>
        <v>0</v>
      </c>
      <c r="J357" s="9"/>
      <c r="K357" s="7">
        <v>0</v>
      </c>
      <c r="L357" s="8">
        <f>IFERROR(K357/K445, "NA")</f>
        <v>0</v>
      </c>
      <c r="M357" s="9"/>
      <c r="N357" s="10">
        <f t="shared" si="89"/>
        <v>0</v>
      </c>
      <c r="O357" s="8">
        <f>IFERROR(N357/N445, "NA")</f>
        <v>0</v>
      </c>
      <c r="P357" s="9"/>
      <c r="Q357" s="7">
        <v>0</v>
      </c>
      <c r="R357" s="8">
        <f>IFERROR(Q357/Q445, "NA")</f>
        <v>0</v>
      </c>
      <c r="S357" s="9"/>
      <c r="T357" s="7">
        <v>0</v>
      </c>
      <c r="U357" s="8">
        <f>IFERROR(T357/T445, "NA")</f>
        <v>0</v>
      </c>
      <c r="V357" s="9"/>
      <c r="W357" s="10">
        <f t="shared" si="90"/>
        <v>0</v>
      </c>
      <c r="X357" s="8">
        <f>IFERROR(W357/W445, "NA")</f>
        <v>0</v>
      </c>
      <c r="Y357" s="9"/>
      <c r="Z357" s="7">
        <v>0</v>
      </c>
      <c r="AA357" s="8">
        <f>IFERROR(Z357/Z445, "NA")</f>
        <v>0</v>
      </c>
      <c r="AB357" s="9"/>
      <c r="AC357" s="10">
        <f t="shared" si="91"/>
        <v>0</v>
      </c>
      <c r="AD357" s="8">
        <f>IFERROR(AC357/AC445, "NA")</f>
        <v>0</v>
      </c>
    </row>
    <row r="358" spans="1:30" ht="16.5" hidden="1" customHeight="1" x14ac:dyDescent="0.45">
      <c r="A358" s="6" t="s">
        <v>327</v>
      </c>
      <c r="B358" s="7">
        <v>0</v>
      </c>
      <c r="C358" s="8">
        <f>IFERROR(B358/B445, "NA")</f>
        <v>0</v>
      </c>
      <c r="D358" s="9"/>
      <c r="E358" s="7">
        <v>0</v>
      </c>
      <c r="F358" s="8">
        <f>IFERROR(E358/E445, "NA")</f>
        <v>0</v>
      </c>
      <c r="G358" s="9"/>
      <c r="H358" s="10">
        <f t="shared" si="88"/>
        <v>0</v>
      </c>
      <c r="I358" s="8">
        <f>IFERROR(H358/H445, "NA")</f>
        <v>0</v>
      </c>
      <c r="J358" s="9"/>
      <c r="K358" s="7">
        <v>0</v>
      </c>
      <c r="L358" s="8">
        <f>IFERROR(K358/K445, "NA")</f>
        <v>0</v>
      </c>
      <c r="M358" s="9"/>
      <c r="N358" s="10">
        <f t="shared" si="89"/>
        <v>0</v>
      </c>
      <c r="O358" s="8">
        <f>IFERROR(N358/N445, "NA")</f>
        <v>0</v>
      </c>
      <c r="P358" s="9"/>
      <c r="Q358" s="7">
        <v>0</v>
      </c>
      <c r="R358" s="8">
        <f>IFERROR(Q358/Q445, "NA")</f>
        <v>0</v>
      </c>
      <c r="S358" s="9"/>
      <c r="T358" s="7">
        <v>0</v>
      </c>
      <c r="U358" s="8">
        <f>IFERROR(T358/T445, "NA")</f>
        <v>0</v>
      </c>
      <c r="V358" s="9"/>
      <c r="W358" s="10">
        <f t="shared" si="90"/>
        <v>0</v>
      </c>
      <c r="X358" s="8">
        <f>IFERROR(W358/W445, "NA")</f>
        <v>0</v>
      </c>
      <c r="Y358" s="9"/>
      <c r="Z358" s="7">
        <v>0</v>
      </c>
      <c r="AA358" s="8">
        <f>IFERROR(Z358/Z445, "NA")</f>
        <v>0</v>
      </c>
      <c r="AB358" s="9"/>
      <c r="AC358" s="10">
        <f t="shared" si="91"/>
        <v>0</v>
      </c>
      <c r="AD358" s="8">
        <f>IFERROR(AC358/AC445, "NA")</f>
        <v>0</v>
      </c>
    </row>
    <row r="359" spans="1:30" ht="16.5" customHeight="1" x14ac:dyDescent="0.45">
      <c r="A359" s="19" t="s">
        <v>328</v>
      </c>
      <c r="B359" s="14">
        <f>IFERROR(B350+B351+B352+B353+B354+B355+B356+B357+B358, "NA")</f>
        <v>0</v>
      </c>
      <c r="C359" s="15">
        <f>IFERROR(B359/B445, "NA")</f>
        <v>0</v>
      </c>
      <c r="D359" s="2"/>
      <c r="E359" s="14">
        <f>IFERROR(E350+E351+E352+E353+E354+E355+E356+E357+E358, "NA")</f>
        <v>0</v>
      </c>
      <c r="F359" s="15">
        <f>IFERROR(E359/E445, "NA")</f>
        <v>0</v>
      </c>
      <c r="G359" s="2"/>
      <c r="H359" s="14">
        <f t="shared" si="88"/>
        <v>0</v>
      </c>
      <c r="I359" s="15">
        <f>IFERROR(H359/H445, "NA")</f>
        <v>0</v>
      </c>
      <c r="J359" s="2"/>
      <c r="K359" s="14">
        <f>IFERROR(K350+K351+K352+K353+K354+K355+K356+K357+K358, "NA")</f>
        <v>0</v>
      </c>
      <c r="L359" s="15">
        <f>IFERROR(K359/K445, "NA")</f>
        <v>0</v>
      </c>
      <c r="M359" s="2"/>
      <c r="N359" s="14">
        <f t="shared" si="89"/>
        <v>0</v>
      </c>
      <c r="O359" s="15">
        <f>IFERROR(N359/N445, "NA")</f>
        <v>0</v>
      </c>
      <c r="P359" s="2"/>
      <c r="Q359" s="14">
        <f>IFERROR(Q350+Q351+Q352+Q353+Q354+Q355+Q356+Q357+Q358, "NA")</f>
        <v>0</v>
      </c>
      <c r="R359" s="15">
        <f>IFERROR(Q359/Q445, "NA")</f>
        <v>0</v>
      </c>
      <c r="S359" s="2"/>
      <c r="T359" s="14">
        <f>IFERROR(T350+T351+T352+T353+T354+T355+T356+T357+T358, "NA")</f>
        <v>0</v>
      </c>
      <c r="U359" s="15">
        <f>IFERROR(T359/T445, "NA")</f>
        <v>0</v>
      </c>
      <c r="V359" s="2"/>
      <c r="W359" s="14">
        <f t="shared" si="90"/>
        <v>0</v>
      </c>
      <c r="X359" s="15">
        <f>IFERROR(W359/W445, "NA")</f>
        <v>0</v>
      </c>
      <c r="Y359" s="2"/>
      <c r="Z359" s="14">
        <f>IFERROR(Z350+Z351+Z352+Z353+Z354+Z355+Z356+Z357+Z358, "NA")</f>
        <v>0</v>
      </c>
      <c r="AA359" s="15">
        <f>IFERROR(Z359/Z445, "NA")</f>
        <v>0</v>
      </c>
      <c r="AB359" s="2"/>
      <c r="AC359" s="14">
        <f t="shared" si="91"/>
        <v>0</v>
      </c>
      <c r="AD359" s="15">
        <f>IFERROR(AC359/AC445, "NA")</f>
        <v>0</v>
      </c>
    </row>
    <row r="360" spans="1:30" ht="16.5" customHeight="1" x14ac:dyDescent="0.45">
      <c r="A360" s="5" t="s">
        <v>329</v>
      </c>
      <c r="B360" s="2"/>
      <c r="C360" s="3"/>
      <c r="D360" s="4"/>
      <c r="E360" s="2"/>
      <c r="F360" s="3"/>
      <c r="G360" s="4"/>
      <c r="H360" s="2"/>
      <c r="I360" s="3"/>
      <c r="J360" s="4"/>
      <c r="K360" s="2"/>
      <c r="L360" s="3"/>
      <c r="M360" s="4"/>
      <c r="N360" s="2"/>
      <c r="O360" s="3"/>
      <c r="P360" s="4"/>
      <c r="Q360" s="2"/>
      <c r="R360" s="3"/>
      <c r="S360" s="4"/>
      <c r="T360" s="2"/>
      <c r="U360" s="3"/>
      <c r="V360" s="4"/>
      <c r="W360" s="2"/>
      <c r="X360" s="3"/>
      <c r="Y360" s="4"/>
      <c r="Z360" s="2"/>
      <c r="AA360" s="3"/>
      <c r="AB360" s="4"/>
      <c r="AC360" s="2"/>
      <c r="AD360" s="3"/>
    </row>
    <row r="361" spans="1:30" ht="16.5" hidden="1" customHeight="1" x14ac:dyDescent="0.45">
      <c r="A361" s="6" t="s">
        <v>329</v>
      </c>
      <c r="B361" s="7">
        <v>0</v>
      </c>
      <c r="C361" s="8">
        <f>IFERROR(B361/B445, "NA")</f>
        <v>0</v>
      </c>
      <c r="D361" s="9"/>
      <c r="E361" s="7">
        <v>0</v>
      </c>
      <c r="F361" s="8">
        <f>IFERROR(E361/E445, "NA")</f>
        <v>0</v>
      </c>
      <c r="G361" s="9"/>
      <c r="H361" s="10">
        <f t="shared" ref="H361:H384" si="92">IFERROR(-(B361-E361), "NA")</f>
        <v>0</v>
      </c>
      <c r="I361" s="8">
        <f>IFERROR(H361/H445, "NA")</f>
        <v>0</v>
      </c>
      <c r="J361" s="9"/>
      <c r="K361" s="7">
        <v>0</v>
      </c>
      <c r="L361" s="8">
        <f>IFERROR(K361/K445, "NA")</f>
        <v>0</v>
      </c>
      <c r="M361" s="9"/>
      <c r="N361" s="10">
        <f t="shared" ref="N361:N384" si="93">IFERROR(-(B361-K361), "NA")</f>
        <v>0</v>
      </c>
      <c r="O361" s="8">
        <f>IFERROR(N361/N445, "NA")</f>
        <v>0</v>
      </c>
      <c r="P361" s="9"/>
      <c r="Q361" s="7">
        <v>0</v>
      </c>
      <c r="R361" s="8">
        <f>IFERROR(Q361/Q445, "NA")</f>
        <v>0</v>
      </c>
      <c r="S361" s="9"/>
      <c r="T361" s="7">
        <v>0</v>
      </c>
      <c r="U361" s="8">
        <f>IFERROR(T361/T445, "NA")</f>
        <v>0</v>
      </c>
      <c r="V361" s="9"/>
      <c r="W361" s="10">
        <f t="shared" ref="W361:W384" si="94">IFERROR(-(Q361-T361), "NA")</f>
        <v>0</v>
      </c>
      <c r="X361" s="8">
        <f>IFERROR(W361/W445, "NA")</f>
        <v>0</v>
      </c>
      <c r="Y361" s="9"/>
      <c r="Z361" s="7">
        <v>0</v>
      </c>
      <c r="AA361" s="8">
        <f>IFERROR(Z361/Z445, "NA")</f>
        <v>0</v>
      </c>
      <c r="AB361" s="9"/>
      <c r="AC361" s="10">
        <f t="shared" ref="AC361:AC384" si="95">IFERROR(-(Q361-Z361), "NA")</f>
        <v>0</v>
      </c>
      <c r="AD361" s="8">
        <f>IFERROR(AC361/AC445,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IFERROR(B362/B445, "NA")</f>
        <v>0</v>
      </c>
      <c r="D362" s="9"/>
      <c r="E362" s="7">
        <v>0</v>
      </c>
      <c r="F362" s="8">
        <f>IFERROR(E362/E445, "NA")</f>
        <v>0</v>
      </c>
      <c r="G362" s="9"/>
      <c r="H362" s="10">
        <f t="shared" si="92"/>
        <v>0</v>
      </c>
      <c r="I362" s="8">
        <f>IFERROR(H362/H445, "NA")</f>
        <v>0</v>
      </c>
      <c r="J362" s="9"/>
      <c r="K362" s="7">
        <v>0</v>
      </c>
      <c r="L362" s="8">
        <f>IFERROR(K362/K445, "NA")</f>
        <v>0</v>
      </c>
      <c r="M362" s="9"/>
      <c r="N362" s="10">
        <f t="shared" si="93"/>
        <v>0</v>
      </c>
      <c r="O362" s="8">
        <f>IFERROR(N362/N445, "NA")</f>
        <v>0</v>
      </c>
      <c r="P362" s="9"/>
      <c r="Q362" s="7">
        <v>0</v>
      </c>
      <c r="R362" s="8">
        <f>IFERROR(Q362/Q445, "NA")</f>
        <v>0</v>
      </c>
      <c r="S362" s="9"/>
      <c r="T362" s="7">
        <v>0</v>
      </c>
      <c r="U362" s="8">
        <f>IFERROR(T362/T445, "NA")</f>
        <v>0</v>
      </c>
      <c r="V362" s="9"/>
      <c r="W362" s="10">
        <f t="shared" si="94"/>
        <v>0</v>
      </c>
      <c r="X362" s="8">
        <f>IFERROR(W362/W445, "NA")</f>
        <v>0</v>
      </c>
      <c r="Y362" s="9"/>
      <c r="Z362" s="7">
        <v>0</v>
      </c>
      <c r="AA362" s="8">
        <f>IFERROR(Z362/Z445, "NA")</f>
        <v>0</v>
      </c>
      <c r="AB362" s="9"/>
      <c r="AC362" s="10">
        <f t="shared" si="95"/>
        <v>0</v>
      </c>
      <c r="AD362" s="8">
        <f>IFERROR(AC362/AC445,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IFERROR(B363/B445, "NA")</f>
        <v>0</v>
      </c>
      <c r="D363" s="9"/>
      <c r="E363" s="7">
        <v>0</v>
      </c>
      <c r="F363" s="8">
        <f>IFERROR(E363/E445, "NA")</f>
        <v>0</v>
      </c>
      <c r="G363" s="9"/>
      <c r="H363" s="10">
        <f t="shared" si="92"/>
        <v>0</v>
      </c>
      <c r="I363" s="8">
        <f>IFERROR(H363/H445, "NA")</f>
        <v>0</v>
      </c>
      <c r="J363" s="9"/>
      <c r="K363" s="7">
        <v>0</v>
      </c>
      <c r="L363" s="8">
        <f>IFERROR(K363/K445, "NA")</f>
        <v>0</v>
      </c>
      <c r="M363" s="9"/>
      <c r="N363" s="10">
        <f t="shared" si="93"/>
        <v>0</v>
      </c>
      <c r="O363" s="8">
        <f>IFERROR(N363/N445, "NA")</f>
        <v>0</v>
      </c>
      <c r="P363" s="9"/>
      <c r="Q363" s="7">
        <v>0</v>
      </c>
      <c r="R363" s="8">
        <f>IFERROR(Q363/Q445, "NA")</f>
        <v>0</v>
      </c>
      <c r="S363" s="9"/>
      <c r="T363" s="7">
        <v>0</v>
      </c>
      <c r="U363" s="8">
        <f>IFERROR(T363/T445, "NA")</f>
        <v>0</v>
      </c>
      <c r="V363" s="9"/>
      <c r="W363" s="10">
        <f t="shared" si="94"/>
        <v>0</v>
      </c>
      <c r="X363" s="8">
        <f>IFERROR(W363/W445, "NA")</f>
        <v>0</v>
      </c>
      <c r="Y363" s="9"/>
      <c r="Z363" s="7">
        <v>0</v>
      </c>
      <c r="AA363" s="8">
        <f>IFERROR(Z363/Z445, "NA")</f>
        <v>0</v>
      </c>
      <c r="AB363" s="9"/>
      <c r="AC363" s="10">
        <f t="shared" si="95"/>
        <v>0</v>
      </c>
      <c r="AD363" s="8">
        <f>IFERROR(AC363/AC445,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IFERROR(B364/B445, "NA")</f>
        <v>0</v>
      </c>
      <c r="D364" s="9"/>
      <c r="E364" s="7">
        <v>0</v>
      </c>
      <c r="F364" s="8">
        <f>IFERROR(E364/E445, "NA")</f>
        <v>0</v>
      </c>
      <c r="G364" s="9"/>
      <c r="H364" s="10">
        <f t="shared" si="92"/>
        <v>0</v>
      </c>
      <c r="I364" s="8">
        <f>IFERROR(H364/H445, "NA")</f>
        <v>0</v>
      </c>
      <c r="J364" s="9"/>
      <c r="K364" s="7">
        <v>0</v>
      </c>
      <c r="L364" s="8">
        <f>IFERROR(K364/K445, "NA")</f>
        <v>0</v>
      </c>
      <c r="M364" s="9"/>
      <c r="N364" s="10">
        <f t="shared" si="93"/>
        <v>0</v>
      </c>
      <c r="O364" s="8">
        <f>IFERROR(N364/N445, "NA")</f>
        <v>0</v>
      </c>
      <c r="P364" s="9"/>
      <c r="Q364" s="7">
        <v>0</v>
      </c>
      <c r="R364" s="8">
        <f>IFERROR(Q364/Q445, "NA")</f>
        <v>0</v>
      </c>
      <c r="S364" s="9"/>
      <c r="T364" s="7">
        <v>0</v>
      </c>
      <c r="U364" s="8">
        <f>IFERROR(T364/T445, "NA")</f>
        <v>0</v>
      </c>
      <c r="V364" s="9"/>
      <c r="W364" s="10">
        <f t="shared" si="94"/>
        <v>0</v>
      </c>
      <c r="X364" s="8">
        <f>IFERROR(W364/W445, "NA")</f>
        <v>0</v>
      </c>
      <c r="Y364" s="9"/>
      <c r="Z364" s="7">
        <v>0</v>
      </c>
      <c r="AA364" s="8">
        <f>IFERROR(Z364/Z445, "NA")</f>
        <v>0</v>
      </c>
      <c r="AB364" s="9"/>
      <c r="AC364" s="10">
        <f t="shared" si="95"/>
        <v>0</v>
      </c>
      <c r="AD364" s="8">
        <f>IFERROR(AC364/AC445,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IFERROR(B365/B445, "NA")</f>
        <v>0</v>
      </c>
      <c r="D365" s="9"/>
      <c r="E365" s="7">
        <v>0</v>
      </c>
      <c r="F365" s="8">
        <f>IFERROR(E365/E445, "NA")</f>
        <v>0</v>
      </c>
      <c r="G365" s="9"/>
      <c r="H365" s="10">
        <f t="shared" si="92"/>
        <v>0</v>
      </c>
      <c r="I365" s="8">
        <f>IFERROR(H365/H445, "NA")</f>
        <v>0</v>
      </c>
      <c r="J365" s="9"/>
      <c r="K365" s="7">
        <v>0</v>
      </c>
      <c r="L365" s="8">
        <f>IFERROR(K365/K445, "NA")</f>
        <v>0</v>
      </c>
      <c r="M365" s="9"/>
      <c r="N365" s="10">
        <f t="shared" si="93"/>
        <v>0</v>
      </c>
      <c r="O365" s="8">
        <f>IFERROR(N365/N445, "NA")</f>
        <v>0</v>
      </c>
      <c r="P365" s="9"/>
      <c r="Q365" s="7">
        <v>0</v>
      </c>
      <c r="R365" s="8">
        <f>IFERROR(Q365/Q445, "NA")</f>
        <v>0</v>
      </c>
      <c r="S365" s="9"/>
      <c r="T365" s="7">
        <v>0</v>
      </c>
      <c r="U365" s="8">
        <f>IFERROR(T365/T445, "NA")</f>
        <v>0</v>
      </c>
      <c r="V365" s="9"/>
      <c r="W365" s="10">
        <f t="shared" si="94"/>
        <v>0</v>
      </c>
      <c r="X365" s="8">
        <f>IFERROR(W365/W445, "NA")</f>
        <v>0</v>
      </c>
      <c r="Y365" s="9"/>
      <c r="Z365" s="7">
        <v>0</v>
      </c>
      <c r="AA365" s="8">
        <f>IFERROR(Z365/Z445, "NA")</f>
        <v>0</v>
      </c>
      <c r="AB365" s="9"/>
      <c r="AC365" s="10">
        <f t="shared" si="95"/>
        <v>0</v>
      </c>
      <c r="AD365" s="8">
        <f>IFERROR(AC365/AC445,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IFERROR(B366/B445, "NA")</f>
        <v>0</v>
      </c>
      <c r="D366" s="9"/>
      <c r="E366" s="7">
        <v>0</v>
      </c>
      <c r="F366" s="8">
        <f>IFERROR(E366/E445, "NA")</f>
        <v>0</v>
      </c>
      <c r="G366" s="9"/>
      <c r="H366" s="10">
        <f t="shared" si="92"/>
        <v>0</v>
      </c>
      <c r="I366" s="8">
        <f>IFERROR(H366/H445, "NA")</f>
        <v>0</v>
      </c>
      <c r="J366" s="9"/>
      <c r="K366" s="7">
        <v>0</v>
      </c>
      <c r="L366" s="8">
        <f>IFERROR(K366/K445, "NA")</f>
        <v>0</v>
      </c>
      <c r="M366" s="9"/>
      <c r="N366" s="10">
        <f t="shared" si="93"/>
        <v>0</v>
      </c>
      <c r="O366" s="8">
        <f>IFERROR(N366/N445, "NA")</f>
        <v>0</v>
      </c>
      <c r="P366" s="9"/>
      <c r="Q366" s="7">
        <v>0</v>
      </c>
      <c r="R366" s="8">
        <f>IFERROR(Q366/Q445, "NA")</f>
        <v>0</v>
      </c>
      <c r="S366" s="9"/>
      <c r="T366" s="7">
        <v>0</v>
      </c>
      <c r="U366" s="8">
        <f>IFERROR(T366/T445, "NA")</f>
        <v>0</v>
      </c>
      <c r="V366" s="9"/>
      <c r="W366" s="10">
        <f t="shared" si="94"/>
        <v>0</v>
      </c>
      <c r="X366" s="8">
        <f>IFERROR(W366/W445, "NA")</f>
        <v>0</v>
      </c>
      <c r="Y366" s="9"/>
      <c r="Z366" s="7">
        <v>0</v>
      </c>
      <c r="AA366" s="8">
        <f>IFERROR(Z366/Z445, "NA")</f>
        <v>0</v>
      </c>
      <c r="AB366" s="9"/>
      <c r="AC366" s="10">
        <f t="shared" si="95"/>
        <v>0</v>
      </c>
      <c r="AD366" s="8">
        <f>IFERROR(AC366/AC445,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IFERROR(B367/B445, "NA")</f>
        <v>0</v>
      </c>
      <c r="D367" s="9"/>
      <c r="E367" s="7">
        <v>0</v>
      </c>
      <c r="F367" s="8">
        <f>IFERROR(E367/E445, "NA")</f>
        <v>0</v>
      </c>
      <c r="G367" s="9"/>
      <c r="H367" s="10">
        <f t="shared" si="92"/>
        <v>0</v>
      </c>
      <c r="I367" s="8">
        <f>IFERROR(H367/H445, "NA")</f>
        <v>0</v>
      </c>
      <c r="J367" s="9"/>
      <c r="K367" s="7">
        <v>0</v>
      </c>
      <c r="L367" s="8">
        <f>IFERROR(K367/K445, "NA")</f>
        <v>0</v>
      </c>
      <c r="M367" s="9"/>
      <c r="N367" s="10">
        <f t="shared" si="93"/>
        <v>0</v>
      </c>
      <c r="O367" s="8">
        <f>IFERROR(N367/N445, "NA")</f>
        <v>0</v>
      </c>
      <c r="P367" s="9"/>
      <c r="Q367" s="7">
        <v>0</v>
      </c>
      <c r="R367" s="8">
        <f>IFERROR(Q367/Q445, "NA")</f>
        <v>0</v>
      </c>
      <c r="S367" s="9"/>
      <c r="T367" s="7">
        <v>0</v>
      </c>
      <c r="U367" s="8">
        <f>IFERROR(T367/T445, "NA")</f>
        <v>0</v>
      </c>
      <c r="V367" s="9"/>
      <c r="W367" s="10">
        <f t="shared" si="94"/>
        <v>0</v>
      </c>
      <c r="X367" s="8">
        <f>IFERROR(W367/W445, "NA")</f>
        <v>0</v>
      </c>
      <c r="Y367" s="9"/>
      <c r="Z367" s="7">
        <v>0</v>
      </c>
      <c r="AA367" s="8">
        <f>IFERROR(Z367/Z445, "NA")</f>
        <v>0</v>
      </c>
      <c r="AB367" s="9"/>
      <c r="AC367" s="10">
        <f t="shared" si="95"/>
        <v>0</v>
      </c>
      <c r="AD367" s="8">
        <f>IFERROR(AC367/AC445, "NA")</f>
        <v>0</v>
      </c>
    </row>
    <row r="368" spans="1:30" ht="16.5" hidden="1" customHeight="1" x14ac:dyDescent="0.45">
      <c r="A368" s="6" t="s">
        <v>336</v>
      </c>
      <c r="B368" s="7">
        <v>0</v>
      </c>
      <c r="C368" s="8">
        <f>IFERROR(B368/B445, "NA")</f>
        <v>0</v>
      </c>
      <c r="D368" s="9"/>
      <c r="E368" s="7">
        <v>0</v>
      </c>
      <c r="F368" s="8">
        <f>IFERROR(E368/E445, "NA")</f>
        <v>0</v>
      </c>
      <c r="G368" s="9"/>
      <c r="H368" s="10">
        <f t="shared" si="92"/>
        <v>0</v>
      </c>
      <c r="I368" s="8">
        <f>IFERROR(H368/H445, "NA")</f>
        <v>0</v>
      </c>
      <c r="J368" s="9"/>
      <c r="K368" s="7">
        <v>0</v>
      </c>
      <c r="L368" s="8">
        <f>IFERROR(K368/K445, "NA")</f>
        <v>0</v>
      </c>
      <c r="M368" s="9"/>
      <c r="N368" s="10">
        <f t="shared" si="93"/>
        <v>0</v>
      </c>
      <c r="O368" s="8">
        <f>IFERROR(N368/N445, "NA")</f>
        <v>0</v>
      </c>
      <c r="P368" s="9"/>
      <c r="Q368" s="7">
        <v>0</v>
      </c>
      <c r="R368" s="8">
        <f>IFERROR(Q368/Q445, "NA")</f>
        <v>0</v>
      </c>
      <c r="S368" s="9"/>
      <c r="T368" s="7">
        <v>0</v>
      </c>
      <c r="U368" s="8">
        <f>IFERROR(T368/T445, "NA")</f>
        <v>0</v>
      </c>
      <c r="V368" s="9"/>
      <c r="W368" s="10">
        <f t="shared" si="94"/>
        <v>0</v>
      </c>
      <c r="X368" s="8">
        <f>IFERROR(W368/W445, "NA")</f>
        <v>0</v>
      </c>
      <c r="Y368" s="9"/>
      <c r="Z368" s="7">
        <v>0</v>
      </c>
      <c r="AA368" s="8">
        <f>IFERROR(Z368/Z445, "NA")</f>
        <v>0</v>
      </c>
      <c r="AB368" s="9"/>
      <c r="AC368" s="10">
        <f t="shared" si="95"/>
        <v>0</v>
      </c>
      <c r="AD368" s="8">
        <f>IFERROR(AC368/AC445, "NA")</f>
        <v>0</v>
      </c>
    </row>
    <row r="369" spans="1:30" ht="16.5" customHeight="1" x14ac:dyDescent="0.45">
      <c r="A369" s="19" t="s">
        <v>337</v>
      </c>
      <c r="B369" s="14">
        <f>IFERROR(B361+B362+B363+B364+B365+B366+B367+B368, "NA")</f>
        <v>0</v>
      </c>
      <c r="C369" s="15">
        <f>IFERROR(B369/B445, "NA")</f>
        <v>0</v>
      </c>
      <c r="D369" s="2"/>
      <c r="E369" s="14">
        <f>IFERROR(E361+E362+E363+E364+E365+E366+E367+E368, "NA")</f>
        <v>0</v>
      </c>
      <c r="F369" s="15">
        <f>IFERROR(E369/E445, "NA")</f>
        <v>0</v>
      </c>
      <c r="G369" s="2"/>
      <c r="H369" s="14">
        <f t="shared" si="92"/>
        <v>0</v>
      </c>
      <c r="I369" s="15">
        <f>IFERROR(H369/H445, "NA")</f>
        <v>0</v>
      </c>
      <c r="J369" s="2"/>
      <c r="K369" s="14">
        <f>IFERROR(K361+K362+K363+K364+K365+K366+K367+K368, "NA")</f>
        <v>0</v>
      </c>
      <c r="L369" s="15">
        <f>IFERROR(K369/K445, "NA")</f>
        <v>0</v>
      </c>
      <c r="M369" s="2"/>
      <c r="N369" s="14">
        <f t="shared" si="93"/>
        <v>0</v>
      </c>
      <c r="O369" s="15">
        <f>IFERROR(N369/N445, "NA")</f>
        <v>0</v>
      </c>
      <c r="P369" s="2"/>
      <c r="Q369" s="14">
        <f>IFERROR(Q361+Q362+Q363+Q364+Q365+Q366+Q367+Q368, "NA")</f>
        <v>0</v>
      </c>
      <c r="R369" s="15">
        <f>IFERROR(Q369/Q445, "NA")</f>
        <v>0</v>
      </c>
      <c r="S369" s="2"/>
      <c r="T369" s="14">
        <f>IFERROR(T361+T362+T363+T364+T365+T366+T367+T368, "NA")</f>
        <v>0</v>
      </c>
      <c r="U369" s="15">
        <f>IFERROR(T369/T445, "NA")</f>
        <v>0</v>
      </c>
      <c r="V369" s="2"/>
      <c r="W369" s="14">
        <f t="shared" si="94"/>
        <v>0</v>
      </c>
      <c r="X369" s="15">
        <f>IFERROR(W369/W445, "NA")</f>
        <v>0</v>
      </c>
      <c r="Y369" s="2"/>
      <c r="Z369" s="14">
        <f>IFERROR(Z361+Z362+Z363+Z364+Z365+Z366+Z367+Z368, "NA")</f>
        <v>0</v>
      </c>
      <c r="AA369" s="15">
        <f>IFERROR(Z369/Z445, "NA")</f>
        <v>0</v>
      </c>
      <c r="AB369" s="2"/>
      <c r="AC369" s="14">
        <f t="shared" si="95"/>
        <v>0</v>
      </c>
      <c r="AD369" s="15">
        <f>IFERROR(AC369/AC445,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IFERROR(B370/B445, "NA")</f>
        <v>0</v>
      </c>
      <c r="D370" s="9"/>
      <c r="E370" s="7">
        <v>0</v>
      </c>
      <c r="F370" s="8">
        <f>IFERROR(E370/E445, "NA")</f>
        <v>0</v>
      </c>
      <c r="G370" s="9"/>
      <c r="H370" s="10">
        <f t="shared" si="92"/>
        <v>0</v>
      </c>
      <c r="I370" s="8">
        <f>IFERROR(H370/H445, "NA")</f>
        <v>0</v>
      </c>
      <c r="J370" s="9"/>
      <c r="K370" s="7">
        <v>0</v>
      </c>
      <c r="L370" s="8">
        <f>IFERROR(K370/K445, "NA")</f>
        <v>0</v>
      </c>
      <c r="M370" s="9"/>
      <c r="N370" s="10">
        <f t="shared" si="93"/>
        <v>0</v>
      </c>
      <c r="O370" s="8">
        <f>IFERROR(N370/N445, "NA")</f>
        <v>0</v>
      </c>
      <c r="P370" s="9"/>
      <c r="Q370" s="7">
        <v>0</v>
      </c>
      <c r="R370" s="8">
        <f>IFERROR(Q370/Q445, "NA")</f>
        <v>0</v>
      </c>
      <c r="S370" s="9"/>
      <c r="T370" s="7">
        <v>0</v>
      </c>
      <c r="U370" s="8">
        <f>IFERROR(T370/T445, "NA")</f>
        <v>0</v>
      </c>
      <c r="V370" s="9"/>
      <c r="W370" s="10">
        <f t="shared" si="94"/>
        <v>0</v>
      </c>
      <c r="X370" s="8">
        <f>IFERROR(W370/W445, "NA")</f>
        <v>0</v>
      </c>
      <c r="Y370" s="9"/>
      <c r="Z370" s="7">
        <v>0</v>
      </c>
      <c r="AA370" s="8">
        <f>IFERROR(Z370/Z445, "NA")</f>
        <v>0</v>
      </c>
      <c r="AB370" s="9"/>
      <c r="AC370" s="10">
        <f t="shared" si="95"/>
        <v>0</v>
      </c>
      <c r="AD370" s="8">
        <f>IFERROR(AC370/AC445,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IFERROR(B371/B445, "NA")</f>
        <v>0</v>
      </c>
      <c r="D371" s="9"/>
      <c r="E371" s="7">
        <v>0</v>
      </c>
      <c r="F371" s="8">
        <f>IFERROR(E371/E445, "NA")</f>
        <v>0</v>
      </c>
      <c r="G371" s="9"/>
      <c r="H371" s="10">
        <f t="shared" si="92"/>
        <v>0</v>
      </c>
      <c r="I371" s="8">
        <f>IFERROR(H371/H445, "NA")</f>
        <v>0</v>
      </c>
      <c r="J371" s="9"/>
      <c r="K371" s="7">
        <v>0</v>
      </c>
      <c r="L371" s="8">
        <f>IFERROR(K371/K445, "NA")</f>
        <v>0</v>
      </c>
      <c r="M371" s="9"/>
      <c r="N371" s="10">
        <f t="shared" si="93"/>
        <v>0</v>
      </c>
      <c r="O371" s="8">
        <f>IFERROR(N371/N445, "NA")</f>
        <v>0</v>
      </c>
      <c r="P371" s="9"/>
      <c r="Q371" s="7">
        <v>0</v>
      </c>
      <c r="R371" s="8">
        <f>IFERROR(Q371/Q445, "NA")</f>
        <v>0</v>
      </c>
      <c r="S371" s="9"/>
      <c r="T371" s="7">
        <v>0</v>
      </c>
      <c r="U371" s="8">
        <f>IFERROR(T371/T445, "NA")</f>
        <v>0</v>
      </c>
      <c r="V371" s="9"/>
      <c r="W371" s="10">
        <f t="shared" si="94"/>
        <v>0</v>
      </c>
      <c r="X371" s="8">
        <f>IFERROR(W371/W445, "NA")</f>
        <v>0</v>
      </c>
      <c r="Y371" s="9"/>
      <c r="Z371" s="7">
        <v>0</v>
      </c>
      <c r="AA371" s="8">
        <f>IFERROR(Z371/Z445, "NA")</f>
        <v>0</v>
      </c>
      <c r="AB371" s="9"/>
      <c r="AC371" s="10">
        <f t="shared" si="95"/>
        <v>0</v>
      </c>
      <c r="AD371" s="8">
        <f>IFERROR(AC371/AC445,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IFERROR(B372/B445, "NA")</f>
        <v>0</v>
      </c>
      <c r="D372" s="9"/>
      <c r="E372" s="7">
        <v>0</v>
      </c>
      <c r="F372" s="8">
        <f>IFERROR(E372/E445, "NA")</f>
        <v>0</v>
      </c>
      <c r="G372" s="9"/>
      <c r="H372" s="10">
        <f t="shared" si="92"/>
        <v>0</v>
      </c>
      <c r="I372" s="8">
        <f>IFERROR(H372/H445, "NA")</f>
        <v>0</v>
      </c>
      <c r="J372" s="9"/>
      <c r="K372" s="7">
        <v>0</v>
      </c>
      <c r="L372" s="8">
        <f>IFERROR(K372/K445, "NA")</f>
        <v>0</v>
      </c>
      <c r="M372" s="9"/>
      <c r="N372" s="10">
        <f t="shared" si="93"/>
        <v>0</v>
      </c>
      <c r="O372" s="8">
        <f>IFERROR(N372/N445, "NA")</f>
        <v>0</v>
      </c>
      <c r="P372" s="9"/>
      <c r="Q372" s="7">
        <v>0</v>
      </c>
      <c r="R372" s="8">
        <f>IFERROR(Q372/Q445, "NA")</f>
        <v>0</v>
      </c>
      <c r="S372" s="9"/>
      <c r="T372" s="7">
        <v>0</v>
      </c>
      <c r="U372" s="8">
        <f>IFERROR(T372/T445, "NA")</f>
        <v>0</v>
      </c>
      <c r="V372" s="9"/>
      <c r="W372" s="10">
        <f t="shared" si="94"/>
        <v>0</v>
      </c>
      <c r="X372" s="8">
        <f>IFERROR(W372/W445, "NA")</f>
        <v>0</v>
      </c>
      <c r="Y372" s="9"/>
      <c r="Z372" s="7">
        <v>0</v>
      </c>
      <c r="AA372" s="8">
        <f>IFERROR(Z372/Z445, "NA")</f>
        <v>0</v>
      </c>
      <c r="AB372" s="9"/>
      <c r="AC372" s="10">
        <f t="shared" si="95"/>
        <v>0</v>
      </c>
      <c r="AD372" s="8">
        <f>IFERROR(AC372/AC445,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IFERROR(B373/B445, "NA")</f>
        <v>0</v>
      </c>
      <c r="D373" s="9"/>
      <c r="E373" s="7">
        <v>0</v>
      </c>
      <c r="F373" s="8">
        <f>IFERROR(E373/E445, "NA")</f>
        <v>0</v>
      </c>
      <c r="G373" s="9"/>
      <c r="H373" s="10">
        <f t="shared" si="92"/>
        <v>0</v>
      </c>
      <c r="I373" s="8">
        <f>IFERROR(H373/H445, "NA")</f>
        <v>0</v>
      </c>
      <c r="J373" s="9"/>
      <c r="K373" s="7">
        <v>0</v>
      </c>
      <c r="L373" s="8">
        <f>IFERROR(K373/K445, "NA")</f>
        <v>0</v>
      </c>
      <c r="M373" s="9"/>
      <c r="N373" s="10">
        <f t="shared" si="93"/>
        <v>0</v>
      </c>
      <c r="O373" s="8">
        <f>IFERROR(N373/N445, "NA")</f>
        <v>0</v>
      </c>
      <c r="P373" s="9"/>
      <c r="Q373" s="7">
        <v>0</v>
      </c>
      <c r="R373" s="8">
        <f>IFERROR(Q373/Q445, "NA")</f>
        <v>0</v>
      </c>
      <c r="S373" s="9"/>
      <c r="T373" s="7">
        <v>0</v>
      </c>
      <c r="U373" s="8">
        <f>IFERROR(T373/T445, "NA")</f>
        <v>0</v>
      </c>
      <c r="V373" s="9"/>
      <c r="W373" s="10">
        <f t="shared" si="94"/>
        <v>0</v>
      </c>
      <c r="X373" s="8">
        <f>IFERROR(W373/W445, "NA")</f>
        <v>0</v>
      </c>
      <c r="Y373" s="9"/>
      <c r="Z373" s="7">
        <v>0</v>
      </c>
      <c r="AA373" s="8">
        <f>IFERROR(Z373/Z445, "NA")</f>
        <v>0</v>
      </c>
      <c r="AB373" s="9"/>
      <c r="AC373" s="10">
        <f t="shared" si="95"/>
        <v>0</v>
      </c>
      <c r="AD373" s="8">
        <f>IFERROR(AC373/AC445,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IFERROR(B374/B445, "NA")</f>
        <v>0</v>
      </c>
      <c r="D374" s="9"/>
      <c r="E374" s="7">
        <v>0</v>
      </c>
      <c r="F374" s="8">
        <f>IFERROR(E374/E445, "NA")</f>
        <v>0</v>
      </c>
      <c r="G374" s="9"/>
      <c r="H374" s="10">
        <f t="shared" si="92"/>
        <v>0</v>
      </c>
      <c r="I374" s="8">
        <f>IFERROR(H374/H445, "NA")</f>
        <v>0</v>
      </c>
      <c r="J374" s="9"/>
      <c r="K374" s="7">
        <v>0</v>
      </c>
      <c r="L374" s="8">
        <f>IFERROR(K374/K445, "NA")</f>
        <v>0</v>
      </c>
      <c r="M374" s="9"/>
      <c r="N374" s="10">
        <f t="shared" si="93"/>
        <v>0</v>
      </c>
      <c r="O374" s="8">
        <f>IFERROR(N374/N445, "NA")</f>
        <v>0</v>
      </c>
      <c r="P374" s="9"/>
      <c r="Q374" s="7">
        <v>0</v>
      </c>
      <c r="R374" s="8">
        <f>IFERROR(Q374/Q445, "NA")</f>
        <v>0</v>
      </c>
      <c r="S374" s="9"/>
      <c r="T374" s="7">
        <v>0</v>
      </c>
      <c r="U374" s="8">
        <f>IFERROR(T374/T445, "NA")</f>
        <v>0</v>
      </c>
      <c r="V374" s="9"/>
      <c r="W374" s="10">
        <f t="shared" si="94"/>
        <v>0</v>
      </c>
      <c r="X374" s="8">
        <f>IFERROR(W374/W445, "NA")</f>
        <v>0</v>
      </c>
      <c r="Y374" s="9"/>
      <c r="Z374" s="7">
        <v>0</v>
      </c>
      <c r="AA374" s="8">
        <f>IFERROR(Z374/Z445, "NA")</f>
        <v>0</v>
      </c>
      <c r="AB374" s="9"/>
      <c r="AC374" s="10">
        <f t="shared" si="95"/>
        <v>0</v>
      </c>
      <c r="AD374" s="8">
        <f>IFERROR(AC374/AC445,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IFERROR(B375/B445, "NA")</f>
        <v>0</v>
      </c>
      <c r="D375" s="9"/>
      <c r="E375" s="7">
        <v>0</v>
      </c>
      <c r="F375" s="8">
        <f>IFERROR(E375/E445, "NA")</f>
        <v>0</v>
      </c>
      <c r="G375" s="9"/>
      <c r="H375" s="10">
        <f t="shared" si="92"/>
        <v>0</v>
      </c>
      <c r="I375" s="8">
        <f>IFERROR(H375/H445, "NA")</f>
        <v>0</v>
      </c>
      <c r="J375" s="9"/>
      <c r="K375" s="7">
        <v>0</v>
      </c>
      <c r="L375" s="8">
        <f>IFERROR(K375/K445, "NA")</f>
        <v>0</v>
      </c>
      <c r="M375" s="9"/>
      <c r="N375" s="10">
        <f t="shared" si="93"/>
        <v>0</v>
      </c>
      <c r="O375" s="8">
        <f>IFERROR(N375/N445, "NA")</f>
        <v>0</v>
      </c>
      <c r="P375" s="9"/>
      <c r="Q375" s="7">
        <v>0</v>
      </c>
      <c r="R375" s="8">
        <f>IFERROR(Q375/Q445, "NA")</f>
        <v>0</v>
      </c>
      <c r="S375" s="9"/>
      <c r="T375" s="7">
        <v>0</v>
      </c>
      <c r="U375" s="8">
        <f>IFERROR(T375/T445, "NA")</f>
        <v>0</v>
      </c>
      <c r="V375" s="9"/>
      <c r="W375" s="10">
        <f t="shared" si="94"/>
        <v>0</v>
      </c>
      <c r="X375" s="8">
        <f>IFERROR(W375/W445, "NA")</f>
        <v>0</v>
      </c>
      <c r="Y375" s="9"/>
      <c r="Z375" s="7">
        <v>0</v>
      </c>
      <c r="AA375" s="8">
        <f>IFERROR(Z375/Z445, "NA")</f>
        <v>0</v>
      </c>
      <c r="AB375" s="9"/>
      <c r="AC375" s="10">
        <f t="shared" si="95"/>
        <v>0</v>
      </c>
      <c r="AD375" s="8">
        <f>IFERROR(AC375/AC445,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IFERROR(B376/B445, "NA")</f>
        <v>0</v>
      </c>
      <c r="D376" s="9"/>
      <c r="E376" s="7">
        <v>0</v>
      </c>
      <c r="F376" s="8">
        <f>IFERROR(E376/E445, "NA")</f>
        <v>0</v>
      </c>
      <c r="G376" s="9"/>
      <c r="H376" s="10">
        <f t="shared" si="92"/>
        <v>0</v>
      </c>
      <c r="I376" s="8">
        <f>IFERROR(H376/H445, "NA")</f>
        <v>0</v>
      </c>
      <c r="J376" s="9"/>
      <c r="K376" s="7">
        <v>0</v>
      </c>
      <c r="L376" s="8">
        <f>IFERROR(K376/K445, "NA")</f>
        <v>0</v>
      </c>
      <c r="M376" s="9"/>
      <c r="N376" s="10">
        <f t="shared" si="93"/>
        <v>0</v>
      </c>
      <c r="O376" s="8">
        <f>IFERROR(N376/N445, "NA")</f>
        <v>0</v>
      </c>
      <c r="P376" s="9"/>
      <c r="Q376" s="7">
        <v>0</v>
      </c>
      <c r="R376" s="8">
        <f>IFERROR(Q376/Q445, "NA")</f>
        <v>0</v>
      </c>
      <c r="S376" s="9"/>
      <c r="T376" s="7">
        <v>0</v>
      </c>
      <c r="U376" s="8">
        <f>IFERROR(T376/T445, "NA")</f>
        <v>0</v>
      </c>
      <c r="V376" s="9"/>
      <c r="W376" s="10">
        <f t="shared" si="94"/>
        <v>0</v>
      </c>
      <c r="X376" s="8">
        <f>IFERROR(W376/W445, "NA")</f>
        <v>0</v>
      </c>
      <c r="Y376" s="9"/>
      <c r="Z376" s="7">
        <v>0</v>
      </c>
      <c r="AA376" s="8">
        <f>IFERROR(Z376/Z445, "NA")</f>
        <v>0</v>
      </c>
      <c r="AB376" s="9"/>
      <c r="AC376" s="10">
        <f t="shared" si="95"/>
        <v>0</v>
      </c>
      <c r="AD376" s="8">
        <f>IFERROR(AC376/AC445,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IFERROR(B377/B445, "NA")</f>
        <v>0</v>
      </c>
      <c r="D377" s="9"/>
      <c r="E377" s="7">
        <v>0</v>
      </c>
      <c r="F377" s="8">
        <f>IFERROR(E377/E445, "NA")</f>
        <v>0</v>
      </c>
      <c r="G377" s="9"/>
      <c r="H377" s="10">
        <f t="shared" si="92"/>
        <v>0</v>
      </c>
      <c r="I377" s="8">
        <f>IFERROR(H377/H445, "NA")</f>
        <v>0</v>
      </c>
      <c r="J377" s="9"/>
      <c r="K377" s="7">
        <v>0</v>
      </c>
      <c r="L377" s="8">
        <f>IFERROR(K377/K445, "NA")</f>
        <v>0</v>
      </c>
      <c r="M377" s="9"/>
      <c r="N377" s="10">
        <f t="shared" si="93"/>
        <v>0</v>
      </c>
      <c r="O377" s="8">
        <f>IFERROR(N377/N445, "NA")</f>
        <v>0</v>
      </c>
      <c r="P377" s="9"/>
      <c r="Q377" s="7">
        <v>0</v>
      </c>
      <c r="R377" s="8">
        <f>IFERROR(Q377/Q445, "NA")</f>
        <v>0</v>
      </c>
      <c r="S377" s="9"/>
      <c r="T377" s="7">
        <v>0</v>
      </c>
      <c r="U377" s="8">
        <f>IFERROR(T377/T445, "NA")</f>
        <v>0</v>
      </c>
      <c r="V377" s="9"/>
      <c r="W377" s="10">
        <f t="shared" si="94"/>
        <v>0</v>
      </c>
      <c r="X377" s="8">
        <f>IFERROR(W377/W445, "NA")</f>
        <v>0</v>
      </c>
      <c r="Y377" s="9"/>
      <c r="Z377" s="7">
        <v>0</v>
      </c>
      <c r="AA377" s="8">
        <f>IFERROR(Z377/Z445, "NA")</f>
        <v>0</v>
      </c>
      <c r="AB377" s="9"/>
      <c r="AC377" s="10">
        <f t="shared" si="95"/>
        <v>0</v>
      </c>
      <c r="AD377" s="8">
        <f>IFERROR(AC377/AC445,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IFERROR(B378/B445, "NA")</f>
        <v>0</v>
      </c>
      <c r="D378" s="9"/>
      <c r="E378" s="7">
        <v>0</v>
      </c>
      <c r="F378" s="8">
        <f>IFERROR(E378/E445, "NA")</f>
        <v>0</v>
      </c>
      <c r="G378" s="9"/>
      <c r="H378" s="10">
        <f t="shared" si="92"/>
        <v>0</v>
      </c>
      <c r="I378" s="8">
        <f>IFERROR(H378/H445, "NA")</f>
        <v>0</v>
      </c>
      <c r="J378" s="9"/>
      <c r="K378" s="7">
        <v>0</v>
      </c>
      <c r="L378" s="8">
        <f>IFERROR(K378/K445, "NA")</f>
        <v>0</v>
      </c>
      <c r="M378" s="9"/>
      <c r="N378" s="10">
        <f t="shared" si="93"/>
        <v>0</v>
      </c>
      <c r="O378" s="8">
        <f>IFERROR(N378/N445, "NA")</f>
        <v>0</v>
      </c>
      <c r="P378" s="9"/>
      <c r="Q378" s="7">
        <v>0</v>
      </c>
      <c r="R378" s="8">
        <f>IFERROR(Q378/Q445, "NA")</f>
        <v>0</v>
      </c>
      <c r="S378" s="9"/>
      <c r="T378" s="7">
        <v>0</v>
      </c>
      <c r="U378" s="8">
        <f>IFERROR(T378/T445, "NA")</f>
        <v>0</v>
      </c>
      <c r="V378" s="9"/>
      <c r="W378" s="10">
        <f t="shared" si="94"/>
        <v>0</v>
      </c>
      <c r="X378" s="8">
        <f>IFERROR(W378/W445, "NA")</f>
        <v>0</v>
      </c>
      <c r="Y378" s="9"/>
      <c r="Z378" s="7">
        <v>0</v>
      </c>
      <c r="AA378" s="8">
        <f>IFERROR(Z378/Z445, "NA")</f>
        <v>0</v>
      </c>
      <c r="AB378" s="9"/>
      <c r="AC378" s="10">
        <f t="shared" si="95"/>
        <v>0</v>
      </c>
      <c r="AD378" s="8">
        <f>IFERROR(AC378/AC445,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IFERROR(B379/B445, "NA")</f>
        <v>0</v>
      </c>
      <c r="D379" s="9"/>
      <c r="E379" s="7">
        <v>0</v>
      </c>
      <c r="F379" s="8">
        <f>IFERROR(E379/E445, "NA")</f>
        <v>0</v>
      </c>
      <c r="G379" s="9"/>
      <c r="H379" s="10">
        <f t="shared" si="92"/>
        <v>0</v>
      </c>
      <c r="I379" s="8">
        <f>IFERROR(H379/H445, "NA")</f>
        <v>0</v>
      </c>
      <c r="J379" s="9"/>
      <c r="K379" s="7">
        <v>0</v>
      </c>
      <c r="L379" s="8">
        <f>IFERROR(K379/K445, "NA")</f>
        <v>0</v>
      </c>
      <c r="M379" s="9"/>
      <c r="N379" s="10">
        <f t="shared" si="93"/>
        <v>0</v>
      </c>
      <c r="O379" s="8">
        <f>IFERROR(N379/N445, "NA")</f>
        <v>0</v>
      </c>
      <c r="P379" s="9"/>
      <c r="Q379" s="7">
        <v>0</v>
      </c>
      <c r="R379" s="8">
        <f>IFERROR(Q379/Q445, "NA")</f>
        <v>0</v>
      </c>
      <c r="S379" s="9"/>
      <c r="T379" s="7">
        <v>0</v>
      </c>
      <c r="U379" s="8">
        <f>IFERROR(T379/T445, "NA")</f>
        <v>0</v>
      </c>
      <c r="V379" s="9"/>
      <c r="W379" s="10">
        <f t="shared" si="94"/>
        <v>0</v>
      </c>
      <c r="X379" s="8">
        <f>IFERROR(W379/W445, "NA")</f>
        <v>0</v>
      </c>
      <c r="Y379" s="9"/>
      <c r="Z379" s="7">
        <v>0</v>
      </c>
      <c r="AA379" s="8">
        <f>IFERROR(Z379/Z445, "NA")</f>
        <v>0</v>
      </c>
      <c r="AB379" s="9"/>
      <c r="AC379" s="10">
        <f t="shared" si="95"/>
        <v>0</v>
      </c>
      <c r="AD379" s="8">
        <f>IFERROR(AC379/AC445,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IFERROR(B380/B445, "NA")</f>
        <v>0</v>
      </c>
      <c r="D380" s="9"/>
      <c r="E380" s="7">
        <v>0</v>
      </c>
      <c r="F380" s="8">
        <f>IFERROR(E380/E445, "NA")</f>
        <v>0</v>
      </c>
      <c r="G380" s="9"/>
      <c r="H380" s="10">
        <f t="shared" si="92"/>
        <v>0</v>
      </c>
      <c r="I380" s="8">
        <f>IFERROR(H380/H445, "NA")</f>
        <v>0</v>
      </c>
      <c r="J380" s="9"/>
      <c r="K380" s="7">
        <v>0</v>
      </c>
      <c r="L380" s="8">
        <f>IFERROR(K380/K445, "NA")</f>
        <v>0</v>
      </c>
      <c r="M380" s="9"/>
      <c r="N380" s="10">
        <f t="shared" si="93"/>
        <v>0</v>
      </c>
      <c r="O380" s="8">
        <f>IFERROR(N380/N445, "NA")</f>
        <v>0</v>
      </c>
      <c r="P380" s="9"/>
      <c r="Q380" s="7">
        <v>0</v>
      </c>
      <c r="R380" s="8">
        <f>IFERROR(Q380/Q445, "NA")</f>
        <v>0</v>
      </c>
      <c r="S380" s="9"/>
      <c r="T380" s="7">
        <v>0</v>
      </c>
      <c r="U380" s="8">
        <f>IFERROR(T380/T445, "NA")</f>
        <v>0</v>
      </c>
      <c r="V380" s="9"/>
      <c r="W380" s="10">
        <f t="shared" si="94"/>
        <v>0</v>
      </c>
      <c r="X380" s="8">
        <f>IFERROR(W380/W445, "NA")</f>
        <v>0</v>
      </c>
      <c r="Y380" s="9"/>
      <c r="Z380" s="7">
        <v>0</v>
      </c>
      <c r="AA380" s="8">
        <f>IFERROR(Z380/Z445, "NA")</f>
        <v>0</v>
      </c>
      <c r="AB380" s="9"/>
      <c r="AC380" s="10">
        <f t="shared" si="95"/>
        <v>0</v>
      </c>
      <c r="AD380" s="8">
        <f>IFERROR(AC380/AC445,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IFERROR(B381/B445, "NA")</f>
        <v>0</v>
      </c>
      <c r="D381" s="9"/>
      <c r="E381" s="7">
        <v>0</v>
      </c>
      <c r="F381" s="8">
        <f>IFERROR(E381/E445, "NA")</f>
        <v>0</v>
      </c>
      <c r="G381" s="9"/>
      <c r="H381" s="10">
        <f t="shared" si="92"/>
        <v>0</v>
      </c>
      <c r="I381" s="8">
        <f>IFERROR(H381/H445, "NA")</f>
        <v>0</v>
      </c>
      <c r="J381" s="9"/>
      <c r="K381" s="7">
        <v>0</v>
      </c>
      <c r="L381" s="8">
        <f>IFERROR(K381/K445, "NA")</f>
        <v>0</v>
      </c>
      <c r="M381" s="9"/>
      <c r="N381" s="10">
        <f t="shared" si="93"/>
        <v>0</v>
      </c>
      <c r="O381" s="8">
        <f>IFERROR(N381/N445, "NA")</f>
        <v>0</v>
      </c>
      <c r="P381" s="9"/>
      <c r="Q381" s="7">
        <v>0</v>
      </c>
      <c r="R381" s="8">
        <f>IFERROR(Q381/Q445, "NA")</f>
        <v>0</v>
      </c>
      <c r="S381" s="9"/>
      <c r="T381" s="7">
        <v>0</v>
      </c>
      <c r="U381" s="8">
        <f>IFERROR(T381/T445, "NA")</f>
        <v>0</v>
      </c>
      <c r="V381" s="9"/>
      <c r="W381" s="10">
        <f t="shared" si="94"/>
        <v>0</v>
      </c>
      <c r="X381" s="8">
        <f>IFERROR(W381/W445, "NA")</f>
        <v>0</v>
      </c>
      <c r="Y381" s="9"/>
      <c r="Z381" s="7">
        <v>0</v>
      </c>
      <c r="AA381" s="8">
        <f>IFERROR(Z381/Z445, "NA")</f>
        <v>0</v>
      </c>
      <c r="AB381" s="9"/>
      <c r="AC381" s="10">
        <f t="shared" si="95"/>
        <v>0</v>
      </c>
      <c r="AD381" s="8">
        <f>IFERROR(AC381/AC445,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IFERROR(B382/B445, "NA")</f>
        <v>0</v>
      </c>
      <c r="D382" s="9"/>
      <c r="E382" s="7">
        <v>0</v>
      </c>
      <c r="F382" s="8">
        <f>IFERROR(E382/E445, "NA")</f>
        <v>0</v>
      </c>
      <c r="G382" s="9"/>
      <c r="H382" s="10">
        <f t="shared" si="92"/>
        <v>0</v>
      </c>
      <c r="I382" s="8">
        <f>IFERROR(H382/H445, "NA")</f>
        <v>0</v>
      </c>
      <c r="J382" s="9"/>
      <c r="K382" s="7">
        <v>0</v>
      </c>
      <c r="L382" s="8">
        <f>IFERROR(K382/K445, "NA")</f>
        <v>0</v>
      </c>
      <c r="M382" s="9"/>
      <c r="N382" s="10">
        <f t="shared" si="93"/>
        <v>0</v>
      </c>
      <c r="O382" s="8">
        <f>IFERROR(N382/N445, "NA")</f>
        <v>0</v>
      </c>
      <c r="P382" s="9"/>
      <c r="Q382" s="7">
        <v>0</v>
      </c>
      <c r="R382" s="8">
        <f>IFERROR(Q382/Q445, "NA")</f>
        <v>0</v>
      </c>
      <c r="S382" s="9"/>
      <c r="T382" s="7">
        <v>0</v>
      </c>
      <c r="U382" s="8">
        <f>IFERROR(T382/T445, "NA")</f>
        <v>0</v>
      </c>
      <c r="V382" s="9"/>
      <c r="W382" s="10">
        <f t="shared" si="94"/>
        <v>0</v>
      </c>
      <c r="X382" s="8">
        <f>IFERROR(W382/W445, "NA")</f>
        <v>0</v>
      </c>
      <c r="Y382" s="9"/>
      <c r="Z382" s="7">
        <v>0</v>
      </c>
      <c r="AA382" s="8">
        <f>IFERROR(Z382/Z445, "NA")</f>
        <v>0</v>
      </c>
      <c r="AB382" s="9"/>
      <c r="AC382" s="10">
        <f t="shared" si="95"/>
        <v>0</v>
      </c>
      <c r="AD382" s="8">
        <f>IFERROR(AC382/AC445,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IFERROR(B383/B445, "NA")</f>
        <v>0</v>
      </c>
      <c r="D383" s="9"/>
      <c r="E383" s="7">
        <v>0</v>
      </c>
      <c r="F383" s="8">
        <f>IFERROR(E383/E445, "NA")</f>
        <v>0</v>
      </c>
      <c r="G383" s="9"/>
      <c r="H383" s="10">
        <f t="shared" si="92"/>
        <v>0</v>
      </c>
      <c r="I383" s="8">
        <f>IFERROR(H383/H445, "NA")</f>
        <v>0</v>
      </c>
      <c r="J383" s="9"/>
      <c r="K383" s="7">
        <v>0</v>
      </c>
      <c r="L383" s="8">
        <f>IFERROR(K383/K445, "NA")</f>
        <v>0</v>
      </c>
      <c r="M383" s="9"/>
      <c r="N383" s="10">
        <f t="shared" si="93"/>
        <v>0</v>
      </c>
      <c r="O383" s="8">
        <f>IFERROR(N383/N445, "NA")</f>
        <v>0</v>
      </c>
      <c r="P383" s="9"/>
      <c r="Q383" s="7">
        <v>0</v>
      </c>
      <c r="R383" s="8">
        <f>IFERROR(Q383/Q445, "NA")</f>
        <v>0</v>
      </c>
      <c r="S383" s="9"/>
      <c r="T383" s="7">
        <v>0</v>
      </c>
      <c r="U383" s="8">
        <f>IFERROR(T383/T445, "NA")</f>
        <v>0</v>
      </c>
      <c r="V383" s="9"/>
      <c r="W383" s="10">
        <f t="shared" si="94"/>
        <v>0</v>
      </c>
      <c r="X383" s="8">
        <f>IFERROR(W383/W445, "NA")</f>
        <v>0</v>
      </c>
      <c r="Y383" s="9"/>
      <c r="Z383" s="7">
        <v>0</v>
      </c>
      <c r="AA383" s="8">
        <f>IFERROR(Z383/Z445, "NA")</f>
        <v>0</v>
      </c>
      <c r="AB383" s="9"/>
      <c r="AC383" s="10">
        <f t="shared" si="95"/>
        <v>0</v>
      </c>
      <c r="AD383" s="8">
        <f>IFERROR(AC383/AC445, "NA")</f>
        <v>0</v>
      </c>
    </row>
    <row r="384" spans="1:30" ht="16.5" hidden="1" customHeight="1" x14ac:dyDescent="0.45">
      <c r="A384" s="20" t="s">
        <v>352</v>
      </c>
      <c r="B384" s="7">
        <v>0</v>
      </c>
      <c r="C384" s="8">
        <f>IFERROR(B384/B445, "NA")</f>
        <v>0</v>
      </c>
      <c r="D384" s="9"/>
      <c r="E384" s="7">
        <v>0</v>
      </c>
      <c r="F384" s="8">
        <f>IFERROR(E384/E445, "NA")</f>
        <v>0</v>
      </c>
      <c r="G384" s="9"/>
      <c r="H384" s="10">
        <f t="shared" si="92"/>
        <v>0</v>
      </c>
      <c r="I384" s="8">
        <f>IFERROR(H384/H445, "NA")</f>
        <v>0</v>
      </c>
      <c r="J384" s="9"/>
      <c r="K384" s="7">
        <v>0</v>
      </c>
      <c r="L384" s="8">
        <f>IFERROR(K384/K445, "NA")</f>
        <v>0</v>
      </c>
      <c r="M384" s="9"/>
      <c r="N384" s="10">
        <f t="shared" si="93"/>
        <v>0</v>
      </c>
      <c r="O384" s="8">
        <f>IFERROR(N384/N445, "NA")</f>
        <v>0</v>
      </c>
      <c r="P384" s="9"/>
      <c r="Q384" s="7">
        <v>0</v>
      </c>
      <c r="R384" s="8">
        <f>IFERROR(Q384/Q445, "NA")</f>
        <v>0</v>
      </c>
      <c r="S384" s="9"/>
      <c r="T384" s="7">
        <v>0</v>
      </c>
      <c r="U384" s="8">
        <f>IFERROR(T384/T445, "NA")</f>
        <v>0</v>
      </c>
      <c r="V384" s="9"/>
      <c r="W384" s="10">
        <f t="shared" si="94"/>
        <v>0</v>
      </c>
      <c r="X384" s="8">
        <f>IFERROR(W384/W445, "NA")</f>
        <v>0</v>
      </c>
      <c r="Y384" s="9"/>
      <c r="Z384" s="7">
        <v>0</v>
      </c>
      <c r="AA384" s="8">
        <f>IFERROR(Z384/Z445, "NA")</f>
        <v>0</v>
      </c>
      <c r="AB384" s="9"/>
      <c r="AC384" s="10">
        <f t="shared" si="95"/>
        <v>0</v>
      </c>
      <c r="AD384" s="8">
        <f>IFERROR(AC384/AC445, "NA")</f>
        <v>0</v>
      </c>
    </row>
    <row r="385" spans="1:30" ht="16.5" customHeight="1" x14ac:dyDescent="0.45">
      <c r="A385" s="5" t="s">
        <v>353</v>
      </c>
      <c r="B385" s="2"/>
      <c r="C385" s="3"/>
      <c r="D385" s="4"/>
      <c r="E385" s="2"/>
      <c r="F385" s="3"/>
      <c r="G385" s="4"/>
      <c r="H385" s="2"/>
      <c r="I385" s="3"/>
      <c r="J385" s="4"/>
      <c r="K385" s="2"/>
      <c r="L385" s="3"/>
      <c r="M385" s="4"/>
      <c r="N385" s="2"/>
      <c r="O385" s="3"/>
      <c r="P385" s="4"/>
      <c r="Q385" s="2"/>
      <c r="R385" s="3"/>
      <c r="S385" s="4"/>
      <c r="T385" s="2"/>
      <c r="U385" s="3"/>
      <c r="V385" s="4"/>
      <c r="W385" s="2"/>
      <c r="X385" s="3"/>
      <c r="Y385" s="4"/>
      <c r="Z385" s="2"/>
      <c r="AA385" s="3"/>
      <c r="AB385" s="4"/>
      <c r="AC385" s="2"/>
      <c r="AD385" s="3"/>
    </row>
    <row r="386" spans="1:30" ht="16.5" hidden="1" customHeight="1" x14ac:dyDescent="0.45">
      <c r="A386" s="6" t="s">
        <v>353</v>
      </c>
      <c r="B386" s="7">
        <v>0</v>
      </c>
      <c r="C386" s="8">
        <f>IFERROR(B386/B445, "NA")</f>
        <v>0</v>
      </c>
      <c r="D386" s="9"/>
      <c r="E386" s="7">
        <v>0</v>
      </c>
      <c r="F386" s="8">
        <f>IFERROR(E386/E445, "NA")</f>
        <v>0</v>
      </c>
      <c r="G386" s="9"/>
      <c r="H386" s="10">
        <f>IFERROR(-(B386-E386), "NA")</f>
        <v>0</v>
      </c>
      <c r="I386" s="8">
        <f>IFERROR(H386/H445, "NA")</f>
        <v>0</v>
      </c>
      <c r="J386" s="9"/>
      <c r="K386" s="7">
        <v>0</v>
      </c>
      <c r="L386" s="8">
        <f>IFERROR(K386/K445, "NA")</f>
        <v>0</v>
      </c>
      <c r="M386" s="9"/>
      <c r="N386" s="10">
        <f>IFERROR(-(B386-K386), "NA")</f>
        <v>0</v>
      </c>
      <c r="O386" s="8">
        <f>IFERROR(N386/N445, "NA")</f>
        <v>0</v>
      </c>
      <c r="P386" s="9"/>
      <c r="Q386" s="7">
        <v>0</v>
      </c>
      <c r="R386" s="8">
        <f>IFERROR(Q386/Q445, "NA")</f>
        <v>0</v>
      </c>
      <c r="S386" s="9"/>
      <c r="T386" s="7">
        <v>0</v>
      </c>
      <c r="U386" s="8">
        <f>IFERROR(T386/T445, "NA")</f>
        <v>0</v>
      </c>
      <c r="V386" s="9"/>
      <c r="W386" s="10">
        <f>IFERROR(-(Q386-T386), "NA")</f>
        <v>0</v>
      </c>
      <c r="X386" s="8">
        <f>IFERROR(W386/W445, "NA")</f>
        <v>0</v>
      </c>
      <c r="Y386" s="9"/>
      <c r="Z386" s="7">
        <v>0</v>
      </c>
      <c r="AA386" s="8">
        <f>IFERROR(Z386/Z445, "NA")</f>
        <v>0</v>
      </c>
      <c r="AB386" s="9"/>
      <c r="AC386" s="10">
        <f>IFERROR(-(Q386-Z386), "NA")</f>
        <v>0</v>
      </c>
      <c r="AD386" s="8">
        <f>IFERROR(AC386/AC445, "NA")</f>
        <v>0</v>
      </c>
    </row>
    <row r="387" spans="1:30" ht="16.5" hidden="1" customHeight="1" x14ac:dyDescent="0.45">
      <c r="A387" s="6" t="s">
        <v>354</v>
      </c>
      <c r="B387" s="7">
        <v>0</v>
      </c>
      <c r="C387" s="8">
        <f>IFERROR(B387/B445, "NA")</f>
        <v>0</v>
      </c>
      <c r="D387" s="9"/>
      <c r="E387" s="7">
        <v>0</v>
      </c>
      <c r="F387" s="8">
        <f>IFERROR(E387/E445, "NA")</f>
        <v>0</v>
      </c>
      <c r="G387" s="9"/>
      <c r="H387" s="10">
        <f>IFERROR(-(B387-E387), "NA")</f>
        <v>0</v>
      </c>
      <c r="I387" s="8">
        <f>IFERROR(H387/H445, "NA")</f>
        <v>0</v>
      </c>
      <c r="J387" s="9"/>
      <c r="K387" s="7">
        <v>0</v>
      </c>
      <c r="L387" s="8">
        <f>IFERROR(K387/K445, "NA")</f>
        <v>0</v>
      </c>
      <c r="M387" s="9"/>
      <c r="N387" s="10">
        <f>IFERROR(-(B387-K387), "NA")</f>
        <v>0</v>
      </c>
      <c r="O387" s="8">
        <f>IFERROR(N387/N445, "NA")</f>
        <v>0</v>
      </c>
      <c r="P387" s="9"/>
      <c r="Q387" s="7">
        <v>0</v>
      </c>
      <c r="R387" s="8">
        <f>IFERROR(Q387/Q445, "NA")</f>
        <v>0</v>
      </c>
      <c r="S387" s="9"/>
      <c r="T387" s="7">
        <v>0</v>
      </c>
      <c r="U387" s="8">
        <f>IFERROR(T387/T445, "NA")</f>
        <v>0</v>
      </c>
      <c r="V387" s="9"/>
      <c r="W387" s="10">
        <f>IFERROR(-(Q387-T387), "NA")</f>
        <v>0</v>
      </c>
      <c r="X387" s="8">
        <f>IFERROR(W387/W445, "NA")</f>
        <v>0</v>
      </c>
      <c r="Y387" s="9"/>
      <c r="Z387" s="7">
        <v>0</v>
      </c>
      <c r="AA387" s="8">
        <f>IFERROR(Z387/Z445, "NA")</f>
        <v>0</v>
      </c>
      <c r="AB387" s="9"/>
      <c r="AC387" s="10">
        <f>IFERROR(-(Q387-Z387), "NA")</f>
        <v>0</v>
      </c>
      <c r="AD387" s="8">
        <f>IFERROR(AC387/AC445, "NA")</f>
        <v>0</v>
      </c>
    </row>
    <row r="388" spans="1:30" ht="16.5" customHeight="1" x14ac:dyDescent="0.45">
      <c r="A388" s="11" t="s">
        <v>355</v>
      </c>
      <c r="B388" s="2"/>
      <c r="C388" s="3"/>
      <c r="D388" s="4"/>
      <c r="E388" s="2"/>
      <c r="F388" s="3"/>
      <c r="G388" s="4"/>
      <c r="H388" s="2"/>
      <c r="I388" s="3"/>
      <c r="J388" s="4"/>
      <c r="K388" s="2"/>
      <c r="L388" s="3"/>
      <c r="M388" s="4"/>
      <c r="N388" s="2"/>
      <c r="O388" s="3"/>
      <c r="P388" s="4"/>
      <c r="Q388" s="2"/>
      <c r="R388" s="3"/>
      <c r="S388" s="4"/>
      <c r="T388" s="2"/>
      <c r="U388" s="3"/>
      <c r="V388" s="4"/>
      <c r="W388" s="2"/>
      <c r="X388" s="3"/>
      <c r="Y388" s="4"/>
      <c r="Z388" s="2"/>
      <c r="AA388" s="3"/>
      <c r="AB388" s="4"/>
      <c r="AC388" s="2"/>
      <c r="AD388" s="3"/>
    </row>
    <row r="389" spans="1:30" ht="16.5" hidden="1" customHeight="1" x14ac:dyDescent="0.45">
      <c r="A389" s="12" t="s">
        <v>355</v>
      </c>
      <c r="B389" s="7">
        <v>0</v>
      </c>
      <c r="C389" s="8">
        <f>IFERROR(B389/B445, "NA")</f>
        <v>0</v>
      </c>
      <c r="D389" s="9"/>
      <c r="E389" s="7">
        <v>0</v>
      </c>
      <c r="F389" s="8">
        <f>IFERROR(E389/E445, "NA")</f>
        <v>0</v>
      </c>
      <c r="G389" s="9"/>
      <c r="H389" s="10">
        <f t="shared" ref="H389:H404" si="96">IFERROR(-(B389-E389), "NA")</f>
        <v>0</v>
      </c>
      <c r="I389" s="8">
        <f>IFERROR(H389/H445, "NA")</f>
        <v>0</v>
      </c>
      <c r="J389" s="9"/>
      <c r="K389" s="7">
        <v>0</v>
      </c>
      <c r="L389" s="8">
        <f>IFERROR(K389/K445, "NA")</f>
        <v>0</v>
      </c>
      <c r="M389" s="9"/>
      <c r="N389" s="10">
        <f t="shared" ref="N389:N404" si="97">IFERROR(-(B389-K389), "NA")</f>
        <v>0</v>
      </c>
      <c r="O389" s="8">
        <f>IFERROR(N389/N445, "NA")</f>
        <v>0</v>
      </c>
      <c r="P389" s="9"/>
      <c r="Q389" s="7">
        <v>0</v>
      </c>
      <c r="R389" s="8">
        <f>IFERROR(Q389/Q445, "NA")</f>
        <v>0</v>
      </c>
      <c r="S389" s="9"/>
      <c r="T389" s="7">
        <v>0</v>
      </c>
      <c r="U389" s="8">
        <f>IFERROR(T389/T445, "NA")</f>
        <v>0</v>
      </c>
      <c r="V389" s="9"/>
      <c r="W389" s="10">
        <f t="shared" ref="W389:W404" si="98">IFERROR(-(Q389-T389), "NA")</f>
        <v>0</v>
      </c>
      <c r="X389" s="8">
        <f>IFERROR(W389/W445, "NA")</f>
        <v>0</v>
      </c>
      <c r="Y389" s="9"/>
      <c r="Z389" s="7">
        <v>0</v>
      </c>
      <c r="AA389" s="8">
        <f>IFERROR(Z389/Z445, "NA")</f>
        <v>0</v>
      </c>
      <c r="AB389" s="9"/>
      <c r="AC389" s="10">
        <f t="shared" ref="AC389:AC404" si="99">IFERROR(-(Q389-Z389), "NA")</f>
        <v>0</v>
      </c>
      <c r="AD389" s="8">
        <f>IFERROR(AC389/AC445,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IFERROR(B390/B445, "NA")</f>
        <v>0</v>
      </c>
      <c r="D390" s="9"/>
      <c r="E390" s="7">
        <v>0</v>
      </c>
      <c r="F390" s="8">
        <f>IFERROR(E390/E445, "NA")</f>
        <v>0</v>
      </c>
      <c r="G390" s="9"/>
      <c r="H390" s="10">
        <f t="shared" si="96"/>
        <v>0</v>
      </c>
      <c r="I390" s="8">
        <f>IFERROR(H390/H445, "NA")</f>
        <v>0</v>
      </c>
      <c r="J390" s="9"/>
      <c r="K390" s="7">
        <v>0</v>
      </c>
      <c r="L390" s="8">
        <f>IFERROR(K390/K445, "NA")</f>
        <v>0</v>
      </c>
      <c r="M390" s="9"/>
      <c r="N390" s="10">
        <f t="shared" si="97"/>
        <v>0</v>
      </c>
      <c r="O390" s="8">
        <f>IFERROR(N390/N445, "NA")</f>
        <v>0</v>
      </c>
      <c r="P390" s="9"/>
      <c r="Q390" s="7">
        <v>0</v>
      </c>
      <c r="R390" s="8">
        <f>IFERROR(Q390/Q445, "NA")</f>
        <v>0</v>
      </c>
      <c r="S390" s="9"/>
      <c r="T390" s="7">
        <v>0</v>
      </c>
      <c r="U390" s="8">
        <f>IFERROR(T390/T445, "NA")</f>
        <v>0</v>
      </c>
      <c r="V390" s="9"/>
      <c r="W390" s="10">
        <f t="shared" si="98"/>
        <v>0</v>
      </c>
      <c r="X390" s="8">
        <f>IFERROR(W390/W445, "NA")</f>
        <v>0</v>
      </c>
      <c r="Y390" s="9"/>
      <c r="Z390" s="7">
        <v>0</v>
      </c>
      <c r="AA390" s="8">
        <f>IFERROR(Z390/Z445, "NA")</f>
        <v>0</v>
      </c>
      <c r="AB390" s="9"/>
      <c r="AC390" s="10">
        <f t="shared" si="99"/>
        <v>0</v>
      </c>
      <c r="AD390" s="8">
        <f>IFERROR(AC390/AC445,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IFERROR(B391/B445, "NA")</f>
        <v>0</v>
      </c>
      <c r="D391" s="9"/>
      <c r="E391" s="7">
        <v>0</v>
      </c>
      <c r="F391" s="8">
        <f>IFERROR(E391/E445, "NA")</f>
        <v>0</v>
      </c>
      <c r="G391" s="9"/>
      <c r="H391" s="10">
        <f t="shared" si="96"/>
        <v>0</v>
      </c>
      <c r="I391" s="8">
        <f>IFERROR(H391/H445, "NA")</f>
        <v>0</v>
      </c>
      <c r="J391" s="9"/>
      <c r="K391" s="7">
        <v>0</v>
      </c>
      <c r="L391" s="8">
        <f>IFERROR(K391/K445, "NA")</f>
        <v>0</v>
      </c>
      <c r="M391" s="9"/>
      <c r="N391" s="10">
        <f t="shared" si="97"/>
        <v>0</v>
      </c>
      <c r="O391" s="8">
        <f>IFERROR(N391/N445, "NA")</f>
        <v>0</v>
      </c>
      <c r="P391" s="9"/>
      <c r="Q391" s="7">
        <v>0</v>
      </c>
      <c r="R391" s="8">
        <f>IFERROR(Q391/Q445, "NA")</f>
        <v>0</v>
      </c>
      <c r="S391" s="9"/>
      <c r="T391" s="7">
        <v>0</v>
      </c>
      <c r="U391" s="8">
        <f>IFERROR(T391/T445, "NA")</f>
        <v>0</v>
      </c>
      <c r="V391" s="9"/>
      <c r="W391" s="10">
        <f t="shared" si="98"/>
        <v>0</v>
      </c>
      <c r="X391" s="8">
        <f>IFERROR(W391/W445, "NA")</f>
        <v>0</v>
      </c>
      <c r="Y391" s="9"/>
      <c r="Z391" s="7">
        <v>0</v>
      </c>
      <c r="AA391" s="8">
        <f>IFERROR(Z391/Z445, "NA")</f>
        <v>0</v>
      </c>
      <c r="AB391" s="9"/>
      <c r="AC391" s="10">
        <f t="shared" si="99"/>
        <v>0</v>
      </c>
      <c r="AD391" s="8">
        <f>IFERROR(AC391/AC445,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IFERROR(B392/B445, "NA")</f>
        <v>0</v>
      </c>
      <c r="D392" s="9"/>
      <c r="E392" s="7">
        <v>0</v>
      </c>
      <c r="F392" s="8">
        <f>IFERROR(E392/E445, "NA")</f>
        <v>0</v>
      </c>
      <c r="G392" s="9"/>
      <c r="H392" s="10">
        <f t="shared" si="96"/>
        <v>0</v>
      </c>
      <c r="I392" s="8">
        <f>IFERROR(H392/H445, "NA")</f>
        <v>0</v>
      </c>
      <c r="J392" s="9"/>
      <c r="K392" s="7">
        <v>0</v>
      </c>
      <c r="L392" s="8">
        <f>IFERROR(K392/K445, "NA")</f>
        <v>0</v>
      </c>
      <c r="M392" s="9"/>
      <c r="N392" s="10">
        <f t="shared" si="97"/>
        <v>0</v>
      </c>
      <c r="O392" s="8">
        <f>IFERROR(N392/N445, "NA")</f>
        <v>0</v>
      </c>
      <c r="P392" s="9"/>
      <c r="Q392" s="7">
        <v>0</v>
      </c>
      <c r="R392" s="8">
        <f>IFERROR(Q392/Q445, "NA")</f>
        <v>0</v>
      </c>
      <c r="S392" s="9"/>
      <c r="T392" s="7">
        <v>0</v>
      </c>
      <c r="U392" s="8">
        <f>IFERROR(T392/T445, "NA")</f>
        <v>0</v>
      </c>
      <c r="V392" s="9"/>
      <c r="W392" s="10">
        <f t="shared" si="98"/>
        <v>0</v>
      </c>
      <c r="X392" s="8">
        <f>IFERROR(W392/W445, "NA")</f>
        <v>0</v>
      </c>
      <c r="Y392" s="9"/>
      <c r="Z392" s="7">
        <v>0</v>
      </c>
      <c r="AA392" s="8">
        <f>IFERROR(Z392/Z445, "NA")</f>
        <v>0</v>
      </c>
      <c r="AB392" s="9"/>
      <c r="AC392" s="10">
        <f t="shared" si="99"/>
        <v>0</v>
      </c>
      <c r="AD392" s="8">
        <f>IFERROR(AC392/AC445, "NA")</f>
        <v>0</v>
      </c>
    </row>
    <row r="393" spans="1:30" ht="16.5" hidden="1" customHeight="1" x14ac:dyDescent="0.45">
      <c r="A393" s="12" t="s">
        <v>359</v>
      </c>
      <c r="B393" s="7">
        <v>0</v>
      </c>
      <c r="C393" s="8">
        <f>IFERROR(B393/B445, "NA")</f>
        <v>0</v>
      </c>
      <c r="D393" s="9"/>
      <c r="E393" s="7">
        <v>0</v>
      </c>
      <c r="F393" s="8">
        <f>IFERROR(E393/E445, "NA")</f>
        <v>0</v>
      </c>
      <c r="G393" s="9"/>
      <c r="H393" s="10">
        <f t="shared" si="96"/>
        <v>0</v>
      </c>
      <c r="I393" s="8">
        <f>IFERROR(H393/H445, "NA")</f>
        <v>0</v>
      </c>
      <c r="J393" s="9"/>
      <c r="K393" s="7">
        <v>0</v>
      </c>
      <c r="L393" s="8">
        <f>IFERROR(K393/K445, "NA")</f>
        <v>0</v>
      </c>
      <c r="M393" s="9"/>
      <c r="N393" s="10">
        <f t="shared" si="97"/>
        <v>0</v>
      </c>
      <c r="O393" s="8">
        <f>IFERROR(N393/N445, "NA")</f>
        <v>0</v>
      </c>
      <c r="P393" s="9"/>
      <c r="Q393" s="7">
        <v>0</v>
      </c>
      <c r="R393" s="8">
        <f>IFERROR(Q393/Q445, "NA")</f>
        <v>0</v>
      </c>
      <c r="S393" s="9"/>
      <c r="T393" s="7">
        <v>0</v>
      </c>
      <c r="U393" s="8">
        <f>IFERROR(T393/T445, "NA")</f>
        <v>0</v>
      </c>
      <c r="V393" s="9"/>
      <c r="W393" s="10">
        <f t="shared" si="98"/>
        <v>0</v>
      </c>
      <c r="X393" s="8">
        <f>IFERROR(W393/W445, "NA")</f>
        <v>0</v>
      </c>
      <c r="Y393" s="9"/>
      <c r="Z393" s="7">
        <v>0</v>
      </c>
      <c r="AA393" s="8">
        <f>IFERROR(Z393/Z445, "NA")</f>
        <v>0</v>
      </c>
      <c r="AB393" s="9"/>
      <c r="AC393" s="10">
        <f t="shared" si="99"/>
        <v>0</v>
      </c>
      <c r="AD393" s="8">
        <f>IFERROR(AC393/AC445, "NA")</f>
        <v>0</v>
      </c>
    </row>
    <row r="394" spans="1:30" ht="16.5" customHeight="1" x14ac:dyDescent="0.45">
      <c r="A394" s="13" t="s">
        <v>360</v>
      </c>
      <c r="B394" s="14">
        <f>IFERROR(B389+B390+B391+B392+B393, "NA")</f>
        <v>0</v>
      </c>
      <c r="C394" s="15">
        <f>IFERROR(B394/B445, "NA")</f>
        <v>0</v>
      </c>
      <c r="D394" s="2"/>
      <c r="E394" s="14">
        <f>IFERROR(E389+E390+E391+E392+E393, "NA")</f>
        <v>0</v>
      </c>
      <c r="F394" s="15">
        <f>IFERROR(E394/E445, "NA")</f>
        <v>0</v>
      </c>
      <c r="G394" s="2"/>
      <c r="H394" s="14">
        <f t="shared" si="96"/>
        <v>0</v>
      </c>
      <c r="I394" s="15">
        <f>IFERROR(H394/H445, "NA")</f>
        <v>0</v>
      </c>
      <c r="J394" s="2"/>
      <c r="K394" s="14">
        <f>IFERROR(K389+K390+K391+K392+K393, "NA")</f>
        <v>0</v>
      </c>
      <c r="L394" s="15">
        <f>IFERROR(K394/K445, "NA")</f>
        <v>0</v>
      </c>
      <c r="M394" s="2"/>
      <c r="N394" s="14">
        <f t="shared" si="97"/>
        <v>0</v>
      </c>
      <c r="O394" s="15">
        <f>IFERROR(N394/N445, "NA")</f>
        <v>0</v>
      </c>
      <c r="P394" s="2"/>
      <c r="Q394" s="14">
        <f>IFERROR(Q389+Q390+Q391+Q392+Q393, "NA")</f>
        <v>0</v>
      </c>
      <c r="R394" s="15">
        <f>IFERROR(Q394/Q445, "NA")</f>
        <v>0</v>
      </c>
      <c r="S394" s="2"/>
      <c r="T394" s="14">
        <f>IFERROR(T389+T390+T391+T392+T393, "NA")</f>
        <v>0</v>
      </c>
      <c r="U394" s="15">
        <f>IFERROR(T394/T445, "NA")</f>
        <v>0</v>
      </c>
      <c r="V394" s="2"/>
      <c r="W394" s="14">
        <f t="shared" si="98"/>
        <v>0</v>
      </c>
      <c r="X394" s="15">
        <f>IFERROR(W394/W445, "NA")</f>
        <v>0</v>
      </c>
      <c r="Y394" s="2"/>
      <c r="Z394" s="14">
        <f>IFERROR(Z389+Z390+Z391+Z392+Z393, "NA")</f>
        <v>0</v>
      </c>
      <c r="AA394" s="15">
        <f>IFERROR(Z394/Z445, "NA")</f>
        <v>0</v>
      </c>
      <c r="AB394" s="2"/>
      <c r="AC394" s="14">
        <f t="shared" si="99"/>
        <v>0</v>
      </c>
      <c r="AD394" s="15">
        <f>IFERROR(AC394/AC445,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IFERROR(B395/B445, "NA")</f>
        <v>0</v>
      </c>
      <c r="D395" s="9"/>
      <c r="E395" s="7">
        <v>0</v>
      </c>
      <c r="F395" s="8">
        <f>IFERROR(E395/E445, "NA")</f>
        <v>0</v>
      </c>
      <c r="G395" s="9"/>
      <c r="H395" s="10">
        <f t="shared" si="96"/>
        <v>0</v>
      </c>
      <c r="I395" s="8">
        <f>IFERROR(H395/H445, "NA")</f>
        <v>0</v>
      </c>
      <c r="J395" s="9"/>
      <c r="K395" s="7">
        <v>0</v>
      </c>
      <c r="L395" s="8">
        <f>IFERROR(K395/K445, "NA")</f>
        <v>0</v>
      </c>
      <c r="M395" s="9"/>
      <c r="N395" s="10">
        <f t="shared" si="97"/>
        <v>0</v>
      </c>
      <c r="O395" s="8">
        <f>IFERROR(N395/N445, "NA")</f>
        <v>0</v>
      </c>
      <c r="P395" s="9"/>
      <c r="Q395" s="7">
        <v>0</v>
      </c>
      <c r="R395" s="8">
        <f>IFERROR(Q395/Q445, "NA")</f>
        <v>0</v>
      </c>
      <c r="S395" s="9"/>
      <c r="T395" s="7">
        <v>0</v>
      </c>
      <c r="U395" s="8">
        <f>IFERROR(T395/T445, "NA")</f>
        <v>0</v>
      </c>
      <c r="V395" s="9"/>
      <c r="W395" s="10">
        <f t="shared" si="98"/>
        <v>0</v>
      </c>
      <c r="X395" s="8">
        <f>IFERROR(W395/W445, "NA")</f>
        <v>0</v>
      </c>
      <c r="Y395" s="9"/>
      <c r="Z395" s="7">
        <v>0</v>
      </c>
      <c r="AA395" s="8">
        <f>IFERROR(Z395/Z445, "NA")</f>
        <v>0</v>
      </c>
      <c r="AB395" s="9"/>
      <c r="AC395" s="10">
        <f t="shared" si="99"/>
        <v>0</v>
      </c>
      <c r="AD395" s="8">
        <f>IFERROR(AC395/AC445, "NA")</f>
        <v>0</v>
      </c>
    </row>
    <row r="396" spans="1:30" ht="16.5" hidden="1" customHeight="1" x14ac:dyDescent="0.45">
      <c r="A396" s="6" t="s">
        <v>362</v>
      </c>
      <c r="B396" s="7">
        <v>0</v>
      </c>
      <c r="C396" s="8">
        <f>IFERROR(B396/B445, "NA")</f>
        <v>0</v>
      </c>
      <c r="D396" s="9"/>
      <c r="E396" s="7">
        <v>0</v>
      </c>
      <c r="F396" s="8">
        <f>IFERROR(E396/E445, "NA")</f>
        <v>0</v>
      </c>
      <c r="G396" s="9"/>
      <c r="H396" s="10">
        <f t="shared" si="96"/>
        <v>0</v>
      </c>
      <c r="I396" s="8">
        <f>IFERROR(H396/H445, "NA")</f>
        <v>0</v>
      </c>
      <c r="J396" s="9"/>
      <c r="K396" s="7">
        <v>0</v>
      </c>
      <c r="L396" s="8">
        <f>IFERROR(K396/K445, "NA")</f>
        <v>0</v>
      </c>
      <c r="M396" s="9"/>
      <c r="N396" s="10">
        <f t="shared" si="97"/>
        <v>0</v>
      </c>
      <c r="O396" s="8">
        <f>IFERROR(N396/N445, "NA")</f>
        <v>0</v>
      </c>
      <c r="P396" s="9"/>
      <c r="Q396" s="7">
        <v>0</v>
      </c>
      <c r="R396" s="8">
        <f>IFERROR(Q396/Q445, "NA")</f>
        <v>0</v>
      </c>
      <c r="S396" s="9"/>
      <c r="T396" s="7">
        <v>0</v>
      </c>
      <c r="U396" s="8">
        <f>IFERROR(T396/T445, "NA")</f>
        <v>0</v>
      </c>
      <c r="V396" s="9"/>
      <c r="W396" s="10">
        <f t="shared" si="98"/>
        <v>0</v>
      </c>
      <c r="X396" s="8">
        <f>IFERROR(W396/W445, "NA")</f>
        <v>0</v>
      </c>
      <c r="Y396" s="9"/>
      <c r="Z396" s="7">
        <v>0</v>
      </c>
      <c r="AA396" s="8">
        <f>IFERROR(Z396/Z445, "NA")</f>
        <v>0</v>
      </c>
      <c r="AB396" s="9"/>
      <c r="AC396" s="10">
        <f t="shared" si="99"/>
        <v>0</v>
      </c>
      <c r="AD396" s="8">
        <f>IFERROR(AC396/AC445, "NA")</f>
        <v>0</v>
      </c>
    </row>
    <row r="397" spans="1:30" ht="16.5" customHeight="1" x14ac:dyDescent="0.45">
      <c r="A397" s="19" t="s">
        <v>363</v>
      </c>
      <c r="B397" s="14">
        <f>IFERROR(B386+B387+B389+B390+B391+B392+B393+B395+B396, "NA")</f>
        <v>0</v>
      </c>
      <c r="C397" s="15">
        <f>IFERROR(B397/B445, "NA")</f>
        <v>0</v>
      </c>
      <c r="D397" s="2"/>
      <c r="E397" s="14">
        <f>IFERROR(E386+E387+E389+E390+E391+E392+E393+E395+E396, "NA")</f>
        <v>0</v>
      </c>
      <c r="F397" s="15">
        <f>IFERROR(E397/E445, "NA")</f>
        <v>0</v>
      </c>
      <c r="G397" s="2"/>
      <c r="H397" s="14">
        <f t="shared" si="96"/>
        <v>0</v>
      </c>
      <c r="I397" s="15">
        <f>IFERROR(H397/H445, "NA")</f>
        <v>0</v>
      </c>
      <c r="J397" s="2"/>
      <c r="K397" s="14">
        <f>IFERROR(K386+K387+K389+K390+K391+K392+K393+K395+K396, "NA")</f>
        <v>0</v>
      </c>
      <c r="L397" s="15">
        <f>IFERROR(K397/K445, "NA")</f>
        <v>0</v>
      </c>
      <c r="M397" s="2"/>
      <c r="N397" s="14">
        <f t="shared" si="97"/>
        <v>0</v>
      </c>
      <c r="O397" s="15">
        <f>IFERROR(N397/N445, "NA")</f>
        <v>0</v>
      </c>
      <c r="P397" s="2"/>
      <c r="Q397" s="14">
        <f>IFERROR(Q386+Q387+Q389+Q390+Q391+Q392+Q393+Q395+Q396, "NA")</f>
        <v>0</v>
      </c>
      <c r="R397" s="15">
        <f>IFERROR(Q397/Q445, "NA")</f>
        <v>0</v>
      </c>
      <c r="S397" s="2"/>
      <c r="T397" s="14">
        <f>IFERROR(T386+T387+T389+T390+T391+T392+T393+T395+T396, "NA")</f>
        <v>0</v>
      </c>
      <c r="U397" s="15">
        <f>IFERROR(T397/T445, "NA")</f>
        <v>0</v>
      </c>
      <c r="V397" s="2"/>
      <c r="W397" s="14">
        <f t="shared" si="98"/>
        <v>0</v>
      </c>
      <c r="X397" s="15">
        <f>IFERROR(W397/W445, "NA")</f>
        <v>0</v>
      </c>
      <c r="Y397" s="2"/>
      <c r="Z397" s="14">
        <f>IFERROR(Z386+Z387+Z389+Z390+Z391+Z392+Z393+Z395+Z396, "NA")</f>
        <v>0</v>
      </c>
      <c r="AA397" s="15">
        <f>IFERROR(Z397/Z445, "NA")</f>
        <v>0</v>
      </c>
      <c r="AB397" s="2"/>
      <c r="AC397" s="14">
        <f t="shared" si="99"/>
        <v>0</v>
      </c>
      <c r="AD397" s="15">
        <f>IFERROR(AC397/AC445,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IFERROR(B398/B445, "NA")</f>
        <v>0</v>
      </c>
      <c r="D398" s="9"/>
      <c r="E398" s="7">
        <v>0</v>
      </c>
      <c r="F398" s="8">
        <f>IFERROR(E398/E445, "NA")</f>
        <v>0</v>
      </c>
      <c r="G398" s="9"/>
      <c r="H398" s="10">
        <f t="shared" si="96"/>
        <v>0</v>
      </c>
      <c r="I398" s="8">
        <f>IFERROR(H398/H445, "NA")</f>
        <v>0</v>
      </c>
      <c r="J398" s="9"/>
      <c r="K398" s="7">
        <v>0</v>
      </c>
      <c r="L398" s="8">
        <f>IFERROR(K398/K445, "NA")</f>
        <v>0</v>
      </c>
      <c r="M398" s="9"/>
      <c r="N398" s="10">
        <f t="shared" si="97"/>
        <v>0</v>
      </c>
      <c r="O398" s="8">
        <f>IFERROR(N398/N445, "NA")</f>
        <v>0</v>
      </c>
      <c r="P398" s="9"/>
      <c r="Q398" s="7">
        <v>0</v>
      </c>
      <c r="R398" s="8">
        <f>IFERROR(Q398/Q445, "NA")</f>
        <v>0</v>
      </c>
      <c r="S398" s="9"/>
      <c r="T398" s="7">
        <v>0</v>
      </c>
      <c r="U398" s="8">
        <f>IFERROR(T398/T445, "NA")</f>
        <v>0</v>
      </c>
      <c r="V398" s="9"/>
      <c r="W398" s="10">
        <f t="shared" si="98"/>
        <v>0</v>
      </c>
      <c r="X398" s="8">
        <f>IFERROR(W398/W445, "NA")</f>
        <v>0</v>
      </c>
      <c r="Y398" s="9"/>
      <c r="Z398" s="7">
        <v>0</v>
      </c>
      <c r="AA398" s="8">
        <f>IFERROR(Z398/Z445, "NA")</f>
        <v>0</v>
      </c>
      <c r="AB398" s="9"/>
      <c r="AC398" s="10">
        <f t="shared" si="99"/>
        <v>0</v>
      </c>
      <c r="AD398" s="8">
        <f>IFERROR(AC398/AC445,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IFERROR(B399/B445, "NA")</f>
        <v>0</v>
      </c>
      <c r="D399" s="9"/>
      <c r="E399" s="7">
        <v>0</v>
      </c>
      <c r="F399" s="8">
        <f>IFERROR(E399/E445, "NA")</f>
        <v>0</v>
      </c>
      <c r="G399" s="9"/>
      <c r="H399" s="10">
        <f t="shared" si="96"/>
        <v>0</v>
      </c>
      <c r="I399" s="8">
        <f>IFERROR(H399/H445, "NA")</f>
        <v>0</v>
      </c>
      <c r="J399" s="9"/>
      <c r="K399" s="7">
        <v>0</v>
      </c>
      <c r="L399" s="8">
        <f>IFERROR(K399/K445, "NA")</f>
        <v>0</v>
      </c>
      <c r="M399" s="9"/>
      <c r="N399" s="10">
        <f t="shared" si="97"/>
        <v>0</v>
      </c>
      <c r="O399" s="8">
        <f>IFERROR(N399/N445, "NA")</f>
        <v>0</v>
      </c>
      <c r="P399" s="9"/>
      <c r="Q399" s="7">
        <v>0</v>
      </c>
      <c r="R399" s="8">
        <f>IFERROR(Q399/Q445, "NA")</f>
        <v>0</v>
      </c>
      <c r="S399" s="9"/>
      <c r="T399" s="7">
        <v>0</v>
      </c>
      <c r="U399" s="8">
        <f>IFERROR(T399/T445, "NA")</f>
        <v>0</v>
      </c>
      <c r="V399" s="9"/>
      <c r="W399" s="10">
        <f t="shared" si="98"/>
        <v>0</v>
      </c>
      <c r="X399" s="8">
        <f>IFERROR(W399/W445, "NA")</f>
        <v>0</v>
      </c>
      <c r="Y399" s="9"/>
      <c r="Z399" s="7">
        <v>0</v>
      </c>
      <c r="AA399" s="8">
        <f>IFERROR(Z399/Z445, "NA")</f>
        <v>0</v>
      </c>
      <c r="AB399" s="9"/>
      <c r="AC399" s="10">
        <f t="shared" si="99"/>
        <v>0</v>
      </c>
      <c r="AD399" s="8">
        <f>IFERROR(AC399/AC445,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IFERROR(B400/B445, "NA")</f>
        <v>0</v>
      </c>
      <c r="D400" s="9"/>
      <c r="E400" s="7">
        <v>0</v>
      </c>
      <c r="F400" s="8">
        <f>IFERROR(E400/E445, "NA")</f>
        <v>0</v>
      </c>
      <c r="G400" s="9"/>
      <c r="H400" s="10">
        <f t="shared" si="96"/>
        <v>0</v>
      </c>
      <c r="I400" s="8">
        <f>IFERROR(H400/H445, "NA")</f>
        <v>0</v>
      </c>
      <c r="J400" s="9"/>
      <c r="K400" s="7">
        <v>0</v>
      </c>
      <c r="L400" s="8">
        <f>IFERROR(K400/K445, "NA")</f>
        <v>0</v>
      </c>
      <c r="M400" s="9"/>
      <c r="N400" s="10">
        <f t="shared" si="97"/>
        <v>0</v>
      </c>
      <c r="O400" s="8">
        <f>IFERROR(N400/N445, "NA")</f>
        <v>0</v>
      </c>
      <c r="P400" s="9"/>
      <c r="Q400" s="7">
        <v>0</v>
      </c>
      <c r="R400" s="8">
        <f>IFERROR(Q400/Q445, "NA")</f>
        <v>0</v>
      </c>
      <c r="S400" s="9"/>
      <c r="T400" s="7">
        <v>0</v>
      </c>
      <c r="U400" s="8">
        <f>IFERROR(T400/T445, "NA")</f>
        <v>0</v>
      </c>
      <c r="V400" s="9"/>
      <c r="W400" s="10">
        <f t="shared" si="98"/>
        <v>0</v>
      </c>
      <c r="X400" s="8">
        <f>IFERROR(W400/W445, "NA")</f>
        <v>0</v>
      </c>
      <c r="Y400" s="9"/>
      <c r="Z400" s="7">
        <v>0</v>
      </c>
      <c r="AA400" s="8">
        <f>IFERROR(Z400/Z445, "NA")</f>
        <v>0</v>
      </c>
      <c r="AB400" s="9"/>
      <c r="AC400" s="10">
        <f t="shared" si="99"/>
        <v>0</v>
      </c>
      <c r="AD400" s="8">
        <f>IFERROR(AC400/AC445,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IFERROR(B401/B445, "NA")</f>
        <v>0</v>
      </c>
      <c r="D401" s="9"/>
      <c r="E401" s="7">
        <v>0</v>
      </c>
      <c r="F401" s="8">
        <f>IFERROR(E401/E445, "NA")</f>
        <v>0</v>
      </c>
      <c r="G401" s="9"/>
      <c r="H401" s="10">
        <f t="shared" si="96"/>
        <v>0</v>
      </c>
      <c r="I401" s="8">
        <f>IFERROR(H401/H445, "NA")</f>
        <v>0</v>
      </c>
      <c r="J401" s="9"/>
      <c r="K401" s="7">
        <v>0</v>
      </c>
      <c r="L401" s="8">
        <f>IFERROR(K401/K445, "NA")</f>
        <v>0</v>
      </c>
      <c r="M401" s="9"/>
      <c r="N401" s="10">
        <f t="shared" si="97"/>
        <v>0</v>
      </c>
      <c r="O401" s="8">
        <f>IFERROR(N401/N445, "NA")</f>
        <v>0</v>
      </c>
      <c r="P401" s="9"/>
      <c r="Q401" s="7">
        <v>0</v>
      </c>
      <c r="R401" s="8">
        <f>IFERROR(Q401/Q445, "NA")</f>
        <v>0</v>
      </c>
      <c r="S401" s="9"/>
      <c r="T401" s="7">
        <v>0</v>
      </c>
      <c r="U401" s="8">
        <f>IFERROR(T401/T445, "NA")</f>
        <v>0</v>
      </c>
      <c r="V401" s="9"/>
      <c r="W401" s="10">
        <f t="shared" si="98"/>
        <v>0</v>
      </c>
      <c r="X401" s="8">
        <f>IFERROR(W401/W445, "NA")</f>
        <v>0</v>
      </c>
      <c r="Y401" s="9"/>
      <c r="Z401" s="7">
        <v>0</v>
      </c>
      <c r="AA401" s="8">
        <f>IFERROR(Z401/Z445, "NA")</f>
        <v>0</v>
      </c>
      <c r="AB401" s="9"/>
      <c r="AC401" s="10">
        <f t="shared" si="99"/>
        <v>0</v>
      </c>
      <c r="AD401" s="8">
        <f>IFERROR(AC401/AC445,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IFERROR(B402/B445, "NA")</f>
        <v>0</v>
      </c>
      <c r="D402" s="9"/>
      <c r="E402" s="7">
        <v>0</v>
      </c>
      <c r="F402" s="8">
        <f>IFERROR(E402/E445, "NA")</f>
        <v>0</v>
      </c>
      <c r="G402" s="9"/>
      <c r="H402" s="10">
        <f t="shared" si="96"/>
        <v>0</v>
      </c>
      <c r="I402" s="8">
        <f>IFERROR(H402/H445, "NA")</f>
        <v>0</v>
      </c>
      <c r="J402" s="9"/>
      <c r="K402" s="7">
        <v>0</v>
      </c>
      <c r="L402" s="8">
        <f>IFERROR(K402/K445, "NA")</f>
        <v>0</v>
      </c>
      <c r="M402" s="9"/>
      <c r="N402" s="10">
        <f t="shared" si="97"/>
        <v>0</v>
      </c>
      <c r="O402" s="8">
        <f>IFERROR(N402/N445, "NA")</f>
        <v>0</v>
      </c>
      <c r="P402" s="9"/>
      <c r="Q402" s="7">
        <v>0</v>
      </c>
      <c r="R402" s="8">
        <f>IFERROR(Q402/Q445, "NA")</f>
        <v>0</v>
      </c>
      <c r="S402" s="9"/>
      <c r="T402" s="7">
        <v>0</v>
      </c>
      <c r="U402" s="8">
        <f>IFERROR(T402/T445, "NA")</f>
        <v>0</v>
      </c>
      <c r="V402" s="9"/>
      <c r="W402" s="10">
        <f t="shared" si="98"/>
        <v>0</v>
      </c>
      <c r="X402" s="8">
        <f>IFERROR(W402/W445, "NA")</f>
        <v>0</v>
      </c>
      <c r="Y402" s="9"/>
      <c r="Z402" s="7">
        <v>0</v>
      </c>
      <c r="AA402" s="8">
        <f>IFERROR(Z402/Z445, "NA")</f>
        <v>0</v>
      </c>
      <c r="AB402" s="9"/>
      <c r="AC402" s="10">
        <f t="shared" si="99"/>
        <v>0</v>
      </c>
      <c r="AD402" s="8">
        <f>IFERROR(AC402/AC445, "NA")</f>
        <v>0</v>
      </c>
    </row>
    <row r="403" spans="1:30" ht="16.5" hidden="1" customHeight="1" x14ac:dyDescent="0.45">
      <c r="A403" s="20" t="s">
        <v>369</v>
      </c>
      <c r="B403" s="7">
        <v>0</v>
      </c>
      <c r="C403" s="8">
        <f>IFERROR(B403/B445, "NA")</f>
        <v>0</v>
      </c>
      <c r="D403" s="9"/>
      <c r="E403" s="7">
        <v>0</v>
      </c>
      <c r="F403" s="8">
        <f>IFERROR(E403/E445, "NA")</f>
        <v>0</v>
      </c>
      <c r="G403" s="9"/>
      <c r="H403" s="10">
        <f t="shared" si="96"/>
        <v>0</v>
      </c>
      <c r="I403" s="8">
        <f>IFERROR(H403/H445, "NA")</f>
        <v>0</v>
      </c>
      <c r="J403" s="9"/>
      <c r="K403" s="7">
        <v>0</v>
      </c>
      <c r="L403" s="8">
        <f>IFERROR(K403/K445, "NA")</f>
        <v>0</v>
      </c>
      <c r="M403" s="9"/>
      <c r="N403" s="10">
        <f t="shared" si="97"/>
        <v>0</v>
      </c>
      <c r="O403" s="8">
        <f>IFERROR(N403/N445, "NA")</f>
        <v>0</v>
      </c>
      <c r="P403" s="9"/>
      <c r="Q403" s="7">
        <v>0</v>
      </c>
      <c r="R403" s="8">
        <f>IFERROR(Q403/Q445, "NA")</f>
        <v>0</v>
      </c>
      <c r="S403" s="9"/>
      <c r="T403" s="7">
        <v>0</v>
      </c>
      <c r="U403" s="8">
        <f>IFERROR(T403/T445, "NA")</f>
        <v>0</v>
      </c>
      <c r="V403" s="9"/>
      <c r="W403" s="10">
        <f t="shared" si="98"/>
        <v>0</v>
      </c>
      <c r="X403" s="8">
        <f>IFERROR(W403/W445, "NA")</f>
        <v>0</v>
      </c>
      <c r="Y403" s="9"/>
      <c r="Z403" s="7">
        <v>0</v>
      </c>
      <c r="AA403" s="8">
        <f>IFERROR(Z403/Z445, "NA")</f>
        <v>0</v>
      </c>
      <c r="AB403" s="9"/>
      <c r="AC403" s="10">
        <f t="shared" si="99"/>
        <v>0</v>
      </c>
      <c r="AD403" s="8">
        <f>IFERROR(AC403/AC445, "NA")</f>
        <v>0</v>
      </c>
    </row>
    <row r="404" spans="1:30" ht="16.5" customHeight="1" x14ac:dyDescent="0.45">
      <c r="A404" s="21" t="s">
        <v>370</v>
      </c>
      <c r="B404" s="14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5">
        <f>IFERROR(B404/B445, "NA")</f>
        <v>0</v>
      </c>
      <c r="D404" s="2"/>
      <c r="E404" s="14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5">
        <f>IFERROR(E404/E445, "NA")</f>
        <v>0</v>
      </c>
      <c r="G404" s="2"/>
      <c r="H404" s="14">
        <f t="shared" si="96"/>
        <v>0</v>
      </c>
      <c r="I404" s="15">
        <f>IFERROR(H404/H445, "NA")</f>
        <v>0</v>
      </c>
      <c r="J404" s="2"/>
      <c r="K404" s="14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5">
        <f>IFERROR(K404/K445, "NA")</f>
        <v>0</v>
      </c>
      <c r="M404" s="2"/>
      <c r="N404" s="14">
        <f t="shared" si="97"/>
        <v>0</v>
      </c>
      <c r="O404" s="15">
        <f>IFERROR(N404/N445, "NA")</f>
        <v>0</v>
      </c>
      <c r="P404" s="2"/>
      <c r="Q404" s="14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5">
        <f>IFERROR(Q404/Q445, "NA")</f>
        <v>0</v>
      </c>
      <c r="S404" s="2"/>
      <c r="T404" s="14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5">
        <f>IFERROR(T404/T445, "NA")</f>
        <v>0</v>
      </c>
      <c r="V404" s="2"/>
      <c r="W404" s="14">
        <f t="shared" si="98"/>
        <v>0</v>
      </c>
      <c r="X404" s="15">
        <f>IFERROR(W404/W445, "NA")</f>
        <v>0</v>
      </c>
      <c r="Y404" s="2"/>
      <c r="Z404" s="14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5">
        <f>IFERROR(Z404/Z445, "NA")</f>
        <v>0</v>
      </c>
      <c r="AB404" s="2"/>
      <c r="AC404" s="14">
        <f t="shared" si="99"/>
        <v>0</v>
      </c>
      <c r="AD404" s="15">
        <f>IFERROR(AC404/AC445, "NA")</f>
        <v>0</v>
      </c>
    </row>
    <row r="405" spans="1:30" ht="16.5" customHeight="1" x14ac:dyDescent="0.45">
      <c r="A405" s="22" t="s">
        <v>371</v>
      </c>
      <c r="B405" s="23">
        <f>IFERROR(B346-B404, "NA")</f>
        <v>14267.07</v>
      </c>
      <c r="C405" s="24">
        <f>IFERROR(B405/B445, "NA")</f>
        <v>8.9062518434951929E-2</v>
      </c>
      <c r="D405" s="25"/>
      <c r="E405" s="23">
        <f>IFERROR(E346-E404, "NA")</f>
        <v>33977.140000000058</v>
      </c>
      <c r="F405" s="24">
        <f>IFERROR(E405/E445, "NA")</f>
        <v>0.17642778334880049</v>
      </c>
      <c r="G405" s="25"/>
      <c r="H405" s="23">
        <f>IFERROR(B405-E405, "NA")</f>
        <v>-19710.070000000058</v>
      </c>
      <c r="I405" s="24">
        <f>IFERROR(H405/H445, "NA")</f>
        <v>0.6084817923815653</v>
      </c>
      <c r="J405" s="25"/>
      <c r="K405" s="23">
        <f>IFERROR(K346-K404, "NA")</f>
        <v>20410.300000000017</v>
      </c>
      <c r="L405" s="24">
        <f>IFERROR(K405/K445, "NA")</f>
        <v>0.11557268339065459</v>
      </c>
      <c r="M405" s="25"/>
      <c r="N405" s="23">
        <f>IFERROR(B405-K405, "NA")</f>
        <v>-6143.2300000000178</v>
      </c>
      <c r="O405" s="24">
        <f>IFERROR(N405/N445, "NA")</f>
        <v>0.37436371824380538</v>
      </c>
      <c r="P405" s="25"/>
      <c r="Q405" s="23">
        <f>IFERROR(Q346-Q404, "NA")</f>
        <v>114562.15000000004</v>
      </c>
      <c r="R405" s="24">
        <f>IFERROR(Q405/Q445, "NA")</f>
        <v>0.12359112963754176</v>
      </c>
      <c r="S405" s="25"/>
      <c r="T405" s="23">
        <f>IFERROR(T346-T404, "NA")</f>
        <v>164749.33000000002</v>
      </c>
      <c r="U405" s="24">
        <f>IFERROR(T405/T445, "NA")</f>
        <v>0.17163260409755107</v>
      </c>
      <c r="V405" s="25"/>
      <c r="W405" s="23">
        <f>IFERROR(Q405-T405, "NA")</f>
        <v>-50187.179999999978</v>
      </c>
      <c r="X405" s="24">
        <f>IFERROR(W405/W445, "NA")</f>
        <v>1.523106449848771</v>
      </c>
      <c r="Y405" s="25"/>
      <c r="Z405" s="23">
        <f>IFERROR(Z346-Z404, "NA")</f>
        <v>96349.209999999875</v>
      </c>
      <c r="AA405" s="24">
        <f>IFERROR(Z405/Z445, "NA")</f>
        <v>0.1079953968812376</v>
      </c>
      <c r="AB405" s="25"/>
      <c r="AC405" s="23">
        <f>IFERROR(Q405-Z405, "NA")</f>
        <v>18212.940000000162</v>
      </c>
      <c r="AD405" s="24">
        <f>IFERROR(AC405/AC445, "NA")</f>
        <v>0.52359475880293938</v>
      </c>
    </row>
    <row r="406" spans="1:30" ht="16.5" customHeight="1" x14ac:dyDescent="0.45">
      <c r="A406" s="1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5" t="s">
        <v>373</v>
      </c>
      <c r="B407" s="2"/>
      <c r="C407" s="3"/>
      <c r="D407" s="4"/>
      <c r="E407" s="2"/>
      <c r="F407" s="3"/>
      <c r="G407" s="4"/>
      <c r="H407" s="2"/>
      <c r="I407" s="3"/>
      <c r="J407" s="4"/>
      <c r="K407" s="2"/>
      <c r="L407" s="3"/>
      <c r="M407" s="4"/>
      <c r="N407" s="2"/>
      <c r="O407" s="3"/>
      <c r="P407" s="4"/>
      <c r="Q407" s="2"/>
      <c r="R407" s="3"/>
      <c r="S407" s="4"/>
      <c r="T407" s="2"/>
      <c r="U407" s="3"/>
      <c r="V407" s="4"/>
      <c r="W407" s="2"/>
      <c r="X407" s="3"/>
      <c r="Y407" s="4"/>
      <c r="Z407" s="2"/>
      <c r="AA407" s="3"/>
      <c r="AB407" s="4"/>
      <c r="AC407" s="2"/>
      <c r="AD407" s="3"/>
    </row>
    <row r="408" spans="1:30" ht="16.5" customHeight="1" x14ac:dyDescent="0.45">
      <c r="A408" s="6" t="s">
        <v>373</v>
      </c>
      <c r="B408" s="7">
        <v>0</v>
      </c>
      <c r="C408" s="8">
        <f>IFERROR(B408/B445, "NA")</f>
        <v>0</v>
      </c>
      <c r="D408" s="9"/>
      <c r="E408" s="7">
        <v>3922.68</v>
      </c>
      <c r="F408" s="8">
        <f>IFERROR(E408/E445, "NA")</f>
        <v>2.0368687216954444E-2</v>
      </c>
      <c r="G408" s="9"/>
      <c r="H408" s="10">
        <f t="shared" ref="H408:H430" si="100">IFERROR(-(B408-E408), "NA")</f>
        <v>3922.68</v>
      </c>
      <c r="I408" s="8">
        <f>IFERROR(H408/H445, "NA")</f>
        <v>-0.12109948657408683</v>
      </c>
      <c r="J408" s="9"/>
      <c r="K408" s="7">
        <v>0</v>
      </c>
      <c r="L408" s="8">
        <f>IFERROR(K408/K445, "NA")</f>
        <v>0</v>
      </c>
      <c r="M408" s="9"/>
      <c r="N408" s="10">
        <f t="shared" ref="N408:N430" si="101">IFERROR(-(B408-K408), "NA")</f>
        <v>0</v>
      </c>
      <c r="O408" s="8">
        <f>IFERROR(N408/N445, "NA")</f>
        <v>0</v>
      </c>
      <c r="P408" s="9"/>
      <c r="Q408" s="7">
        <v>0</v>
      </c>
      <c r="R408" s="8">
        <f>IFERROR(Q408/Q445, "NA")</f>
        <v>0</v>
      </c>
      <c r="S408" s="9"/>
      <c r="T408" s="7">
        <v>17373.169999999998</v>
      </c>
      <c r="U408" s="8">
        <f>IFERROR(T408/T445, "NA")</f>
        <v>1.8099026008357368E-2</v>
      </c>
      <c r="V408" s="9"/>
      <c r="W408" s="10">
        <f t="shared" ref="W408:W430" si="102">IFERROR(-(Q408-T408), "NA")</f>
        <v>17373.169999999998</v>
      </c>
      <c r="X408" s="8">
        <f>IFERROR(W408/W445, "NA")</f>
        <v>-0.52724993277803578</v>
      </c>
      <c r="Y408" s="9"/>
      <c r="Z408" s="7">
        <v>0</v>
      </c>
      <c r="AA408" s="8">
        <f>IFERROR(Z408/Z445, "NA")</f>
        <v>0</v>
      </c>
      <c r="AB408" s="9"/>
      <c r="AC408" s="10">
        <f t="shared" ref="AC408:AC430" si="103">IFERROR(-(Q408-Z408), "NA")</f>
        <v>0</v>
      </c>
      <c r="AD408" s="8">
        <f>IFERROR(AC408/AC445, "NA")</f>
        <v>0</v>
      </c>
    </row>
    <row r="409" spans="1:30" ht="16.5" customHeight="1" x14ac:dyDescent="0.45">
      <c r="A409" s="6" t="s">
        <v>374</v>
      </c>
      <c r="B409" s="7">
        <v>310.05</v>
      </c>
      <c r="C409" s="8">
        <f>IFERROR(B409/B445, "NA")</f>
        <v>1.9354943825716736E-3</v>
      </c>
      <c r="D409" s="9"/>
      <c r="E409" s="7">
        <v>0</v>
      </c>
      <c r="F409" s="8">
        <f>IFERROR(E409/E445, "NA")</f>
        <v>0</v>
      </c>
      <c r="G409" s="9"/>
      <c r="H409" s="10">
        <f t="shared" si="100"/>
        <v>-310.05</v>
      </c>
      <c r="I409" s="8">
        <f>IFERROR(H409/H445, "NA")</f>
        <v>9.5717457993758411E-3</v>
      </c>
      <c r="J409" s="9"/>
      <c r="K409" s="7">
        <v>0</v>
      </c>
      <c r="L409" s="8">
        <f>IFERROR(K409/K445, "NA")</f>
        <v>0</v>
      </c>
      <c r="M409" s="9"/>
      <c r="N409" s="10">
        <f t="shared" si="101"/>
        <v>-310.05</v>
      </c>
      <c r="O409" s="8">
        <f>IFERROR(N409/N445, "NA")</f>
        <v>1.8894208883843112E-2</v>
      </c>
      <c r="P409" s="9"/>
      <c r="Q409" s="7">
        <v>310.05</v>
      </c>
      <c r="R409" s="8">
        <f>IFERROR(Q409/Q445, "NA")</f>
        <v>3.3448595146058109E-4</v>
      </c>
      <c r="S409" s="9"/>
      <c r="T409" s="7">
        <v>0</v>
      </c>
      <c r="U409" s="8">
        <f>IFERROR(T409/T445, "NA")</f>
        <v>0</v>
      </c>
      <c r="V409" s="9"/>
      <c r="W409" s="10">
        <f t="shared" si="102"/>
        <v>-310.05</v>
      </c>
      <c r="X409" s="8">
        <f>IFERROR(W409/W445, "NA")</f>
        <v>9.4095574761445377E-3</v>
      </c>
      <c r="Y409" s="9"/>
      <c r="Z409" s="7">
        <v>0</v>
      </c>
      <c r="AA409" s="8">
        <f>IFERROR(Z409/Z445, "NA")</f>
        <v>0</v>
      </c>
      <c r="AB409" s="9"/>
      <c r="AC409" s="10">
        <f t="shared" si="103"/>
        <v>-310.05</v>
      </c>
      <c r="AD409" s="8">
        <f>IFERROR(AC409/AC445, "NA")</f>
        <v>-8.9134733308762846E-3</v>
      </c>
    </row>
    <row r="410" spans="1:30" ht="16.5" hidden="1" customHeight="1" x14ac:dyDescent="0.45">
      <c r="A410" s="6" t="s">
        <v>375</v>
      </c>
      <c r="B410" s="7">
        <v>0</v>
      </c>
      <c r="C410" s="8">
        <f>IFERROR(B410/B445, "NA")</f>
        <v>0</v>
      </c>
      <c r="D410" s="9"/>
      <c r="E410" s="7">
        <v>0</v>
      </c>
      <c r="F410" s="8">
        <f>IFERROR(E410/E445, "NA")</f>
        <v>0</v>
      </c>
      <c r="G410" s="9"/>
      <c r="H410" s="10">
        <f t="shared" si="100"/>
        <v>0</v>
      </c>
      <c r="I410" s="8">
        <f>IFERROR(H410/H445, "NA")</f>
        <v>0</v>
      </c>
      <c r="J410" s="9"/>
      <c r="K410" s="7">
        <v>0</v>
      </c>
      <c r="L410" s="8">
        <f>IFERROR(K410/K445, "NA")</f>
        <v>0</v>
      </c>
      <c r="M410" s="9"/>
      <c r="N410" s="10">
        <f t="shared" si="101"/>
        <v>0</v>
      </c>
      <c r="O410" s="8">
        <f>IFERROR(N410/N445, "NA")</f>
        <v>0</v>
      </c>
      <c r="P410" s="9"/>
      <c r="Q410" s="7">
        <v>0</v>
      </c>
      <c r="R410" s="8">
        <f>IFERROR(Q410/Q445, "NA")</f>
        <v>0</v>
      </c>
      <c r="S410" s="9"/>
      <c r="T410" s="7">
        <v>0</v>
      </c>
      <c r="U410" s="8">
        <f>IFERROR(T410/T445, "NA")</f>
        <v>0</v>
      </c>
      <c r="V410" s="9"/>
      <c r="W410" s="10">
        <f t="shared" si="102"/>
        <v>0</v>
      </c>
      <c r="X410" s="8">
        <f>IFERROR(W410/W445, "NA")</f>
        <v>0</v>
      </c>
      <c r="Y410" s="9"/>
      <c r="Z410" s="7">
        <v>0</v>
      </c>
      <c r="AA410" s="8">
        <f>IFERROR(Z410/Z445, "NA")</f>
        <v>0</v>
      </c>
      <c r="AB410" s="9"/>
      <c r="AC410" s="10">
        <f t="shared" si="103"/>
        <v>0</v>
      </c>
      <c r="AD410" s="8">
        <f>IFERROR(AC410/AC445, "NA")</f>
        <v>0</v>
      </c>
    </row>
    <row r="411" spans="1:30" ht="16.5" customHeight="1" x14ac:dyDescent="0.45">
      <c r="A411" s="6" t="s">
        <v>376</v>
      </c>
      <c r="B411" s="7">
        <v>4203.6099999999997</v>
      </c>
      <c r="C411" s="8">
        <f>IFERROR(B411/B445, "NA")</f>
        <v>2.6241133822035519E-2</v>
      </c>
      <c r="D411" s="9"/>
      <c r="E411" s="7">
        <v>0</v>
      </c>
      <c r="F411" s="8">
        <f>IFERROR(E411/E445, "NA")</f>
        <v>0</v>
      </c>
      <c r="G411" s="9"/>
      <c r="H411" s="10">
        <f t="shared" si="100"/>
        <v>-4203.6099999999997</v>
      </c>
      <c r="I411" s="8">
        <f>IFERROR(H411/H445, "NA")</f>
        <v>0.12977225079733679</v>
      </c>
      <c r="J411" s="9"/>
      <c r="K411" s="7">
        <v>3345.17</v>
      </c>
      <c r="L411" s="8">
        <f>IFERROR(K411/K445, "NA")</f>
        <v>1.8941920172555804E-2</v>
      </c>
      <c r="M411" s="9"/>
      <c r="N411" s="10">
        <f t="shared" si="101"/>
        <v>-858.4399999999996</v>
      </c>
      <c r="O411" s="8">
        <f>IFERROR(N411/N445, "NA")</f>
        <v>5.2312674324290508E-2</v>
      </c>
      <c r="P411" s="9"/>
      <c r="Q411" s="7">
        <v>20822.53</v>
      </c>
      <c r="R411" s="8">
        <f>IFERROR(Q411/Q445, "NA")</f>
        <v>2.2463614768155116E-2</v>
      </c>
      <c r="S411" s="9"/>
      <c r="T411" s="7">
        <v>0</v>
      </c>
      <c r="U411" s="8">
        <f>IFERROR(T411/T445, "NA")</f>
        <v>0</v>
      </c>
      <c r="V411" s="9"/>
      <c r="W411" s="10">
        <f t="shared" si="102"/>
        <v>-20822.53</v>
      </c>
      <c r="X411" s="8">
        <f>IFERROR(W411/W445, "NA")</f>
        <v>0.6319328909328944</v>
      </c>
      <c r="Y411" s="9"/>
      <c r="Z411" s="7">
        <v>16169.44</v>
      </c>
      <c r="AA411" s="8">
        <f>IFERROR(Z411/Z445, "NA")</f>
        <v>1.8123917052847251E-2</v>
      </c>
      <c r="AB411" s="9"/>
      <c r="AC411" s="10">
        <f t="shared" si="103"/>
        <v>-4653.0899999999983</v>
      </c>
      <c r="AD411" s="8">
        <f>IFERROR(AC411/AC445, "NA")</f>
        <v>-0.13376937145998102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IFERROR(B412/B445, "NA")</f>
        <v>0</v>
      </c>
      <c r="D412" s="9"/>
      <c r="E412" s="7">
        <v>0</v>
      </c>
      <c r="F412" s="8">
        <f>IFERROR(E412/E445, "NA")</f>
        <v>0</v>
      </c>
      <c r="G412" s="9"/>
      <c r="H412" s="10">
        <f t="shared" si="100"/>
        <v>0</v>
      </c>
      <c r="I412" s="8">
        <f>IFERROR(H412/H445, "NA")</f>
        <v>0</v>
      </c>
      <c r="J412" s="9"/>
      <c r="K412" s="7">
        <v>0</v>
      </c>
      <c r="L412" s="8">
        <f>IFERROR(K412/K445, "NA")</f>
        <v>0</v>
      </c>
      <c r="M412" s="9"/>
      <c r="N412" s="10">
        <f t="shared" si="101"/>
        <v>0</v>
      </c>
      <c r="O412" s="8">
        <f>IFERROR(N412/N445, "NA")</f>
        <v>0</v>
      </c>
      <c r="P412" s="9"/>
      <c r="Q412" s="7">
        <v>0</v>
      </c>
      <c r="R412" s="8">
        <f>IFERROR(Q412/Q445, "NA")</f>
        <v>0</v>
      </c>
      <c r="S412" s="9"/>
      <c r="T412" s="7">
        <v>0</v>
      </c>
      <c r="U412" s="8">
        <f>IFERROR(T412/T445, "NA")</f>
        <v>0</v>
      </c>
      <c r="V412" s="9"/>
      <c r="W412" s="10">
        <f t="shared" si="102"/>
        <v>0</v>
      </c>
      <c r="X412" s="8">
        <f>IFERROR(W412/W445, "NA")</f>
        <v>0</v>
      </c>
      <c r="Y412" s="9"/>
      <c r="Z412" s="7">
        <v>0</v>
      </c>
      <c r="AA412" s="8">
        <f>IFERROR(Z412/Z445, "NA")</f>
        <v>0</v>
      </c>
      <c r="AB412" s="9"/>
      <c r="AC412" s="10">
        <f t="shared" si="103"/>
        <v>0</v>
      </c>
      <c r="AD412" s="8">
        <f>IFERROR(AC412/AC445,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IFERROR(B413/B445, "NA")</f>
        <v>0</v>
      </c>
      <c r="D413" s="9"/>
      <c r="E413" s="7">
        <v>0</v>
      </c>
      <c r="F413" s="8">
        <f>IFERROR(E413/E445, "NA")</f>
        <v>0</v>
      </c>
      <c r="G413" s="9"/>
      <c r="H413" s="10">
        <f t="shared" si="100"/>
        <v>0</v>
      </c>
      <c r="I413" s="8">
        <f>IFERROR(H413/H445, "NA")</f>
        <v>0</v>
      </c>
      <c r="J413" s="9"/>
      <c r="K413" s="7">
        <v>0</v>
      </c>
      <c r="L413" s="8">
        <f>IFERROR(K413/K445, "NA")</f>
        <v>0</v>
      </c>
      <c r="M413" s="9"/>
      <c r="N413" s="10">
        <f t="shared" si="101"/>
        <v>0</v>
      </c>
      <c r="O413" s="8">
        <f>IFERROR(N413/N445, "NA")</f>
        <v>0</v>
      </c>
      <c r="P413" s="9"/>
      <c r="Q413" s="7">
        <v>0</v>
      </c>
      <c r="R413" s="8">
        <f>IFERROR(Q413/Q445, "NA")</f>
        <v>0</v>
      </c>
      <c r="S413" s="9"/>
      <c r="T413" s="7">
        <v>0</v>
      </c>
      <c r="U413" s="8">
        <f>IFERROR(T413/T445, "NA")</f>
        <v>0</v>
      </c>
      <c r="V413" s="9"/>
      <c r="W413" s="10">
        <f t="shared" si="102"/>
        <v>0</v>
      </c>
      <c r="X413" s="8">
        <f>IFERROR(W413/W445, "NA")</f>
        <v>0</v>
      </c>
      <c r="Y413" s="9"/>
      <c r="Z413" s="7">
        <v>0</v>
      </c>
      <c r="AA413" s="8">
        <f>IFERROR(Z413/Z445, "NA")</f>
        <v>0</v>
      </c>
      <c r="AB413" s="9"/>
      <c r="AC413" s="10">
        <f t="shared" si="103"/>
        <v>0</v>
      </c>
      <c r="AD413" s="8">
        <f>IFERROR(AC413/AC445,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IFERROR(B414/B445, "NA")</f>
        <v>0</v>
      </c>
      <c r="D414" s="9"/>
      <c r="E414" s="7">
        <v>0</v>
      </c>
      <c r="F414" s="8">
        <f>IFERROR(E414/E445, "NA")</f>
        <v>0</v>
      </c>
      <c r="G414" s="9"/>
      <c r="H414" s="10">
        <f t="shared" si="100"/>
        <v>0</v>
      </c>
      <c r="I414" s="8">
        <f>IFERROR(H414/H445, "NA")</f>
        <v>0</v>
      </c>
      <c r="J414" s="9"/>
      <c r="K414" s="7">
        <v>0</v>
      </c>
      <c r="L414" s="8">
        <f>IFERROR(K414/K445, "NA")</f>
        <v>0</v>
      </c>
      <c r="M414" s="9"/>
      <c r="N414" s="10">
        <f t="shared" si="101"/>
        <v>0</v>
      </c>
      <c r="O414" s="8">
        <f>IFERROR(N414/N445, "NA")</f>
        <v>0</v>
      </c>
      <c r="P414" s="9"/>
      <c r="Q414" s="7">
        <v>0</v>
      </c>
      <c r="R414" s="8">
        <f>IFERROR(Q414/Q445, "NA")</f>
        <v>0</v>
      </c>
      <c r="S414" s="9"/>
      <c r="T414" s="7">
        <v>0</v>
      </c>
      <c r="U414" s="8">
        <f>IFERROR(T414/T445, "NA")</f>
        <v>0</v>
      </c>
      <c r="V414" s="9"/>
      <c r="W414" s="10">
        <f t="shared" si="102"/>
        <v>0</v>
      </c>
      <c r="X414" s="8">
        <f>IFERROR(W414/W445, "NA")</f>
        <v>0</v>
      </c>
      <c r="Y414" s="9"/>
      <c r="Z414" s="7">
        <v>0</v>
      </c>
      <c r="AA414" s="8">
        <f>IFERROR(Z414/Z445, "NA")</f>
        <v>0</v>
      </c>
      <c r="AB414" s="9"/>
      <c r="AC414" s="10">
        <f t="shared" si="103"/>
        <v>0</v>
      </c>
      <c r="AD414" s="8">
        <f>IFERROR(AC414/AC445,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IFERROR(B415/B445, "NA")</f>
        <v>0</v>
      </c>
      <c r="D415" s="9"/>
      <c r="E415" s="7">
        <v>0</v>
      </c>
      <c r="F415" s="8">
        <f>IFERROR(E415/E445, "NA")</f>
        <v>0</v>
      </c>
      <c r="G415" s="9"/>
      <c r="H415" s="10">
        <f t="shared" si="100"/>
        <v>0</v>
      </c>
      <c r="I415" s="8">
        <f>IFERROR(H415/H445, "NA")</f>
        <v>0</v>
      </c>
      <c r="J415" s="9"/>
      <c r="K415" s="7">
        <v>0</v>
      </c>
      <c r="L415" s="8">
        <f>IFERROR(K415/K445, "NA")</f>
        <v>0</v>
      </c>
      <c r="M415" s="9"/>
      <c r="N415" s="10">
        <f t="shared" si="101"/>
        <v>0</v>
      </c>
      <c r="O415" s="8">
        <f>IFERROR(N415/N445, "NA")</f>
        <v>0</v>
      </c>
      <c r="P415" s="9"/>
      <c r="Q415" s="7">
        <v>0</v>
      </c>
      <c r="R415" s="8">
        <f>IFERROR(Q415/Q445, "NA")</f>
        <v>0</v>
      </c>
      <c r="S415" s="9"/>
      <c r="T415" s="7">
        <v>0</v>
      </c>
      <c r="U415" s="8">
        <f>IFERROR(T415/T445, "NA")</f>
        <v>0</v>
      </c>
      <c r="V415" s="9"/>
      <c r="W415" s="10">
        <f t="shared" si="102"/>
        <v>0</v>
      </c>
      <c r="X415" s="8">
        <f>IFERROR(W415/W445, "NA")</f>
        <v>0</v>
      </c>
      <c r="Y415" s="9"/>
      <c r="Z415" s="7">
        <v>0</v>
      </c>
      <c r="AA415" s="8">
        <f>IFERROR(Z415/Z445, "NA")</f>
        <v>0</v>
      </c>
      <c r="AB415" s="9"/>
      <c r="AC415" s="10">
        <f t="shared" si="103"/>
        <v>0</v>
      </c>
      <c r="AD415" s="8">
        <f>IFERROR(AC415/AC445,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IFERROR(B416/B445, "NA")</f>
        <v>0</v>
      </c>
      <c r="D416" s="9"/>
      <c r="E416" s="7">
        <v>0</v>
      </c>
      <c r="F416" s="8">
        <f>IFERROR(E416/E445, "NA")</f>
        <v>0</v>
      </c>
      <c r="G416" s="9"/>
      <c r="H416" s="10">
        <f t="shared" si="100"/>
        <v>0</v>
      </c>
      <c r="I416" s="8">
        <f>IFERROR(H416/H445, "NA")</f>
        <v>0</v>
      </c>
      <c r="J416" s="9"/>
      <c r="K416" s="7">
        <v>0</v>
      </c>
      <c r="L416" s="8">
        <f>IFERROR(K416/K445, "NA")</f>
        <v>0</v>
      </c>
      <c r="M416" s="9"/>
      <c r="N416" s="10">
        <f t="shared" si="101"/>
        <v>0</v>
      </c>
      <c r="O416" s="8">
        <f>IFERROR(N416/N445, "NA")</f>
        <v>0</v>
      </c>
      <c r="P416" s="9"/>
      <c r="Q416" s="7">
        <v>0</v>
      </c>
      <c r="R416" s="8">
        <f>IFERROR(Q416/Q445, "NA")</f>
        <v>0</v>
      </c>
      <c r="S416" s="9"/>
      <c r="T416" s="7">
        <v>0</v>
      </c>
      <c r="U416" s="8">
        <f>IFERROR(T416/T445, "NA")</f>
        <v>0</v>
      </c>
      <c r="V416" s="9"/>
      <c r="W416" s="10">
        <f t="shared" si="102"/>
        <v>0</v>
      </c>
      <c r="X416" s="8">
        <f>IFERROR(W416/W445, "NA")</f>
        <v>0</v>
      </c>
      <c r="Y416" s="9"/>
      <c r="Z416" s="7">
        <v>0</v>
      </c>
      <c r="AA416" s="8">
        <f>IFERROR(Z416/Z445, "NA")</f>
        <v>0</v>
      </c>
      <c r="AB416" s="9"/>
      <c r="AC416" s="10">
        <f t="shared" si="103"/>
        <v>0</v>
      </c>
      <c r="AD416" s="8">
        <f>IFERROR(AC416/AC445, "NA")</f>
        <v>0</v>
      </c>
    </row>
    <row r="417" spans="1:30" ht="16.5" hidden="1" customHeight="1" x14ac:dyDescent="0.45">
      <c r="A417" s="6" t="s">
        <v>382</v>
      </c>
      <c r="B417" s="7">
        <v>0</v>
      </c>
      <c r="C417" s="8">
        <f>IFERROR(B417/B445, "NA")</f>
        <v>0</v>
      </c>
      <c r="D417" s="9"/>
      <c r="E417" s="7">
        <v>0</v>
      </c>
      <c r="F417" s="8">
        <f>IFERROR(E417/E445, "NA")</f>
        <v>0</v>
      </c>
      <c r="G417" s="9"/>
      <c r="H417" s="10">
        <f t="shared" si="100"/>
        <v>0</v>
      </c>
      <c r="I417" s="8">
        <f>IFERROR(H417/H445, "NA")</f>
        <v>0</v>
      </c>
      <c r="J417" s="9"/>
      <c r="K417" s="7">
        <v>0</v>
      </c>
      <c r="L417" s="8">
        <f>IFERROR(K417/K445, "NA")</f>
        <v>0</v>
      </c>
      <c r="M417" s="9"/>
      <c r="N417" s="10">
        <f t="shared" si="101"/>
        <v>0</v>
      </c>
      <c r="O417" s="8">
        <f>IFERROR(N417/N445, "NA")</f>
        <v>0</v>
      </c>
      <c r="P417" s="9"/>
      <c r="Q417" s="7">
        <v>0</v>
      </c>
      <c r="R417" s="8">
        <f>IFERROR(Q417/Q445, "NA")</f>
        <v>0</v>
      </c>
      <c r="S417" s="9"/>
      <c r="T417" s="7">
        <v>0</v>
      </c>
      <c r="U417" s="8">
        <f>IFERROR(T417/T445, "NA")</f>
        <v>0</v>
      </c>
      <c r="V417" s="9"/>
      <c r="W417" s="10">
        <f t="shared" si="102"/>
        <v>0</v>
      </c>
      <c r="X417" s="8">
        <f>IFERROR(W417/W445, "NA")</f>
        <v>0</v>
      </c>
      <c r="Y417" s="9"/>
      <c r="Z417" s="7">
        <v>0</v>
      </c>
      <c r="AA417" s="8">
        <f>IFERROR(Z417/Z445, "NA")</f>
        <v>0</v>
      </c>
      <c r="AB417" s="9"/>
      <c r="AC417" s="10">
        <f t="shared" si="103"/>
        <v>0</v>
      </c>
      <c r="AD417" s="8">
        <f>IFERROR(AC417/AC445, "NA")</f>
        <v>0</v>
      </c>
    </row>
    <row r="418" spans="1:30" ht="16.5" customHeight="1" x14ac:dyDescent="0.45">
      <c r="A418" s="6" t="s">
        <v>383</v>
      </c>
      <c r="B418" s="7">
        <v>8.36</v>
      </c>
      <c r="C418" s="8">
        <f>IFERROR(B418/B445, "NA")</f>
        <v>5.2187495688757266E-5</v>
      </c>
      <c r="D418" s="9"/>
      <c r="E418" s="7">
        <v>0</v>
      </c>
      <c r="F418" s="8">
        <f>IFERROR(E418/E445, "NA")</f>
        <v>0</v>
      </c>
      <c r="G418" s="9"/>
      <c r="H418" s="10">
        <f t="shared" si="100"/>
        <v>-8.36</v>
      </c>
      <c r="I418" s="8">
        <f>IFERROR(H418/H445, "NA")</f>
        <v>2.5808674369547498E-4</v>
      </c>
      <c r="J418" s="9"/>
      <c r="K418" s="7">
        <v>251.97</v>
      </c>
      <c r="L418" s="8">
        <f>IFERROR(K418/K445, "NA")</f>
        <v>1.4267722196118241E-3</v>
      </c>
      <c r="M418" s="9"/>
      <c r="N418" s="10">
        <f t="shared" si="101"/>
        <v>243.61</v>
      </c>
      <c r="O418" s="8">
        <f>IFERROR(N418/N445, "NA")</f>
        <v>-1.484540630928244E-2</v>
      </c>
      <c r="P418" s="9"/>
      <c r="Q418" s="7">
        <v>-83.21</v>
      </c>
      <c r="R418" s="8">
        <f>IFERROR(Q418/Q445, "NA")</f>
        <v>-8.9768024580019198E-5</v>
      </c>
      <c r="S418" s="9"/>
      <c r="T418" s="7">
        <v>0</v>
      </c>
      <c r="U418" s="8">
        <f>IFERROR(T418/T445, "NA")</f>
        <v>0</v>
      </c>
      <c r="V418" s="9"/>
      <c r="W418" s="10">
        <f t="shared" si="102"/>
        <v>83.21</v>
      </c>
      <c r="X418" s="8">
        <f>IFERROR(W418/W445, "NA")</f>
        <v>-2.5253000406063116E-3</v>
      </c>
      <c r="Y418" s="9"/>
      <c r="Z418" s="7">
        <v>67.5</v>
      </c>
      <c r="AA418" s="8">
        <f>IFERROR(Z418/Z445, "NA")</f>
        <v>7.5659045771974131E-5</v>
      </c>
      <c r="AB418" s="9"/>
      <c r="AC418" s="10">
        <f t="shared" si="103"/>
        <v>150.70999999999998</v>
      </c>
      <c r="AD418" s="8">
        <f>IFERROR(AC418/AC445, "NA")</f>
        <v>4.332686875330961E-3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IFERROR(B419/B445, "NA")</f>
        <v>0</v>
      </c>
      <c r="D419" s="9"/>
      <c r="E419" s="7">
        <v>0</v>
      </c>
      <c r="F419" s="8">
        <f>IFERROR(E419/E445, "NA")</f>
        <v>0</v>
      </c>
      <c r="G419" s="9"/>
      <c r="H419" s="10">
        <f t="shared" si="100"/>
        <v>0</v>
      </c>
      <c r="I419" s="8">
        <f>IFERROR(H419/H445, "NA")</f>
        <v>0</v>
      </c>
      <c r="J419" s="9"/>
      <c r="K419" s="7">
        <v>0</v>
      </c>
      <c r="L419" s="8">
        <f>IFERROR(K419/K445, "NA")</f>
        <v>0</v>
      </c>
      <c r="M419" s="9"/>
      <c r="N419" s="10">
        <f t="shared" si="101"/>
        <v>0</v>
      </c>
      <c r="O419" s="8">
        <f>IFERROR(N419/N445, "NA")</f>
        <v>0</v>
      </c>
      <c r="P419" s="9"/>
      <c r="Q419" s="7">
        <v>0</v>
      </c>
      <c r="R419" s="8">
        <f>IFERROR(Q419/Q445, "NA")</f>
        <v>0</v>
      </c>
      <c r="S419" s="9"/>
      <c r="T419" s="7">
        <v>0</v>
      </c>
      <c r="U419" s="8">
        <f>IFERROR(T419/T445, "NA")</f>
        <v>0</v>
      </c>
      <c r="V419" s="9"/>
      <c r="W419" s="10">
        <f t="shared" si="102"/>
        <v>0</v>
      </c>
      <c r="X419" s="8">
        <f>IFERROR(W419/W445, "NA")</f>
        <v>0</v>
      </c>
      <c r="Y419" s="9"/>
      <c r="Z419" s="7">
        <v>0</v>
      </c>
      <c r="AA419" s="8">
        <f>IFERROR(Z419/Z445, "NA")</f>
        <v>0</v>
      </c>
      <c r="AB419" s="9"/>
      <c r="AC419" s="10">
        <f t="shared" si="103"/>
        <v>0</v>
      </c>
      <c r="AD419" s="8">
        <f>IFERROR(AC419/AC445,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IFERROR(B420/B445, "NA")</f>
        <v>0</v>
      </c>
      <c r="D420" s="9"/>
      <c r="E420" s="7">
        <v>0</v>
      </c>
      <c r="F420" s="8">
        <f>IFERROR(E420/E445, "NA")</f>
        <v>0</v>
      </c>
      <c r="G420" s="9"/>
      <c r="H420" s="10">
        <f t="shared" si="100"/>
        <v>0</v>
      </c>
      <c r="I420" s="8">
        <f>IFERROR(H420/H445, "NA")</f>
        <v>0</v>
      </c>
      <c r="J420" s="9"/>
      <c r="K420" s="7">
        <v>0</v>
      </c>
      <c r="L420" s="8">
        <f>IFERROR(K420/K445, "NA")</f>
        <v>0</v>
      </c>
      <c r="M420" s="9"/>
      <c r="N420" s="10">
        <f t="shared" si="101"/>
        <v>0</v>
      </c>
      <c r="O420" s="8">
        <f>IFERROR(N420/N445, "NA")</f>
        <v>0</v>
      </c>
      <c r="P420" s="9"/>
      <c r="Q420" s="7">
        <v>0</v>
      </c>
      <c r="R420" s="8">
        <f>IFERROR(Q420/Q445, "NA")</f>
        <v>0</v>
      </c>
      <c r="S420" s="9"/>
      <c r="T420" s="7">
        <v>0</v>
      </c>
      <c r="U420" s="8">
        <f>IFERROR(T420/T445, "NA")</f>
        <v>0</v>
      </c>
      <c r="V420" s="9"/>
      <c r="W420" s="10">
        <f t="shared" si="102"/>
        <v>0</v>
      </c>
      <c r="X420" s="8">
        <f>IFERROR(W420/W445, "NA")</f>
        <v>0</v>
      </c>
      <c r="Y420" s="9"/>
      <c r="Z420" s="7">
        <v>0</v>
      </c>
      <c r="AA420" s="8">
        <f>IFERROR(Z420/Z445, "NA")</f>
        <v>0</v>
      </c>
      <c r="AB420" s="9"/>
      <c r="AC420" s="10">
        <f t="shared" si="103"/>
        <v>0</v>
      </c>
      <c r="AD420" s="8">
        <f>IFERROR(AC420/AC445,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IFERROR(B421/B445, "NA")</f>
        <v>0</v>
      </c>
      <c r="D421" s="9"/>
      <c r="E421" s="7">
        <v>0</v>
      </c>
      <c r="F421" s="8">
        <f>IFERROR(E421/E445, "NA")</f>
        <v>0</v>
      </c>
      <c r="G421" s="9"/>
      <c r="H421" s="10">
        <f t="shared" si="100"/>
        <v>0</v>
      </c>
      <c r="I421" s="8">
        <f>IFERROR(H421/H445, "NA")</f>
        <v>0</v>
      </c>
      <c r="J421" s="9"/>
      <c r="K421" s="7">
        <v>0</v>
      </c>
      <c r="L421" s="8">
        <f>IFERROR(K421/K445, "NA")</f>
        <v>0</v>
      </c>
      <c r="M421" s="9"/>
      <c r="N421" s="10">
        <f t="shared" si="101"/>
        <v>0</v>
      </c>
      <c r="O421" s="8">
        <f>IFERROR(N421/N445, "NA")</f>
        <v>0</v>
      </c>
      <c r="P421" s="9"/>
      <c r="Q421" s="7">
        <v>0</v>
      </c>
      <c r="R421" s="8">
        <f>IFERROR(Q421/Q445, "NA")</f>
        <v>0</v>
      </c>
      <c r="S421" s="9"/>
      <c r="T421" s="7">
        <v>0</v>
      </c>
      <c r="U421" s="8">
        <f>IFERROR(T421/T445, "NA")</f>
        <v>0</v>
      </c>
      <c r="V421" s="9"/>
      <c r="W421" s="10">
        <f t="shared" si="102"/>
        <v>0</v>
      </c>
      <c r="X421" s="8">
        <f>IFERROR(W421/W445, "NA")</f>
        <v>0</v>
      </c>
      <c r="Y421" s="9"/>
      <c r="Z421" s="7">
        <v>0</v>
      </c>
      <c r="AA421" s="8">
        <f>IFERROR(Z421/Z445, "NA")</f>
        <v>0</v>
      </c>
      <c r="AB421" s="9"/>
      <c r="AC421" s="10">
        <f t="shared" si="103"/>
        <v>0</v>
      </c>
      <c r="AD421" s="8">
        <f>IFERROR(AC421/AC445, "NA")</f>
        <v>0</v>
      </c>
    </row>
    <row r="422" spans="1:30" ht="16.5" customHeight="1" x14ac:dyDescent="0.45">
      <c r="A422" s="6" t="s">
        <v>387</v>
      </c>
      <c r="B422" s="7">
        <v>0</v>
      </c>
      <c r="C422" s="8">
        <f>IFERROR(B422/B445, "NA")</f>
        <v>0</v>
      </c>
      <c r="D422" s="9"/>
      <c r="E422" s="7">
        <v>0</v>
      </c>
      <c r="F422" s="8">
        <f>IFERROR(E422/E445, "NA")</f>
        <v>0</v>
      </c>
      <c r="G422" s="9"/>
      <c r="H422" s="10">
        <f t="shared" si="100"/>
        <v>0</v>
      </c>
      <c r="I422" s="8">
        <f>IFERROR(H422/H445, "NA")</f>
        <v>0</v>
      </c>
      <c r="J422" s="9"/>
      <c r="K422" s="7">
        <v>0</v>
      </c>
      <c r="L422" s="8">
        <f>IFERROR(K422/K445, "NA")</f>
        <v>0</v>
      </c>
      <c r="M422" s="9"/>
      <c r="N422" s="10">
        <f t="shared" si="101"/>
        <v>0</v>
      </c>
      <c r="O422" s="8">
        <f>IFERROR(N422/N445, "NA")</f>
        <v>0</v>
      </c>
      <c r="P422" s="9"/>
      <c r="Q422" s="7">
        <v>76</v>
      </c>
      <c r="R422" s="8">
        <f>IFERROR(Q422/Q445, "NA")</f>
        <v>8.1989783296255973E-5</v>
      </c>
      <c r="S422" s="9"/>
      <c r="T422" s="7">
        <v>0</v>
      </c>
      <c r="U422" s="8">
        <f>IFERROR(T422/T445, "NA")</f>
        <v>0</v>
      </c>
      <c r="V422" s="9"/>
      <c r="W422" s="10">
        <f t="shared" si="102"/>
        <v>-76</v>
      </c>
      <c r="X422" s="8">
        <f>IFERROR(W422/W445, "NA")</f>
        <v>2.3064872381454117E-3</v>
      </c>
      <c r="Y422" s="9"/>
      <c r="Z422" s="7">
        <v>-50</v>
      </c>
      <c r="AA422" s="8">
        <f>IFERROR(Z422/Z445, "NA")</f>
        <v>-5.6043737608869727E-5</v>
      </c>
      <c r="AB422" s="9"/>
      <c r="AC422" s="10">
        <f t="shared" si="103"/>
        <v>-126</v>
      </c>
      <c r="AD422" s="8">
        <f>IFERROR(AC422/AC445, "NA")</f>
        <v>-3.6223113681355E-3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IFERROR(B423/B445, "NA")</f>
        <v>0</v>
      </c>
      <c r="D423" s="9"/>
      <c r="E423" s="7">
        <v>0</v>
      </c>
      <c r="F423" s="8">
        <f>IFERROR(E423/E445, "NA")</f>
        <v>0</v>
      </c>
      <c r="G423" s="9"/>
      <c r="H423" s="10">
        <f t="shared" si="100"/>
        <v>0</v>
      </c>
      <c r="I423" s="8">
        <f>IFERROR(H423/H445, "NA")</f>
        <v>0</v>
      </c>
      <c r="J423" s="9"/>
      <c r="K423" s="7">
        <v>0</v>
      </c>
      <c r="L423" s="8">
        <f>IFERROR(K423/K445, "NA")</f>
        <v>0</v>
      </c>
      <c r="M423" s="9"/>
      <c r="N423" s="10">
        <f t="shared" si="101"/>
        <v>0</v>
      </c>
      <c r="O423" s="8">
        <f>IFERROR(N423/N445, "NA")</f>
        <v>0</v>
      </c>
      <c r="P423" s="9"/>
      <c r="Q423" s="7">
        <v>0</v>
      </c>
      <c r="R423" s="8">
        <f>IFERROR(Q423/Q445, "NA")</f>
        <v>0</v>
      </c>
      <c r="S423" s="9"/>
      <c r="T423" s="7">
        <v>0</v>
      </c>
      <c r="U423" s="8">
        <f>IFERROR(T423/T445, "NA")</f>
        <v>0</v>
      </c>
      <c r="V423" s="9"/>
      <c r="W423" s="10">
        <f t="shared" si="102"/>
        <v>0</v>
      </c>
      <c r="X423" s="8">
        <f>IFERROR(W423/W445, "NA")</f>
        <v>0</v>
      </c>
      <c r="Y423" s="9"/>
      <c r="Z423" s="7">
        <v>0</v>
      </c>
      <c r="AA423" s="8">
        <f>IFERROR(Z423/Z445, "NA")</f>
        <v>0</v>
      </c>
      <c r="AB423" s="9"/>
      <c r="AC423" s="10">
        <f t="shared" si="103"/>
        <v>0</v>
      </c>
      <c r="AD423" s="8">
        <f>IFERROR(AC423/AC445,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IFERROR(B424/B445, "NA")</f>
        <v>0</v>
      </c>
      <c r="D424" s="9"/>
      <c r="E424" s="7">
        <v>0</v>
      </c>
      <c r="F424" s="8">
        <f>IFERROR(E424/E445, "NA")</f>
        <v>0</v>
      </c>
      <c r="G424" s="9"/>
      <c r="H424" s="10">
        <f t="shared" si="100"/>
        <v>0</v>
      </c>
      <c r="I424" s="8">
        <f>IFERROR(H424/H445, "NA")</f>
        <v>0</v>
      </c>
      <c r="J424" s="9"/>
      <c r="K424" s="7">
        <v>0</v>
      </c>
      <c r="L424" s="8">
        <f>IFERROR(K424/K445, "NA")</f>
        <v>0</v>
      </c>
      <c r="M424" s="9"/>
      <c r="N424" s="10">
        <f t="shared" si="101"/>
        <v>0</v>
      </c>
      <c r="O424" s="8">
        <f>IFERROR(N424/N445, "NA")</f>
        <v>0</v>
      </c>
      <c r="P424" s="9"/>
      <c r="Q424" s="7">
        <v>0</v>
      </c>
      <c r="R424" s="8">
        <f>IFERROR(Q424/Q445, "NA")</f>
        <v>0</v>
      </c>
      <c r="S424" s="9"/>
      <c r="T424" s="7">
        <v>0</v>
      </c>
      <c r="U424" s="8">
        <f>IFERROR(T424/T445, "NA")</f>
        <v>0</v>
      </c>
      <c r="V424" s="9"/>
      <c r="W424" s="10">
        <f t="shared" si="102"/>
        <v>0</v>
      </c>
      <c r="X424" s="8">
        <f>IFERROR(W424/W445, "NA")</f>
        <v>0</v>
      </c>
      <c r="Y424" s="9"/>
      <c r="Z424" s="7">
        <v>0</v>
      </c>
      <c r="AA424" s="8">
        <f>IFERROR(Z424/Z445, "NA")</f>
        <v>0</v>
      </c>
      <c r="AB424" s="9"/>
      <c r="AC424" s="10">
        <f t="shared" si="103"/>
        <v>0</v>
      </c>
      <c r="AD424" s="8">
        <f>IFERROR(AC424/AC445,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IFERROR(B425/B445, "NA")</f>
        <v>0</v>
      </c>
      <c r="D425" s="9"/>
      <c r="E425" s="7">
        <v>0</v>
      </c>
      <c r="F425" s="8">
        <f>IFERROR(E425/E445, "NA")</f>
        <v>0</v>
      </c>
      <c r="G425" s="9"/>
      <c r="H425" s="10">
        <f t="shared" si="100"/>
        <v>0</v>
      </c>
      <c r="I425" s="8">
        <f>IFERROR(H425/H445, "NA")</f>
        <v>0</v>
      </c>
      <c r="J425" s="9"/>
      <c r="K425" s="7">
        <v>0</v>
      </c>
      <c r="L425" s="8">
        <f>IFERROR(K425/K445, "NA")</f>
        <v>0</v>
      </c>
      <c r="M425" s="9"/>
      <c r="N425" s="10">
        <f t="shared" si="101"/>
        <v>0</v>
      </c>
      <c r="O425" s="8">
        <f>IFERROR(N425/N445, "NA")</f>
        <v>0</v>
      </c>
      <c r="P425" s="9"/>
      <c r="Q425" s="7">
        <v>0</v>
      </c>
      <c r="R425" s="8">
        <f>IFERROR(Q425/Q445, "NA")</f>
        <v>0</v>
      </c>
      <c r="S425" s="9"/>
      <c r="T425" s="7">
        <v>0</v>
      </c>
      <c r="U425" s="8">
        <f>IFERROR(T425/T445, "NA")</f>
        <v>0</v>
      </c>
      <c r="V425" s="9"/>
      <c r="W425" s="10">
        <f t="shared" si="102"/>
        <v>0</v>
      </c>
      <c r="X425" s="8">
        <f>IFERROR(W425/W445, "NA")</f>
        <v>0</v>
      </c>
      <c r="Y425" s="9"/>
      <c r="Z425" s="7">
        <v>0</v>
      </c>
      <c r="AA425" s="8">
        <f>IFERROR(Z425/Z445, "NA")</f>
        <v>0</v>
      </c>
      <c r="AB425" s="9"/>
      <c r="AC425" s="10">
        <f t="shared" si="103"/>
        <v>0</v>
      </c>
      <c r="AD425" s="8">
        <f>IFERROR(AC425/AC445,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IFERROR(B426/B445, "NA")</f>
        <v>0</v>
      </c>
      <c r="D426" s="9"/>
      <c r="E426" s="7">
        <v>0</v>
      </c>
      <c r="F426" s="8">
        <f>IFERROR(E426/E445, "NA")</f>
        <v>0</v>
      </c>
      <c r="G426" s="9"/>
      <c r="H426" s="10">
        <f t="shared" si="100"/>
        <v>0</v>
      </c>
      <c r="I426" s="8">
        <f>IFERROR(H426/H445, "NA")</f>
        <v>0</v>
      </c>
      <c r="J426" s="9"/>
      <c r="K426" s="7">
        <v>0</v>
      </c>
      <c r="L426" s="8">
        <f>IFERROR(K426/K445, "NA")</f>
        <v>0</v>
      </c>
      <c r="M426" s="9"/>
      <c r="N426" s="10">
        <f t="shared" si="101"/>
        <v>0</v>
      </c>
      <c r="O426" s="8">
        <f>IFERROR(N426/N445, "NA")</f>
        <v>0</v>
      </c>
      <c r="P426" s="9"/>
      <c r="Q426" s="7">
        <v>0</v>
      </c>
      <c r="R426" s="8">
        <f>IFERROR(Q426/Q445, "NA")</f>
        <v>0</v>
      </c>
      <c r="S426" s="9"/>
      <c r="T426" s="7">
        <v>0</v>
      </c>
      <c r="U426" s="8">
        <f>IFERROR(T426/T445, "NA")</f>
        <v>0</v>
      </c>
      <c r="V426" s="9"/>
      <c r="W426" s="10">
        <f t="shared" si="102"/>
        <v>0</v>
      </c>
      <c r="X426" s="8">
        <f>IFERROR(W426/W445, "NA")</f>
        <v>0</v>
      </c>
      <c r="Y426" s="9"/>
      <c r="Z426" s="7">
        <v>0</v>
      </c>
      <c r="AA426" s="8">
        <f>IFERROR(Z426/Z445, "NA")</f>
        <v>0</v>
      </c>
      <c r="AB426" s="9"/>
      <c r="AC426" s="10">
        <f t="shared" si="103"/>
        <v>0</v>
      </c>
      <c r="AD426" s="8">
        <f>IFERROR(AC426/AC445,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IFERROR(B427/B445, "NA")</f>
        <v>0</v>
      </c>
      <c r="D427" s="9"/>
      <c r="E427" s="7">
        <v>0</v>
      </c>
      <c r="F427" s="8">
        <f>IFERROR(E427/E445, "NA")</f>
        <v>0</v>
      </c>
      <c r="G427" s="9"/>
      <c r="H427" s="10">
        <f t="shared" si="100"/>
        <v>0</v>
      </c>
      <c r="I427" s="8">
        <f>IFERROR(H427/H445, "NA")</f>
        <v>0</v>
      </c>
      <c r="J427" s="9"/>
      <c r="K427" s="7">
        <v>0</v>
      </c>
      <c r="L427" s="8">
        <f>IFERROR(K427/K445, "NA")</f>
        <v>0</v>
      </c>
      <c r="M427" s="9"/>
      <c r="N427" s="10">
        <f t="shared" si="101"/>
        <v>0</v>
      </c>
      <c r="O427" s="8">
        <f>IFERROR(N427/N445, "NA")</f>
        <v>0</v>
      </c>
      <c r="P427" s="9"/>
      <c r="Q427" s="7">
        <v>0</v>
      </c>
      <c r="R427" s="8">
        <f>IFERROR(Q427/Q445, "NA")</f>
        <v>0</v>
      </c>
      <c r="S427" s="9"/>
      <c r="T427" s="7">
        <v>0</v>
      </c>
      <c r="U427" s="8">
        <f>IFERROR(T427/T445, "NA")</f>
        <v>0</v>
      </c>
      <c r="V427" s="9"/>
      <c r="W427" s="10">
        <f t="shared" si="102"/>
        <v>0</v>
      </c>
      <c r="X427" s="8">
        <f>IFERROR(W427/W445, "NA")</f>
        <v>0</v>
      </c>
      <c r="Y427" s="9"/>
      <c r="Z427" s="7">
        <v>0</v>
      </c>
      <c r="AA427" s="8">
        <f>IFERROR(Z427/Z445, "NA")</f>
        <v>0</v>
      </c>
      <c r="AB427" s="9"/>
      <c r="AC427" s="10">
        <f t="shared" si="103"/>
        <v>0</v>
      </c>
      <c r="AD427" s="8">
        <f>IFERROR(AC427/AC445, "NA")</f>
        <v>0</v>
      </c>
    </row>
    <row r="428" spans="1:30" ht="16.5" hidden="1" customHeight="1" x14ac:dyDescent="0.45">
      <c r="A428" s="6" t="s">
        <v>393</v>
      </c>
      <c r="B428" s="7">
        <v>0</v>
      </c>
      <c r="C428" s="8">
        <f>IFERROR(B428/B445, "NA")</f>
        <v>0</v>
      </c>
      <c r="D428" s="9"/>
      <c r="E428" s="7">
        <v>0</v>
      </c>
      <c r="F428" s="8">
        <f>IFERROR(E428/E445, "NA")</f>
        <v>0</v>
      </c>
      <c r="G428" s="9"/>
      <c r="H428" s="10">
        <f t="shared" si="100"/>
        <v>0</v>
      </c>
      <c r="I428" s="8">
        <f>IFERROR(H428/H445, "NA")</f>
        <v>0</v>
      </c>
      <c r="J428" s="9"/>
      <c r="K428" s="7">
        <v>0</v>
      </c>
      <c r="L428" s="8">
        <f>IFERROR(K428/K445, "NA")</f>
        <v>0</v>
      </c>
      <c r="M428" s="9"/>
      <c r="N428" s="10">
        <f t="shared" si="101"/>
        <v>0</v>
      </c>
      <c r="O428" s="8">
        <f>IFERROR(N428/N445, "NA")</f>
        <v>0</v>
      </c>
      <c r="P428" s="9"/>
      <c r="Q428" s="7">
        <v>0</v>
      </c>
      <c r="R428" s="8">
        <f>IFERROR(Q428/Q445, "NA")</f>
        <v>0</v>
      </c>
      <c r="S428" s="9"/>
      <c r="T428" s="7">
        <v>0</v>
      </c>
      <c r="U428" s="8">
        <f>IFERROR(T428/T445, "NA")</f>
        <v>0</v>
      </c>
      <c r="V428" s="9"/>
      <c r="W428" s="10">
        <f t="shared" si="102"/>
        <v>0</v>
      </c>
      <c r="X428" s="8">
        <f>IFERROR(W428/W445, "NA")</f>
        <v>0</v>
      </c>
      <c r="Y428" s="9"/>
      <c r="Z428" s="7">
        <v>0</v>
      </c>
      <c r="AA428" s="8">
        <f>IFERROR(Z428/Z445, "NA")</f>
        <v>0</v>
      </c>
      <c r="AB428" s="9"/>
      <c r="AC428" s="10">
        <f t="shared" si="103"/>
        <v>0</v>
      </c>
      <c r="AD428" s="8">
        <f>IFERROR(AC428/AC445, "NA")</f>
        <v>0</v>
      </c>
    </row>
    <row r="429" spans="1:30" ht="16.5" customHeight="1" x14ac:dyDescent="0.45">
      <c r="A429" s="19" t="s">
        <v>394</v>
      </c>
      <c r="B429" s="14">
        <f>IFERROR(B408+B409+B410+B411+B412+B413+B414+B415+B416+B417+B418+B419+B420+B421+B422+B423+B424+B425+B426+B427+B428, "NA")</f>
        <v>4522.0199999999995</v>
      </c>
      <c r="C429" s="15">
        <f>IFERROR(B429/B445, "NA")</f>
        <v>2.8228815700295947E-2</v>
      </c>
      <c r="D429" s="2"/>
      <c r="E429" s="14">
        <f>IFERROR(E408+E409+E410+E411+E412+E413+E414+E415+E416+E417+E418+E419+E420+E421+E422+E423+E424+E425+E426+E427+E428, "NA")</f>
        <v>3922.68</v>
      </c>
      <c r="F429" s="15">
        <f>IFERROR(E429/E445, "NA")</f>
        <v>2.0368687216954444E-2</v>
      </c>
      <c r="G429" s="2"/>
      <c r="H429" s="14">
        <f t="shared" si="100"/>
        <v>-599.33999999999969</v>
      </c>
      <c r="I429" s="15">
        <f>IFERROR(H429/H445, "NA")</f>
        <v>1.850259676632128E-2</v>
      </c>
      <c r="J429" s="2"/>
      <c r="K429" s="14">
        <f>IFERROR(K408+K409+K410+K411+K412+K413+K414+K415+K416+K417+K418+K419+K420+K421+K422+K423+K424+K425+K426+K427+K428, "NA")</f>
        <v>3597.14</v>
      </c>
      <c r="L429" s="15">
        <f>IFERROR(K429/K445, "NA")</f>
        <v>2.0368692392167626E-2</v>
      </c>
      <c r="M429" s="2"/>
      <c r="N429" s="14">
        <f t="shared" si="101"/>
        <v>-924.87999999999965</v>
      </c>
      <c r="O429" s="15">
        <f>IFERROR(N429/N445, "NA")</f>
        <v>5.6361476898851189E-2</v>
      </c>
      <c r="P429" s="2"/>
      <c r="Q429" s="14">
        <f>IFERROR(Q408+Q409+Q410+Q411+Q412+Q413+Q414+Q415+Q416+Q417+Q418+Q419+Q420+Q421+Q422+Q423+Q424+Q425+Q426+Q427+Q428, "NA")</f>
        <v>21125.37</v>
      </c>
      <c r="R429" s="15">
        <f>IFERROR(Q429/Q445, "NA")</f>
        <v>2.2790322478331931E-2</v>
      </c>
      <c r="S429" s="2"/>
      <c r="T429" s="14">
        <f>IFERROR(T408+T409+T410+T411+T412+T413+T414+T415+T416+T417+T418+T419+T420+T421+T422+T423+T424+T425+T426+T427+T428, "NA")</f>
        <v>17373.169999999998</v>
      </c>
      <c r="U429" s="15">
        <f>IFERROR(T429/T445, "NA")</f>
        <v>1.8099026008357368E-2</v>
      </c>
      <c r="V429" s="2"/>
      <c r="W429" s="14">
        <f t="shared" si="102"/>
        <v>-3752.2000000000007</v>
      </c>
      <c r="X429" s="15">
        <f>IFERROR(W429/W445, "NA")</f>
        <v>0.11387370282854231</v>
      </c>
      <c r="Y429" s="2"/>
      <c r="Z429" s="14">
        <f>IFERROR(Z408+Z409+Z410+Z411+Z412+Z413+Z414+Z415+Z416+Z417+Z418+Z419+Z420+Z421+Z422+Z423+Z424+Z425+Z426+Z427+Z428, "NA")</f>
        <v>16186.94</v>
      </c>
      <c r="AA429" s="15">
        <f>IFERROR(Z429/Z445, "NA")</f>
        <v>1.8143532361010354E-2</v>
      </c>
      <c r="AB429" s="2"/>
      <c r="AC429" s="14">
        <f t="shared" si="103"/>
        <v>-4938.4299999999985</v>
      </c>
      <c r="AD429" s="15">
        <f>IFERROR(AC429/AC445, "NA")</f>
        <v>-0.14197246928366183</v>
      </c>
    </row>
    <row r="430" spans="1:30" ht="16.5" customHeight="1" x14ac:dyDescent="0.45">
      <c r="A430" s="21" t="s">
        <v>395</v>
      </c>
      <c r="B430" s="14">
        <f>IFERROR(B408+B409+B410+B411+B412+B413+B414+B415+B416+B417+B418+B419+B420+B421+B422+B423+B424+B425+B426+B427+B428, "NA")</f>
        <v>4522.0199999999995</v>
      </c>
      <c r="C430" s="15">
        <f>IFERROR(B430/B445, "NA")</f>
        <v>2.8228815700295947E-2</v>
      </c>
      <c r="D430" s="2"/>
      <c r="E430" s="14">
        <f>IFERROR(E408+E409+E410+E411+E412+E413+E414+E415+E416+E417+E418+E419+E420+E421+E422+E423+E424+E425+E426+E427+E428, "NA")</f>
        <v>3922.68</v>
      </c>
      <c r="F430" s="15">
        <f>IFERROR(E430/E445, "NA")</f>
        <v>2.0368687216954444E-2</v>
      </c>
      <c r="G430" s="2"/>
      <c r="H430" s="14">
        <f t="shared" si="100"/>
        <v>-599.33999999999969</v>
      </c>
      <c r="I430" s="15">
        <f>IFERROR(H430/H445, "NA")</f>
        <v>1.850259676632128E-2</v>
      </c>
      <c r="J430" s="2"/>
      <c r="K430" s="14">
        <f>IFERROR(K408+K409+K410+K411+K412+K413+K414+K415+K416+K417+K418+K419+K420+K421+K422+K423+K424+K425+K426+K427+K428, "NA")</f>
        <v>3597.14</v>
      </c>
      <c r="L430" s="15">
        <f>IFERROR(K430/K445, "NA")</f>
        <v>2.0368692392167626E-2</v>
      </c>
      <c r="M430" s="2"/>
      <c r="N430" s="14">
        <f t="shared" si="101"/>
        <v>-924.87999999999965</v>
      </c>
      <c r="O430" s="15">
        <f>IFERROR(N430/N445, "NA")</f>
        <v>5.6361476898851189E-2</v>
      </c>
      <c r="P430" s="2"/>
      <c r="Q430" s="14">
        <f>IFERROR(Q408+Q409+Q410+Q411+Q412+Q413+Q414+Q415+Q416+Q417+Q418+Q419+Q420+Q421+Q422+Q423+Q424+Q425+Q426+Q427+Q428, "NA")</f>
        <v>21125.37</v>
      </c>
      <c r="R430" s="15">
        <f>IFERROR(Q430/Q445, "NA")</f>
        <v>2.2790322478331931E-2</v>
      </c>
      <c r="S430" s="2"/>
      <c r="T430" s="14">
        <f>IFERROR(T408+T409+T410+T411+T412+T413+T414+T415+T416+T417+T418+T419+T420+T421+T422+T423+T424+T425+T426+T427+T428, "NA")</f>
        <v>17373.169999999998</v>
      </c>
      <c r="U430" s="15">
        <f>IFERROR(T430/T445, "NA")</f>
        <v>1.8099026008357368E-2</v>
      </c>
      <c r="V430" s="2"/>
      <c r="W430" s="14">
        <f t="shared" si="102"/>
        <v>-3752.2000000000007</v>
      </c>
      <c r="X430" s="15">
        <f>IFERROR(W430/W445, "NA")</f>
        <v>0.11387370282854231</v>
      </c>
      <c r="Y430" s="2"/>
      <c r="Z430" s="14">
        <f>IFERROR(Z408+Z409+Z410+Z411+Z412+Z413+Z414+Z415+Z416+Z417+Z418+Z419+Z420+Z421+Z422+Z423+Z424+Z425+Z426+Z427+Z428, "NA")</f>
        <v>16186.94</v>
      </c>
      <c r="AA430" s="15">
        <f>IFERROR(Z430/Z445, "NA")</f>
        <v>1.8143532361010354E-2</v>
      </c>
      <c r="AB430" s="2"/>
      <c r="AC430" s="14">
        <f t="shared" si="103"/>
        <v>-4938.4299999999985</v>
      </c>
      <c r="AD430" s="15">
        <f>IFERROR(AC430/AC445, "NA")</f>
        <v>-0.14197246928366183</v>
      </c>
    </row>
    <row r="431" spans="1:30" ht="16.5" customHeight="1" x14ac:dyDescent="0.45">
      <c r="A431" s="1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customHeight="1" x14ac:dyDescent="0.45">
      <c r="A432" s="5" t="s">
        <v>397</v>
      </c>
      <c r="B432" s="2"/>
      <c r="C432" s="3"/>
      <c r="D432" s="4"/>
      <c r="E432" s="2"/>
      <c r="F432" s="3"/>
      <c r="G432" s="4"/>
      <c r="H432" s="2"/>
      <c r="I432" s="3"/>
      <c r="J432" s="4"/>
      <c r="K432" s="2"/>
      <c r="L432" s="3"/>
      <c r="M432" s="4"/>
      <c r="N432" s="2"/>
      <c r="O432" s="3"/>
      <c r="P432" s="4"/>
      <c r="Q432" s="2"/>
      <c r="R432" s="3"/>
      <c r="S432" s="4"/>
      <c r="T432" s="2"/>
      <c r="U432" s="3"/>
      <c r="V432" s="4"/>
      <c r="W432" s="2"/>
      <c r="X432" s="3"/>
      <c r="Y432" s="4"/>
      <c r="Z432" s="2"/>
      <c r="AA432" s="3"/>
      <c r="AB432" s="4"/>
      <c r="AC432" s="2"/>
      <c r="AD432" s="3"/>
    </row>
    <row r="433" spans="1:30" ht="16.5" hidden="1" customHeight="1" x14ac:dyDescent="0.45">
      <c r="A433" s="6" t="s">
        <v>397</v>
      </c>
      <c r="B433" s="7">
        <v>0</v>
      </c>
      <c r="C433" s="8">
        <f>IFERROR(B433/B445, "NA")</f>
        <v>0</v>
      </c>
      <c r="D433" s="9"/>
      <c r="E433" s="7">
        <v>0</v>
      </c>
      <c r="F433" s="8">
        <f>IFERROR(E433/E445, "NA")</f>
        <v>0</v>
      </c>
      <c r="G433" s="9"/>
      <c r="H433" s="10">
        <f t="shared" ref="H433:H443" si="104">IFERROR(-(B433-E433), "NA")</f>
        <v>0</v>
      </c>
      <c r="I433" s="8">
        <f>IFERROR(H433/H445, "NA")</f>
        <v>0</v>
      </c>
      <c r="J433" s="9"/>
      <c r="K433" s="7">
        <v>0</v>
      </c>
      <c r="L433" s="8">
        <f>IFERROR(K433/K445, "NA")</f>
        <v>0</v>
      </c>
      <c r="M433" s="9"/>
      <c r="N433" s="10">
        <f t="shared" ref="N433:N443" si="105">IFERROR(-(B433-K433), "NA")</f>
        <v>0</v>
      </c>
      <c r="O433" s="8">
        <f>IFERROR(N433/N445, "NA")</f>
        <v>0</v>
      </c>
      <c r="P433" s="9"/>
      <c r="Q433" s="7">
        <v>0</v>
      </c>
      <c r="R433" s="8">
        <f>IFERROR(Q433/Q445, "NA")</f>
        <v>0</v>
      </c>
      <c r="S433" s="9"/>
      <c r="T433" s="7">
        <v>0</v>
      </c>
      <c r="U433" s="8">
        <f>IFERROR(T433/T445, "NA")</f>
        <v>0</v>
      </c>
      <c r="V433" s="9"/>
      <c r="W433" s="10">
        <f t="shared" ref="W433:W443" si="106">IFERROR(-(Q433-T433), "NA")</f>
        <v>0</v>
      </c>
      <c r="X433" s="8">
        <f>IFERROR(W433/W445, "NA")</f>
        <v>0</v>
      </c>
      <c r="Y433" s="9"/>
      <c r="Z433" s="7">
        <v>0</v>
      </c>
      <c r="AA433" s="8">
        <f>IFERROR(Z433/Z445, "NA")</f>
        <v>0</v>
      </c>
      <c r="AB433" s="9"/>
      <c r="AC433" s="10">
        <f t="shared" ref="AC433:AC443" si="107">IFERROR(-(Q433-Z433), "NA")</f>
        <v>0</v>
      </c>
      <c r="AD433" s="8">
        <f>IFERROR(AC433/AC445,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IFERROR(B434/B445, "NA")</f>
        <v>0</v>
      </c>
      <c r="D434" s="9"/>
      <c r="E434" s="7">
        <v>0</v>
      </c>
      <c r="F434" s="8">
        <f>IFERROR(E434/E445, "NA")</f>
        <v>0</v>
      </c>
      <c r="G434" s="9"/>
      <c r="H434" s="10">
        <f t="shared" si="104"/>
        <v>0</v>
      </c>
      <c r="I434" s="8">
        <f>IFERROR(H434/H445, "NA")</f>
        <v>0</v>
      </c>
      <c r="J434" s="9"/>
      <c r="K434" s="7">
        <v>0</v>
      </c>
      <c r="L434" s="8">
        <f>IFERROR(K434/K445, "NA")</f>
        <v>0</v>
      </c>
      <c r="M434" s="9"/>
      <c r="N434" s="10">
        <f t="shared" si="105"/>
        <v>0</v>
      </c>
      <c r="O434" s="8">
        <f>IFERROR(N434/N445, "NA")</f>
        <v>0</v>
      </c>
      <c r="P434" s="9"/>
      <c r="Q434" s="7">
        <v>0</v>
      </c>
      <c r="R434" s="8">
        <f>IFERROR(Q434/Q445, "NA")</f>
        <v>0</v>
      </c>
      <c r="S434" s="9"/>
      <c r="T434" s="7">
        <v>0</v>
      </c>
      <c r="U434" s="8">
        <f>IFERROR(T434/T445, "NA")</f>
        <v>0</v>
      </c>
      <c r="V434" s="9"/>
      <c r="W434" s="10">
        <f t="shared" si="106"/>
        <v>0</v>
      </c>
      <c r="X434" s="8">
        <f>IFERROR(W434/W445, "NA")</f>
        <v>0</v>
      </c>
      <c r="Y434" s="9"/>
      <c r="Z434" s="7">
        <v>0</v>
      </c>
      <c r="AA434" s="8">
        <f>IFERROR(Z434/Z445, "NA")</f>
        <v>0</v>
      </c>
      <c r="AB434" s="9"/>
      <c r="AC434" s="10">
        <f t="shared" si="107"/>
        <v>0</v>
      </c>
      <c r="AD434" s="8">
        <f>IFERROR(AC434/AC445,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IFERROR(B435/B445, "NA")</f>
        <v>0</v>
      </c>
      <c r="D435" s="9"/>
      <c r="E435" s="7">
        <v>0</v>
      </c>
      <c r="F435" s="8">
        <f>IFERROR(E435/E445, "NA")</f>
        <v>0</v>
      </c>
      <c r="G435" s="9"/>
      <c r="H435" s="10">
        <f t="shared" si="104"/>
        <v>0</v>
      </c>
      <c r="I435" s="8">
        <f>IFERROR(H435/H445, "NA")</f>
        <v>0</v>
      </c>
      <c r="J435" s="9"/>
      <c r="K435" s="7">
        <v>0</v>
      </c>
      <c r="L435" s="8">
        <f>IFERROR(K435/K445, "NA")</f>
        <v>0</v>
      </c>
      <c r="M435" s="9"/>
      <c r="N435" s="10">
        <f t="shared" si="105"/>
        <v>0</v>
      </c>
      <c r="O435" s="8">
        <f>IFERROR(N435/N445, "NA")</f>
        <v>0</v>
      </c>
      <c r="P435" s="9"/>
      <c r="Q435" s="7">
        <v>0</v>
      </c>
      <c r="R435" s="8">
        <f>IFERROR(Q435/Q445, "NA")</f>
        <v>0</v>
      </c>
      <c r="S435" s="9"/>
      <c r="T435" s="7">
        <v>0</v>
      </c>
      <c r="U435" s="8">
        <f>IFERROR(T435/T445, "NA")</f>
        <v>0</v>
      </c>
      <c r="V435" s="9"/>
      <c r="W435" s="10">
        <f t="shared" si="106"/>
        <v>0</v>
      </c>
      <c r="X435" s="8">
        <f>IFERROR(W435/W445, "NA")</f>
        <v>0</v>
      </c>
      <c r="Y435" s="9"/>
      <c r="Z435" s="7">
        <v>0</v>
      </c>
      <c r="AA435" s="8">
        <f>IFERROR(Z435/Z445, "NA")</f>
        <v>0</v>
      </c>
      <c r="AB435" s="9"/>
      <c r="AC435" s="10">
        <f t="shared" si="107"/>
        <v>0</v>
      </c>
      <c r="AD435" s="8">
        <f>IFERROR(AC435/AC445,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IFERROR(B436/B445, "NA")</f>
        <v>0</v>
      </c>
      <c r="D436" s="9"/>
      <c r="E436" s="7">
        <v>0</v>
      </c>
      <c r="F436" s="8">
        <f>IFERROR(E436/E445, "NA")</f>
        <v>0</v>
      </c>
      <c r="G436" s="9"/>
      <c r="H436" s="10">
        <f t="shared" si="104"/>
        <v>0</v>
      </c>
      <c r="I436" s="8">
        <f>IFERROR(H436/H445, "NA")</f>
        <v>0</v>
      </c>
      <c r="J436" s="9"/>
      <c r="K436" s="7">
        <v>0</v>
      </c>
      <c r="L436" s="8">
        <f>IFERROR(K436/K445, "NA")</f>
        <v>0</v>
      </c>
      <c r="M436" s="9"/>
      <c r="N436" s="10">
        <f t="shared" si="105"/>
        <v>0</v>
      </c>
      <c r="O436" s="8">
        <f>IFERROR(N436/N445, "NA")</f>
        <v>0</v>
      </c>
      <c r="P436" s="9"/>
      <c r="Q436" s="7">
        <v>0</v>
      </c>
      <c r="R436" s="8">
        <f>IFERROR(Q436/Q445, "NA")</f>
        <v>0</v>
      </c>
      <c r="S436" s="9"/>
      <c r="T436" s="7">
        <v>0</v>
      </c>
      <c r="U436" s="8">
        <f>IFERROR(T436/T445, "NA")</f>
        <v>0</v>
      </c>
      <c r="V436" s="9"/>
      <c r="W436" s="10">
        <f t="shared" si="106"/>
        <v>0</v>
      </c>
      <c r="X436" s="8">
        <f>IFERROR(W436/W445, "NA")</f>
        <v>0</v>
      </c>
      <c r="Y436" s="9"/>
      <c r="Z436" s="7">
        <v>0</v>
      </c>
      <c r="AA436" s="8">
        <f>IFERROR(Z436/Z445, "NA")</f>
        <v>0</v>
      </c>
      <c r="AB436" s="9"/>
      <c r="AC436" s="10">
        <f t="shared" si="107"/>
        <v>0</v>
      </c>
      <c r="AD436" s="8">
        <f>IFERROR(AC436/AC445,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IFERROR(B437/B445, "NA")</f>
        <v>0</v>
      </c>
      <c r="D437" s="9"/>
      <c r="E437" s="7">
        <v>0</v>
      </c>
      <c r="F437" s="8">
        <f>IFERROR(E437/E445, "NA")</f>
        <v>0</v>
      </c>
      <c r="G437" s="9"/>
      <c r="H437" s="10">
        <f t="shared" si="104"/>
        <v>0</v>
      </c>
      <c r="I437" s="8">
        <f>IFERROR(H437/H445, "NA")</f>
        <v>0</v>
      </c>
      <c r="J437" s="9"/>
      <c r="K437" s="7">
        <v>0</v>
      </c>
      <c r="L437" s="8">
        <f>IFERROR(K437/K445, "NA")</f>
        <v>0</v>
      </c>
      <c r="M437" s="9"/>
      <c r="N437" s="10">
        <f t="shared" si="105"/>
        <v>0</v>
      </c>
      <c r="O437" s="8">
        <f>IFERROR(N437/N445, "NA")</f>
        <v>0</v>
      </c>
      <c r="P437" s="9"/>
      <c r="Q437" s="7">
        <v>0</v>
      </c>
      <c r="R437" s="8">
        <f>IFERROR(Q437/Q445, "NA")</f>
        <v>0</v>
      </c>
      <c r="S437" s="9"/>
      <c r="T437" s="7">
        <v>0</v>
      </c>
      <c r="U437" s="8">
        <f>IFERROR(T437/T445, "NA")</f>
        <v>0</v>
      </c>
      <c r="V437" s="9"/>
      <c r="W437" s="10">
        <f t="shared" si="106"/>
        <v>0</v>
      </c>
      <c r="X437" s="8">
        <f>IFERROR(W437/W445, "NA")</f>
        <v>0</v>
      </c>
      <c r="Y437" s="9"/>
      <c r="Z437" s="7">
        <v>0</v>
      </c>
      <c r="AA437" s="8">
        <f>IFERROR(Z437/Z445, "NA")</f>
        <v>0</v>
      </c>
      <c r="AB437" s="9"/>
      <c r="AC437" s="10">
        <f t="shared" si="107"/>
        <v>0</v>
      </c>
      <c r="AD437" s="8">
        <f>IFERROR(AC437/AC445, "NA")</f>
        <v>0</v>
      </c>
    </row>
    <row r="438" spans="1:30" ht="16.5" hidden="1" customHeight="1" x14ac:dyDescent="0.45">
      <c r="A438" s="6" t="s">
        <v>402</v>
      </c>
      <c r="B438" s="7">
        <v>0</v>
      </c>
      <c r="C438" s="8">
        <f>IFERROR(B438/B445, "NA")</f>
        <v>0</v>
      </c>
      <c r="D438" s="9"/>
      <c r="E438" s="7">
        <v>0</v>
      </c>
      <c r="F438" s="8">
        <f>IFERROR(E438/E445, "NA")</f>
        <v>0</v>
      </c>
      <c r="G438" s="9"/>
      <c r="H438" s="10">
        <f t="shared" si="104"/>
        <v>0</v>
      </c>
      <c r="I438" s="8">
        <f>IFERROR(H438/H445, "NA")</f>
        <v>0</v>
      </c>
      <c r="J438" s="9"/>
      <c r="K438" s="7">
        <v>0</v>
      </c>
      <c r="L438" s="8">
        <f>IFERROR(K438/K445, "NA")</f>
        <v>0</v>
      </c>
      <c r="M438" s="9"/>
      <c r="N438" s="10">
        <f t="shared" si="105"/>
        <v>0</v>
      </c>
      <c r="O438" s="8">
        <f>IFERROR(N438/N445, "NA")</f>
        <v>0</v>
      </c>
      <c r="P438" s="9"/>
      <c r="Q438" s="7">
        <v>0</v>
      </c>
      <c r="R438" s="8">
        <f>IFERROR(Q438/Q445, "NA")</f>
        <v>0</v>
      </c>
      <c r="S438" s="9"/>
      <c r="T438" s="7">
        <v>0</v>
      </c>
      <c r="U438" s="8">
        <f>IFERROR(T438/T445, "NA")</f>
        <v>0</v>
      </c>
      <c r="V438" s="9"/>
      <c r="W438" s="10">
        <f t="shared" si="106"/>
        <v>0</v>
      </c>
      <c r="X438" s="8">
        <f>IFERROR(W438/W445, "NA")</f>
        <v>0</v>
      </c>
      <c r="Y438" s="9"/>
      <c r="Z438" s="7">
        <v>0</v>
      </c>
      <c r="AA438" s="8">
        <f>IFERROR(Z438/Z445, "NA")</f>
        <v>0</v>
      </c>
      <c r="AB438" s="9"/>
      <c r="AC438" s="10">
        <f t="shared" si="107"/>
        <v>0</v>
      </c>
      <c r="AD438" s="8">
        <f>IFERROR(AC438/AC445, "NA")</f>
        <v>0</v>
      </c>
    </row>
    <row r="439" spans="1:30" ht="30.75" hidden="1" customHeight="1" x14ac:dyDescent="0.45">
      <c r="A439" s="6" t="s">
        <v>403</v>
      </c>
      <c r="B439" s="7">
        <v>0</v>
      </c>
      <c r="C439" s="8">
        <f>IFERROR(B439/B445, "NA")</f>
        <v>0</v>
      </c>
      <c r="D439" s="9"/>
      <c r="E439" s="7">
        <v>0</v>
      </c>
      <c r="F439" s="8">
        <f>IFERROR(E439/E445, "NA")</f>
        <v>0</v>
      </c>
      <c r="G439" s="9"/>
      <c r="H439" s="10">
        <f t="shared" si="104"/>
        <v>0</v>
      </c>
      <c r="I439" s="8">
        <f>IFERROR(H439/H445, "NA")</f>
        <v>0</v>
      </c>
      <c r="J439" s="9"/>
      <c r="K439" s="7">
        <v>0</v>
      </c>
      <c r="L439" s="8">
        <f>IFERROR(K439/K445, "NA")</f>
        <v>0</v>
      </c>
      <c r="M439" s="9"/>
      <c r="N439" s="10">
        <f t="shared" si="105"/>
        <v>0</v>
      </c>
      <c r="O439" s="8">
        <f>IFERROR(N439/N445, "NA")</f>
        <v>0</v>
      </c>
      <c r="P439" s="9"/>
      <c r="Q439" s="7">
        <v>0</v>
      </c>
      <c r="R439" s="8">
        <f>IFERROR(Q439/Q445, "NA")</f>
        <v>0</v>
      </c>
      <c r="S439" s="9"/>
      <c r="T439" s="7">
        <v>0</v>
      </c>
      <c r="U439" s="8">
        <f>IFERROR(T439/T445, "NA")</f>
        <v>0</v>
      </c>
      <c r="V439" s="9"/>
      <c r="W439" s="10">
        <f t="shared" si="106"/>
        <v>0</v>
      </c>
      <c r="X439" s="8">
        <f>IFERROR(W439/W445, "NA")</f>
        <v>0</v>
      </c>
      <c r="Y439" s="9"/>
      <c r="Z439" s="7">
        <v>0</v>
      </c>
      <c r="AA439" s="8">
        <f>IFERROR(Z439/Z445, "NA")</f>
        <v>0</v>
      </c>
      <c r="AB439" s="9"/>
      <c r="AC439" s="10">
        <f t="shared" si="107"/>
        <v>0</v>
      </c>
      <c r="AD439" s="8">
        <f>IFERROR(AC439/AC445, "NA")</f>
        <v>0</v>
      </c>
    </row>
    <row r="440" spans="1:30" ht="16.5" hidden="1" customHeight="1" x14ac:dyDescent="0.45">
      <c r="A440" s="6" t="s">
        <v>404</v>
      </c>
      <c r="B440" s="7">
        <v>0</v>
      </c>
      <c r="C440" s="8">
        <f>IFERROR(B440/B445, "NA")</f>
        <v>0</v>
      </c>
      <c r="D440" s="9"/>
      <c r="E440" s="7">
        <v>0</v>
      </c>
      <c r="F440" s="8">
        <f>IFERROR(E440/E445, "NA")</f>
        <v>0</v>
      </c>
      <c r="G440" s="9"/>
      <c r="H440" s="10">
        <f t="shared" si="104"/>
        <v>0</v>
      </c>
      <c r="I440" s="8">
        <f>IFERROR(H440/H445, "NA")</f>
        <v>0</v>
      </c>
      <c r="J440" s="9"/>
      <c r="K440" s="7">
        <v>0</v>
      </c>
      <c r="L440" s="8">
        <f>IFERROR(K440/K445, "NA")</f>
        <v>0</v>
      </c>
      <c r="M440" s="9"/>
      <c r="N440" s="10">
        <f t="shared" si="105"/>
        <v>0</v>
      </c>
      <c r="O440" s="8">
        <f>IFERROR(N440/N445, "NA")</f>
        <v>0</v>
      </c>
      <c r="P440" s="9"/>
      <c r="Q440" s="7">
        <v>0</v>
      </c>
      <c r="R440" s="8">
        <f>IFERROR(Q440/Q445, "NA")</f>
        <v>0</v>
      </c>
      <c r="S440" s="9"/>
      <c r="T440" s="7">
        <v>0</v>
      </c>
      <c r="U440" s="8">
        <f>IFERROR(T440/T445, "NA")</f>
        <v>0</v>
      </c>
      <c r="V440" s="9"/>
      <c r="W440" s="10">
        <f t="shared" si="106"/>
        <v>0</v>
      </c>
      <c r="X440" s="8">
        <f>IFERROR(W440/W445, "NA")</f>
        <v>0</v>
      </c>
      <c r="Y440" s="9"/>
      <c r="Z440" s="7">
        <v>0</v>
      </c>
      <c r="AA440" s="8">
        <f>IFERROR(Z440/Z445, "NA")</f>
        <v>0</v>
      </c>
      <c r="AB440" s="9"/>
      <c r="AC440" s="10">
        <f t="shared" si="107"/>
        <v>0</v>
      </c>
      <c r="AD440" s="8">
        <f>IFERROR(AC440/AC445, "NA")</f>
        <v>0</v>
      </c>
    </row>
    <row r="441" spans="1:30" ht="30.75" hidden="1" customHeight="1" x14ac:dyDescent="0.45">
      <c r="A441" s="6" t="s">
        <v>405</v>
      </c>
      <c r="B441" s="7">
        <v>0</v>
      </c>
      <c r="C441" s="8">
        <f>IFERROR(B441/B445, "NA")</f>
        <v>0</v>
      </c>
      <c r="D441" s="9"/>
      <c r="E441" s="7">
        <v>0</v>
      </c>
      <c r="F441" s="8">
        <f>IFERROR(E441/E445, "NA")</f>
        <v>0</v>
      </c>
      <c r="G441" s="9"/>
      <c r="H441" s="10">
        <f t="shared" si="104"/>
        <v>0</v>
      </c>
      <c r="I441" s="8">
        <f>IFERROR(H441/H445, "NA")</f>
        <v>0</v>
      </c>
      <c r="J441" s="9"/>
      <c r="K441" s="7">
        <v>0</v>
      </c>
      <c r="L441" s="8">
        <f>IFERROR(K441/K445, "NA")</f>
        <v>0</v>
      </c>
      <c r="M441" s="9"/>
      <c r="N441" s="10">
        <f t="shared" si="105"/>
        <v>0</v>
      </c>
      <c r="O441" s="8">
        <f>IFERROR(N441/N445, "NA")</f>
        <v>0</v>
      </c>
      <c r="P441" s="9"/>
      <c r="Q441" s="7">
        <v>0</v>
      </c>
      <c r="R441" s="8">
        <f>IFERROR(Q441/Q445, "NA")</f>
        <v>0</v>
      </c>
      <c r="S441" s="9"/>
      <c r="T441" s="7">
        <v>0</v>
      </c>
      <c r="U441" s="8">
        <f>IFERROR(T441/T445, "NA")</f>
        <v>0</v>
      </c>
      <c r="V441" s="9"/>
      <c r="W441" s="10">
        <f t="shared" si="106"/>
        <v>0</v>
      </c>
      <c r="X441" s="8">
        <f>IFERROR(W441/W445, "NA")</f>
        <v>0</v>
      </c>
      <c r="Y441" s="9"/>
      <c r="Z441" s="7">
        <v>0</v>
      </c>
      <c r="AA441" s="8">
        <f>IFERROR(Z441/Z445, "NA")</f>
        <v>0</v>
      </c>
      <c r="AB441" s="9"/>
      <c r="AC441" s="10">
        <f t="shared" si="107"/>
        <v>0</v>
      </c>
      <c r="AD441" s="8">
        <f>IFERROR(AC441/AC445, "NA")</f>
        <v>0</v>
      </c>
    </row>
    <row r="442" spans="1:30" ht="16.5" customHeight="1" x14ac:dyDescent="0.45">
      <c r="A442" s="19" t="s">
        <v>406</v>
      </c>
      <c r="B442" s="14">
        <f>IFERROR(B433+B434+B435+B436+B437+B438+B439+B440+B441, "NA")</f>
        <v>0</v>
      </c>
      <c r="C442" s="15">
        <f>IFERROR(B442/B445, "NA")</f>
        <v>0</v>
      </c>
      <c r="D442" s="2"/>
      <c r="E442" s="14">
        <f>IFERROR(E433+E434+E435+E436+E437+E438+E439+E440+E441, "NA")</f>
        <v>0</v>
      </c>
      <c r="F442" s="15">
        <f>IFERROR(E442/E445, "NA")</f>
        <v>0</v>
      </c>
      <c r="G442" s="2"/>
      <c r="H442" s="14">
        <f t="shared" si="104"/>
        <v>0</v>
      </c>
      <c r="I442" s="15">
        <f>IFERROR(H442/H445, "NA")</f>
        <v>0</v>
      </c>
      <c r="J442" s="2"/>
      <c r="K442" s="14">
        <f>IFERROR(K433+K434+K435+K436+K437+K438+K439+K440+K441, "NA")</f>
        <v>0</v>
      </c>
      <c r="L442" s="15">
        <f>IFERROR(K442/K445, "NA")</f>
        <v>0</v>
      </c>
      <c r="M442" s="2"/>
      <c r="N442" s="14">
        <f t="shared" si="105"/>
        <v>0</v>
      </c>
      <c r="O442" s="15">
        <f>IFERROR(N442/N445, "NA")</f>
        <v>0</v>
      </c>
      <c r="P442" s="2"/>
      <c r="Q442" s="14">
        <f>IFERROR(Q433+Q434+Q435+Q436+Q437+Q438+Q439+Q440+Q441, "NA")</f>
        <v>0</v>
      </c>
      <c r="R442" s="15">
        <f>IFERROR(Q442/Q445, "NA")</f>
        <v>0</v>
      </c>
      <c r="S442" s="2"/>
      <c r="T442" s="14">
        <f>IFERROR(T433+T434+T435+T436+T437+T438+T439+T440+T441, "NA")</f>
        <v>0</v>
      </c>
      <c r="U442" s="15">
        <f>IFERROR(T442/T445, "NA")</f>
        <v>0</v>
      </c>
      <c r="V442" s="2"/>
      <c r="W442" s="14">
        <f t="shared" si="106"/>
        <v>0</v>
      </c>
      <c r="X442" s="15">
        <f>IFERROR(W442/W445, "NA")</f>
        <v>0</v>
      </c>
      <c r="Y442" s="2"/>
      <c r="Z442" s="14">
        <f>IFERROR(Z433+Z434+Z435+Z436+Z437+Z438+Z439+Z440+Z441, "NA")</f>
        <v>0</v>
      </c>
      <c r="AA442" s="15">
        <f>IFERROR(Z442/Z445, "NA")</f>
        <v>0</v>
      </c>
      <c r="AB442" s="2"/>
      <c r="AC442" s="14">
        <f t="shared" si="107"/>
        <v>0</v>
      </c>
      <c r="AD442" s="15">
        <f>IFERROR(AC442/AC445, "NA")</f>
        <v>0</v>
      </c>
    </row>
    <row r="443" spans="1:30" ht="16.5" customHeight="1" x14ac:dyDescent="0.45">
      <c r="A443" s="21" t="s">
        <v>407</v>
      </c>
      <c r="B443" s="14">
        <f>IFERROR(B433+B434+B435+B436+B437+B438+B439+B440+B441, "NA")</f>
        <v>0</v>
      </c>
      <c r="C443" s="15">
        <f>IFERROR(B443/B445, "NA")</f>
        <v>0</v>
      </c>
      <c r="D443" s="2"/>
      <c r="E443" s="14">
        <f>IFERROR(E433+E434+E435+E436+E437+E438+E439+E440+E441, "NA")</f>
        <v>0</v>
      </c>
      <c r="F443" s="15">
        <f>IFERROR(E443/E445, "NA")</f>
        <v>0</v>
      </c>
      <c r="G443" s="2"/>
      <c r="H443" s="14">
        <f t="shared" si="104"/>
        <v>0</v>
      </c>
      <c r="I443" s="15">
        <f>IFERROR(H443/H445, "NA")</f>
        <v>0</v>
      </c>
      <c r="J443" s="2"/>
      <c r="K443" s="14">
        <f>IFERROR(K433+K434+K435+K436+K437+K438+K439+K440+K441, "NA")</f>
        <v>0</v>
      </c>
      <c r="L443" s="15">
        <f>IFERROR(K443/K445, "NA")</f>
        <v>0</v>
      </c>
      <c r="M443" s="2"/>
      <c r="N443" s="14">
        <f t="shared" si="105"/>
        <v>0</v>
      </c>
      <c r="O443" s="15">
        <f>IFERROR(N443/N445, "NA")</f>
        <v>0</v>
      </c>
      <c r="P443" s="2"/>
      <c r="Q443" s="14">
        <f>IFERROR(Q433+Q434+Q435+Q436+Q437+Q438+Q439+Q440+Q441, "NA")</f>
        <v>0</v>
      </c>
      <c r="R443" s="15">
        <f>IFERROR(Q443/Q445, "NA")</f>
        <v>0</v>
      </c>
      <c r="S443" s="2"/>
      <c r="T443" s="14">
        <f>IFERROR(T433+T434+T435+T436+T437+T438+T439+T440+T441, "NA")</f>
        <v>0</v>
      </c>
      <c r="U443" s="15">
        <f>IFERROR(T443/T445, "NA")</f>
        <v>0</v>
      </c>
      <c r="V443" s="2"/>
      <c r="W443" s="14">
        <f t="shared" si="106"/>
        <v>0</v>
      </c>
      <c r="X443" s="15">
        <f>IFERROR(W443/W445, "NA")</f>
        <v>0</v>
      </c>
      <c r="Y443" s="2"/>
      <c r="Z443" s="14">
        <f>IFERROR(Z433+Z434+Z435+Z436+Z437+Z438+Z439+Z440+Z441, "NA")</f>
        <v>0</v>
      </c>
      <c r="AA443" s="15">
        <f>IFERROR(Z443/Z445, "NA")</f>
        <v>0</v>
      </c>
      <c r="AB443" s="2"/>
      <c r="AC443" s="14">
        <f t="shared" si="107"/>
        <v>0</v>
      </c>
      <c r="AD443" s="15">
        <f>IFERROR(AC443/AC445, "NA")</f>
        <v>0</v>
      </c>
    </row>
    <row r="444" spans="1:30" ht="16.5" customHeight="1" x14ac:dyDescent="0.45">
      <c r="A444" s="22" t="s">
        <v>408</v>
      </c>
      <c r="B444" s="23">
        <f>IFERROR(B405-B430-B443, "NA")</f>
        <v>9745.0499999999993</v>
      </c>
      <c r="C444" s="24">
        <f>IFERROR(B444/B445, "NA")</f>
        <v>6.0833702734655978E-2</v>
      </c>
      <c r="D444" s="25"/>
      <c r="E444" s="23">
        <f>IFERROR(E405-E430-E443, "NA")</f>
        <v>30054.460000000057</v>
      </c>
      <c r="F444" s="24">
        <f>IFERROR(E444/E445, "NA")</f>
        <v>0.15605909613184604</v>
      </c>
      <c r="G444" s="25"/>
      <c r="H444" s="23">
        <f>IFERROR(B444-E444, "NA")</f>
        <v>-20309.410000000058</v>
      </c>
      <c r="I444" s="24">
        <f>IFERROR(H444/H445, "NA")</f>
        <v>0.62698438914788657</v>
      </c>
      <c r="J444" s="25"/>
      <c r="K444" s="23">
        <f>IFERROR(K405-K430-K443, "NA")</f>
        <v>16813.160000000018</v>
      </c>
      <c r="L444" s="24">
        <f>IFERROR(K444/K445, "NA")</f>
        <v>9.5203990998486976E-2</v>
      </c>
      <c r="M444" s="25"/>
      <c r="N444" s="23">
        <f>IFERROR(B444-K444, "NA")</f>
        <v>-7068.1100000000188</v>
      </c>
      <c r="O444" s="24">
        <f>IFERROR(N444/N445, "NA")</f>
        <v>0.43072519514265661</v>
      </c>
      <c r="P444" s="25"/>
      <c r="Q444" s="23">
        <f>IFERROR(Q405-Q430-Q443, "NA")</f>
        <v>93436.780000000042</v>
      </c>
      <c r="R444" s="24">
        <f>IFERROR(Q444/Q445, "NA")</f>
        <v>0.10080080715920983</v>
      </c>
      <c r="S444" s="25"/>
      <c r="T444" s="23">
        <f>IFERROR(T405-T430-T443, "NA")</f>
        <v>147376.16000000003</v>
      </c>
      <c r="U444" s="24">
        <f>IFERROR(T444/T445, "NA")</f>
        <v>0.15353357808919371</v>
      </c>
      <c r="V444" s="25"/>
      <c r="W444" s="23">
        <f>IFERROR(Q444-T444, "NA")</f>
        <v>-53939.37999999999</v>
      </c>
      <c r="X444" s="24">
        <f>IFERROR(W444/W445, "NA")</f>
        <v>1.6369801526773136</v>
      </c>
      <c r="Y444" s="25"/>
      <c r="Z444" s="23">
        <f>IFERROR(Z405-Z430-Z443, "NA")</f>
        <v>80162.269999999873</v>
      </c>
      <c r="AA444" s="24">
        <f>IFERROR(Z444/Z445, "NA")</f>
        <v>8.985186452022724E-2</v>
      </c>
      <c r="AB444" s="25"/>
      <c r="AC444" s="23">
        <f>IFERROR(Q444-Z444, "NA")</f>
        <v>13274.510000000169</v>
      </c>
      <c r="AD444" s="24">
        <f>IFERROR(AC444/AC445, "NA")</f>
        <v>0.38162228951927768</v>
      </c>
    </row>
    <row r="445" spans="1:30" ht="15.75" hidden="1" x14ac:dyDescent="0.45">
      <c r="A445" s="26" t="s">
        <v>117</v>
      </c>
      <c r="B445" s="7">
        <v>160191.63</v>
      </c>
      <c r="C445" s="27"/>
      <c r="D445" s="9"/>
      <c r="E445" s="7">
        <v>192583.84</v>
      </c>
      <c r="F445" s="27"/>
      <c r="G445" s="9"/>
      <c r="H445" s="10">
        <f>IFERROR(B445-E445, "NA")</f>
        <v>-32392.209999999992</v>
      </c>
      <c r="I445" s="27"/>
      <c r="J445" s="9"/>
      <c r="K445" s="7">
        <v>176601.42</v>
      </c>
      <c r="L445" s="27"/>
      <c r="M445" s="9"/>
      <c r="N445" s="10">
        <f>IFERROR(B445-K445, "NA")</f>
        <v>-16409.790000000008</v>
      </c>
      <c r="O445" s="27"/>
      <c r="P445" s="9"/>
      <c r="Q445" s="7">
        <v>926944.76</v>
      </c>
      <c r="R445" s="27"/>
      <c r="S445" s="9"/>
      <c r="T445" s="7">
        <v>959895.3</v>
      </c>
      <c r="U445" s="27"/>
      <c r="V445" s="9"/>
      <c r="W445" s="10">
        <f>IFERROR(Q445-T445, "NA")</f>
        <v>-32950.540000000037</v>
      </c>
      <c r="X445" s="27"/>
      <c r="Y445" s="9"/>
      <c r="Z445" s="7">
        <v>892160.34</v>
      </c>
      <c r="AA445" s="27"/>
      <c r="AB445" s="9"/>
      <c r="AC445" s="10">
        <f>IFERROR(Q445-Z445, "NA")</f>
        <v>34784.420000000042</v>
      </c>
      <c r="AD445" s="27"/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  <row r="450" spans="1:1" ht="15.75" x14ac:dyDescent="0.5">
      <c r="A450" s="28" t="s">
        <v>411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5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IFERROR(B8/B445, "NA")</f>
        <v>0</v>
      </c>
      <c r="D8" s="9"/>
      <c r="E8" s="7">
        <v>0</v>
      </c>
      <c r="F8" s="8">
        <f>IFERROR(E8/E445, "NA")</f>
        <v>0</v>
      </c>
      <c r="G8" s="9"/>
      <c r="H8" s="10">
        <f>IFERROR(B8-E8, "NA")</f>
        <v>0</v>
      </c>
      <c r="I8" s="8">
        <f>IFERROR(H8/H445, "NA")</f>
        <v>0</v>
      </c>
      <c r="J8" s="9"/>
      <c r="K8" s="7">
        <v>0</v>
      </c>
      <c r="L8" s="8">
        <f>IFERROR(K8/K445, "NA")</f>
        <v>0</v>
      </c>
      <c r="M8" s="9"/>
      <c r="N8" s="10">
        <f>IFERROR(B8-K8, "NA")</f>
        <v>0</v>
      </c>
      <c r="O8" s="8">
        <f>IFERROR(N8/N445, "NA")</f>
        <v>0</v>
      </c>
      <c r="P8" s="9"/>
      <c r="Q8" s="7">
        <v>0</v>
      </c>
      <c r="R8" s="8">
        <f>IFERROR(Q8/Q445, "NA")</f>
        <v>0</v>
      </c>
      <c r="S8" s="9"/>
      <c r="T8" s="7">
        <v>0</v>
      </c>
      <c r="U8" s="8">
        <f>IFERROR(T8/T445, "NA")</f>
        <v>0</v>
      </c>
      <c r="V8" s="9"/>
      <c r="W8" s="10">
        <f>IFERROR(Q8-T8, "NA")</f>
        <v>0</v>
      </c>
      <c r="X8" s="8">
        <f>IFERROR(W8/W445, "NA")</f>
        <v>0</v>
      </c>
      <c r="Y8" s="9"/>
      <c r="Z8" s="7">
        <v>0</v>
      </c>
      <c r="AA8" s="8">
        <f>IFERROR(Z8/Z445, "NA")</f>
        <v>0</v>
      </c>
      <c r="AB8" s="9"/>
      <c r="AC8" s="10">
        <f>IFERROR(Q8-Z8, "NA")</f>
        <v>0</v>
      </c>
      <c r="AD8" s="8">
        <f>IFERROR(AC8/AC445,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IFERROR(B10/B445, "NA")</f>
        <v>0</v>
      </c>
      <c r="D10" s="9"/>
      <c r="E10" s="7">
        <v>40353.14</v>
      </c>
      <c r="F10" s="8">
        <f>IFERROR(E10/E445, "NA")</f>
        <v>0.4259999584062148</v>
      </c>
      <c r="G10" s="9"/>
      <c r="H10" s="10">
        <f t="shared" ref="H10:H19" si="0">IFERROR(B10-E10, "NA")</f>
        <v>-40353.14</v>
      </c>
      <c r="I10" s="8">
        <f>IFERROR(H10/H445, "NA")</f>
        <v>-2.784865039447459</v>
      </c>
      <c r="J10" s="9"/>
      <c r="K10" s="7">
        <v>0</v>
      </c>
      <c r="L10" s="8">
        <f>IFERROR(K10/K445, "NA")</f>
        <v>0</v>
      </c>
      <c r="M10" s="9"/>
      <c r="N10" s="10">
        <f t="shared" ref="N10:N19" si="1">IFERROR(B10-K10, "NA")</f>
        <v>0</v>
      </c>
      <c r="O10" s="8">
        <f>IFERROR(N10/N445, "NA")</f>
        <v>0</v>
      </c>
      <c r="P10" s="9"/>
      <c r="Q10" s="7">
        <v>0</v>
      </c>
      <c r="R10" s="8">
        <f>IFERROR(Q10/Q445, "NA")</f>
        <v>0</v>
      </c>
      <c r="S10" s="9"/>
      <c r="T10" s="7">
        <v>204054.99</v>
      </c>
      <c r="U10" s="8">
        <f>IFERROR(T10/T445, "NA")</f>
        <v>0.42599998572032022</v>
      </c>
      <c r="V10" s="9"/>
      <c r="W10" s="10">
        <f t="shared" ref="W10:W19" si="2">IFERROR(Q10-T10, "NA")</f>
        <v>-204054.99</v>
      </c>
      <c r="X10" s="8">
        <f>IFERROR(W10/W445, "NA")</f>
        <v>-6.6698783500160754</v>
      </c>
      <c r="Y10" s="9"/>
      <c r="Z10" s="7">
        <v>0</v>
      </c>
      <c r="AA10" s="8">
        <f>IFERROR(Z10/Z445, "NA")</f>
        <v>0</v>
      </c>
      <c r="AB10" s="9"/>
      <c r="AC10" s="10">
        <f t="shared" ref="AC10:AC19" si="3">IFERROR(Q10-Z10, "NA")</f>
        <v>0</v>
      </c>
      <c r="AD10" s="8">
        <f>IFERROR(AC10/AC445, "NA")</f>
        <v>0</v>
      </c>
    </row>
    <row r="11" spans="1:30" ht="16.5" customHeight="1" x14ac:dyDescent="0.45">
      <c r="A11" s="12" t="s">
        <v>13</v>
      </c>
      <c r="B11" s="7">
        <v>44047.59</v>
      </c>
      <c r="C11" s="8">
        <f>IFERROR(B11/B445, "NA")</f>
        <v>0.40330767008634733</v>
      </c>
      <c r="D11" s="9"/>
      <c r="E11" s="7">
        <v>0</v>
      </c>
      <c r="F11" s="8">
        <f>IFERROR(E11/E445, "NA")</f>
        <v>0</v>
      </c>
      <c r="G11" s="9"/>
      <c r="H11" s="10">
        <f t="shared" si="0"/>
        <v>44047.59</v>
      </c>
      <c r="I11" s="8">
        <f>IFERROR(H11/H445, "NA")</f>
        <v>3.0398277175683353</v>
      </c>
      <c r="J11" s="9"/>
      <c r="K11" s="7">
        <v>41511.199999999997</v>
      </c>
      <c r="L11" s="8">
        <f>IFERROR(K11/K445, "NA")</f>
        <v>0.47930902056362151</v>
      </c>
      <c r="M11" s="9"/>
      <c r="N11" s="10">
        <f t="shared" si="1"/>
        <v>2536.3899999999994</v>
      </c>
      <c r="O11" s="8">
        <f>IFERROR(N11/N445, "NA")</f>
        <v>0.11218244004403449</v>
      </c>
      <c r="P11" s="9"/>
      <c r="Q11" s="7">
        <v>195933.18</v>
      </c>
      <c r="R11" s="8">
        <f>IFERROR(Q11/Q445, "NA")</f>
        <v>0.3844873932941173</v>
      </c>
      <c r="S11" s="9"/>
      <c r="T11" s="7">
        <v>0</v>
      </c>
      <c r="U11" s="8">
        <f>IFERROR(T11/T445, "NA")</f>
        <v>0</v>
      </c>
      <c r="V11" s="9"/>
      <c r="W11" s="10">
        <f t="shared" si="2"/>
        <v>195933.18</v>
      </c>
      <c r="X11" s="8">
        <f>IFERROR(W11/W445, "NA")</f>
        <v>6.4044034175875968</v>
      </c>
      <c r="Y11" s="9"/>
      <c r="Z11" s="7">
        <v>197605.79</v>
      </c>
      <c r="AA11" s="8">
        <f>IFERROR(Z11/Z445, "NA")</f>
        <v>0.44235520561269631</v>
      </c>
      <c r="AB11" s="9"/>
      <c r="AC11" s="10">
        <f t="shared" si="3"/>
        <v>-1672.6100000000151</v>
      </c>
      <c r="AD11" s="8">
        <f>IFERROR(AC11/AC445, "NA")</f>
        <v>-2.6598796620767858E-2</v>
      </c>
    </row>
    <row r="12" spans="1:30" ht="16.5" customHeight="1" x14ac:dyDescent="0.45">
      <c r="A12" s="12" t="s">
        <v>14</v>
      </c>
      <c r="B12" s="7">
        <v>4665.45</v>
      </c>
      <c r="C12" s="8">
        <f>IFERROR(B12/B445, "NA")</f>
        <v>4.271770077328519E-2</v>
      </c>
      <c r="D12" s="9"/>
      <c r="E12" s="7">
        <v>0</v>
      </c>
      <c r="F12" s="8">
        <f>IFERROR(E12/E445, "NA")</f>
        <v>0</v>
      </c>
      <c r="G12" s="9"/>
      <c r="H12" s="10">
        <f t="shared" si="0"/>
        <v>4665.45</v>
      </c>
      <c r="I12" s="8">
        <f>IFERROR(H12/H445, "NA")</f>
        <v>0.32197367040805613</v>
      </c>
      <c r="J12" s="9"/>
      <c r="K12" s="7">
        <v>4263.8</v>
      </c>
      <c r="L12" s="8">
        <f>IFERROR(K12/K445, "NA")</f>
        <v>4.9231961539998113E-2</v>
      </c>
      <c r="M12" s="9"/>
      <c r="N12" s="10">
        <f t="shared" si="1"/>
        <v>401.64999999999964</v>
      </c>
      <c r="O12" s="8">
        <f>IFERROR(N12/N445, "NA")</f>
        <v>1.7764648592561248E-2</v>
      </c>
      <c r="P12" s="9"/>
      <c r="Q12" s="7">
        <v>18737.3</v>
      </c>
      <c r="R12" s="8">
        <f>IFERROR(Q12/Q445, "NA")</f>
        <v>3.6768941505312493E-2</v>
      </c>
      <c r="S12" s="9"/>
      <c r="T12" s="7">
        <v>0</v>
      </c>
      <c r="U12" s="8">
        <f>IFERROR(T12/T445, "NA")</f>
        <v>0</v>
      </c>
      <c r="V12" s="9"/>
      <c r="W12" s="10">
        <f t="shared" si="2"/>
        <v>18737.3</v>
      </c>
      <c r="X12" s="8">
        <f>IFERROR(W12/W445, "NA")</f>
        <v>0.61245996291370386</v>
      </c>
      <c r="Y12" s="9"/>
      <c r="Z12" s="7">
        <v>19467.5</v>
      </c>
      <c r="AA12" s="8">
        <f>IFERROR(Z12/Z445, "NA")</f>
        <v>4.3579441499488274E-2</v>
      </c>
      <c r="AB12" s="9"/>
      <c r="AC12" s="10">
        <f t="shared" si="3"/>
        <v>-730.20000000000073</v>
      </c>
      <c r="AD12" s="8">
        <f>IFERROR(AC12/AC445, "NA")</f>
        <v>-1.1612056183141636E-2</v>
      </c>
    </row>
    <row r="13" spans="1:30" ht="16.5" customHeight="1" x14ac:dyDescent="0.45">
      <c r="A13" s="12" t="s">
        <v>15</v>
      </c>
      <c r="B13" s="7">
        <v>175</v>
      </c>
      <c r="C13" s="8">
        <f>IFERROR(B13/B445, "NA")</f>
        <v>1.6023315297184427E-3</v>
      </c>
      <c r="D13" s="9"/>
      <c r="E13" s="7">
        <v>0</v>
      </c>
      <c r="F13" s="8">
        <f>IFERROR(E13/E445, "NA")</f>
        <v>0</v>
      </c>
      <c r="G13" s="9"/>
      <c r="H13" s="10">
        <f t="shared" si="0"/>
        <v>175</v>
      </c>
      <c r="I13" s="8">
        <f>IFERROR(H13/H445, "NA")</f>
        <v>1.2077161328791398E-2</v>
      </c>
      <c r="J13" s="9"/>
      <c r="K13" s="7">
        <v>177.5</v>
      </c>
      <c r="L13" s="8">
        <f>IFERROR(K13/K445, "NA")</f>
        <v>2.0495035351915346E-3</v>
      </c>
      <c r="M13" s="9"/>
      <c r="N13" s="10">
        <f t="shared" si="1"/>
        <v>-2.5</v>
      </c>
      <c r="O13" s="8">
        <f>IFERROR(N13/N445, "NA")</f>
        <v>-1.1057294032466865E-4</v>
      </c>
      <c r="P13" s="9"/>
      <c r="Q13" s="7">
        <v>644</v>
      </c>
      <c r="R13" s="8">
        <f>IFERROR(Q13/Q445, "NA")</f>
        <v>1.2637465552358797E-3</v>
      </c>
      <c r="S13" s="9"/>
      <c r="T13" s="7">
        <v>0</v>
      </c>
      <c r="U13" s="8">
        <f>IFERROR(T13/T445, "NA")</f>
        <v>0</v>
      </c>
      <c r="V13" s="9"/>
      <c r="W13" s="10">
        <f t="shared" si="2"/>
        <v>644</v>
      </c>
      <c r="X13" s="8">
        <f>IFERROR(W13/W445, "NA")</f>
        <v>2.1050216205986204E-2</v>
      </c>
      <c r="Y13" s="9"/>
      <c r="Z13" s="7">
        <v>694</v>
      </c>
      <c r="AA13" s="8">
        <f>IFERROR(Z13/Z445, "NA")</f>
        <v>1.5535704328056947E-3</v>
      </c>
      <c r="AB13" s="9"/>
      <c r="AC13" s="10">
        <f t="shared" si="3"/>
        <v>-50</v>
      </c>
      <c r="AD13" s="8">
        <f>IFERROR(AC13/AC445, "NA")</f>
        <v>-7.9512847049723534E-4</v>
      </c>
    </row>
    <row r="14" spans="1:30" ht="16.5" customHeight="1" x14ac:dyDescent="0.45">
      <c r="A14" s="12" t="s">
        <v>16</v>
      </c>
      <c r="B14" s="7">
        <v>80</v>
      </c>
      <c r="C14" s="8">
        <f>IFERROR(B14/B445, "NA")</f>
        <v>7.3249441358557387E-4</v>
      </c>
      <c r="D14" s="9"/>
      <c r="E14" s="7">
        <v>0</v>
      </c>
      <c r="F14" s="8">
        <f>IFERROR(E14/E445, "NA")</f>
        <v>0</v>
      </c>
      <c r="G14" s="9"/>
      <c r="H14" s="10">
        <f t="shared" si="0"/>
        <v>80</v>
      </c>
      <c r="I14" s="8">
        <f>IFERROR(H14/H445, "NA")</f>
        <v>5.5209880360189249E-3</v>
      </c>
      <c r="J14" s="9"/>
      <c r="K14" s="7">
        <v>345</v>
      </c>
      <c r="L14" s="8">
        <f>IFERROR(K14/K445, "NA")</f>
        <v>3.9835420824849543E-3</v>
      </c>
      <c r="M14" s="9"/>
      <c r="N14" s="10">
        <f t="shared" si="1"/>
        <v>-265</v>
      </c>
      <c r="O14" s="8">
        <f>IFERROR(N14/N445, "NA")</f>
        <v>-1.1720731674414876E-2</v>
      </c>
      <c r="P14" s="9"/>
      <c r="Q14" s="7">
        <v>215</v>
      </c>
      <c r="R14" s="8">
        <f>IFERROR(Q14/Q445, "NA")</f>
        <v>4.2190296486912133E-4</v>
      </c>
      <c r="S14" s="9"/>
      <c r="T14" s="7">
        <v>0</v>
      </c>
      <c r="U14" s="8">
        <f>IFERROR(T14/T445, "NA")</f>
        <v>0</v>
      </c>
      <c r="V14" s="9"/>
      <c r="W14" s="10">
        <f t="shared" si="2"/>
        <v>215</v>
      </c>
      <c r="X14" s="8">
        <f>IFERROR(W14/W445, "NA")</f>
        <v>7.0276342923711712E-3</v>
      </c>
      <c r="Y14" s="9"/>
      <c r="Z14" s="7">
        <v>1490</v>
      </c>
      <c r="AA14" s="8">
        <f>IFERROR(Z14/Z445, "NA")</f>
        <v>3.3354754248998346E-3</v>
      </c>
      <c r="AB14" s="9"/>
      <c r="AC14" s="10">
        <f t="shared" si="3"/>
        <v>-1275</v>
      </c>
      <c r="AD14" s="8">
        <f>IFERROR(AC14/AC445, "NA")</f>
        <v>-2.0275775997679501E-2</v>
      </c>
    </row>
    <row r="15" spans="1:30" ht="16.5" customHeight="1" x14ac:dyDescent="0.45">
      <c r="A15" s="12" t="s">
        <v>17</v>
      </c>
      <c r="B15" s="7">
        <v>0</v>
      </c>
      <c r="C15" s="8">
        <f>IFERROR(B15/B445, "NA")</f>
        <v>0</v>
      </c>
      <c r="D15" s="9"/>
      <c r="E15" s="7">
        <v>0</v>
      </c>
      <c r="F15" s="8">
        <f>IFERROR(E15/E445, "NA")</f>
        <v>0</v>
      </c>
      <c r="G15" s="9"/>
      <c r="H15" s="10">
        <f t="shared" si="0"/>
        <v>0</v>
      </c>
      <c r="I15" s="8">
        <f>IFERROR(H15/H445, "NA")</f>
        <v>0</v>
      </c>
      <c r="J15" s="9"/>
      <c r="K15" s="7">
        <v>5</v>
      </c>
      <c r="L15" s="8">
        <f>IFERROR(K15/K445, "NA")</f>
        <v>5.7732493949057311E-5</v>
      </c>
      <c r="M15" s="9"/>
      <c r="N15" s="10">
        <f t="shared" si="1"/>
        <v>-5</v>
      </c>
      <c r="O15" s="8">
        <f>IFERROR(N15/N445, "NA")</f>
        <v>-2.2114588064933729E-4</v>
      </c>
      <c r="P15" s="9"/>
      <c r="Q15" s="7">
        <v>172</v>
      </c>
      <c r="R15" s="8">
        <f>IFERROR(Q15/Q445, "NA")</f>
        <v>3.3752237189529704E-4</v>
      </c>
      <c r="S15" s="9"/>
      <c r="T15" s="7">
        <v>0</v>
      </c>
      <c r="U15" s="8">
        <f>IFERROR(T15/T445, "NA")</f>
        <v>0</v>
      </c>
      <c r="V15" s="9"/>
      <c r="W15" s="10">
        <f t="shared" si="2"/>
        <v>172</v>
      </c>
      <c r="X15" s="8">
        <f>IFERROR(W15/W445, "NA")</f>
        <v>5.6221074338969369E-3</v>
      </c>
      <c r="Y15" s="9"/>
      <c r="Z15" s="7">
        <v>112</v>
      </c>
      <c r="AA15" s="8">
        <f>IFERROR(Z15/Z445, "NA")</f>
        <v>2.5072030039515532E-4</v>
      </c>
      <c r="AB15" s="9"/>
      <c r="AC15" s="10">
        <f t="shared" si="3"/>
        <v>60</v>
      </c>
      <c r="AD15" s="8">
        <f>IFERROR(AC15/AC445, "NA")</f>
        <v>9.5415416459668245E-4</v>
      </c>
    </row>
    <row r="16" spans="1:30" ht="16.5" customHeight="1" x14ac:dyDescent="0.45">
      <c r="A16" s="12" t="s">
        <v>18</v>
      </c>
      <c r="B16" s="7">
        <v>0</v>
      </c>
      <c r="C16" s="8">
        <f>IFERROR(B16/B445, "NA")</f>
        <v>0</v>
      </c>
      <c r="D16" s="9"/>
      <c r="E16" s="7">
        <v>0</v>
      </c>
      <c r="F16" s="8">
        <f>IFERROR(E16/E445, "NA")</f>
        <v>0</v>
      </c>
      <c r="G16" s="9"/>
      <c r="H16" s="10">
        <f t="shared" si="0"/>
        <v>0</v>
      </c>
      <c r="I16" s="8">
        <f>IFERROR(H16/H445, "NA")</f>
        <v>0</v>
      </c>
      <c r="J16" s="9"/>
      <c r="K16" s="7">
        <v>0</v>
      </c>
      <c r="L16" s="8">
        <f>IFERROR(K16/K445, "NA")</f>
        <v>0</v>
      </c>
      <c r="M16" s="9"/>
      <c r="N16" s="10">
        <f t="shared" si="1"/>
        <v>0</v>
      </c>
      <c r="O16" s="8">
        <f>IFERROR(N16/N445, "NA")</f>
        <v>0</v>
      </c>
      <c r="P16" s="9"/>
      <c r="Q16" s="7">
        <v>0</v>
      </c>
      <c r="R16" s="8">
        <f>IFERROR(Q16/Q445, "NA")</f>
        <v>0</v>
      </c>
      <c r="S16" s="9"/>
      <c r="T16" s="7">
        <v>0</v>
      </c>
      <c r="U16" s="8">
        <f>IFERROR(T16/T445, "NA")</f>
        <v>0</v>
      </c>
      <c r="V16" s="9"/>
      <c r="W16" s="10">
        <f t="shared" si="2"/>
        <v>0</v>
      </c>
      <c r="X16" s="8">
        <f>IFERROR(W16/W445, "NA")</f>
        <v>0</v>
      </c>
      <c r="Y16" s="9"/>
      <c r="Z16" s="7">
        <v>1.1000000000000001</v>
      </c>
      <c r="AA16" s="8">
        <f>IFERROR(Z16/Z445, "NA")</f>
        <v>2.4624315217381331E-6</v>
      </c>
      <c r="AB16" s="9"/>
      <c r="AC16" s="10">
        <f t="shared" si="3"/>
        <v>-1.1000000000000001</v>
      </c>
      <c r="AD16" s="8">
        <f>IFERROR(AC16/AC445, "NA")</f>
        <v>-1.7492826350939181E-5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IFERROR(B17/B445, "NA")</f>
        <v>0</v>
      </c>
      <c r="D17" s="9"/>
      <c r="E17" s="7">
        <v>0</v>
      </c>
      <c r="F17" s="8">
        <f>IFERROR(E17/E445, "NA")</f>
        <v>0</v>
      </c>
      <c r="G17" s="9"/>
      <c r="H17" s="10">
        <f t="shared" si="0"/>
        <v>0</v>
      </c>
      <c r="I17" s="8">
        <f>IFERROR(H17/H445, "NA")</f>
        <v>0</v>
      </c>
      <c r="J17" s="9"/>
      <c r="K17" s="7">
        <v>0</v>
      </c>
      <c r="L17" s="8">
        <f>IFERROR(K17/K445, "NA")</f>
        <v>0</v>
      </c>
      <c r="M17" s="9"/>
      <c r="N17" s="10">
        <f t="shared" si="1"/>
        <v>0</v>
      </c>
      <c r="O17" s="8">
        <f>IFERROR(N17/N445, "NA")</f>
        <v>0</v>
      </c>
      <c r="P17" s="9"/>
      <c r="Q17" s="7">
        <v>0</v>
      </c>
      <c r="R17" s="8">
        <f>IFERROR(Q17/Q445, "NA")</f>
        <v>0</v>
      </c>
      <c r="S17" s="9"/>
      <c r="T17" s="7">
        <v>0</v>
      </c>
      <c r="U17" s="8">
        <f>IFERROR(T17/T445, "NA")</f>
        <v>0</v>
      </c>
      <c r="V17" s="9"/>
      <c r="W17" s="10">
        <f t="shared" si="2"/>
        <v>0</v>
      </c>
      <c r="X17" s="8">
        <f>IFERROR(W17/W445, "NA")</f>
        <v>0</v>
      </c>
      <c r="Y17" s="9"/>
      <c r="Z17" s="7">
        <v>0</v>
      </c>
      <c r="AA17" s="8">
        <f>IFERROR(Z17/Z445, "NA")</f>
        <v>0</v>
      </c>
      <c r="AB17" s="9"/>
      <c r="AC17" s="10">
        <f t="shared" si="3"/>
        <v>0</v>
      </c>
      <c r="AD17" s="8">
        <f>IFERROR(AC17/AC445,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48968.039999999994</v>
      </c>
      <c r="C18" s="15">
        <f>IFERROR(B18/B445, "NA")</f>
        <v>0.44836019680293648</v>
      </c>
      <c r="D18" s="2"/>
      <c r="E18" s="14">
        <f>IFERROR(E10+E11+E12+E13+E14+E15+E16+E17, "NA")</f>
        <v>40353.14</v>
      </c>
      <c r="F18" s="15">
        <f>IFERROR(E18/E445, "NA")</f>
        <v>0.4259999584062148</v>
      </c>
      <c r="G18" s="2"/>
      <c r="H18" s="14">
        <f t="shared" si="0"/>
        <v>8614.8999999999942</v>
      </c>
      <c r="I18" s="15">
        <f>IFERROR(H18/H445, "NA")</f>
        <v>0.59453449789374246</v>
      </c>
      <c r="J18" s="2"/>
      <c r="K18" s="14">
        <f>IFERROR(K10+K11+K12+K13+K14+K15+K16+K17, "NA")</f>
        <v>46302.5</v>
      </c>
      <c r="L18" s="15">
        <f>IFERROR(K18/K445, "NA")</f>
        <v>0.53463176021524528</v>
      </c>
      <c r="M18" s="2"/>
      <c r="N18" s="14">
        <f t="shared" si="1"/>
        <v>2665.5399999999936</v>
      </c>
      <c r="O18" s="15">
        <f>IFERROR(N18/N445, "NA")</f>
        <v>0.11789463814120663</v>
      </c>
      <c r="P18" s="2"/>
      <c r="Q18" s="14">
        <f>IFERROR(Q10+Q11+Q12+Q13+Q14+Q15+Q16+Q17, "NA")</f>
        <v>215701.47999999998</v>
      </c>
      <c r="R18" s="15">
        <f>IFERROR(Q18/Q445, "NA")</f>
        <v>0.42327950669143005</v>
      </c>
      <c r="S18" s="2"/>
      <c r="T18" s="14">
        <f>IFERROR(T10+T11+T12+T13+T14+T15+T16+T17, "NA")</f>
        <v>204054.99</v>
      </c>
      <c r="U18" s="15">
        <f>IFERROR(T18/T445, "NA")</f>
        <v>0.42599998572032022</v>
      </c>
      <c r="V18" s="2"/>
      <c r="W18" s="14">
        <f t="shared" si="2"/>
        <v>11646.489999999991</v>
      </c>
      <c r="X18" s="15">
        <f>IFERROR(W18/W445, "NA")</f>
        <v>0.38068498841747839</v>
      </c>
      <c r="Y18" s="2"/>
      <c r="Z18" s="14">
        <f>IFERROR(Z10+Z11+Z12+Z13+Z14+Z15+Z16+Z17, "NA")</f>
        <v>219370.39</v>
      </c>
      <c r="AA18" s="15">
        <f>IFERROR(Z18/Z445, "NA")</f>
        <v>0.49107687570180703</v>
      </c>
      <c r="AB18" s="2"/>
      <c r="AC18" s="14">
        <f t="shared" si="3"/>
        <v>-3668.9100000000326</v>
      </c>
      <c r="AD18" s="15">
        <f>IFERROR(AC18/AC445, "NA")</f>
        <v>-5.8345095933840754E-2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IFERROR(B19/B445, "NA")</f>
        <v>0</v>
      </c>
      <c r="D19" s="9"/>
      <c r="E19" s="7">
        <v>0</v>
      </c>
      <c r="F19" s="8">
        <f>IFERROR(E19/E445, "NA")</f>
        <v>0</v>
      </c>
      <c r="G19" s="9"/>
      <c r="H19" s="10">
        <f t="shared" si="0"/>
        <v>0</v>
      </c>
      <c r="I19" s="8">
        <f>IFERROR(H19/H445, "NA")</f>
        <v>0</v>
      </c>
      <c r="J19" s="9"/>
      <c r="K19" s="7">
        <v>0</v>
      </c>
      <c r="L19" s="8">
        <f>IFERROR(K19/K445, "NA")</f>
        <v>0</v>
      </c>
      <c r="M19" s="9"/>
      <c r="N19" s="10">
        <f t="shared" si="1"/>
        <v>0</v>
      </c>
      <c r="O19" s="8">
        <f>IFERROR(N19/N445, "NA")</f>
        <v>0</v>
      </c>
      <c r="P19" s="9"/>
      <c r="Q19" s="7">
        <v>0</v>
      </c>
      <c r="R19" s="8">
        <f>IFERROR(Q19/Q445, "NA")</f>
        <v>0</v>
      </c>
      <c r="S19" s="9"/>
      <c r="T19" s="7">
        <v>0</v>
      </c>
      <c r="U19" s="8">
        <f>IFERROR(T19/T445, "NA")</f>
        <v>0</v>
      </c>
      <c r="V19" s="9"/>
      <c r="W19" s="10">
        <f t="shared" si="2"/>
        <v>0</v>
      </c>
      <c r="X19" s="8">
        <f>IFERROR(W19/W445, "NA")</f>
        <v>0</v>
      </c>
      <c r="Y19" s="9"/>
      <c r="Z19" s="7">
        <v>0</v>
      </c>
      <c r="AA19" s="8">
        <f>IFERROR(Z19/Z445, "NA")</f>
        <v>0</v>
      </c>
      <c r="AB19" s="9"/>
      <c r="AC19" s="10">
        <f t="shared" si="3"/>
        <v>0</v>
      </c>
      <c r="AD19" s="8">
        <f>IFERROR(AC19/AC445,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IFERROR(B21/B445, "NA")</f>
        <v>0</v>
      </c>
      <c r="D21" s="9"/>
      <c r="E21" s="7">
        <v>8714.76</v>
      </c>
      <c r="F21" s="8">
        <f>IFERROR(E21/E445, "NA")</f>
        <v>9.1999963262342027E-2</v>
      </c>
      <c r="G21" s="9"/>
      <c r="H21" s="10">
        <f t="shared" ref="H21:H29" si="4">IFERROR(B21-E21, "NA")</f>
        <v>-8714.76</v>
      </c>
      <c r="I21" s="8">
        <f>IFERROR(H21/H445, "NA")</f>
        <v>-0.60142607120970359</v>
      </c>
      <c r="J21" s="9"/>
      <c r="K21" s="7">
        <v>0</v>
      </c>
      <c r="L21" s="8">
        <f>IFERROR(K21/K445, "NA")</f>
        <v>0</v>
      </c>
      <c r="M21" s="9"/>
      <c r="N21" s="10">
        <f t="shared" ref="N21:N29" si="5">IFERROR(B21-K21, "NA")</f>
        <v>0</v>
      </c>
      <c r="O21" s="8">
        <f>IFERROR(N21/N445, "NA")</f>
        <v>0</v>
      </c>
      <c r="P21" s="9"/>
      <c r="Q21" s="7">
        <v>0</v>
      </c>
      <c r="R21" s="8">
        <f>IFERROR(Q21/Q445, "NA")</f>
        <v>0</v>
      </c>
      <c r="S21" s="9"/>
      <c r="T21" s="7">
        <v>44068.21</v>
      </c>
      <c r="U21" s="8">
        <f>IFERROR(T21/T445, "NA")</f>
        <v>9.1999988977089331E-2</v>
      </c>
      <c r="V21" s="9"/>
      <c r="W21" s="10">
        <f t="shared" ref="W21:W29" si="6">IFERROR(Q21-T21, "NA")</f>
        <v>-44068.21</v>
      </c>
      <c r="X21" s="8">
        <f>IFERROR(W21/W445, "NA")</f>
        <v>-1.4404430874391356</v>
      </c>
      <c r="Y21" s="9"/>
      <c r="Z21" s="7">
        <v>0</v>
      </c>
      <c r="AA21" s="8">
        <f>IFERROR(Z21/Z445, "NA")</f>
        <v>0</v>
      </c>
      <c r="AB21" s="9"/>
      <c r="AC21" s="10">
        <f t="shared" ref="AC21:AC29" si="7">IFERROR(Q21-Z21, "NA")</f>
        <v>0</v>
      </c>
      <c r="AD21" s="8">
        <f>IFERROR(AC21/AC445,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IFERROR(B22/B445, "NA")</f>
        <v>0</v>
      </c>
      <c r="D22" s="9"/>
      <c r="E22" s="7">
        <v>0</v>
      </c>
      <c r="F22" s="8">
        <f>IFERROR(E22/E445, "NA")</f>
        <v>0</v>
      </c>
      <c r="G22" s="9"/>
      <c r="H22" s="10">
        <f t="shared" si="4"/>
        <v>0</v>
      </c>
      <c r="I22" s="8">
        <f>IFERROR(H22/H445, "NA")</f>
        <v>0</v>
      </c>
      <c r="J22" s="9"/>
      <c r="K22" s="7">
        <v>6014.75</v>
      </c>
      <c r="L22" s="8">
        <f>IFERROR(K22/K445, "NA")</f>
        <v>6.9449303596018488E-2</v>
      </c>
      <c r="M22" s="9"/>
      <c r="N22" s="10">
        <f t="shared" si="5"/>
        <v>-6014.75</v>
      </c>
      <c r="O22" s="8">
        <f>IFERROR(N22/N445, "NA")</f>
        <v>-0.26602743712712029</v>
      </c>
      <c r="P22" s="9"/>
      <c r="Q22" s="7">
        <v>2374.6799999999998</v>
      </c>
      <c r="R22" s="8">
        <f>IFERROR(Q22/Q445, "NA")</f>
        <v>4.6599280586763015E-3</v>
      </c>
      <c r="S22" s="9"/>
      <c r="T22" s="7">
        <v>0</v>
      </c>
      <c r="U22" s="8">
        <f>IFERROR(T22/T445, "NA")</f>
        <v>0</v>
      </c>
      <c r="V22" s="9"/>
      <c r="W22" s="10">
        <f t="shared" si="6"/>
        <v>2374.6799999999998</v>
      </c>
      <c r="X22" s="8">
        <f>IFERROR(W22/W445, "NA")</f>
        <v>7.7620384192595218E-2</v>
      </c>
      <c r="Y22" s="9"/>
      <c r="Z22" s="7">
        <v>28803.75</v>
      </c>
      <c r="AA22" s="8">
        <f>IFERROR(Z22/Z445, "NA")</f>
        <v>6.4479329040240674E-2</v>
      </c>
      <c r="AB22" s="9"/>
      <c r="AC22" s="10">
        <f t="shared" si="7"/>
        <v>-26429.07</v>
      </c>
      <c r="AD22" s="8">
        <f>IFERROR(AC22/AC445, "NA")</f>
        <v>-0.42029012011528738</v>
      </c>
    </row>
    <row r="23" spans="1:30" ht="16.5" customHeight="1" x14ac:dyDescent="0.45">
      <c r="A23" s="12" t="s">
        <v>24</v>
      </c>
      <c r="B23" s="7">
        <v>5597.34</v>
      </c>
      <c r="C23" s="8">
        <f>IFERROR(B23/B445, "NA")</f>
        <v>5.1250253511738453E-2</v>
      </c>
      <c r="D23" s="9"/>
      <c r="E23" s="7">
        <v>0</v>
      </c>
      <c r="F23" s="8">
        <f>IFERROR(E23/E445, "NA")</f>
        <v>0</v>
      </c>
      <c r="G23" s="9"/>
      <c r="H23" s="10">
        <f t="shared" si="4"/>
        <v>5597.34</v>
      </c>
      <c r="I23" s="8">
        <f>IFERROR(H23/H445, "NA")</f>
        <v>0.38628558966912713</v>
      </c>
      <c r="J23" s="9"/>
      <c r="K23" s="7">
        <v>0</v>
      </c>
      <c r="L23" s="8">
        <f>IFERROR(K23/K445, "NA")</f>
        <v>0</v>
      </c>
      <c r="M23" s="9"/>
      <c r="N23" s="10">
        <f t="shared" si="5"/>
        <v>5597.34</v>
      </c>
      <c r="O23" s="8">
        <f>IFERROR(N23/N445, "NA")</f>
        <v>0.24756573671875232</v>
      </c>
      <c r="P23" s="9"/>
      <c r="Q23" s="7">
        <v>23299.79</v>
      </c>
      <c r="R23" s="8">
        <f>IFERROR(Q23/Q445, "NA")</f>
        <v>4.572209526431583E-2</v>
      </c>
      <c r="S23" s="9"/>
      <c r="T23" s="7">
        <v>0</v>
      </c>
      <c r="U23" s="8">
        <f>IFERROR(T23/T445, "NA")</f>
        <v>0</v>
      </c>
      <c r="V23" s="9"/>
      <c r="W23" s="10">
        <f t="shared" si="6"/>
        <v>23299.79</v>
      </c>
      <c r="X23" s="8">
        <f>IFERROR(W23/W445, "NA")</f>
        <v>0.76159257306533434</v>
      </c>
      <c r="Y23" s="9"/>
      <c r="Z23" s="7">
        <v>0</v>
      </c>
      <c r="AA23" s="8">
        <f>IFERROR(Z23/Z445, "NA")</f>
        <v>0</v>
      </c>
      <c r="AB23" s="9"/>
      <c r="AC23" s="10">
        <f t="shared" si="7"/>
        <v>23299.79</v>
      </c>
      <c r="AD23" s="8">
        <f>IFERROR(AC23/AC445, "NA")</f>
        <v>0.37052652771213562</v>
      </c>
    </row>
    <row r="24" spans="1:30" ht="16.5" customHeight="1" x14ac:dyDescent="0.45">
      <c r="A24" s="12" t="s">
        <v>25</v>
      </c>
      <c r="B24" s="7">
        <v>1142.3499999999999</v>
      </c>
      <c r="C24" s="8">
        <f>IFERROR(B24/B445, "NA")</f>
        <v>1.0459562416993503E-2</v>
      </c>
      <c r="D24" s="9"/>
      <c r="E24" s="7">
        <v>0</v>
      </c>
      <c r="F24" s="8">
        <f>IFERROR(E24/E445, "NA")</f>
        <v>0</v>
      </c>
      <c r="G24" s="9"/>
      <c r="H24" s="10">
        <f t="shared" si="4"/>
        <v>1142.3499999999999</v>
      </c>
      <c r="I24" s="8">
        <f>IFERROR(H24/H445, "NA")</f>
        <v>7.8836258536827727E-2</v>
      </c>
      <c r="J24" s="9"/>
      <c r="K24" s="7">
        <v>720.39</v>
      </c>
      <c r="L24" s="8">
        <f>IFERROR(K24/K445, "NA")</f>
        <v>8.3179822631922785E-3</v>
      </c>
      <c r="M24" s="9"/>
      <c r="N24" s="10">
        <f t="shared" si="5"/>
        <v>421.95999999999992</v>
      </c>
      <c r="O24" s="8">
        <f>IFERROR(N24/N445, "NA")</f>
        <v>1.8662943159758871E-2</v>
      </c>
      <c r="P24" s="9"/>
      <c r="Q24" s="7">
        <v>5425.86</v>
      </c>
      <c r="R24" s="8">
        <f>IFERROR(Q24/Q445, "NA")</f>
        <v>1.0647378702161722E-2</v>
      </c>
      <c r="S24" s="9"/>
      <c r="T24" s="7">
        <v>0</v>
      </c>
      <c r="U24" s="8">
        <f>IFERROR(T24/T445, "NA")</f>
        <v>0</v>
      </c>
      <c r="V24" s="9"/>
      <c r="W24" s="10">
        <f t="shared" si="6"/>
        <v>5425.86</v>
      </c>
      <c r="X24" s="8">
        <f>IFERROR(W24/W445, "NA")</f>
        <v>0.17735330140281413</v>
      </c>
      <c r="Y24" s="9"/>
      <c r="Z24" s="7">
        <v>5431.86</v>
      </c>
      <c r="AA24" s="8">
        <f>IFERROR(Z24/Z445, "NA")</f>
        <v>1.215962116878954E-2</v>
      </c>
      <c r="AB24" s="9"/>
      <c r="AC24" s="10">
        <f t="shared" si="7"/>
        <v>-6</v>
      </c>
      <c r="AD24" s="8">
        <f>IFERROR(AC24/AC445, "NA")</f>
        <v>-9.5415416459668245E-5</v>
      </c>
    </row>
    <row r="25" spans="1:30" ht="16.5" customHeight="1" x14ac:dyDescent="0.45">
      <c r="A25" s="12" t="s">
        <v>26</v>
      </c>
      <c r="B25" s="7">
        <v>19.5</v>
      </c>
      <c r="C25" s="8">
        <f>IFERROR(B25/B445, "NA")</f>
        <v>1.7854551331148363E-4</v>
      </c>
      <c r="D25" s="9"/>
      <c r="E25" s="7">
        <v>0</v>
      </c>
      <c r="F25" s="8">
        <f>IFERROR(E25/E445, "NA")</f>
        <v>0</v>
      </c>
      <c r="G25" s="9"/>
      <c r="H25" s="10">
        <f t="shared" si="4"/>
        <v>19.5</v>
      </c>
      <c r="I25" s="8">
        <f>IFERROR(H25/H445, "NA")</f>
        <v>1.3457408337796128E-3</v>
      </c>
      <c r="J25" s="9"/>
      <c r="K25" s="7">
        <v>0</v>
      </c>
      <c r="L25" s="8">
        <f>IFERROR(K25/K445, "NA")</f>
        <v>0</v>
      </c>
      <c r="M25" s="9"/>
      <c r="N25" s="10">
        <f t="shared" si="5"/>
        <v>19.5</v>
      </c>
      <c r="O25" s="8">
        <f>IFERROR(N25/N445, "NA")</f>
        <v>8.6246893453241545E-4</v>
      </c>
      <c r="P25" s="9"/>
      <c r="Q25" s="7">
        <v>357.13</v>
      </c>
      <c r="R25" s="8">
        <f>IFERROR(Q25/Q445, "NA")</f>
        <v>7.0081025973818274E-4</v>
      </c>
      <c r="S25" s="9"/>
      <c r="T25" s="7">
        <v>0</v>
      </c>
      <c r="U25" s="8">
        <f>IFERROR(T25/T445, "NA")</f>
        <v>0</v>
      </c>
      <c r="V25" s="9"/>
      <c r="W25" s="10">
        <f t="shared" si="6"/>
        <v>357.13</v>
      </c>
      <c r="X25" s="8">
        <f>IFERROR(W25/W445, "NA")</f>
        <v>1.1673390859695425E-2</v>
      </c>
      <c r="Y25" s="9"/>
      <c r="Z25" s="7">
        <v>0</v>
      </c>
      <c r="AA25" s="8">
        <f>IFERROR(Z25/Z445, "NA")</f>
        <v>0</v>
      </c>
      <c r="AB25" s="9"/>
      <c r="AC25" s="10">
        <f t="shared" si="7"/>
        <v>357.13</v>
      </c>
      <c r="AD25" s="8">
        <f>IFERROR(AC25/AC445, "NA")</f>
        <v>5.6792846133735531E-3</v>
      </c>
    </row>
    <row r="26" spans="1:30" ht="16.5" customHeight="1" x14ac:dyDescent="0.45">
      <c r="A26" s="12" t="s">
        <v>27</v>
      </c>
      <c r="B26" s="7">
        <v>1407.02</v>
      </c>
      <c r="C26" s="8">
        <f>IFERROR(B26/B445, "NA")</f>
        <v>1.2882928622539676E-2</v>
      </c>
      <c r="D26" s="9"/>
      <c r="E26" s="7">
        <v>0</v>
      </c>
      <c r="F26" s="8">
        <f>IFERROR(E26/E445, "NA")</f>
        <v>0</v>
      </c>
      <c r="G26" s="9"/>
      <c r="H26" s="10">
        <f t="shared" si="4"/>
        <v>1407.02</v>
      </c>
      <c r="I26" s="8">
        <f>IFERROR(H26/H445, "NA")</f>
        <v>9.7101757330491839E-2</v>
      </c>
      <c r="J26" s="9"/>
      <c r="K26" s="7">
        <v>0</v>
      </c>
      <c r="L26" s="8">
        <f>IFERROR(K26/K445, "NA")</f>
        <v>0</v>
      </c>
      <c r="M26" s="9"/>
      <c r="N26" s="10">
        <f t="shared" si="5"/>
        <v>1407.02</v>
      </c>
      <c r="O26" s="8">
        <f>IFERROR(N26/N445, "NA")</f>
        <v>6.2231335398246108E-2</v>
      </c>
      <c r="P26" s="9"/>
      <c r="Q26" s="7">
        <v>9297.4</v>
      </c>
      <c r="R26" s="8">
        <f>IFERROR(Q26/Q445, "NA")</f>
        <v>1.8244654072437992E-2</v>
      </c>
      <c r="S26" s="9"/>
      <c r="T26" s="7">
        <v>0</v>
      </c>
      <c r="U26" s="8">
        <f>IFERROR(T26/T445, "NA")</f>
        <v>0</v>
      </c>
      <c r="V26" s="9"/>
      <c r="W26" s="10">
        <f t="shared" si="6"/>
        <v>9297.4</v>
      </c>
      <c r="X26" s="8">
        <f>IFERROR(W26/W445, "NA")</f>
        <v>0.30390105613903129</v>
      </c>
      <c r="Y26" s="9"/>
      <c r="Z26" s="7">
        <v>0</v>
      </c>
      <c r="AA26" s="8">
        <f>IFERROR(Z26/Z445, "NA")</f>
        <v>0</v>
      </c>
      <c r="AB26" s="9"/>
      <c r="AC26" s="10">
        <f t="shared" si="7"/>
        <v>9297.4</v>
      </c>
      <c r="AD26" s="8">
        <f>IFERROR(AC26/AC445, "NA")</f>
        <v>0.14785254883201993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IFERROR(B27/B445, "NA")</f>
        <v>0</v>
      </c>
      <c r="D27" s="9"/>
      <c r="E27" s="7">
        <v>0</v>
      </c>
      <c r="F27" s="8">
        <f>IFERROR(E27/E445, "NA")</f>
        <v>0</v>
      </c>
      <c r="G27" s="9"/>
      <c r="H27" s="10">
        <f t="shared" si="4"/>
        <v>0</v>
      </c>
      <c r="I27" s="8">
        <f>IFERROR(H27/H445, "NA")</f>
        <v>0</v>
      </c>
      <c r="J27" s="9"/>
      <c r="K27" s="7">
        <v>0</v>
      </c>
      <c r="L27" s="8">
        <f>IFERROR(K27/K445, "NA")</f>
        <v>0</v>
      </c>
      <c r="M27" s="9"/>
      <c r="N27" s="10">
        <f t="shared" si="5"/>
        <v>0</v>
      </c>
      <c r="O27" s="8">
        <f>IFERROR(N27/N445, "NA")</f>
        <v>0</v>
      </c>
      <c r="P27" s="9"/>
      <c r="Q27" s="7">
        <v>0</v>
      </c>
      <c r="R27" s="8">
        <f>IFERROR(Q27/Q445, "NA")</f>
        <v>0</v>
      </c>
      <c r="S27" s="9"/>
      <c r="T27" s="7">
        <v>0</v>
      </c>
      <c r="U27" s="8">
        <f>IFERROR(T27/T445, "NA")</f>
        <v>0</v>
      </c>
      <c r="V27" s="9"/>
      <c r="W27" s="10">
        <f t="shared" si="6"/>
        <v>0</v>
      </c>
      <c r="X27" s="8">
        <f>IFERROR(W27/W445, "NA")</f>
        <v>0</v>
      </c>
      <c r="Y27" s="9"/>
      <c r="Z27" s="7">
        <v>0</v>
      </c>
      <c r="AA27" s="8">
        <f>IFERROR(Z27/Z445, "NA")</f>
        <v>0</v>
      </c>
      <c r="AB27" s="9"/>
      <c r="AC27" s="10">
        <f t="shared" si="7"/>
        <v>0</v>
      </c>
      <c r="AD27" s="8">
        <f>IFERROR(AC27/AC445, "NA")</f>
        <v>0</v>
      </c>
    </row>
    <row r="28" spans="1:30" ht="16.5" customHeight="1" x14ac:dyDescent="0.45">
      <c r="A28" s="12" t="s">
        <v>29</v>
      </c>
      <c r="B28" s="7">
        <v>880.59</v>
      </c>
      <c r="C28" s="8">
        <f>IFERROR(B28/B445, "NA")</f>
        <v>8.062840695741506E-3</v>
      </c>
      <c r="D28" s="9"/>
      <c r="E28" s="7">
        <v>0</v>
      </c>
      <c r="F28" s="8">
        <f>IFERROR(E28/E445, "NA")</f>
        <v>0</v>
      </c>
      <c r="G28" s="9"/>
      <c r="H28" s="10">
        <f t="shared" si="4"/>
        <v>880.59</v>
      </c>
      <c r="I28" s="8">
        <f>IFERROR(H28/H445, "NA")</f>
        <v>6.0771585682973812E-2</v>
      </c>
      <c r="J28" s="9"/>
      <c r="K28" s="7">
        <v>904.49</v>
      </c>
      <c r="L28" s="8">
        <f>IFERROR(K28/K445, "NA")</f>
        <v>1.0443692690396569E-2</v>
      </c>
      <c r="M28" s="9"/>
      <c r="N28" s="10">
        <f t="shared" si="5"/>
        <v>-23.899999999999977</v>
      </c>
      <c r="O28" s="8">
        <f>IFERROR(N28/N445, "NA")</f>
        <v>-1.0570773095038312E-3</v>
      </c>
      <c r="P28" s="9"/>
      <c r="Q28" s="7">
        <v>4049.3</v>
      </c>
      <c r="R28" s="8">
        <f>IFERROR(Q28/Q445, "NA")</f>
        <v>7.9461008169513167E-3</v>
      </c>
      <c r="S28" s="9"/>
      <c r="T28" s="7">
        <v>0</v>
      </c>
      <c r="U28" s="8">
        <f>IFERROR(T28/T445, "NA")</f>
        <v>0</v>
      </c>
      <c r="V28" s="9"/>
      <c r="W28" s="10">
        <f t="shared" si="6"/>
        <v>4049.3</v>
      </c>
      <c r="X28" s="8">
        <f>IFERROR(W28/W445, "NA")</f>
        <v>0.13235813739580737</v>
      </c>
      <c r="Y28" s="9"/>
      <c r="Z28" s="7">
        <v>4323.46</v>
      </c>
      <c r="AA28" s="8">
        <f>IFERROR(Z28/Z445, "NA")</f>
        <v>9.6783856245217705E-3</v>
      </c>
      <c r="AB28" s="9"/>
      <c r="AC28" s="10">
        <f t="shared" si="7"/>
        <v>-274.15999999999985</v>
      </c>
      <c r="AD28" s="8">
        <f>IFERROR(AC28/AC445, "NA")</f>
        <v>-4.3598484294304386E-3</v>
      </c>
    </row>
    <row r="29" spans="1:30" ht="16.5" customHeight="1" x14ac:dyDescent="0.45">
      <c r="A29" s="13" t="s">
        <v>30</v>
      </c>
      <c r="B29" s="14">
        <f>IFERROR(B21+B22+B23+B24+B25+B26+B27+B28, "NA")</f>
        <v>9046.8000000000011</v>
      </c>
      <c r="C29" s="15">
        <f>IFERROR(B29/B445, "NA")</f>
        <v>8.2834130760324629E-2</v>
      </c>
      <c r="D29" s="2"/>
      <c r="E29" s="14">
        <f>IFERROR(E21+E22+E23+E24+E25+E26+E27+E28, "NA")</f>
        <v>8714.76</v>
      </c>
      <c r="F29" s="15">
        <f>IFERROR(E29/E445, "NA")</f>
        <v>9.1999963262342027E-2</v>
      </c>
      <c r="G29" s="2"/>
      <c r="H29" s="14">
        <f t="shared" si="4"/>
        <v>332.04000000000087</v>
      </c>
      <c r="I29" s="15">
        <f>IFERROR(H29/H445, "NA")</f>
        <v>2.2914860843496608E-2</v>
      </c>
      <c r="J29" s="2"/>
      <c r="K29" s="14">
        <f>IFERROR(K21+K22+K23+K24+K25+K26+K27+K28, "NA")</f>
        <v>7639.63</v>
      </c>
      <c r="L29" s="15">
        <f>IFERROR(K29/K445, "NA")</f>
        <v>8.8210978549607341E-2</v>
      </c>
      <c r="M29" s="2"/>
      <c r="N29" s="14">
        <f t="shared" si="5"/>
        <v>1407.170000000001</v>
      </c>
      <c r="O29" s="15">
        <f>IFERROR(N29/N445, "NA")</f>
        <v>6.2237969774665634E-2</v>
      </c>
      <c r="P29" s="2"/>
      <c r="Q29" s="14">
        <f>IFERROR(Q21+Q22+Q23+Q24+Q25+Q26+Q27+Q28, "NA")</f>
        <v>44804.160000000003</v>
      </c>
      <c r="R29" s="15">
        <f>IFERROR(Q29/Q445, "NA")</f>
        <v>8.7920967174281356E-2</v>
      </c>
      <c r="S29" s="2"/>
      <c r="T29" s="14">
        <f>IFERROR(T21+T22+T23+T24+T25+T26+T27+T28, "NA")</f>
        <v>44068.21</v>
      </c>
      <c r="U29" s="15">
        <f>IFERROR(T29/T445, "NA")</f>
        <v>9.1999988977089331E-2</v>
      </c>
      <c r="V29" s="2"/>
      <c r="W29" s="14">
        <f t="shared" si="6"/>
        <v>735.95000000000437</v>
      </c>
      <c r="X29" s="15">
        <f>IFERROR(W29/W445, "NA")</f>
        <v>2.4055755616142298E-2</v>
      </c>
      <c r="Y29" s="2"/>
      <c r="Z29" s="14">
        <f>IFERROR(Z21+Z22+Z23+Z24+Z25+Z26+Z27+Z28, "NA")</f>
        <v>38559.07</v>
      </c>
      <c r="AA29" s="15">
        <f>IFERROR(Z29/Z445, "NA")</f>
        <v>8.6317335833551986E-2</v>
      </c>
      <c r="AB29" s="2"/>
      <c r="AC29" s="14">
        <f t="shared" si="7"/>
        <v>6245.0900000000038</v>
      </c>
      <c r="AD29" s="15">
        <f>IFERROR(AC29/AC445, "NA")</f>
        <v>9.9312977196351654E-2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IFERROR(B31/B445, "NA")</f>
        <v>0</v>
      </c>
      <c r="D31" s="9"/>
      <c r="E31" s="7">
        <v>22923.62</v>
      </c>
      <c r="F31" s="8">
        <f>IFERROR(E31/E445, "NA")</f>
        <v>0.24200003188153074</v>
      </c>
      <c r="G31" s="9"/>
      <c r="H31" s="10">
        <f t="shared" ref="H31:H40" si="8">IFERROR(B31-E31, "NA")</f>
        <v>-22923.62</v>
      </c>
      <c r="I31" s="8">
        <f>IFERROR(H31/H445, "NA")</f>
        <v>-1.5820128970280516</v>
      </c>
      <c r="J31" s="9"/>
      <c r="K31" s="7">
        <v>0</v>
      </c>
      <c r="L31" s="8">
        <f>IFERROR(K31/K445, "NA")</f>
        <v>0</v>
      </c>
      <c r="M31" s="9"/>
      <c r="N31" s="10">
        <f t="shared" ref="N31:N40" si="9">IFERROR(B31-K31, "NA")</f>
        <v>0</v>
      </c>
      <c r="O31" s="8">
        <f>IFERROR(N31/N445, "NA")</f>
        <v>0</v>
      </c>
      <c r="P31" s="9"/>
      <c r="Q31" s="7">
        <v>0</v>
      </c>
      <c r="R31" s="8">
        <f>IFERROR(Q31/Q445, "NA")</f>
        <v>0</v>
      </c>
      <c r="S31" s="9"/>
      <c r="T31" s="7">
        <v>115918.58</v>
      </c>
      <c r="U31" s="8">
        <f>IFERROR(T31/T445, "NA")</f>
        <v>0.24200002864286632</v>
      </c>
      <c r="V31" s="9"/>
      <c r="W31" s="10">
        <f t="shared" ref="W31:W40" si="10">IFERROR(Q31-T31, "NA")</f>
        <v>-115918.58</v>
      </c>
      <c r="X31" s="8">
        <f>IFERROR(W31/W445, "NA")</f>
        <v>-3.7889925020045161</v>
      </c>
      <c r="Y31" s="9"/>
      <c r="Z31" s="7">
        <v>0</v>
      </c>
      <c r="AA31" s="8">
        <f>IFERROR(Z31/Z445, "NA")</f>
        <v>0</v>
      </c>
      <c r="AB31" s="9"/>
      <c r="AC31" s="10">
        <f t="shared" ref="AC31:AC40" si="11">IFERROR(Q31-Z31, "NA")</f>
        <v>0</v>
      </c>
      <c r="AD31" s="8">
        <f>IFERROR(AC31/AC445,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IFERROR(B32/B445, "NA")</f>
        <v>0</v>
      </c>
      <c r="D32" s="9"/>
      <c r="E32" s="7">
        <v>0</v>
      </c>
      <c r="F32" s="8">
        <f>IFERROR(E32/E445, "NA")</f>
        <v>0</v>
      </c>
      <c r="G32" s="9"/>
      <c r="H32" s="10">
        <f t="shared" si="8"/>
        <v>0</v>
      </c>
      <c r="I32" s="8">
        <f>IFERROR(H32/H445, "NA")</f>
        <v>0</v>
      </c>
      <c r="J32" s="9"/>
      <c r="K32" s="7">
        <v>0</v>
      </c>
      <c r="L32" s="8">
        <f>IFERROR(K32/K445, "NA")</f>
        <v>0</v>
      </c>
      <c r="M32" s="9"/>
      <c r="N32" s="10">
        <f t="shared" si="9"/>
        <v>0</v>
      </c>
      <c r="O32" s="8">
        <f>IFERROR(N32/N445, "NA")</f>
        <v>0</v>
      </c>
      <c r="P32" s="9"/>
      <c r="Q32" s="7">
        <v>0</v>
      </c>
      <c r="R32" s="8">
        <f>IFERROR(Q32/Q445, "NA")</f>
        <v>0</v>
      </c>
      <c r="S32" s="9"/>
      <c r="T32" s="7">
        <v>0</v>
      </c>
      <c r="U32" s="8">
        <f>IFERROR(T32/T445, "NA")</f>
        <v>0</v>
      </c>
      <c r="V32" s="9"/>
      <c r="W32" s="10">
        <f t="shared" si="10"/>
        <v>0</v>
      </c>
      <c r="X32" s="8">
        <f>IFERROR(W32/W445, "NA")</f>
        <v>0</v>
      </c>
      <c r="Y32" s="9"/>
      <c r="Z32" s="7">
        <v>0</v>
      </c>
      <c r="AA32" s="8">
        <f>IFERROR(Z32/Z445, "NA")</f>
        <v>0</v>
      </c>
      <c r="AB32" s="9"/>
      <c r="AC32" s="10">
        <f t="shared" si="11"/>
        <v>0</v>
      </c>
      <c r="AD32" s="8">
        <f>IFERROR(AC32/AC445, "NA")</f>
        <v>0</v>
      </c>
    </row>
    <row r="33" spans="1:30" ht="16.5" customHeight="1" x14ac:dyDescent="0.45">
      <c r="A33" s="12" t="s">
        <v>33</v>
      </c>
      <c r="B33" s="7">
        <v>12105.59</v>
      </c>
      <c r="C33" s="8">
        <f>IFERROR(B33/B445, "NA")</f>
        <v>0.11084096310196734</v>
      </c>
      <c r="D33" s="9"/>
      <c r="E33" s="7">
        <v>0</v>
      </c>
      <c r="F33" s="8">
        <f>IFERROR(E33/E445, "NA")</f>
        <v>0</v>
      </c>
      <c r="G33" s="9"/>
      <c r="H33" s="10">
        <f t="shared" si="8"/>
        <v>12105.59</v>
      </c>
      <c r="I33" s="8">
        <f>IFERROR(H33/H445, "NA")</f>
        <v>0.83543521948687915</v>
      </c>
      <c r="J33" s="9"/>
      <c r="K33" s="7">
        <v>7163.64</v>
      </c>
      <c r="L33" s="8">
        <f>IFERROR(K33/K445, "NA")</f>
        <v>8.2714960590644981E-2</v>
      </c>
      <c r="M33" s="9"/>
      <c r="N33" s="10">
        <f t="shared" si="9"/>
        <v>4941.95</v>
      </c>
      <c r="O33" s="8">
        <f>IFERROR(N33/N445, "NA")</f>
        <v>0.21857837697499846</v>
      </c>
      <c r="P33" s="9"/>
      <c r="Q33" s="7">
        <v>61343.64</v>
      </c>
      <c r="R33" s="8">
        <f>IFERROR(Q33/Q445, "NA")</f>
        <v>0.12037703996215825</v>
      </c>
      <c r="S33" s="9"/>
      <c r="T33" s="7">
        <v>0</v>
      </c>
      <c r="U33" s="8">
        <f>IFERROR(T33/T445, "NA")</f>
        <v>0</v>
      </c>
      <c r="V33" s="9"/>
      <c r="W33" s="10">
        <f t="shared" si="10"/>
        <v>61343.64</v>
      </c>
      <c r="X33" s="8">
        <f>IFERROR(W33/W445, "NA")</f>
        <v>2.0051193864319621</v>
      </c>
      <c r="Y33" s="9"/>
      <c r="Z33" s="7">
        <v>51038.02</v>
      </c>
      <c r="AA33" s="8">
        <f>IFERROR(Z33/Z445, "NA")</f>
        <v>0.11425239023191022</v>
      </c>
      <c r="AB33" s="9"/>
      <c r="AC33" s="10">
        <f t="shared" si="11"/>
        <v>10305.620000000003</v>
      </c>
      <c r="AD33" s="8">
        <f>IFERROR(AC33/AC445, "NA")</f>
        <v>0.16388583736251441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IFERROR(B34/B445, "NA")</f>
        <v>0</v>
      </c>
      <c r="D34" s="9"/>
      <c r="E34" s="7">
        <v>0</v>
      </c>
      <c r="F34" s="8">
        <f>IFERROR(E34/E445, "NA")</f>
        <v>0</v>
      </c>
      <c r="G34" s="9"/>
      <c r="H34" s="10">
        <f t="shared" si="8"/>
        <v>0</v>
      </c>
      <c r="I34" s="8">
        <f>IFERROR(H34/H445, "NA")</f>
        <v>0</v>
      </c>
      <c r="J34" s="9"/>
      <c r="K34" s="7">
        <v>0</v>
      </c>
      <c r="L34" s="8">
        <f>IFERROR(K34/K445, "NA")</f>
        <v>0</v>
      </c>
      <c r="M34" s="9"/>
      <c r="N34" s="10">
        <f t="shared" si="9"/>
        <v>0</v>
      </c>
      <c r="O34" s="8">
        <f>IFERROR(N34/N445, "NA")</f>
        <v>0</v>
      </c>
      <c r="P34" s="9"/>
      <c r="Q34" s="7">
        <v>0</v>
      </c>
      <c r="R34" s="8">
        <f>IFERROR(Q34/Q445, "NA")</f>
        <v>0</v>
      </c>
      <c r="S34" s="9"/>
      <c r="T34" s="7">
        <v>0</v>
      </c>
      <c r="U34" s="8">
        <f>IFERROR(T34/T445, "NA")</f>
        <v>0</v>
      </c>
      <c r="V34" s="9"/>
      <c r="W34" s="10">
        <f t="shared" si="10"/>
        <v>0</v>
      </c>
      <c r="X34" s="8">
        <f>IFERROR(W34/W445, "NA")</f>
        <v>0</v>
      </c>
      <c r="Y34" s="9"/>
      <c r="Z34" s="7">
        <v>0</v>
      </c>
      <c r="AA34" s="8">
        <f>IFERROR(Z34/Z445, "NA")</f>
        <v>0</v>
      </c>
      <c r="AB34" s="9"/>
      <c r="AC34" s="10">
        <f t="shared" si="11"/>
        <v>0</v>
      </c>
      <c r="AD34" s="8">
        <f>IFERROR(AC34/AC445, "NA")</f>
        <v>0</v>
      </c>
    </row>
    <row r="35" spans="1:30" ht="16.5" customHeight="1" x14ac:dyDescent="0.45">
      <c r="A35" s="12" t="s">
        <v>35</v>
      </c>
      <c r="B35" s="7">
        <v>847.28</v>
      </c>
      <c r="C35" s="8">
        <f>IFERROR(B35/B445, "NA")</f>
        <v>7.757848334284812E-3</v>
      </c>
      <c r="D35" s="9"/>
      <c r="E35" s="7">
        <v>0</v>
      </c>
      <c r="F35" s="8">
        <f>IFERROR(E35/E445, "NA")</f>
        <v>0</v>
      </c>
      <c r="G35" s="9"/>
      <c r="H35" s="10">
        <f t="shared" si="8"/>
        <v>847.28</v>
      </c>
      <c r="I35" s="8">
        <f>IFERROR(H35/H445, "NA")</f>
        <v>5.8472784289476429E-2</v>
      </c>
      <c r="J35" s="9"/>
      <c r="K35" s="7">
        <v>1366.23</v>
      </c>
      <c r="L35" s="8">
        <f>IFERROR(K35/K445, "NA")</f>
        <v>1.5775173041604116E-2</v>
      </c>
      <c r="M35" s="9"/>
      <c r="N35" s="10">
        <f t="shared" si="9"/>
        <v>-518.95000000000005</v>
      </c>
      <c r="O35" s="8">
        <f>IFERROR(N35/N445, "NA")</f>
        <v>-2.2952730952594719E-2</v>
      </c>
      <c r="P35" s="9"/>
      <c r="Q35" s="7">
        <v>4566.08</v>
      </c>
      <c r="R35" s="8">
        <f>IFERROR(Q35/Q445, "NA")</f>
        <v>8.9601985573469645E-3</v>
      </c>
      <c r="S35" s="9"/>
      <c r="T35" s="7">
        <v>0</v>
      </c>
      <c r="U35" s="8">
        <f>IFERROR(T35/T445, "NA")</f>
        <v>0</v>
      </c>
      <c r="V35" s="9"/>
      <c r="W35" s="10">
        <f t="shared" si="10"/>
        <v>4566.08</v>
      </c>
      <c r="X35" s="8">
        <f>IFERROR(W35/W445, "NA")</f>
        <v>0.14924995530097748</v>
      </c>
      <c r="Y35" s="9"/>
      <c r="Z35" s="7">
        <v>7037.78</v>
      </c>
      <c r="AA35" s="8">
        <f>IFERROR(Z35/Z445, "NA")</f>
        <v>1.5754592104598359E-2</v>
      </c>
      <c r="AB35" s="9"/>
      <c r="AC35" s="10">
        <f t="shared" si="11"/>
        <v>-2471.6999999999998</v>
      </c>
      <c r="AD35" s="8">
        <f>IFERROR(AC35/AC445, "NA")</f>
        <v>-3.9306380810560329E-2</v>
      </c>
    </row>
    <row r="36" spans="1:30" ht="16.5" customHeight="1" x14ac:dyDescent="0.45">
      <c r="A36" s="12" t="s">
        <v>36</v>
      </c>
      <c r="B36" s="7">
        <v>10198.83</v>
      </c>
      <c r="C36" s="8">
        <f>IFERROR(B36/B445, "NA")</f>
        <v>9.3382325001361982E-2</v>
      </c>
      <c r="D36" s="9"/>
      <c r="E36" s="7">
        <v>0</v>
      </c>
      <c r="F36" s="8">
        <f>IFERROR(E36/E445, "NA")</f>
        <v>0</v>
      </c>
      <c r="G36" s="9"/>
      <c r="H36" s="10">
        <f t="shared" si="8"/>
        <v>10198.83</v>
      </c>
      <c r="I36" s="8">
        <f>IFERROR(H36/H445, "NA")</f>
        <v>0.70384523014238609</v>
      </c>
      <c r="J36" s="9"/>
      <c r="K36" s="7">
        <v>9278.1</v>
      </c>
      <c r="L36" s="8">
        <f>IFERROR(K36/K445, "NA")</f>
        <v>0.10712957042174973</v>
      </c>
      <c r="M36" s="9"/>
      <c r="N36" s="10">
        <f t="shared" si="9"/>
        <v>920.72999999999956</v>
      </c>
      <c r="O36" s="8">
        <f>IFERROR(N36/N445, "NA")</f>
        <v>4.0723129338052846E-2</v>
      </c>
      <c r="P36" s="9"/>
      <c r="Q36" s="7">
        <v>63653.72</v>
      </c>
      <c r="R36" s="8">
        <f>IFERROR(Q36/Q445, "NA")</f>
        <v>0.12491020089743668</v>
      </c>
      <c r="S36" s="9"/>
      <c r="T36" s="7">
        <v>0</v>
      </c>
      <c r="U36" s="8">
        <f>IFERROR(T36/T445, "NA")</f>
        <v>0</v>
      </c>
      <c r="V36" s="9"/>
      <c r="W36" s="10">
        <f t="shared" si="10"/>
        <v>63653.72</v>
      </c>
      <c r="X36" s="8">
        <f>IFERROR(W36/W445, "NA")</f>
        <v>2.0806282116697332</v>
      </c>
      <c r="Y36" s="9"/>
      <c r="Z36" s="7">
        <v>75749.320000000007</v>
      </c>
      <c r="AA36" s="8">
        <f>IFERROR(Z36/Z445, "NA")</f>
        <v>0.16957046665293526</v>
      </c>
      <c r="AB36" s="9"/>
      <c r="AC36" s="10">
        <f t="shared" si="11"/>
        <v>-12095.600000000006</v>
      </c>
      <c r="AD36" s="8">
        <f>IFERROR(AC36/AC445, "NA")</f>
        <v>-0.19235111855492729</v>
      </c>
    </row>
    <row r="37" spans="1:30" ht="16.5" customHeight="1" x14ac:dyDescent="0.45">
      <c r="A37" s="12" t="s">
        <v>37</v>
      </c>
      <c r="B37" s="7">
        <v>1337.7</v>
      </c>
      <c r="C37" s="8">
        <f>IFERROR(B37/B445, "NA")</f>
        <v>1.2248222213167776E-2</v>
      </c>
      <c r="D37" s="9"/>
      <c r="E37" s="7">
        <v>0</v>
      </c>
      <c r="F37" s="8">
        <f>IFERROR(E37/E445, "NA")</f>
        <v>0</v>
      </c>
      <c r="G37" s="9"/>
      <c r="H37" s="10">
        <f t="shared" si="8"/>
        <v>1337.7</v>
      </c>
      <c r="I37" s="8">
        <f>IFERROR(H37/H445, "NA")</f>
        <v>9.2317821197281449E-2</v>
      </c>
      <c r="J37" s="9"/>
      <c r="K37" s="7">
        <v>0</v>
      </c>
      <c r="L37" s="8">
        <f>IFERROR(K37/K445, "NA")</f>
        <v>0</v>
      </c>
      <c r="M37" s="9"/>
      <c r="N37" s="10">
        <f t="shared" si="9"/>
        <v>1337.7</v>
      </c>
      <c r="O37" s="8">
        <f>IFERROR(N37/N445, "NA")</f>
        <v>5.9165368908923703E-2</v>
      </c>
      <c r="P37" s="9"/>
      <c r="Q37" s="7">
        <v>3799.87</v>
      </c>
      <c r="R37" s="8">
        <f>IFERROR(Q37/Q445, "NA")</f>
        <v>7.4566345075219908E-3</v>
      </c>
      <c r="S37" s="9"/>
      <c r="T37" s="7">
        <v>0</v>
      </c>
      <c r="U37" s="8">
        <f>IFERROR(T37/T445, "NA")</f>
        <v>0</v>
      </c>
      <c r="V37" s="9"/>
      <c r="W37" s="10">
        <f t="shared" si="10"/>
        <v>3799.87</v>
      </c>
      <c r="X37" s="8">
        <f>IFERROR(W37/W445, "NA")</f>
        <v>0.12420510101652298</v>
      </c>
      <c r="Y37" s="9"/>
      <c r="Z37" s="7">
        <v>0</v>
      </c>
      <c r="AA37" s="8">
        <f>IFERROR(Z37/Z445, "NA")</f>
        <v>0</v>
      </c>
      <c r="AB37" s="9"/>
      <c r="AC37" s="10">
        <f t="shared" si="11"/>
        <v>3799.87</v>
      </c>
      <c r="AD37" s="8">
        <f>IFERROR(AC37/AC445, "NA")</f>
        <v>6.0427696423766594E-2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IFERROR(B38/B445, "NA")</f>
        <v>0</v>
      </c>
      <c r="D38" s="9"/>
      <c r="E38" s="7">
        <v>0</v>
      </c>
      <c r="F38" s="8">
        <f>IFERROR(E38/E445, "NA")</f>
        <v>0</v>
      </c>
      <c r="G38" s="9"/>
      <c r="H38" s="10">
        <f t="shared" si="8"/>
        <v>0</v>
      </c>
      <c r="I38" s="8">
        <f>IFERROR(H38/H445, "NA")</f>
        <v>0</v>
      </c>
      <c r="J38" s="9"/>
      <c r="K38" s="7">
        <v>0</v>
      </c>
      <c r="L38" s="8">
        <f>IFERROR(K38/K445, "NA")</f>
        <v>0</v>
      </c>
      <c r="M38" s="9"/>
      <c r="N38" s="10">
        <f t="shared" si="9"/>
        <v>0</v>
      </c>
      <c r="O38" s="8">
        <f>IFERROR(N38/N445, "NA")</f>
        <v>0</v>
      </c>
      <c r="P38" s="9"/>
      <c r="Q38" s="7">
        <v>0</v>
      </c>
      <c r="R38" s="8">
        <f>IFERROR(Q38/Q445, "NA")</f>
        <v>0</v>
      </c>
      <c r="S38" s="9"/>
      <c r="T38" s="7">
        <v>0</v>
      </c>
      <c r="U38" s="8">
        <f>IFERROR(T38/T445, "NA")</f>
        <v>0</v>
      </c>
      <c r="V38" s="9"/>
      <c r="W38" s="10">
        <f t="shared" si="10"/>
        <v>0</v>
      </c>
      <c r="X38" s="8">
        <f>IFERROR(W38/W445, "NA")</f>
        <v>0</v>
      </c>
      <c r="Y38" s="9"/>
      <c r="Z38" s="7">
        <v>0</v>
      </c>
      <c r="AA38" s="8">
        <f>IFERROR(Z38/Z445, "NA")</f>
        <v>0</v>
      </c>
      <c r="AB38" s="9"/>
      <c r="AC38" s="10">
        <f t="shared" si="11"/>
        <v>0</v>
      </c>
      <c r="AD38" s="8">
        <f>IFERROR(AC38/AC445,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IFERROR(B39/B445, "NA")</f>
        <v>0</v>
      </c>
      <c r="D39" s="9"/>
      <c r="E39" s="7">
        <v>0</v>
      </c>
      <c r="F39" s="8">
        <f>IFERROR(E39/E445, "NA")</f>
        <v>0</v>
      </c>
      <c r="G39" s="9"/>
      <c r="H39" s="10">
        <f t="shared" si="8"/>
        <v>0</v>
      </c>
      <c r="I39" s="8">
        <f>IFERROR(H39/H445, "NA")</f>
        <v>0</v>
      </c>
      <c r="J39" s="9"/>
      <c r="K39" s="7">
        <v>630.25</v>
      </c>
      <c r="L39" s="8">
        <f>IFERROR(K39/K445, "NA")</f>
        <v>7.2771808622786741E-3</v>
      </c>
      <c r="M39" s="9"/>
      <c r="N39" s="10">
        <f t="shared" si="9"/>
        <v>-630.25</v>
      </c>
      <c r="O39" s="8">
        <f>IFERROR(N39/N445, "NA")</f>
        <v>-2.7875438255848966E-2</v>
      </c>
      <c r="P39" s="9"/>
      <c r="Q39" s="7">
        <v>137.65</v>
      </c>
      <c r="R39" s="8">
        <f>IFERROR(Q39/Q445, "NA")</f>
        <v>2.7011601448481188E-4</v>
      </c>
      <c r="S39" s="9"/>
      <c r="T39" s="7">
        <v>0</v>
      </c>
      <c r="U39" s="8">
        <f>IFERROR(T39/T445, "NA")</f>
        <v>0</v>
      </c>
      <c r="V39" s="9"/>
      <c r="W39" s="10">
        <f t="shared" si="10"/>
        <v>137.65</v>
      </c>
      <c r="X39" s="8">
        <f>IFERROR(W39/W445, "NA")</f>
        <v>4.4993202806739149E-3</v>
      </c>
      <c r="Y39" s="9"/>
      <c r="Z39" s="7">
        <v>4324.93</v>
      </c>
      <c r="AA39" s="8">
        <f>IFERROR(Z39/Z445, "NA")</f>
        <v>9.6816763284644572E-3</v>
      </c>
      <c r="AB39" s="9"/>
      <c r="AC39" s="10">
        <f t="shared" si="11"/>
        <v>-4187.2800000000007</v>
      </c>
      <c r="AD39" s="8">
        <f>IFERROR(AC39/AC445, "NA")</f>
        <v>-6.658851083887328E-2</v>
      </c>
    </row>
    <row r="40" spans="1:30" ht="16.5" customHeight="1" x14ac:dyDescent="0.45">
      <c r="A40" s="13" t="s">
        <v>40</v>
      </c>
      <c r="B40" s="14">
        <f>IFERROR(B31+B32+B33+B34+B35+B36+B37+B38+B39, "NA")</f>
        <v>24489.4</v>
      </c>
      <c r="C40" s="15">
        <f>IFERROR(B40/B445, "NA")</f>
        <v>0.22422935865078192</v>
      </c>
      <c r="D40" s="2"/>
      <c r="E40" s="14">
        <f>IFERROR(E31+E32+E33+E34+E35+E36+E37+E38+E39, "NA")</f>
        <v>22923.62</v>
      </c>
      <c r="F40" s="15">
        <f>IFERROR(E40/E445, "NA")</f>
        <v>0.24200003188153074</v>
      </c>
      <c r="G40" s="2"/>
      <c r="H40" s="14">
        <f t="shared" si="8"/>
        <v>1565.7800000000025</v>
      </c>
      <c r="I40" s="15">
        <f>IFERROR(H40/H445, "NA")</f>
        <v>0.10805815808797156</v>
      </c>
      <c r="J40" s="2"/>
      <c r="K40" s="14">
        <f>IFERROR(K31+K32+K33+K34+K35+K36+K37+K38+K39, "NA")</f>
        <v>18438.22</v>
      </c>
      <c r="L40" s="15">
        <f>IFERROR(K40/K445, "NA")</f>
        <v>0.21289688491627751</v>
      </c>
      <c r="M40" s="2"/>
      <c r="N40" s="14">
        <f t="shared" si="9"/>
        <v>6051.18</v>
      </c>
      <c r="O40" s="15">
        <f>IFERROR(N40/N445, "NA")</f>
        <v>0.2676387060135314</v>
      </c>
      <c r="P40" s="2"/>
      <c r="Q40" s="14">
        <f>IFERROR(Q31+Q32+Q33+Q34+Q35+Q36+Q37+Q38+Q39, "NA")</f>
        <v>133500.96</v>
      </c>
      <c r="R40" s="15">
        <f>IFERROR(Q40/Q445, "NA")</f>
        <v>0.26197418993894867</v>
      </c>
      <c r="S40" s="2"/>
      <c r="T40" s="14">
        <f>IFERROR(T31+T32+T33+T34+T35+T36+T37+T38+T39, "NA")</f>
        <v>115918.58</v>
      </c>
      <c r="U40" s="15">
        <f>IFERROR(T40/T445, "NA")</f>
        <v>0.24200002864286632</v>
      </c>
      <c r="V40" s="2"/>
      <c r="W40" s="14">
        <f t="shared" si="10"/>
        <v>17582.37999999999</v>
      </c>
      <c r="X40" s="15">
        <f>IFERROR(W40/W445, "NA")</f>
        <v>0.57470947269535333</v>
      </c>
      <c r="Y40" s="2"/>
      <c r="Z40" s="14">
        <f>IFERROR(Z31+Z32+Z33+Z34+Z35+Z36+Z37+Z38+Z39, "NA")</f>
        <v>138150.04999999999</v>
      </c>
      <c r="AA40" s="15">
        <f>IFERROR(Z40/Z445, "NA")</f>
        <v>0.30925912531790828</v>
      </c>
      <c r="AB40" s="2"/>
      <c r="AC40" s="14">
        <f t="shared" si="11"/>
        <v>-4649.0899999999965</v>
      </c>
      <c r="AD40" s="15">
        <f>IFERROR(AC40/AC445, "NA")</f>
        <v>-7.393247641807979E-2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IFERROR(B42/B445, "NA")</f>
        <v>0</v>
      </c>
      <c r="D42" s="9"/>
      <c r="E42" s="7">
        <v>18660.96</v>
      </c>
      <c r="F42" s="8">
        <f>IFERROR(E42/E445, "NA")</f>
        <v>0.19699999018217759</v>
      </c>
      <c r="G42" s="9"/>
      <c r="H42" s="10">
        <f>IFERROR(B42-E42, "NA")</f>
        <v>-18660.96</v>
      </c>
      <c r="I42" s="8">
        <f>IFERROR(H42/H445, "NA")</f>
        <v>-1.2878367112578464</v>
      </c>
      <c r="J42" s="9"/>
      <c r="K42" s="7">
        <v>0</v>
      </c>
      <c r="L42" s="8">
        <f>IFERROR(K42/K445, "NA")</f>
        <v>0</v>
      </c>
      <c r="M42" s="9"/>
      <c r="N42" s="10">
        <f>IFERROR(B42-K42, "NA")</f>
        <v>0</v>
      </c>
      <c r="O42" s="8">
        <f>IFERROR(N42/N445, "NA")</f>
        <v>0</v>
      </c>
      <c r="P42" s="9"/>
      <c r="Q42" s="7">
        <v>0</v>
      </c>
      <c r="R42" s="8">
        <f>IFERROR(Q42/Q445, "NA")</f>
        <v>0</v>
      </c>
      <c r="S42" s="9"/>
      <c r="T42" s="7">
        <v>94363.46</v>
      </c>
      <c r="U42" s="8">
        <f>IFERROR(T42/T445, "NA")</f>
        <v>0.19699999795408099</v>
      </c>
      <c r="V42" s="9"/>
      <c r="W42" s="10">
        <f>IFERROR(Q42-T42, "NA")</f>
        <v>-94363.46</v>
      </c>
      <c r="X42" s="8">
        <f>IFERROR(W42/W445, "NA")</f>
        <v>-3.0844273834548619</v>
      </c>
      <c r="Y42" s="9"/>
      <c r="Z42" s="7">
        <v>0</v>
      </c>
      <c r="AA42" s="8">
        <f>IFERROR(Z42/Z445, "NA")</f>
        <v>0</v>
      </c>
      <c r="AB42" s="9"/>
      <c r="AC42" s="10">
        <f>IFERROR(Q42-Z42, "NA")</f>
        <v>0</v>
      </c>
      <c r="AD42" s="8">
        <f>IFERROR(AC42/AC445, "NA")</f>
        <v>0</v>
      </c>
    </row>
    <row r="43" spans="1:30" ht="16.5" customHeight="1" x14ac:dyDescent="0.45">
      <c r="A43" s="12" t="s">
        <v>42</v>
      </c>
      <c r="B43" s="7">
        <v>4922.8</v>
      </c>
      <c r="C43" s="8">
        <f>IFERROR(B43/B445, "NA")</f>
        <v>4.5074043739988287E-2</v>
      </c>
      <c r="D43" s="9"/>
      <c r="E43" s="7">
        <v>0</v>
      </c>
      <c r="F43" s="8">
        <f>IFERROR(E43/E445, "NA")</f>
        <v>0</v>
      </c>
      <c r="G43" s="9"/>
      <c r="H43" s="10">
        <f>IFERROR(B43-E43, "NA")</f>
        <v>4922.8</v>
      </c>
      <c r="I43" s="8">
        <f>IFERROR(H43/H445, "NA")</f>
        <v>0.33973399879642452</v>
      </c>
      <c r="J43" s="9"/>
      <c r="K43" s="7">
        <v>7079.02</v>
      </c>
      <c r="L43" s="8">
        <f>IFERROR(K43/K445, "NA")</f>
        <v>8.1737895863051149E-2</v>
      </c>
      <c r="M43" s="9"/>
      <c r="N43" s="10">
        <f>IFERROR(B43-K43, "NA")</f>
        <v>-2156.2200000000003</v>
      </c>
      <c r="O43" s="8">
        <f>IFERROR(N43/N445, "NA")</f>
        <v>-9.5367834154742828E-2</v>
      </c>
      <c r="P43" s="9"/>
      <c r="Q43" s="7">
        <v>17219.07</v>
      </c>
      <c r="R43" s="8">
        <f>IFERROR(Q43/Q445, "NA")</f>
        <v>3.3789659001343911E-2</v>
      </c>
      <c r="S43" s="9"/>
      <c r="T43" s="7">
        <v>0</v>
      </c>
      <c r="U43" s="8">
        <f>IFERROR(T43/T445, "NA")</f>
        <v>0</v>
      </c>
      <c r="V43" s="9"/>
      <c r="W43" s="10">
        <f>IFERROR(Q43-T43, "NA")</f>
        <v>17219.07</v>
      </c>
      <c r="X43" s="8">
        <f>IFERROR(W43/W445, "NA")</f>
        <v>0.56283407820809139</v>
      </c>
      <c r="Y43" s="9"/>
      <c r="Z43" s="7">
        <v>21901.439999999999</v>
      </c>
      <c r="AA43" s="8">
        <f>IFERROR(Z43/Z445, "NA")</f>
        <v>4.9027996570414914E-2</v>
      </c>
      <c r="AB43" s="9"/>
      <c r="AC43" s="10">
        <f>IFERROR(Q43-Z43, "NA")</f>
        <v>-4682.369999999999</v>
      </c>
      <c r="AD43" s="8">
        <f>IFERROR(AC43/AC445, "NA")</f>
        <v>-7.446171392804278E-2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IFERROR(B44/B445, "NA")</f>
        <v>0</v>
      </c>
      <c r="D44" s="9"/>
      <c r="E44" s="7">
        <v>0</v>
      </c>
      <c r="F44" s="8">
        <f>IFERROR(E44/E445, "NA")</f>
        <v>0</v>
      </c>
      <c r="G44" s="9"/>
      <c r="H44" s="10">
        <f>IFERROR(B44-E44, "NA")</f>
        <v>0</v>
      </c>
      <c r="I44" s="8">
        <f>IFERROR(H44/H445, "NA")</f>
        <v>0</v>
      </c>
      <c r="J44" s="9"/>
      <c r="K44" s="7">
        <v>0</v>
      </c>
      <c r="L44" s="8">
        <f>IFERROR(K44/K445, "NA")</f>
        <v>0</v>
      </c>
      <c r="M44" s="9"/>
      <c r="N44" s="10">
        <f>IFERROR(B44-K44, "NA")</f>
        <v>0</v>
      </c>
      <c r="O44" s="8">
        <f>IFERROR(N44/N445, "NA")</f>
        <v>0</v>
      </c>
      <c r="P44" s="9"/>
      <c r="Q44" s="7">
        <v>0</v>
      </c>
      <c r="R44" s="8">
        <f>IFERROR(Q44/Q445, "NA")</f>
        <v>0</v>
      </c>
      <c r="S44" s="9"/>
      <c r="T44" s="7">
        <v>0</v>
      </c>
      <c r="U44" s="8">
        <f>IFERROR(T44/T445, "NA")</f>
        <v>0</v>
      </c>
      <c r="V44" s="9"/>
      <c r="W44" s="10">
        <f>IFERROR(Q44-T44, "NA")</f>
        <v>0</v>
      </c>
      <c r="X44" s="8">
        <f>IFERROR(W44/W445, "NA")</f>
        <v>0</v>
      </c>
      <c r="Y44" s="9"/>
      <c r="Z44" s="7">
        <v>0</v>
      </c>
      <c r="AA44" s="8">
        <f>IFERROR(Z44/Z445, "NA")</f>
        <v>0</v>
      </c>
      <c r="AB44" s="9"/>
      <c r="AC44" s="10">
        <f>IFERROR(Q44-Z44, "NA")</f>
        <v>0</v>
      </c>
      <c r="AD44" s="8">
        <f>IFERROR(AC44/AC445,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IFERROR(B46/B445, "NA")</f>
        <v>0</v>
      </c>
      <c r="D46" s="9"/>
      <c r="E46" s="7">
        <v>0</v>
      </c>
      <c r="F46" s="8">
        <f>IFERROR(E46/E445, "NA")</f>
        <v>0</v>
      </c>
      <c r="G46" s="9"/>
      <c r="H46" s="10">
        <f t="shared" ref="H46:H62" si="12">IFERROR(B46-E46, "NA")</f>
        <v>0</v>
      </c>
      <c r="I46" s="8">
        <f>IFERROR(H46/H445, "NA")</f>
        <v>0</v>
      </c>
      <c r="J46" s="9"/>
      <c r="K46" s="7">
        <v>0</v>
      </c>
      <c r="L46" s="8">
        <f>IFERROR(K46/K445, "NA")</f>
        <v>0</v>
      </c>
      <c r="M46" s="9"/>
      <c r="N46" s="10">
        <f t="shared" ref="N46:N62" si="13">IFERROR(B46-K46, "NA")</f>
        <v>0</v>
      </c>
      <c r="O46" s="8">
        <f>IFERROR(N46/N445, "NA")</f>
        <v>0</v>
      </c>
      <c r="P46" s="9"/>
      <c r="Q46" s="7">
        <v>0</v>
      </c>
      <c r="R46" s="8">
        <f>IFERROR(Q46/Q445, "NA")</f>
        <v>0</v>
      </c>
      <c r="S46" s="9"/>
      <c r="T46" s="7">
        <v>0</v>
      </c>
      <c r="U46" s="8">
        <f>IFERROR(T46/T445, "NA")</f>
        <v>0</v>
      </c>
      <c r="V46" s="9"/>
      <c r="W46" s="10">
        <f t="shared" ref="W46:W62" si="14">IFERROR(Q46-T46, "NA")</f>
        <v>0</v>
      </c>
      <c r="X46" s="8">
        <f>IFERROR(W46/W445, "NA")</f>
        <v>0</v>
      </c>
      <c r="Y46" s="9"/>
      <c r="Z46" s="7">
        <v>0</v>
      </c>
      <c r="AA46" s="8">
        <f>IFERROR(Z46/Z445, "NA")</f>
        <v>0</v>
      </c>
      <c r="AB46" s="9"/>
      <c r="AC46" s="10">
        <f t="shared" ref="AC46:AC62" si="15">IFERROR(Q46-Z46, "NA")</f>
        <v>0</v>
      </c>
      <c r="AD46" s="8">
        <f>IFERROR(AC46/AC445,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IFERROR(B47/B445, "NA")</f>
        <v>0</v>
      </c>
      <c r="D47" s="9"/>
      <c r="E47" s="7">
        <v>0</v>
      </c>
      <c r="F47" s="8">
        <f>IFERROR(E47/E445, "NA")</f>
        <v>0</v>
      </c>
      <c r="G47" s="9"/>
      <c r="H47" s="10">
        <f t="shared" si="12"/>
        <v>0</v>
      </c>
      <c r="I47" s="8">
        <f>IFERROR(H47/H445, "NA")</f>
        <v>0</v>
      </c>
      <c r="J47" s="9"/>
      <c r="K47" s="7">
        <v>0</v>
      </c>
      <c r="L47" s="8">
        <f>IFERROR(K47/K445, "NA")</f>
        <v>0</v>
      </c>
      <c r="M47" s="9"/>
      <c r="N47" s="10">
        <f t="shared" si="13"/>
        <v>0</v>
      </c>
      <c r="O47" s="8">
        <f>IFERROR(N47/N445, "NA")</f>
        <v>0</v>
      </c>
      <c r="P47" s="9"/>
      <c r="Q47" s="7">
        <v>0</v>
      </c>
      <c r="R47" s="8">
        <f>IFERROR(Q47/Q445, "NA")</f>
        <v>0</v>
      </c>
      <c r="S47" s="9"/>
      <c r="T47" s="7">
        <v>0</v>
      </c>
      <c r="U47" s="8">
        <f>IFERROR(T47/T445, "NA")</f>
        <v>0</v>
      </c>
      <c r="V47" s="9"/>
      <c r="W47" s="10">
        <f t="shared" si="14"/>
        <v>0</v>
      </c>
      <c r="X47" s="8">
        <f>IFERROR(W47/W445, "NA")</f>
        <v>0</v>
      </c>
      <c r="Y47" s="9"/>
      <c r="Z47" s="7">
        <v>0</v>
      </c>
      <c r="AA47" s="8">
        <f>IFERROR(Z47/Z445, "NA")</f>
        <v>0</v>
      </c>
      <c r="AB47" s="9"/>
      <c r="AC47" s="10">
        <f t="shared" si="15"/>
        <v>0</v>
      </c>
      <c r="AD47" s="8">
        <f>IFERROR(AC47/AC445, "NA")</f>
        <v>0</v>
      </c>
    </row>
    <row r="48" spans="1:30" ht="16.5" customHeight="1" x14ac:dyDescent="0.45">
      <c r="A48" s="17" t="s">
        <v>46</v>
      </c>
      <c r="B48" s="7">
        <v>13963.72</v>
      </c>
      <c r="C48" s="8">
        <f>IFERROR(B48/B445, "NA")</f>
        <v>0.12785433616091435</v>
      </c>
      <c r="D48" s="9"/>
      <c r="E48" s="7">
        <v>0</v>
      </c>
      <c r="F48" s="8">
        <f>IFERROR(E48/E445, "NA")</f>
        <v>0</v>
      </c>
      <c r="G48" s="9"/>
      <c r="H48" s="10">
        <f t="shared" si="12"/>
        <v>13963.72</v>
      </c>
      <c r="I48" s="8">
        <f>IFERROR(H48/H445, "NA")</f>
        <v>0.96366913822897715</v>
      </c>
      <c r="J48" s="9"/>
      <c r="K48" s="7">
        <v>8161.53</v>
      </c>
      <c r="L48" s="8">
        <f>IFERROR(K48/K445, "NA")</f>
        <v>9.423709626800994E-2</v>
      </c>
      <c r="M48" s="9"/>
      <c r="N48" s="10">
        <f t="shared" si="13"/>
        <v>5802.19</v>
      </c>
      <c r="O48" s="8">
        <f>IFERROR(N48/N445, "NA")</f>
        <v>0.25662608344895566</v>
      </c>
      <c r="P48" s="9"/>
      <c r="Q48" s="7">
        <v>68363.929999999993</v>
      </c>
      <c r="R48" s="8">
        <f>IFERROR(Q48/Q445, "NA")</f>
        <v>0.13415323142839566</v>
      </c>
      <c r="S48" s="9"/>
      <c r="T48" s="7">
        <v>0</v>
      </c>
      <c r="U48" s="8">
        <f>IFERROR(T48/T445, "NA")</f>
        <v>0</v>
      </c>
      <c r="V48" s="9"/>
      <c r="W48" s="10">
        <f t="shared" si="14"/>
        <v>68363.929999999993</v>
      </c>
      <c r="X48" s="8">
        <f>IFERROR(W48/W445, "NA")</f>
        <v>2.2345892968802894</v>
      </c>
      <c r="Y48" s="9"/>
      <c r="Z48" s="7">
        <v>35153.919999999998</v>
      </c>
      <c r="AA48" s="8">
        <f>IFERROR(Z48/Z445, "NA")</f>
        <v>7.8694655200600525E-2</v>
      </c>
      <c r="AB48" s="9"/>
      <c r="AC48" s="10">
        <f t="shared" si="15"/>
        <v>33210.009999999995</v>
      </c>
      <c r="AD48" s="8">
        <f>IFERROR(AC48/AC445, "NA")</f>
        <v>0.5281244891299578</v>
      </c>
    </row>
    <row r="49" spans="1:30" ht="16.5" customHeight="1" x14ac:dyDescent="0.45">
      <c r="A49" s="17" t="s">
        <v>47</v>
      </c>
      <c r="B49" s="7">
        <v>0</v>
      </c>
      <c r="C49" s="8">
        <f>IFERROR(B49/B445, "NA")</f>
        <v>0</v>
      </c>
      <c r="D49" s="9"/>
      <c r="E49" s="7">
        <v>0</v>
      </c>
      <c r="F49" s="8">
        <f>IFERROR(E49/E445, "NA")</f>
        <v>0</v>
      </c>
      <c r="G49" s="9"/>
      <c r="H49" s="10">
        <f t="shared" si="12"/>
        <v>0</v>
      </c>
      <c r="I49" s="8">
        <f>IFERROR(H49/H445, "NA")</f>
        <v>0</v>
      </c>
      <c r="J49" s="9"/>
      <c r="K49" s="7">
        <v>470.48</v>
      </c>
      <c r="L49" s="8">
        <f>IFERROR(K49/K445, "NA")</f>
        <v>5.4323967506304969E-3</v>
      </c>
      <c r="M49" s="9"/>
      <c r="N49" s="10">
        <f t="shared" si="13"/>
        <v>-470.48</v>
      </c>
      <c r="O49" s="8">
        <f>IFERROR(N49/N445, "NA")</f>
        <v>-2.0808942785580042E-2</v>
      </c>
      <c r="P49" s="9"/>
      <c r="Q49" s="7">
        <v>0</v>
      </c>
      <c r="R49" s="8">
        <f>IFERROR(Q49/Q445, "NA")</f>
        <v>0</v>
      </c>
      <c r="S49" s="9"/>
      <c r="T49" s="7">
        <v>0</v>
      </c>
      <c r="U49" s="8">
        <f>IFERROR(T49/T445, "NA")</f>
        <v>0</v>
      </c>
      <c r="V49" s="9"/>
      <c r="W49" s="10">
        <f t="shared" si="14"/>
        <v>0</v>
      </c>
      <c r="X49" s="8">
        <f>IFERROR(W49/W445, "NA")</f>
        <v>0</v>
      </c>
      <c r="Y49" s="9"/>
      <c r="Z49" s="7">
        <v>475.48</v>
      </c>
      <c r="AA49" s="8">
        <f>IFERROR(Z49/Z445, "NA")</f>
        <v>1.0643972181418613E-3</v>
      </c>
      <c r="AB49" s="9"/>
      <c r="AC49" s="10">
        <f t="shared" si="15"/>
        <v>-475.48</v>
      </c>
      <c r="AD49" s="8">
        <f>IFERROR(AC49/AC445, "NA")</f>
        <v>-7.5613537030405102E-3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IFERROR(B50/B445, "NA")</f>
        <v>0</v>
      </c>
      <c r="D50" s="9"/>
      <c r="E50" s="7">
        <v>0</v>
      </c>
      <c r="F50" s="8">
        <f>IFERROR(E50/E445, "NA")</f>
        <v>0</v>
      </c>
      <c r="G50" s="9"/>
      <c r="H50" s="10">
        <f t="shared" si="12"/>
        <v>0</v>
      </c>
      <c r="I50" s="8">
        <f>IFERROR(H50/H445, "NA")</f>
        <v>0</v>
      </c>
      <c r="J50" s="9"/>
      <c r="K50" s="7">
        <v>0</v>
      </c>
      <c r="L50" s="8">
        <f>IFERROR(K50/K445, "NA")</f>
        <v>0</v>
      </c>
      <c r="M50" s="9"/>
      <c r="N50" s="10">
        <f t="shared" si="13"/>
        <v>0</v>
      </c>
      <c r="O50" s="8">
        <f>IFERROR(N50/N445, "NA")</f>
        <v>0</v>
      </c>
      <c r="P50" s="9"/>
      <c r="Q50" s="7">
        <v>0</v>
      </c>
      <c r="R50" s="8">
        <f>IFERROR(Q50/Q445, "NA")</f>
        <v>0</v>
      </c>
      <c r="S50" s="9"/>
      <c r="T50" s="7">
        <v>0</v>
      </c>
      <c r="U50" s="8">
        <f>IFERROR(T50/T445, "NA")</f>
        <v>0</v>
      </c>
      <c r="V50" s="9"/>
      <c r="W50" s="10">
        <f t="shared" si="14"/>
        <v>0</v>
      </c>
      <c r="X50" s="8">
        <f>IFERROR(W50/W445, "NA")</f>
        <v>0</v>
      </c>
      <c r="Y50" s="9"/>
      <c r="Z50" s="7">
        <v>0</v>
      </c>
      <c r="AA50" s="8">
        <f>IFERROR(Z50/Z445, "NA")</f>
        <v>0</v>
      </c>
      <c r="AB50" s="9"/>
      <c r="AC50" s="10">
        <f t="shared" si="15"/>
        <v>0</v>
      </c>
      <c r="AD50" s="8">
        <f>IFERROR(AC50/AC445,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IFERROR(B51/B445, "NA")</f>
        <v>0</v>
      </c>
      <c r="D51" s="9"/>
      <c r="E51" s="7">
        <v>0</v>
      </c>
      <c r="F51" s="8">
        <f>IFERROR(E51/E445, "NA")</f>
        <v>0</v>
      </c>
      <c r="G51" s="9"/>
      <c r="H51" s="10">
        <f t="shared" si="12"/>
        <v>0</v>
      </c>
      <c r="I51" s="8">
        <f>IFERROR(H51/H445, "NA")</f>
        <v>0</v>
      </c>
      <c r="J51" s="9"/>
      <c r="K51" s="7">
        <v>0</v>
      </c>
      <c r="L51" s="8">
        <f>IFERROR(K51/K445, "NA")</f>
        <v>0</v>
      </c>
      <c r="M51" s="9"/>
      <c r="N51" s="10">
        <f t="shared" si="13"/>
        <v>0</v>
      </c>
      <c r="O51" s="8">
        <f>IFERROR(N51/N445, "NA")</f>
        <v>0</v>
      </c>
      <c r="P51" s="9"/>
      <c r="Q51" s="7">
        <v>0</v>
      </c>
      <c r="R51" s="8">
        <f>IFERROR(Q51/Q445, "NA")</f>
        <v>0</v>
      </c>
      <c r="S51" s="9"/>
      <c r="T51" s="7">
        <v>0</v>
      </c>
      <c r="U51" s="8">
        <f>IFERROR(T51/T445, "NA")</f>
        <v>0</v>
      </c>
      <c r="V51" s="9"/>
      <c r="W51" s="10">
        <f t="shared" si="14"/>
        <v>0</v>
      </c>
      <c r="X51" s="8">
        <f>IFERROR(W51/W445, "NA")</f>
        <v>0</v>
      </c>
      <c r="Y51" s="9"/>
      <c r="Z51" s="7">
        <v>0</v>
      </c>
      <c r="AA51" s="8">
        <f>IFERROR(Z51/Z445, "NA")</f>
        <v>0</v>
      </c>
      <c r="AB51" s="9"/>
      <c r="AC51" s="10">
        <f t="shared" si="15"/>
        <v>0</v>
      </c>
      <c r="AD51" s="8">
        <f>IFERROR(AC51/AC445, "NA")</f>
        <v>0</v>
      </c>
    </row>
    <row r="52" spans="1:30" ht="16.5" customHeight="1" x14ac:dyDescent="0.45">
      <c r="A52" s="17" t="s">
        <v>50</v>
      </c>
      <c r="B52" s="7">
        <v>0</v>
      </c>
      <c r="C52" s="8">
        <f>IFERROR(B52/B445, "NA")</f>
        <v>0</v>
      </c>
      <c r="D52" s="9"/>
      <c r="E52" s="7">
        <v>0</v>
      </c>
      <c r="F52" s="8">
        <f>IFERROR(E52/E445, "NA")</f>
        <v>0</v>
      </c>
      <c r="G52" s="9"/>
      <c r="H52" s="10">
        <f t="shared" si="12"/>
        <v>0</v>
      </c>
      <c r="I52" s="8">
        <f>IFERROR(H52/H445, "NA")</f>
        <v>0</v>
      </c>
      <c r="J52" s="9"/>
      <c r="K52" s="7">
        <v>0</v>
      </c>
      <c r="L52" s="8">
        <f>IFERROR(K52/K445, "NA")</f>
        <v>0</v>
      </c>
      <c r="M52" s="9"/>
      <c r="N52" s="10">
        <f t="shared" si="13"/>
        <v>0</v>
      </c>
      <c r="O52" s="8">
        <f>IFERROR(N52/N445, "NA")</f>
        <v>0</v>
      </c>
      <c r="P52" s="9"/>
      <c r="Q52" s="7">
        <v>7900</v>
      </c>
      <c r="R52" s="8">
        <f>IFERROR(Q52/Q445, "NA")</f>
        <v>1.5502481034725853E-2</v>
      </c>
      <c r="S52" s="9"/>
      <c r="T52" s="7">
        <v>0</v>
      </c>
      <c r="U52" s="8">
        <f>IFERROR(T52/T445, "NA")</f>
        <v>0</v>
      </c>
      <c r="V52" s="9"/>
      <c r="W52" s="10">
        <f t="shared" si="14"/>
        <v>7900</v>
      </c>
      <c r="X52" s="8">
        <f>IFERROR(W52/W445, "NA")</f>
        <v>0.25822470190573138</v>
      </c>
      <c r="Y52" s="9"/>
      <c r="Z52" s="7">
        <v>0</v>
      </c>
      <c r="AA52" s="8">
        <f>IFERROR(Z52/Z445, "NA")</f>
        <v>0</v>
      </c>
      <c r="AB52" s="9"/>
      <c r="AC52" s="10">
        <f t="shared" si="15"/>
        <v>7900</v>
      </c>
      <c r="AD52" s="8">
        <f>IFERROR(AC52/AC445, "NA")</f>
        <v>0.12563029833856318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IFERROR(B53/B445, "NA")</f>
        <v>0</v>
      </c>
      <c r="D53" s="9"/>
      <c r="E53" s="7">
        <v>0</v>
      </c>
      <c r="F53" s="8">
        <f>IFERROR(E53/E445, "NA")</f>
        <v>0</v>
      </c>
      <c r="G53" s="9"/>
      <c r="H53" s="10">
        <f t="shared" si="12"/>
        <v>0</v>
      </c>
      <c r="I53" s="8">
        <f>IFERROR(H53/H445, "NA")</f>
        <v>0</v>
      </c>
      <c r="J53" s="9"/>
      <c r="K53" s="7">
        <v>0</v>
      </c>
      <c r="L53" s="8">
        <f>IFERROR(K53/K445, "NA")</f>
        <v>0</v>
      </c>
      <c r="M53" s="9"/>
      <c r="N53" s="10">
        <f t="shared" si="13"/>
        <v>0</v>
      </c>
      <c r="O53" s="8">
        <f>IFERROR(N53/N445, "NA")</f>
        <v>0</v>
      </c>
      <c r="P53" s="9"/>
      <c r="Q53" s="7">
        <v>0</v>
      </c>
      <c r="R53" s="8">
        <f>IFERROR(Q53/Q445, "NA")</f>
        <v>0</v>
      </c>
      <c r="S53" s="9"/>
      <c r="T53" s="7">
        <v>0</v>
      </c>
      <c r="U53" s="8">
        <f>IFERROR(T53/T445, "NA")</f>
        <v>0</v>
      </c>
      <c r="V53" s="9"/>
      <c r="W53" s="10">
        <f t="shared" si="14"/>
        <v>0</v>
      </c>
      <c r="X53" s="8">
        <f>IFERROR(W53/W445, "NA")</f>
        <v>0</v>
      </c>
      <c r="Y53" s="9"/>
      <c r="Z53" s="7">
        <v>0</v>
      </c>
      <c r="AA53" s="8">
        <f>IFERROR(Z53/Z445, "NA")</f>
        <v>0</v>
      </c>
      <c r="AB53" s="9"/>
      <c r="AC53" s="10">
        <f t="shared" si="15"/>
        <v>0</v>
      </c>
      <c r="AD53" s="8">
        <f>IFERROR(AC53/AC445,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IFERROR(B54/B445, "NA")</f>
        <v>0</v>
      </c>
      <c r="D54" s="9"/>
      <c r="E54" s="7">
        <v>0</v>
      </c>
      <c r="F54" s="8">
        <f>IFERROR(E54/E445, "NA")</f>
        <v>0</v>
      </c>
      <c r="G54" s="9"/>
      <c r="H54" s="10">
        <f t="shared" si="12"/>
        <v>0</v>
      </c>
      <c r="I54" s="8">
        <f>IFERROR(H54/H445, "NA")</f>
        <v>0</v>
      </c>
      <c r="J54" s="9"/>
      <c r="K54" s="7">
        <v>15.3</v>
      </c>
      <c r="L54" s="8">
        <f>IFERROR(K54/K445, "NA")</f>
        <v>1.7666143148411539E-4</v>
      </c>
      <c r="M54" s="9"/>
      <c r="N54" s="10">
        <f t="shared" si="13"/>
        <v>-15.3</v>
      </c>
      <c r="O54" s="8">
        <f>IFERROR(N54/N445, "NA")</f>
        <v>-6.7670639478697211E-4</v>
      </c>
      <c r="P54" s="9"/>
      <c r="Q54" s="7">
        <v>0</v>
      </c>
      <c r="R54" s="8">
        <f>IFERROR(Q54/Q445, "NA")</f>
        <v>0</v>
      </c>
      <c r="S54" s="9"/>
      <c r="T54" s="7">
        <v>0</v>
      </c>
      <c r="U54" s="8">
        <f>IFERROR(T54/T445, "NA")</f>
        <v>0</v>
      </c>
      <c r="V54" s="9"/>
      <c r="W54" s="10">
        <f t="shared" si="14"/>
        <v>0</v>
      </c>
      <c r="X54" s="8">
        <f>IFERROR(W54/W445, "NA")</f>
        <v>0</v>
      </c>
      <c r="Y54" s="9"/>
      <c r="Z54" s="7">
        <v>31.15</v>
      </c>
      <c r="AA54" s="8">
        <f>IFERROR(Z54/Z445, "NA")</f>
        <v>6.9731583547402579E-5</v>
      </c>
      <c r="AB54" s="9"/>
      <c r="AC54" s="10">
        <f t="shared" si="15"/>
        <v>-31.15</v>
      </c>
      <c r="AD54" s="8">
        <f>IFERROR(AC54/AC445, "NA")</f>
        <v>-4.9536503711977763E-4</v>
      </c>
    </row>
    <row r="55" spans="1:30" ht="16.5" customHeight="1" x14ac:dyDescent="0.45">
      <c r="A55" s="17" t="s">
        <v>53</v>
      </c>
      <c r="B55" s="7">
        <v>164.05</v>
      </c>
      <c r="C55" s="8">
        <f>IFERROR(B55/B445, "NA")</f>
        <v>1.5020713568589174E-3</v>
      </c>
      <c r="D55" s="9"/>
      <c r="E55" s="7">
        <v>0</v>
      </c>
      <c r="F55" s="8">
        <f>IFERROR(E55/E445, "NA")</f>
        <v>0</v>
      </c>
      <c r="G55" s="9"/>
      <c r="H55" s="10">
        <f t="shared" si="12"/>
        <v>164.05</v>
      </c>
      <c r="I55" s="8">
        <f>IFERROR(H55/H445, "NA")</f>
        <v>1.1321476091361308E-2</v>
      </c>
      <c r="J55" s="9"/>
      <c r="K55" s="7">
        <v>186.2</v>
      </c>
      <c r="L55" s="8">
        <f>IFERROR(K55/K445, "NA")</f>
        <v>2.1499580746628943E-3</v>
      </c>
      <c r="M55" s="9"/>
      <c r="N55" s="10">
        <f t="shared" si="13"/>
        <v>-22.149999999999977</v>
      </c>
      <c r="O55" s="8">
        <f>IFERROR(N55/N445, "NA")</f>
        <v>-9.7967625127656321E-4</v>
      </c>
      <c r="P55" s="9"/>
      <c r="Q55" s="7">
        <v>939.83</v>
      </c>
      <c r="R55" s="8">
        <f>IFERROR(Q55/Q445, "NA")</f>
        <v>1.8442654115020758E-3</v>
      </c>
      <c r="S55" s="9"/>
      <c r="T55" s="7">
        <v>0</v>
      </c>
      <c r="U55" s="8">
        <f>IFERROR(T55/T445, "NA")</f>
        <v>0</v>
      </c>
      <c r="V55" s="9"/>
      <c r="W55" s="10">
        <f t="shared" si="14"/>
        <v>939.83</v>
      </c>
      <c r="X55" s="8">
        <f>IFERROR(W55/W445, "NA")</f>
        <v>3.0719914125577664E-2</v>
      </c>
      <c r="Y55" s="9"/>
      <c r="Z55" s="7">
        <v>1523.69</v>
      </c>
      <c r="AA55" s="8">
        <f>IFERROR(Z55/Z445, "NA")</f>
        <v>3.4108929866883417E-3</v>
      </c>
      <c r="AB55" s="9"/>
      <c r="AC55" s="10">
        <f t="shared" si="15"/>
        <v>-583.86</v>
      </c>
      <c r="AD55" s="8">
        <f>IFERROR(AC55/AC445, "NA")</f>
        <v>-9.2848741756903167E-3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IFERROR(B56/B445, "NA")</f>
        <v>0</v>
      </c>
      <c r="D56" s="9"/>
      <c r="E56" s="7">
        <v>0</v>
      </c>
      <c r="F56" s="8">
        <f>IFERROR(E56/E445, "NA")</f>
        <v>0</v>
      </c>
      <c r="G56" s="9"/>
      <c r="H56" s="10">
        <f t="shared" si="12"/>
        <v>0</v>
      </c>
      <c r="I56" s="8">
        <f>IFERROR(H56/H445, "NA")</f>
        <v>0</v>
      </c>
      <c r="J56" s="9"/>
      <c r="K56" s="7">
        <v>0</v>
      </c>
      <c r="L56" s="8">
        <f>IFERROR(K56/K445, "NA")</f>
        <v>0</v>
      </c>
      <c r="M56" s="9"/>
      <c r="N56" s="10">
        <f t="shared" si="13"/>
        <v>0</v>
      </c>
      <c r="O56" s="8">
        <f>IFERROR(N56/N445, "NA")</f>
        <v>0</v>
      </c>
      <c r="P56" s="9"/>
      <c r="Q56" s="7">
        <v>0</v>
      </c>
      <c r="R56" s="8">
        <f>IFERROR(Q56/Q445, "NA")</f>
        <v>0</v>
      </c>
      <c r="S56" s="9"/>
      <c r="T56" s="7">
        <v>0</v>
      </c>
      <c r="U56" s="8">
        <f>IFERROR(T56/T445, "NA")</f>
        <v>0</v>
      </c>
      <c r="V56" s="9"/>
      <c r="W56" s="10">
        <f t="shared" si="14"/>
        <v>0</v>
      </c>
      <c r="X56" s="8">
        <f>IFERROR(W56/W445, "NA")</f>
        <v>0</v>
      </c>
      <c r="Y56" s="9"/>
      <c r="Z56" s="7">
        <v>0</v>
      </c>
      <c r="AA56" s="8">
        <f>IFERROR(Z56/Z445, "NA")</f>
        <v>0</v>
      </c>
      <c r="AB56" s="9"/>
      <c r="AC56" s="10">
        <f t="shared" si="15"/>
        <v>0</v>
      </c>
      <c r="AD56" s="8">
        <f>IFERROR(AC56/AC445,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IFERROR(B57/B445, "NA")</f>
        <v>0</v>
      </c>
      <c r="D57" s="9"/>
      <c r="E57" s="7">
        <v>0</v>
      </c>
      <c r="F57" s="8">
        <f>IFERROR(E57/E445, "NA")</f>
        <v>0</v>
      </c>
      <c r="G57" s="9"/>
      <c r="H57" s="10">
        <f t="shared" si="12"/>
        <v>0</v>
      </c>
      <c r="I57" s="8">
        <f>IFERROR(H57/H445, "NA")</f>
        <v>0</v>
      </c>
      <c r="J57" s="9"/>
      <c r="K57" s="7">
        <v>0</v>
      </c>
      <c r="L57" s="8">
        <f>IFERROR(K57/K445, "NA")</f>
        <v>0</v>
      </c>
      <c r="M57" s="9"/>
      <c r="N57" s="10">
        <f t="shared" si="13"/>
        <v>0</v>
      </c>
      <c r="O57" s="8">
        <f>IFERROR(N57/N445, "NA")</f>
        <v>0</v>
      </c>
      <c r="P57" s="9"/>
      <c r="Q57" s="7">
        <v>0</v>
      </c>
      <c r="R57" s="8">
        <f>IFERROR(Q57/Q445, "NA")</f>
        <v>0</v>
      </c>
      <c r="S57" s="9"/>
      <c r="T57" s="7">
        <v>0</v>
      </c>
      <c r="U57" s="8">
        <f>IFERROR(T57/T445, "NA")</f>
        <v>0</v>
      </c>
      <c r="V57" s="9"/>
      <c r="W57" s="10">
        <f t="shared" si="14"/>
        <v>0</v>
      </c>
      <c r="X57" s="8">
        <f>IFERROR(W57/W445, "NA")</f>
        <v>0</v>
      </c>
      <c r="Y57" s="9"/>
      <c r="Z57" s="7">
        <v>0</v>
      </c>
      <c r="AA57" s="8">
        <f>IFERROR(Z57/Z445, "NA")</f>
        <v>0</v>
      </c>
      <c r="AB57" s="9"/>
      <c r="AC57" s="10">
        <f t="shared" si="15"/>
        <v>0</v>
      </c>
      <c r="AD57" s="8">
        <f>IFERROR(AC57/AC445,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IFERROR(B58/B445, "NA")</f>
        <v>0</v>
      </c>
      <c r="D58" s="9"/>
      <c r="E58" s="7">
        <v>0</v>
      </c>
      <c r="F58" s="8">
        <f>IFERROR(E58/E445, "NA")</f>
        <v>0</v>
      </c>
      <c r="G58" s="9"/>
      <c r="H58" s="10">
        <f t="shared" si="12"/>
        <v>0</v>
      </c>
      <c r="I58" s="8">
        <f>IFERROR(H58/H445, "NA")</f>
        <v>0</v>
      </c>
      <c r="J58" s="9"/>
      <c r="K58" s="7">
        <v>0</v>
      </c>
      <c r="L58" s="8">
        <f>IFERROR(K58/K445, "NA")</f>
        <v>0</v>
      </c>
      <c r="M58" s="9"/>
      <c r="N58" s="10">
        <f t="shared" si="13"/>
        <v>0</v>
      </c>
      <c r="O58" s="8">
        <f>IFERROR(N58/N445, "NA")</f>
        <v>0</v>
      </c>
      <c r="P58" s="9"/>
      <c r="Q58" s="7">
        <v>0</v>
      </c>
      <c r="R58" s="8">
        <f>IFERROR(Q58/Q445, "NA")</f>
        <v>0</v>
      </c>
      <c r="S58" s="9"/>
      <c r="T58" s="7">
        <v>0</v>
      </c>
      <c r="U58" s="8">
        <f>IFERROR(T58/T445, "NA")</f>
        <v>0</v>
      </c>
      <c r="V58" s="9"/>
      <c r="W58" s="10">
        <f t="shared" si="14"/>
        <v>0</v>
      </c>
      <c r="X58" s="8">
        <f>IFERROR(W58/W445, "NA")</f>
        <v>0</v>
      </c>
      <c r="Y58" s="9"/>
      <c r="Z58" s="7">
        <v>0</v>
      </c>
      <c r="AA58" s="8">
        <f>IFERROR(Z58/Z445, "NA")</f>
        <v>0</v>
      </c>
      <c r="AB58" s="9"/>
      <c r="AC58" s="10">
        <f t="shared" si="15"/>
        <v>0</v>
      </c>
      <c r="AD58" s="8">
        <f>IFERROR(AC58/AC445,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IFERROR(B59/B445, "NA")</f>
        <v>0</v>
      </c>
      <c r="D59" s="9"/>
      <c r="E59" s="7">
        <v>0</v>
      </c>
      <c r="F59" s="8">
        <f>IFERROR(E59/E445, "NA")</f>
        <v>0</v>
      </c>
      <c r="G59" s="9"/>
      <c r="H59" s="10">
        <f t="shared" si="12"/>
        <v>0</v>
      </c>
      <c r="I59" s="8">
        <f>IFERROR(H59/H445, "NA")</f>
        <v>0</v>
      </c>
      <c r="J59" s="9"/>
      <c r="K59" s="7">
        <v>0</v>
      </c>
      <c r="L59" s="8">
        <f>IFERROR(K59/K445, "NA")</f>
        <v>0</v>
      </c>
      <c r="M59" s="9"/>
      <c r="N59" s="10">
        <f t="shared" si="13"/>
        <v>0</v>
      </c>
      <c r="O59" s="8">
        <f>IFERROR(N59/N445, "NA")</f>
        <v>0</v>
      </c>
      <c r="P59" s="9"/>
      <c r="Q59" s="7">
        <v>0</v>
      </c>
      <c r="R59" s="8">
        <f>IFERROR(Q59/Q445, "NA")</f>
        <v>0</v>
      </c>
      <c r="S59" s="9"/>
      <c r="T59" s="7">
        <v>0</v>
      </c>
      <c r="U59" s="8">
        <f>IFERROR(T59/T445, "NA")</f>
        <v>0</v>
      </c>
      <c r="V59" s="9"/>
      <c r="W59" s="10">
        <f t="shared" si="14"/>
        <v>0</v>
      </c>
      <c r="X59" s="8">
        <f>IFERROR(W59/W445, "NA")</f>
        <v>0</v>
      </c>
      <c r="Y59" s="9"/>
      <c r="Z59" s="7">
        <v>0</v>
      </c>
      <c r="AA59" s="8">
        <f>IFERROR(Z59/Z445, "NA")</f>
        <v>0</v>
      </c>
      <c r="AB59" s="9"/>
      <c r="AC59" s="10">
        <f t="shared" si="15"/>
        <v>0</v>
      </c>
      <c r="AD59" s="8">
        <f>IFERROR(AC59/AC445, "NA")</f>
        <v>0</v>
      </c>
    </row>
    <row r="60" spans="1:30" ht="16.5" customHeight="1" x14ac:dyDescent="0.45">
      <c r="A60" s="17" t="s">
        <v>58</v>
      </c>
      <c r="B60" s="7">
        <v>0</v>
      </c>
      <c r="C60" s="8">
        <f>IFERROR(B60/B445, "NA")</f>
        <v>0</v>
      </c>
      <c r="D60" s="9"/>
      <c r="E60" s="7">
        <v>0</v>
      </c>
      <c r="F60" s="8">
        <f>IFERROR(E60/E445, "NA")</f>
        <v>0</v>
      </c>
      <c r="G60" s="9"/>
      <c r="H60" s="10">
        <f t="shared" si="12"/>
        <v>0</v>
      </c>
      <c r="I60" s="8">
        <f>IFERROR(H60/H445, "NA")</f>
        <v>0</v>
      </c>
      <c r="J60" s="9"/>
      <c r="K60" s="7">
        <v>0</v>
      </c>
      <c r="L60" s="8">
        <f>IFERROR(K60/K445, "NA")</f>
        <v>0</v>
      </c>
      <c r="M60" s="9"/>
      <c r="N60" s="10">
        <f t="shared" si="13"/>
        <v>0</v>
      </c>
      <c r="O60" s="8">
        <f>IFERROR(N60/N445, "NA")</f>
        <v>0</v>
      </c>
      <c r="P60" s="9"/>
      <c r="Q60" s="7">
        <v>1329.49</v>
      </c>
      <c r="R60" s="8">
        <f>IFERROR(Q60/Q445, "NA")</f>
        <v>2.6089105709946421E-3</v>
      </c>
      <c r="S60" s="9"/>
      <c r="T60" s="7">
        <v>0</v>
      </c>
      <c r="U60" s="8">
        <f>IFERROR(T60/T445, "NA")</f>
        <v>0</v>
      </c>
      <c r="V60" s="9"/>
      <c r="W60" s="10">
        <f t="shared" si="14"/>
        <v>1329.49</v>
      </c>
      <c r="X60" s="8">
        <f>IFERROR(W60/W445, "NA")</f>
        <v>4.3456602397044408E-2</v>
      </c>
      <c r="Y60" s="9"/>
      <c r="Z60" s="7">
        <v>0</v>
      </c>
      <c r="AA60" s="8">
        <f>IFERROR(Z60/Z445, "NA")</f>
        <v>0</v>
      </c>
      <c r="AB60" s="9"/>
      <c r="AC60" s="10">
        <f t="shared" si="15"/>
        <v>1329.49</v>
      </c>
      <c r="AD60" s="8">
        <f>IFERROR(AC60/AC445, "NA")</f>
        <v>2.1142307004827391E-2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14127.769999999999</v>
      </c>
      <c r="C61" s="15">
        <f>IFERROR(B61/B445, "NA")</f>
        <v>0.12935640751777328</v>
      </c>
      <c r="D61" s="2"/>
      <c r="E61" s="14">
        <f>IFERROR(E46+E47+E48+E49+E50+E51+E52+E53+E54+E55+E56+E57+E58+E59+E60, "NA")</f>
        <v>0</v>
      </c>
      <c r="F61" s="15">
        <f>IFERROR(E61/E445, "NA")</f>
        <v>0</v>
      </c>
      <c r="G61" s="2"/>
      <c r="H61" s="14">
        <f t="shared" si="12"/>
        <v>14127.769999999999</v>
      </c>
      <c r="I61" s="15">
        <f>IFERROR(H61/H445, "NA")</f>
        <v>0.9749906143203384</v>
      </c>
      <c r="J61" s="2"/>
      <c r="K61" s="14">
        <f>IFERROR(K46+K47+K48+K49+K50+K51+K52+K53+K54+K55+K56+K57+K58+K59+K60, "NA")</f>
        <v>8833.51</v>
      </c>
      <c r="L61" s="15">
        <f>IFERROR(K61/K445, "NA")</f>
        <v>0.10199611252478745</v>
      </c>
      <c r="M61" s="2"/>
      <c r="N61" s="14">
        <f t="shared" si="13"/>
        <v>5294.2599999999984</v>
      </c>
      <c r="O61" s="15">
        <f>IFERROR(N61/N445, "NA")</f>
        <v>0.23416075801731201</v>
      </c>
      <c r="P61" s="2"/>
      <c r="Q61" s="14">
        <f>IFERROR(Q46+Q47+Q48+Q49+Q50+Q51+Q52+Q53+Q54+Q55+Q56+Q57+Q58+Q59+Q60, "NA")</f>
        <v>78533.25</v>
      </c>
      <c r="R61" s="15">
        <f>IFERROR(Q61/Q445, "NA")</f>
        <v>0.15410888844561824</v>
      </c>
      <c r="S61" s="2"/>
      <c r="T61" s="14">
        <f>IFERROR(T46+T47+T48+T49+T50+T51+T52+T53+T54+T55+T56+T57+T58+T59+T60, "NA")</f>
        <v>0</v>
      </c>
      <c r="U61" s="15">
        <f>IFERROR(T61/T445, "NA")</f>
        <v>0</v>
      </c>
      <c r="V61" s="2"/>
      <c r="W61" s="14">
        <f t="shared" si="14"/>
        <v>78533.25</v>
      </c>
      <c r="X61" s="15">
        <f>IFERROR(W61/W445, "NA")</f>
        <v>2.566990515308643</v>
      </c>
      <c r="Y61" s="2"/>
      <c r="Z61" s="14">
        <f>IFERROR(Z46+Z47+Z48+Z49+Z50+Z51+Z52+Z53+Z54+Z55+Z56+Z57+Z58+Z59+Z60, "NA")</f>
        <v>37184.240000000005</v>
      </c>
      <c r="AA61" s="15">
        <f>IFERROR(Z61/Z445, "NA")</f>
        <v>8.3239676988978148E-2</v>
      </c>
      <c r="AB61" s="2"/>
      <c r="AC61" s="14">
        <f t="shared" si="15"/>
        <v>41349.009999999995</v>
      </c>
      <c r="AD61" s="15">
        <f>IFERROR(AC61/AC445, "NA")</f>
        <v>0.65755550155749776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19050.57</v>
      </c>
      <c r="C62" s="15">
        <f>IFERROR(B62/B445, "NA")</f>
        <v>0.17443045125776158</v>
      </c>
      <c r="D62" s="2"/>
      <c r="E62" s="14">
        <f>IFERROR(E42+E43+E44+E46+E47+E48+E49+E50+E51+E52+E53+E54+E55+E56+E57+E58+E59+E60, "NA")</f>
        <v>18660.96</v>
      </c>
      <c r="F62" s="15">
        <f>IFERROR(E62/E445, "NA")</f>
        <v>0.19699999018217759</v>
      </c>
      <c r="G62" s="2"/>
      <c r="H62" s="14">
        <f t="shared" si="12"/>
        <v>389.61000000000058</v>
      </c>
      <c r="I62" s="15">
        <f>IFERROR(H62/H445, "NA")</f>
        <v>2.6887901858916704E-2</v>
      </c>
      <c r="J62" s="2"/>
      <c r="K62" s="14">
        <f>IFERROR(K42+K43+K44+K46+K47+K48+K49+K50+K51+K52+K53+K54+K55+K56+K57+K58+K59+K60, "NA")</f>
        <v>15912.529999999999</v>
      </c>
      <c r="L62" s="15">
        <f>IFERROR(K62/K445, "NA")</f>
        <v>0.18373400838783857</v>
      </c>
      <c r="M62" s="2"/>
      <c r="N62" s="14">
        <f t="shared" si="13"/>
        <v>3138.0400000000009</v>
      </c>
      <c r="O62" s="15">
        <f>IFERROR(N62/N445, "NA")</f>
        <v>0.13879292386256931</v>
      </c>
      <c r="P62" s="2"/>
      <c r="Q62" s="14">
        <f>IFERROR(Q42+Q43+Q44+Q46+Q47+Q48+Q49+Q50+Q51+Q52+Q53+Q54+Q55+Q56+Q57+Q58+Q59+Q60, "NA")</f>
        <v>95752.320000000007</v>
      </c>
      <c r="R62" s="15">
        <f>IFERROR(Q62/Q445, "NA")</f>
        <v>0.18789854744696216</v>
      </c>
      <c r="S62" s="2"/>
      <c r="T62" s="14">
        <f>IFERROR(T42+T43+T44+T46+T47+T48+T49+T50+T51+T52+T53+T54+T55+T56+T57+T58+T59+T60, "NA")</f>
        <v>94363.46</v>
      </c>
      <c r="U62" s="15">
        <f>IFERROR(T62/T445, "NA")</f>
        <v>0.19699999795408099</v>
      </c>
      <c r="V62" s="2"/>
      <c r="W62" s="14">
        <f t="shared" si="14"/>
        <v>1388.8600000000006</v>
      </c>
      <c r="X62" s="15">
        <f>IFERROR(W62/W445, "NA")</f>
        <v>4.5397210061872695E-2</v>
      </c>
      <c r="Y62" s="2"/>
      <c r="Z62" s="14">
        <f>IFERROR(Z42+Z43+Z44+Z46+Z47+Z48+Z49+Z50+Z51+Z52+Z53+Z54+Z55+Z56+Z57+Z58+Z59+Z60, "NA")</f>
        <v>59085.680000000008</v>
      </c>
      <c r="AA62" s="15">
        <f>IFERROR(Z62/Z445, "NA")</f>
        <v>0.13226767355939306</v>
      </c>
      <c r="AB62" s="2"/>
      <c r="AC62" s="14">
        <f t="shared" si="15"/>
        <v>36666.639999999999</v>
      </c>
      <c r="AD62" s="15">
        <f>IFERROR(AC62/AC445, "NA")</f>
        <v>0.58309378762945496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IFERROR(B64/B445, "NA")</f>
        <v>0</v>
      </c>
      <c r="D64" s="9"/>
      <c r="E64" s="7">
        <v>7672.78</v>
      </c>
      <c r="F64" s="8">
        <f>IFERROR(E64/E445, "NA")</f>
        <v>8.099999060444954E-2</v>
      </c>
      <c r="G64" s="9"/>
      <c r="H64" s="10">
        <f t="shared" ref="H64:H73" si="16">IFERROR(B64-E64, "NA")</f>
        <v>-7672.78</v>
      </c>
      <c r="I64" s="8">
        <f>IFERROR(H64/H445, "NA")</f>
        <v>-0.52951658228756604</v>
      </c>
      <c r="J64" s="9"/>
      <c r="K64" s="7">
        <v>0</v>
      </c>
      <c r="L64" s="8">
        <f>IFERROR(K64/K445, "NA")</f>
        <v>0</v>
      </c>
      <c r="M64" s="9"/>
      <c r="N64" s="10">
        <f t="shared" ref="N64:N73" si="17">IFERROR(B64-K64, "NA")</f>
        <v>0</v>
      </c>
      <c r="O64" s="8">
        <f>IFERROR(N64/N445, "NA")</f>
        <v>0</v>
      </c>
      <c r="P64" s="9"/>
      <c r="Q64" s="7">
        <v>0</v>
      </c>
      <c r="R64" s="8">
        <f>IFERROR(Q64/Q445, "NA")</f>
        <v>0</v>
      </c>
      <c r="S64" s="9"/>
      <c r="T64" s="7">
        <v>38799.19</v>
      </c>
      <c r="U64" s="8">
        <f>IFERROR(T64/T445, "NA")</f>
        <v>8.1000000960329333E-2</v>
      </c>
      <c r="V64" s="9"/>
      <c r="W64" s="10">
        <f t="shared" ref="W64:W73" si="18">IFERROR(Q64-T64, "NA")</f>
        <v>-38799.19</v>
      </c>
      <c r="X64" s="8">
        <f>IFERROR(W64/W445, "NA")</f>
        <v>-1.2682163635359285</v>
      </c>
      <c r="Y64" s="9"/>
      <c r="Z64" s="7">
        <v>0</v>
      </c>
      <c r="AA64" s="8">
        <f>IFERROR(Z64/Z445, "NA")</f>
        <v>0</v>
      </c>
      <c r="AB64" s="9"/>
      <c r="AC64" s="10">
        <f t="shared" ref="AC64:AC73" si="19">IFERROR(Q64-Z64, "NA")</f>
        <v>0</v>
      </c>
      <c r="AD64" s="8">
        <f>IFERROR(AC64/AC445, "NA")</f>
        <v>0</v>
      </c>
    </row>
    <row r="65" spans="1:30" ht="16.5" customHeight="1" x14ac:dyDescent="0.45">
      <c r="A65" s="12" t="s">
        <v>62</v>
      </c>
      <c r="B65" s="7">
        <v>3730.51</v>
      </c>
      <c r="C65" s="8">
        <f>IFERROR(B65/B445, "NA")</f>
        <v>3.4157221685313988E-2</v>
      </c>
      <c r="D65" s="9"/>
      <c r="E65" s="7">
        <v>0</v>
      </c>
      <c r="F65" s="8">
        <f>IFERROR(E65/E445, "NA")</f>
        <v>0</v>
      </c>
      <c r="G65" s="9"/>
      <c r="H65" s="10">
        <f t="shared" si="16"/>
        <v>3730.51</v>
      </c>
      <c r="I65" s="8">
        <f>IFERROR(H65/H445, "NA")</f>
        <v>0.25745126347811198</v>
      </c>
      <c r="J65" s="9"/>
      <c r="K65" s="7">
        <v>2056.77</v>
      </c>
      <c r="L65" s="8">
        <f>IFERROR(K65/K445, "NA")</f>
        <v>2.3748492315920522E-2</v>
      </c>
      <c r="M65" s="9"/>
      <c r="N65" s="10">
        <f t="shared" si="17"/>
        <v>1673.7400000000002</v>
      </c>
      <c r="O65" s="8">
        <f>IFERROR(N65/N445, "NA")</f>
        <v>7.4028141255604363E-2</v>
      </c>
      <c r="P65" s="9"/>
      <c r="Q65" s="7">
        <v>13575.2</v>
      </c>
      <c r="R65" s="8">
        <f>IFERROR(Q65/Q445, "NA")</f>
        <v>2.663914943577347E-2</v>
      </c>
      <c r="S65" s="9"/>
      <c r="T65" s="7">
        <v>0</v>
      </c>
      <c r="U65" s="8">
        <f>IFERROR(T65/T445, "NA")</f>
        <v>0</v>
      </c>
      <c r="V65" s="9"/>
      <c r="W65" s="10">
        <f t="shared" si="18"/>
        <v>13575.2</v>
      </c>
      <c r="X65" s="8">
        <f>IFERROR(W65/W445, "NA")</f>
        <v>0.44372809788742851</v>
      </c>
      <c r="Y65" s="9"/>
      <c r="Z65" s="7">
        <v>10057.26</v>
      </c>
      <c r="AA65" s="8">
        <f>IFERROR(Z65/Z445, "NA")</f>
        <v>2.2513921860287323E-2</v>
      </c>
      <c r="AB65" s="9"/>
      <c r="AC65" s="10">
        <f t="shared" si="19"/>
        <v>3517.9400000000005</v>
      </c>
      <c r="AD65" s="8">
        <f>IFERROR(AC65/AC445, "NA")</f>
        <v>5.5944285030020892E-2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IFERROR(B66/B445, "NA")</f>
        <v>0</v>
      </c>
      <c r="D66" s="9"/>
      <c r="E66" s="7">
        <v>0</v>
      </c>
      <c r="F66" s="8">
        <f>IFERROR(E66/E445, "NA")</f>
        <v>0</v>
      </c>
      <c r="G66" s="9"/>
      <c r="H66" s="10">
        <f t="shared" si="16"/>
        <v>0</v>
      </c>
      <c r="I66" s="8">
        <f>IFERROR(H66/H445, "NA")</f>
        <v>0</v>
      </c>
      <c r="J66" s="9"/>
      <c r="K66" s="7">
        <v>0</v>
      </c>
      <c r="L66" s="8">
        <f>IFERROR(K66/K445, "NA")</f>
        <v>0</v>
      </c>
      <c r="M66" s="9"/>
      <c r="N66" s="10">
        <f t="shared" si="17"/>
        <v>0</v>
      </c>
      <c r="O66" s="8">
        <f>IFERROR(N66/N445, "NA")</f>
        <v>0</v>
      </c>
      <c r="P66" s="9"/>
      <c r="Q66" s="7">
        <v>0</v>
      </c>
      <c r="R66" s="8">
        <f>IFERROR(Q66/Q445, "NA")</f>
        <v>0</v>
      </c>
      <c r="S66" s="9"/>
      <c r="T66" s="7">
        <v>0</v>
      </c>
      <c r="U66" s="8">
        <f>IFERROR(T66/T445, "NA")</f>
        <v>0</v>
      </c>
      <c r="V66" s="9"/>
      <c r="W66" s="10">
        <f t="shared" si="18"/>
        <v>0</v>
      </c>
      <c r="X66" s="8">
        <f>IFERROR(W66/W445, "NA")</f>
        <v>0</v>
      </c>
      <c r="Y66" s="9"/>
      <c r="Z66" s="7">
        <v>0</v>
      </c>
      <c r="AA66" s="8">
        <f>IFERROR(Z66/Z445, "NA")</f>
        <v>0</v>
      </c>
      <c r="AB66" s="9"/>
      <c r="AC66" s="10">
        <f t="shared" si="19"/>
        <v>0</v>
      </c>
      <c r="AD66" s="8">
        <f>IFERROR(AC66/AC445,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IFERROR(B67/B445, "NA")</f>
        <v>0</v>
      </c>
      <c r="D67" s="9"/>
      <c r="E67" s="7">
        <v>0</v>
      </c>
      <c r="F67" s="8">
        <f>IFERROR(E67/E445, "NA")</f>
        <v>0</v>
      </c>
      <c r="G67" s="9"/>
      <c r="H67" s="10">
        <f t="shared" si="16"/>
        <v>0</v>
      </c>
      <c r="I67" s="8">
        <f>IFERROR(H67/H445, "NA")</f>
        <v>0</v>
      </c>
      <c r="J67" s="9"/>
      <c r="K67" s="7">
        <v>0</v>
      </c>
      <c r="L67" s="8">
        <f>IFERROR(K67/K445, "NA")</f>
        <v>0</v>
      </c>
      <c r="M67" s="9"/>
      <c r="N67" s="10">
        <f t="shared" si="17"/>
        <v>0</v>
      </c>
      <c r="O67" s="8">
        <f>IFERROR(N67/N445, "NA")</f>
        <v>0</v>
      </c>
      <c r="P67" s="9"/>
      <c r="Q67" s="7">
        <v>0</v>
      </c>
      <c r="R67" s="8">
        <f>IFERROR(Q67/Q445, "NA")</f>
        <v>0</v>
      </c>
      <c r="S67" s="9"/>
      <c r="T67" s="7">
        <v>0</v>
      </c>
      <c r="U67" s="8">
        <f>IFERROR(T67/T445, "NA")</f>
        <v>0</v>
      </c>
      <c r="V67" s="9"/>
      <c r="W67" s="10">
        <f t="shared" si="18"/>
        <v>0</v>
      </c>
      <c r="X67" s="8">
        <f>IFERROR(W67/W445, "NA")</f>
        <v>0</v>
      </c>
      <c r="Y67" s="9"/>
      <c r="Z67" s="7">
        <v>0</v>
      </c>
      <c r="AA67" s="8">
        <f>IFERROR(Z67/Z445, "NA")</f>
        <v>0</v>
      </c>
      <c r="AB67" s="9"/>
      <c r="AC67" s="10">
        <f t="shared" si="19"/>
        <v>0</v>
      </c>
      <c r="AD67" s="8">
        <f>IFERROR(AC67/AC445, "NA")</f>
        <v>0</v>
      </c>
    </row>
    <row r="68" spans="1:30" ht="16.5" customHeight="1" x14ac:dyDescent="0.45">
      <c r="A68" s="12" t="s">
        <v>65</v>
      </c>
      <c r="B68" s="7">
        <v>5261.8</v>
      </c>
      <c r="C68" s="8">
        <f>IFERROR(B68/B445, "NA")</f>
        <v>4.8177988817557159E-2</v>
      </c>
      <c r="D68" s="9"/>
      <c r="E68" s="7">
        <v>0</v>
      </c>
      <c r="F68" s="8">
        <f>IFERROR(E68/E445, "NA")</f>
        <v>0</v>
      </c>
      <c r="G68" s="9"/>
      <c r="H68" s="10">
        <f t="shared" si="16"/>
        <v>5261.8</v>
      </c>
      <c r="I68" s="8">
        <f>IFERROR(H68/H445, "NA")</f>
        <v>0.36312918559905472</v>
      </c>
      <c r="J68" s="9"/>
      <c r="K68" s="7">
        <v>0</v>
      </c>
      <c r="L68" s="8">
        <f>IFERROR(K68/K445, "NA")</f>
        <v>0</v>
      </c>
      <c r="M68" s="9"/>
      <c r="N68" s="10">
        <f t="shared" si="17"/>
        <v>5261.8</v>
      </c>
      <c r="O68" s="8">
        <f>IFERROR(N68/N445, "NA")</f>
        <v>0.23272507896013661</v>
      </c>
      <c r="P68" s="9"/>
      <c r="Q68" s="7">
        <v>14526.65</v>
      </c>
      <c r="R68" s="8">
        <f>IFERROR(Q68/Q445, "NA")</f>
        <v>2.850621723077219E-2</v>
      </c>
      <c r="S68" s="9"/>
      <c r="T68" s="7">
        <v>0</v>
      </c>
      <c r="U68" s="8">
        <f>IFERROR(T68/T445, "NA")</f>
        <v>0</v>
      </c>
      <c r="V68" s="9"/>
      <c r="W68" s="10">
        <f t="shared" si="18"/>
        <v>14526.65</v>
      </c>
      <c r="X68" s="8">
        <f>IFERROR(W68/W445, "NA")</f>
        <v>0.47482783113150545</v>
      </c>
      <c r="Y68" s="9"/>
      <c r="Z68" s="7">
        <v>0</v>
      </c>
      <c r="AA68" s="8">
        <f>IFERROR(Z68/Z445, "NA")</f>
        <v>0</v>
      </c>
      <c r="AB68" s="9"/>
      <c r="AC68" s="10">
        <f t="shared" si="19"/>
        <v>14526.65</v>
      </c>
      <c r="AD68" s="8">
        <f>IFERROR(AC68/AC445, "NA")</f>
        <v>0.23101105991897328</v>
      </c>
    </row>
    <row r="69" spans="1:30" ht="16.5" customHeight="1" x14ac:dyDescent="0.45">
      <c r="A69" s="12" t="s">
        <v>66</v>
      </c>
      <c r="B69" s="7">
        <v>0</v>
      </c>
      <c r="C69" s="8">
        <f>IFERROR(B69/B445, "NA")</f>
        <v>0</v>
      </c>
      <c r="D69" s="9"/>
      <c r="E69" s="7">
        <v>0</v>
      </c>
      <c r="F69" s="8">
        <f>IFERROR(E69/E445, "NA")</f>
        <v>0</v>
      </c>
      <c r="G69" s="9"/>
      <c r="H69" s="10">
        <f t="shared" si="16"/>
        <v>0</v>
      </c>
      <c r="I69" s="8">
        <f>IFERROR(H69/H445, "NA")</f>
        <v>0</v>
      </c>
      <c r="J69" s="9"/>
      <c r="K69" s="7">
        <v>0</v>
      </c>
      <c r="L69" s="8">
        <f>IFERROR(K69/K445, "NA")</f>
        <v>0</v>
      </c>
      <c r="M69" s="9"/>
      <c r="N69" s="10">
        <f t="shared" si="17"/>
        <v>0</v>
      </c>
      <c r="O69" s="8">
        <f>IFERROR(N69/N445, "NA")</f>
        <v>0</v>
      </c>
      <c r="P69" s="9"/>
      <c r="Q69" s="7">
        <v>1125</v>
      </c>
      <c r="R69" s="8">
        <f>IFERROR(Q69/Q445, "NA")</f>
        <v>2.2076317929198208E-3</v>
      </c>
      <c r="S69" s="9"/>
      <c r="T69" s="7">
        <v>0</v>
      </c>
      <c r="U69" s="8">
        <f>IFERROR(T69/T445, "NA")</f>
        <v>0</v>
      </c>
      <c r="V69" s="9"/>
      <c r="W69" s="10">
        <f t="shared" si="18"/>
        <v>1125</v>
      </c>
      <c r="X69" s="8">
        <f>IFERROR(W69/W445, "NA")</f>
        <v>3.6772505018221241E-2</v>
      </c>
      <c r="Y69" s="9"/>
      <c r="Z69" s="7">
        <v>0</v>
      </c>
      <c r="AA69" s="8">
        <f>IFERROR(Z69/Z445, "NA")</f>
        <v>0</v>
      </c>
      <c r="AB69" s="9"/>
      <c r="AC69" s="10">
        <f t="shared" si="19"/>
        <v>1125</v>
      </c>
      <c r="AD69" s="8">
        <f>IFERROR(AC69/AC445, "NA")</f>
        <v>1.7890390586187795E-2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IFERROR(B70/B445, "NA")</f>
        <v>0</v>
      </c>
      <c r="D70" s="9"/>
      <c r="E70" s="7">
        <v>0</v>
      </c>
      <c r="F70" s="8">
        <f>IFERROR(E70/E445, "NA")</f>
        <v>0</v>
      </c>
      <c r="G70" s="9"/>
      <c r="H70" s="10">
        <f t="shared" si="16"/>
        <v>0</v>
      </c>
      <c r="I70" s="8">
        <f>IFERROR(H70/H445, "NA")</f>
        <v>0</v>
      </c>
      <c r="J70" s="9"/>
      <c r="K70" s="7">
        <v>0</v>
      </c>
      <c r="L70" s="8">
        <f>IFERROR(K70/K445, "NA")</f>
        <v>0</v>
      </c>
      <c r="M70" s="9"/>
      <c r="N70" s="10">
        <f t="shared" si="17"/>
        <v>0</v>
      </c>
      <c r="O70" s="8">
        <f>IFERROR(N70/N445, "NA")</f>
        <v>0</v>
      </c>
      <c r="P70" s="9"/>
      <c r="Q70" s="7">
        <v>0</v>
      </c>
      <c r="R70" s="8">
        <f>IFERROR(Q70/Q445, "NA")</f>
        <v>0</v>
      </c>
      <c r="S70" s="9"/>
      <c r="T70" s="7">
        <v>0</v>
      </c>
      <c r="U70" s="8">
        <f>IFERROR(T70/T445, "NA")</f>
        <v>0</v>
      </c>
      <c r="V70" s="9"/>
      <c r="W70" s="10">
        <f t="shared" si="18"/>
        <v>0</v>
      </c>
      <c r="X70" s="8">
        <f>IFERROR(W70/W445, "NA")</f>
        <v>0</v>
      </c>
      <c r="Y70" s="9"/>
      <c r="Z70" s="7">
        <v>0</v>
      </c>
      <c r="AA70" s="8">
        <f>IFERROR(Z70/Z445, "NA")</f>
        <v>0</v>
      </c>
      <c r="AB70" s="9"/>
      <c r="AC70" s="10">
        <f t="shared" si="19"/>
        <v>0</v>
      </c>
      <c r="AD70" s="8">
        <f>IFERROR(AC70/AC445,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IFERROR(B71/B445, "NA")</f>
        <v>0</v>
      </c>
      <c r="D71" s="9"/>
      <c r="E71" s="7">
        <v>0</v>
      </c>
      <c r="F71" s="8">
        <f>IFERROR(E71/E445, "NA")</f>
        <v>0</v>
      </c>
      <c r="G71" s="9"/>
      <c r="H71" s="10">
        <f t="shared" si="16"/>
        <v>0</v>
      </c>
      <c r="I71" s="8">
        <f>IFERROR(H71/H445, "NA")</f>
        <v>0</v>
      </c>
      <c r="J71" s="9"/>
      <c r="K71" s="7">
        <v>0</v>
      </c>
      <c r="L71" s="8">
        <f>IFERROR(K71/K445, "NA")</f>
        <v>0</v>
      </c>
      <c r="M71" s="9"/>
      <c r="N71" s="10">
        <f t="shared" si="17"/>
        <v>0</v>
      </c>
      <c r="O71" s="8">
        <f>IFERROR(N71/N445, "NA")</f>
        <v>0</v>
      </c>
      <c r="P71" s="9"/>
      <c r="Q71" s="7">
        <v>0</v>
      </c>
      <c r="R71" s="8">
        <f>IFERROR(Q71/Q445, "NA")</f>
        <v>0</v>
      </c>
      <c r="S71" s="9"/>
      <c r="T71" s="7">
        <v>0</v>
      </c>
      <c r="U71" s="8">
        <f>IFERROR(T71/T445, "NA")</f>
        <v>0</v>
      </c>
      <c r="V71" s="9"/>
      <c r="W71" s="10">
        <f t="shared" si="18"/>
        <v>0</v>
      </c>
      <c r="X71" s="8">
        <f>IFERROR(W71/W445, "NA")</f>
        <v>0</v>
      </c>
      <c r="Y71" s="9"/>
      <c r="Z71" s="7">
        <v>0</v>
      </c>
      <c r="AA71" s="8">
        <f>IFERROR(Z71/Z445, "NA")</f>
        <v>0</v>
      </c>
      <c r="AB71" s="9"/>
      <c r="AC71" s="10">
        <f t="shared" si="19"/>
        <v>0</v>
      </c>
      <c r="AD71" s="8">
        <f>IFERROR(AC71/AC445, "NA")</f>
        <v>0</v>
      </c>
    </row>
    <row r="72" spans="1:30" ht="16.5" customHeight="1" x14ac:dyDescent="0.45">
      <c r="A72" s="12" t="s">
        <v>69</v>
      </c>
      <c r="B72" s="7">
        <v>1353.8</v>
      </c>
      <c r="C72" s="8">
        <f>IFERROR(B72/B445, "NA")</f>
        <v>1.2395636713901873E-2</v>
      </c>
      <c r="D72" s="9"/>
      <c r="E72" s="7">
        <v>0</v>
      </c>
      <c r="F72" s="8">
        <f>IFERROR(E72/E445, "NA")</f>
        <v>0</v>
      </c>
      <c r="G72" s="9"/>
      <c r="H72" s="10">
        <f t="shared" si="16"/>
        <v>1353.8</v>
      </c>
      <c r="I72" s="8">
        <f>IFERROR(H72/H445, "NA")</f>
        <v>9.3428920039530253E-2</v>
      </c>
      <c r="J72" s="9"/>
      <c r="K72" s="7">
        <v>0</v>
      </c>
      <c r="L72" s="8">
        <f>IFERROR(K72/K445, "NA")</f>
        <v>0</v>
      </c>
      <c r="M72" s="9"/>
      <c r="N72" s="10">
        <f t="shared" si="17"/>
        <v>1353.8</v>
      </c>
      <c r="O72" s="8">
        <f>IFERROR(N72/N445, "NA")</f>
        <v>5.9877458644614565E-2</v>
      </c>
      <c r="P72" s="9"/>
      <c r="Q72" s="7">
        <v>1353.8</v>
      </c>
      <c r="R72" s="8">
        <f>IFERROR(Q72/Q445, "NA")</f>
        <v>2.6566150411154251E-3</v>
      </c>
      <c r="S72" s="9"/>
      <c r="T72" s="7">
        <v>0</v>
      </c>
      <c r="U72" s="8">
        <f>IFERROR(T72/T445, "NA")</f>
        <v>0</v>
      </c>
      <c r="V72" s="9"/>
      <c r="W72" s="10">
        <f t="shared" si="18"/>
        <v>1353.8</v>
      </c>
      <c r="X72" s="8">
        <f>IFERROR(W72/W445, "NA")</f>
        <v>4.4251215372149259E-2</v>
      </c>
      <c r="Y72" s="9"/>
      <c r="Z72" s="7">
        <v>0</v>
      </c>
      <c r="AA72" s="8">
        <f>IFERROR(Z72/Z445, "NA")</f>
        <v>0</v>
      </c>
      <c r="AB72" s="9"/>
      <c r="AC72" s="10">
        <f t="shared" si="19"/>
        <v>1353.8</v>
      </c>
      <c r="AD72" s="8">
        <f>IFERROR(AC72/AC445, "NA")</f>
        <v>2.1528898467183144E-2</v>
      </c>
    </row>
    <row r="73" spans="1:30" ht="16.5" customHeight="1" x14ac:dyDescent="0.45">
      <c r="A73" s="13" t="s">
        <v>70</v>
      </c>
      <c r="B73" s="14">
        <f>IFERROR(B64+B65+B66+B67+B68+B69+B70+B71+B72, "NA")</f>
        <v>10346.11</v>
      </c>
      <c r="C73" s="15">
        <f>IFERROR(B73/B445, "NA")</f>
        <v>9.4730847216773023E-2</v>
      </c>
      <c r="D73" s="2"/>
      <c r="E73" s="14">
        <f>IFERROR(E64+E65+E66+E67+E68+E69+E70+E71+E72, "NA")</f>
        <v>7672.78</v>
      </c>
      <c r="F73" s="15">
        <f>IFERROR(E73/E445, "NA")</f>
        <v>8.099999060444954E-2</v>
      </c>
      <c r="G73" s="2"/>
      <c r="H73" s="14">
        <f t="shared" si="16"/>
        <v>2673.3300000000008</v>
      </c>
      <c r="I73" s="15">
        <f>IFERROR(H73/H445, "NA")</f>
        <v>0.18449278682913095</v>
      </c>
      <c r="J73" s="2"/>
      <c r="K73" s="14">
        <f>IFERROR(K64+K65+K66+K67+K68+K69+K70+K71+K72, "NA")</f>
        <v>2056.77</v>
      </c>
      <c r="L73" s="15">
        <f>IFERROR(K73/K445, "NA")</f>
        <v>2.3748492315920522E-2</v>
      </c>
      <c r="M73" s="2"/>
      <c r="N73" s="14">
        <f t="shared" si="17"/>
        <v>8289.34</v>
      </c>
      <c r="O73" s="15">
        <f>IFERROR(N73/N445, "NA")</f>
        <v>0.3666306788603555</v>
      </c>
      <c r="P73" s="2"/>
      <c r="Q73" s="14">
        <f>IFERROR(Q64+Q65+Q66+Q67+Q68+Q69+Q70+Q71+Q72, "NA")</f>
        <v>30580.649999999998</v>
      </c>
      <c r="R73" s="15">
        <f>IFERROR(Q73/Q445, "NA")</f>
        <v>6.0009613500580899E-2</v>
      </c>
      <c r="S73" s="2"/>
      <c r="T73" s="14">
        <f>IFERROR(T64+T65+T66+T67+T68+T69+T70+T71+T72, "NA")</f>
        <v>38799.19</v>
      </c>
      <c r="U73" s="15">
        <f>IFERROR(T73/T445, "NA")</f>
        <v>8.1000000960329333E-2</v>
      </c>
      <c r="V73" s="2"/>
      <c r="W73" s="14">
        <f t="shared" si="18"/>
        <v>-8218.5400000000045</v>
      </c>
      <c r="X73" s="15">
        <f>IFERROR(W73/W445, "NA")</f>
        <v>-0.26863671412662415</v>
      </c>
      <c r="Y73" s="2"/>
      <c r="Z73" s="14">
        <f>IFERROR(Z64+Z65+Z66+Z67+Z68+Z69+Z70+Z71+Z72, "NA")</f>
        <v>10057.26</v>
      </c>
      <c r="AA73" s="15">
        <f>IFERROR(Z73/Z445, "NA")</f>
        <v>2.2513921860287323E-2</v>
      </c>
      <c r="AB73" s="2"/>
      <c r="AC73" s="14">
        <f t="shared" si="19"/>
        <v>20523.39</v>
      </c>
      <c r="AD73" s="15">
        <f>IFERROR(AC73/AC445, "NA")</f>
        <v>0.3263746340023651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IFERROR(B75/B445, "NA")</f>
        <v>0</v>
      </c>
      <c r="D75" s="9"/>
      <c r="E75" s="7">
        <v>1420.89</v>
      </c>
      <c r="F75" s="8">
        <f>IFERROR(E75/E445, "NA")</f>
        <v>1.5000049089111941E-2</v>
      </c>
      <c r="G75" s="9"/>
      <c r="H75" s="10">
        <f t="shared" ref="H75:H92" si="20">IFERROR(B75-E75, "NA")</f>
        <v>-1420.89</v>
      </c>
      <c r="I75" s="8">
        <f>IFERROR(H75/H445, "NA")</f>
        <v>-9.8058958631236634E-2</v>
      </c>
      <c r="J75" s="9"/>
      <c r="K75" s="7">
        <v>0</v>
      </c>
      <c r="L75" s="8">
        <f>IFERROR(K75/K445, "NA")</f>
        <v>0</v>
      </c>
      <c r="M75" s="9"/>
      <c r="N75" s="10">
        <f t="shared" ref="N75:N92" si="21">IFERROR(B75-K75, "NA")</f>
        <v>0</v>
      </c>
      <c r="O75" s="8">
        <f>IFERROR(N75/N445, "NA")</f>
        <v>0</v>
      </c>
      <c r="P75" s="9"/>
      <c r="Q75" s="7">
        <v>0</v>
      </c>
      <c r="R75" s="8">
        <f>IFERROR(Q75/Q445, "NA")</f>
        <v>0</v>
      </c>
      <c r="S75" s="9"/>
      <c r="T75" s="7">
        <v>7185.04</v>
      </c>
      <c r="U75" s="8">
        <f>IFERROR(T75/T445, "NA")</f>
        <v>1.500001022959512E-2</v>
      </c>
      <c r="V75" s="9"/>
      <c r="W75" s="10">
        <f t="shared" ref="W75:W92" si="22">IFERROR(Q75-T75, "NA")</f>
        <v>-7185.04</v>
      </c>
      <c r="X75" s="8">
        <f>IFERROR(W75/W445, "NA")</f>
        <v>-0.23485503951655143</v>
      </c>
      <c r="Y75" s="9"/>
      <c r="Z75" s="7">
        <v>0</v>
      </c>
      <c r="AA75" s="8">
        <f>IFERROR(Z75/Z445, "NA")</f>
        <v>0</v>
      </c>
      <c r="AB75" s="9"/>
      <c r="AC75" s="10">
        <f t="shared" ref="AC75:AC92" si="23">IFERROR(Q75-Z75, "NA")</f>
        <v>0</v>
      </c>
      <c r="AD75" s="8">
        <f>IFERROR(AC75/AC445,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IFERROR(B76/B445, "NA")</f>
        <v>0</v>
      </c>
      <c r="D76" s="9"/>
      <c r="E76" s="7">
        <v>0</v>
      </c>
      <c r="F76" s="8">
        <f>IFERROR(E76/E445, "NA")</f>
        <v>0</v>
      </c>
      <c r="G76" s="9"/>
      <c r="H76" s="10">
        <f t="shared" si="20"/>
        <v>0</v>
      </c>
      <c r="I76" s="8">
        <f>IFERROR(H76/H445, "NA")</f>
        <v>0</v>
      </c>
      <c r="J76" s="9"/>
      <c r="K76" s="7">
        <v>0</v>
      </c>
      <c r="L76" s="8">
        <f>IFERROR(K76/K445, "NA")</f>
        <v>0</v>
      </c>
      <c r="M76" s="9"/>
      <c r="N76" s="10">
        <f t="shared" si="21"/>
        <v>0</v>
      </c>
      <c r="O76" s="8">
        <f>IFERROR(N76/N445, "NA")</f>
        <v>0</v>
      </c>
      <c r="P76" s="9"/>
      <c r="Q76" s="7">
        <v>0</v>
      </c>
      <c r="R76" s="8">
        <f>IFERROR(Q76/Q445, "NA")</f>
        <v>0</v>
      </c>
      <c r="S76" s="9"/>
      <c r="T76" s="7">
        <v>0</v>
      </c>
      <c r="U76" s="8">
        <f>IFERROR(T76/T445, "NA")</f>
        <v>0</v>
      </c>
      <c r="V76" s="9"/>
      <c r="W76" s="10">
        <f t="shared" si="22"/>
        <v>0</v>
      </c>
      <c r="X76" s="8">
        <f>IFERROR(W76/W445, "NA")</f>
        <v>0</v>
      </c>
      <c r="Y76" s="9"/>
      <c r="Z76" s="7">
        <v>0</v>
      </c>
      <c r="AA76" s="8">
        <f>IFERROR(Z76/Z445, "NA")</f>
        <v>0</v>
      </c>
      <c r="AB76" s="9"/>
      <c r="AC76" s="10">
        <f t="shared" si="23"/>
        <v>0</v>
      </c>
      <c r="AD76" s="8">
        <f>IFERROR(AC76/AC445, "NA")</f>
        <v>0</v>
      </c>
    </row>
    <row r="77" spans="1:30" ht="16.5" customHeight="1" x14ac:dyDescent="0.45">
      <c r="A77" s="12" t="s">
        <v>73</v>
      </c>
      <c r="B77" s="7">
        <v>187.28</v>
      </c>
      <c r="C77" s="8">
        <f>IFERROR(B77/B445, "NA")</f>
        <v>1.7147694222038284E-3</v>
      </c>
      <c r="D77" s="9"/>
      <c r="E77" s="7">
        <v>0</v>
      </c>
      <c r="F77" s="8">
        <f>IFERROR(E77/E445, "NA")</f>
        <v>0</v>
      </c>
      <c r="G77" s="9"/>
      <c r="H77" s="10">
        <f t="shared" si="20"/>
        <v>187.28</v>
      </c>
      <c r="I77" s="8">
        <f>IFERROR(H77/H445, "NA")</f>
        <v>1.2924632992320302E-2</v>
      </c>
      <c r="J77" s="9"/>
      <c r="K77" s="7">
        <v>579.14</v>
      </c>
      <c r="L77" s="8">
        <f>IFERROR(K77/K445, "NA")</f>
        <v>6.6870393091314102E-3</v>
      </c>
      <c r="M77" s="9"/>
      <c r="N77" s="10">
        <f t="shared" si="21"/>
        <v>-391.86</v>
      </c>
      <c r="O77" s="8">
        <f>IFERROR(N77/N445, "NA")</f>
        <v>-1.7331644958249862E-2</v>
      </c>
      <c r="P77" s="9"/>
      <c r="Q77" s="7">
        <v>1326.89</v>
      </c>
      <c r="R77" s="8">
        <f>IFERROR(Q77/Q445, "NA")</f>
        <v>2.6038084886287833E-3</v>
      </c>
      <c r="S77" s="9"/>
      <c r="T77" s="7">
        <v>0</v>
      </c>
      <c r="U77" s="8">
        <f>IFERROR(T77/T445, "NA")</f>
        <v>0</v>
      </c>
      <c r="V77" s="9"/>
      <c r="W77" s="10">
        <f t="shared" si="22"/>
        <v>1326.89</v>
      </c>
      <c r="X77" s="8">
        <f>IFERROR(W77/W445, "NA")</f>
        <v>4.3371617052113412E-2</v>
      </c>
      <c r="Y77" s="9"/>
      <c r="Z77" s="7">
        <v>2055.98</v>
      </c>
      <c r="AA77" s="8">
        <f>IFERROR(Z77/Z445, "NA")</f>
        <v>4.6024636000574241E-3</v>
      </c>
      <c r="AB77" s="9"/>
      <c r="AC77" s="10">
        <f t="shared" si="23"/>
        <v>-729.08999999999992</v>
      </c>
      <c r="AD77" s="8">
        <f>IFERROR(AC77/AC445, "NA")</f>
        <v>-1.1594404331096585E-2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IFERROR(B78/B445, "NA")</f>
        <v>0</v>
      </c>
      <c r="D78" s="9"/>
      <c r="E78" s="7">
        <v>0</v>
      </c>
      <c r="F78" s="8">
        <f>IFERROR(E78/E445, "NA")</f>
        <v>0</v>
      </c>
      <c r="G78" s="9"/>
      <c r="H78" s="10">
        <f t="shared" si="20"/>
        <v>0</v>
      </c>
      <c r="I78" s="8">
        <f>IFERROR(H78/H445, "NA")</f>
        <v>0</v>
      </c>
      <c r="J78" s="9"/>
      <c r="K78" s="7">
        <v>0</v>
      </c>
      <c r="L78" s="8">
        <f>IFERROR(K78/K445, "NA")</f>
        <v>0</v>
      </c>
      <c r="M78" s="9"/>
      <c r="N78" s="10">
        <f t="shared" si="21"/>
        <v>0</v>
      </c>
      <c r="O78" s="8">
        <f>IFERROR(N78/N445, "NA")</f>
        <v>0</v>
      </c>
      <c r="P78" s="9"/>
      <c r="Q78" s="7">
        <v>0</v>
      </c>
      <c r="R78" s="8">
        <f>IFERROR(Q78/Q445, "NA")</f>
        <v>0</v>
      </c>
      <c r="S78" s="9"/>
      <c r="T78" s="7">
        <v>0</v>
      </c>
      <c r="U78" s="8">
        <f>IFERROR(T78/T445, "NA")</f>
        <v>0</v>
      </c>
      <c r="V78" s="9"/>
      <c r="W78" s="10">
        <f t="shared" si="22"/>
        <v>0</v>
      </c>
      <c r="X78" s="8">
        <f>IFERROR(W78/W445, "NA")</f>
        <v>0</v>
      </c>
      <c r="Y78" s="9"/>
      <c r="Z78" s="7">
        <v>0</v>
      </c>
      <c r="AA78" s="8">
        <f>IFERROR(Z78/Z445, "NA")</f>
        <v>0</v>
      </c>
      <c r="AB78" s="9"/>
      <c r="AC78" s="10">
        <f t="shared" si="23"/>
        <v>0</v>
      </c>
      <c r="AD78" s="8">
        <f>IFERROR(AC78/AC445,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IFERROR(B79/B445, "NA")</f>
        <v>0</v>
      </c>
      <c r="D79" s="9"/>
      <c r="E79" s="7">
        <v>0</v>
      </c>
      <c r="F79" s="8">
        <f>IFERROR(E79/E445, "NA")</f>
        <v>0</v>
      </c>
      <c r="G79" s="9"/>
      <c r="H79" s="10">
        <f t="shared" si="20"/>
        <v>0</v>
      </c>
      <c r="I79" s="8">
        <f>IFERROR(H79/H445, "NA")</f>
        <v>0</v>
      </c>
      <c r="J79" s="9"/>
      <c r="K79" s="7">
        <v>0</v>
      </c>
      <c r="L79" s="8">
        <f>IFERROR(K79/K445, "NA")</f>
        <v>0</v>
      </c>
      <c r="M79" s="9"/>
      <c r="N79" s="10">
        <f t="shared" si="21"/>
        <v>0</v>
      </c>
      <c r="O79" s="8">
        <f>IFERROR(N79/N445, "NA")</f>
        <v>0</v>
      </c>
      <c r="P79" s="9"/>
      <c r="Q79" s="7">
        <v>0</v>
      </c>
      <c r="R79" s="8">
        <f>IFERROR(Q79/Q445, "NA")</f>
        <v>0</v>
      </c>
      <c r="S79" s="9"/>
      <c r="T79" s="7">
        <v>0</v>
      </c>
      <c r="U79" s="8">
        <f>IFERROR(T79/T445, "NA")</f>
        <v>0</v>
      </c>
      <c r="V79" s="9"/>
      <c r="W79" s="10">
        <f t="shared" si="22"/>
        <v>0</v>
      </c>
      <c r="X79" s="8">
        <f>IFERROR(W79/W445, "NA")</f>
        <v>0</v>
      </c>
      <c r="Y79" s="9"/>
      <c r="Z79" s="7">
        <v>0</v>
      </c>
      <c r="AA79" s="8">
        <f>IFERROR(Z79/Z445, "NA")</f>
        <v>0</v>
      </c>
      <c r="AB79" s="9"/>
      <c r="AC79" s="10">
        <f t="shared" si="23"/>
        <v>0</v>
      </c>
      <c r="AD79" s="8">
        <f>IFERROR(AC79/AC445, "NA")</f>
        <v>0</v>
      </c>
    </row>
    <row r="80" spans="1:30" ht="16.5" customHeight="1" x14ac:dyDescent="0.45">
      <c r="A80" s="12" t="s">
        <v>76</v>
      </c>
      <c r="B80" s="7">
        <v>1311.53</v>
      </c>
      <c r="C80" s="8">
        <f>IFERROR(B80/B445, "NA")</f>
        <v>1.2008604978123595E-2</v>
      </c>
      <c r="D80" s="9"/>
      <c r="E80" s="7">
        <v>0</v>
      </c>
      <c r="F80" s="8">
        <f>IFERROR(E80/E445, "NA")</f>
        <v>0</v>
      </c>
      <c r="G80" s="9"/>
      <c r="H80" s="10">
        <f t="shared" si="20"/>
        <v>1311.53</v>
      </c>
      <c r="I80" s="8">
        <f>IFERROR(H80/H445, "NA")</f>
        <v>9.0511767985998748E-2</v>
      </c>
      <c r="J80" s="9"/>
      <c r="K80" s="7">
        <v>809.19</v>
      </c>
      <c r="L80" s="8">
        <f>IFERROR(K80/K445, "NA")</f>
        <v>9.3433113557275377E-3</v>
      </c>
      <c r="M80" s="9"/>
      <c r="N80" s="10">
        <f t="shared" si="21"/>
        <v>502.33999999999992</v>
      </c>
      <c r="O80" s="8">
        <f>IFERROR(N80/N445, "NA")</f>
        <v>2.2218084337077615E-2</v>
      </c>
      <c r="P80" s="9"/>
      <c r="Q80" s="7">
        <v>6743.67</v>
      </c>
      <c r="R80" s="8">
        <f>IFERROR(Q80/Q445, "NA")</f>
        <v>1.3233369149297429E-2</v>
      </c>
      <c r="S80" s="9"/>
      <c r="T80" s="7">
        <v>0</v>
      </c>
      <c r="U80" s="8">
        <f>IFERROR(T80/T445, "NA")</f>
        <v>0</v>
      </c>
      <c r="V80" s="9"/>
      <c r="W80" s="10">
        <f t="shared" si="22"/>
        <v>6743.67</v>
      </c>
      <c r="X80" s="8">
        <f>IFERROR(W80/W445, "NA")</f>
        <v>0.22042812348109161</v>
      </c>
      <c r="Y80" s="9"/>
      <c r="Z80" s="7">
        <v>3881.71</v>
      </c>
      <c r="AA80" s="8">
        <f>IFERROR(Z80/Z445, "NA")</f>
        <v>8.6894955111328429E-3</v>
      </c>
      <c r="AB80" s="9"/>
      <c r="AC80" s="10">
        <f t="shared" si="23"/>
        <v>2861.96</v>
      </c>
      <c r="AD80" s="8">
        <f>IFERROR(AC80/AC445, "NA")</f>
        <v>4.5512517548485357E-2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IFERROR(B81/B445, "NA")</f>
        <v>0</v>
      </c>
      <c r="D81" s="9"/>
      <c r="E81" s="7">
        <v>0</v>
      </c>
      <c r="F81" s="8">
        <f>IFERROR(E81/E445, "NA")</f>
        <v>0</v>
      </c>
      <c r="G81" s="9"/>
      <c r="H81" s="10">
        <f t="shared" si="20"/>
        <v>0</v>
      </c>
      <c r="I81" s="8">
        <f>IFERROR(H81/H445, "NA")</f>
        <v>0</v>
      </c>
      <c r="J81" s="9"/>
      <c r="K81" s="7">
        <v>0</v>
      </c>
      <c r="L81" s="8">
        <f>IFERROR(K81/K445, "NA")</f>
        <v>0</v>
      </c>
      <c r="M81" s="9"/>
      <c r="N81" s="10">
        <f t="shared" si="21"/>
        <v>0</v>
      </c>
      <c r="O81" s="8">
        <f>IFERROR(N81/N445, "NA")</f>
        <v>0</v>
      </c>
      <c r="P81" s="9"/>
      <c r="Q81" s="7">
        <v>0</v>
      </c>
      <c r="R81" s="8">
        <f>IFERROR(Q81/Q445, "NA")</f>
        <v>0</v>
      </c>
      <c r="S81" s="9"/>
      <c r="T81" s="7">
        <v>0</v>
      </c>
      <c r="U81" s="8">
        <f>IFERROR(T81/T445, "NA")</f>
        <v>0</v>
      </c>
      <c r="V81" s="9"/>
      <c r="W81" s="10">
        <f t="shared" si="22"/>
        <v>0</v>
      </c>
      <c r="X81" s="8">
        <f>IFERROR(W81/W445, "NA")</f>
        <v>0</v>
      </c>
      <c r="Y81" s="9"/>
      <c r="Z81" s="7">
        <v>0</v>
      </c>
      <c r="AA81" s="8">
        <f>IFERROR(Z81/Z445, "NA")</f>
        <v>0</v>
      </c>
      <c r="AB81" s="9"/>
      <c r="AC81" s="10">
        <f t="shared" si="23"/>
        <v>0</v>
      </c>
      <c r="AD81" s="8">
        <f>IFERROR(AC81/AC445,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IFERROR(B82/B445, "NA")</f>
        <v>0</v>
      </c>
      <c r="D82" s="9"/>
      <c r="E82" s="7">
        <v>0</v>
      </c>
      <c r="F82" s="8">
        <f>IFERROR(E82/E445, "NA")</f>
        <v>0</v>
      </c>
      <c r="G82" s="9"/>
      <c r="H82" s="10">
        <f t="shared" si="20"/>
        <v>0</v>
      </c>
      <c r="I82" s="8">
        <f>IFERROR(H82/H445, "NA")</f>
        <v>0</v>
      </c>
      <c r="J82" s="9"/>
      <c r="K82" s="7">
        <v>0</v>
      </c>
      <c r="L82" s="8">
        <f>IFERROR(K82/K445, "NA")</f>
        <v>0</v>
      </c>
      <c r="M82" s="9"/>
      <c r="N82" s="10">
        <f t="shared" si="21"/>
        <v>0</v>
      </c>
      <c r="O82" s="8">
        <f>IFERROR(N82/N445, "NA")</f>
        <v>0</v>
      </c>
      <c r="P82" s="9"/>
      <c r="Q82" s="7">
        <v>0</v>
      </c>
      <c r="R82" s="8">
        <f>IFERROR(Q82/Q445, "NA")</f>
        <v>0</v>
      </c>
      <c r="S82" s="9"/>
      <c r="T82" s="7">
        <v>0</v>
      </c>
      <c r="U82" s="8">
        <f>IFERROR(T82/T445, "NA")</f>
        <v>0</v>
      </c>
      <c r="V82" s="9"/>
      <c r="W82" s="10">
        <f t="shared" si="22"/>
        <v>0</v>
      </c>
      <c r="X82" s="8">
        <f>IFERROR(W82/W445, "NA")</f>
        <v>0</v>
      </c>
      <c r="Y82" s="9"/>
      <c r="Z82" s="7">
        <v>0</v>
      </c>
      <c r="AA82" s="8">
        <f>IFERROR(Z82/Z445, "NA")</f>
        <v>0</v>
      </c>
      <c r="AB82" s="9"/>
      <c r="AC82" s="10">
        <f t="shared" si="23"/>
        <v>0</v>
      </c>
      <c r="AD82" s="8">
        <f>IFERROR(AC82/AC445, "NA")</f>
        <v>0</v>
      </c>
    </row>
    <row r="83" spans="1:30" ht="16.5" customHeight="1" x14ac:dyDescent="0.45">
      <c r="A83" s="12" t="s">
        <v>79</v>
      </c>
      <c r="B83" s="7">
        <v>104.8</v>
      </c>
      <c r="C83" s="8">
        <f>IFERROR(B83/B445, "NA")</f>
        <v>9.5956768179710167E-4</v>
      </c>
      <c r="D83" s="9"/>
      <c r="E83" s="7">
        <v>0</v>
      </c>
      <c r="F83" s="8">
        <f>IFERROR(E83/E445, "NA")</f>
        <v>0</v>
      </c>
      <c r="G83" s="9"/>
      <c r="H83" s="10">
        <f t="shared" si="20"/>
        <v>104.8</v>
      </c>
      <c r="I83" s="8">
        <f>IFERROR(H83/H445, "NA")</f>
        <v>7.2324943271847913E-3</v>
      </c>
      <c r="J83" s="9"/>
      <c r="K83" s="7">
        <v>0</v>
      </c>
      <c r="L83" s="8">
        <f>IFERROR(K83/K445, "NA")</f>
        <v>0</v>
      </c>
      <c r="M83" s="9"/>
      <c r="N83" s="10">
        <f t="shared" si="21"/>
        <v>104.8</v>
      </c>
      <c r="O83" s="8">
        <f>IFERROR(N83/N445, "NA")</f>
        <v>4.6352176584101091E-3</v>
      </c>
      <c r="P83" s="9"/>
      <c r="Q83" s="7">
        <v>595.77</v>
      </c>
      <c r="R83" s="8">
        <f>IFERROR(Q83/Q445, "NA")</f>
        <v>1.1691029273491924E-3</v>
      </c>
      <c r="S83" s="9"/>
      <c r="T83" s="7">
        <v>0</v>
      </c>
      <c r="U83" s="8">
        <f>IFERROR(T83/T445, "NA")</f>
        <v>0</v>
      </c>
      <c r="V83" s="9"/>
      <c r="W83" s="10">
        <f t="shared" si="22"/>
        <v>595.77</v>
      </c>
      <c r="X83" s="8">
        <f>IFERROR(W83/W445, "NA")</f>
        <v>1.9473738057516152E-2</v>
      </c>
      <c r="Y83" s="9"/>
      <c r="Z83" s="7">
        <v>0</v>
      </c>
      <c r="AA83" s="8">
        <f>IFERROR(Z83/Z445, "NA")</f>
        <v>0</v>
      </c>
      <c r="AB83" s="9"/>
      <c r="AC83" s="10">
        <f t="shared" si="23"/>
        <v>595.77</v>
      </c>
      <c r="AD83" s="8">
        <f>IFERROR(AC83/AC445, "NA")</f>
        <v>9.4742737773627576E-3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IFERROR(B84/B445, "NA")</f>
        <v>0</v>
      </c>
      <c r="D84" s="9"/>
      <c r="E84" s="7">
        <v>0</v>
      </c>
      <c r="F84" s="8">
        <f>IFERROR(E84/E445, "NA")</f>
        <v>0</v>
      </c>
      <c r="G84" s="9"/>
      <c r="H84" s="10">
        <f t="shared" si="20"/>
        <v>0</v>
      </c>
      <c r="I84" s="8">
        <f>IFERROR(H84/H445, "NA")</f>
        <v>0</v>
      </c>
      <c r="J84" s="9"/>
      <c r="K84" s="7">
        <v>0</v>
      </c>
      <c r="L84" s="8">
        <f>IFERROR(K84/K445, "NA")</f>
        <v>0</v>
      </c>
      <c r="M84" s="9"/>
      <c r="N84" s="10">
        <f t="shared" si="21"/>
        <v>0</v>
      </c>
      <c r="O84" s="8">
        <f>IFERROR(N84/N445, "NA")</f>
        <v>0</v>
      </c>
      <c r="P84" s="9"/>
      <c r="Q84" s="7">
        <v>0</v>
      </c>
      <c r="R84" s="8">
        <f>IFERROR(Q84/Q445, "NA")</f>
        <v>0</v>
      </c>
      <c r="S84" s="9"/>
      <c r="T84" s="7">
        <v>0</v>
      </c>
      <c r="U84" s="8">
        <f>IFERROR(T84/T445, "NA")</f>
        <v>0</v>
      </c>
      <c r="V84" s="9"/>
      <c r="W84" s="10">
        <f t="shared" si="22"/>
        <v>0</v>
      </c>
      <c r="X84" s="8">
        <f>IFERROR(W84/W445, "NA")</f>
        <v>0</v>
      </c>
      <c r="Y84" s="9"/>
      <c r="Z84" s="7">
        <v>0</v>
      </c>
      <c r="AA84" s="8">
        <f>IFERROR(Z84/Z445, "NA")</f>
        <v>0</v>
      </c>
      <c r="AB84" s="9"/>
      <c r="AC84" s="10">
        <f t="shared" si="23"/>
        <v>0</v>
      </c>
      <c r="AD84" s="8">
        <f>IFERROR(AC84/AC445,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IFERROR(B85/B445, "NA")</f>
        <v>0</v>
      </c>
      <c r="D85" s="9"/>
      <c r="E85" s="7">
        <v>0</v>
      </c>
      <c r="F85" s="8">
        <f>IFERROR(E85/E445, "NA")</f>
        <v>0</v>
      </c>
      <c r="G85" s="9"/>
      <c r="H85" s="10">
        <f t="shared" si="20"/>
        <v>0</v>
      </c>
      <c r="I85" s="8">
        <f>IFERROR(H85/H445, "NA")</f>
        <v>0</v>
      </c>
      <c r="J85" s="9"/>
      <c r="K85" s="7">
        <v>0</v>
      </c>
      <c r="L85" s="8">
        <f>IFERROR(K85/K445, "NA")</f>
        <v>0</v>
      </c>
      <c r="M85" s="9"/>
      <c r="N85" s="10">
        <f t="shared" si="21"/>
        <v>0</v>
      </c>
      <c r="O85" s="8">
        <f>IFERROR(N85/N445, "NA")</f>
        <v>0</v>
      </c>
      <c r="P85" s="9"/>
      <c r="Q85" s="7">
        <v>0</v>
      </c>
      <c r="R85" s="8">
        <f>IFERROR(Q85/Q445, "NA")</f>
        <v>0</v>
      </c>
      <c r="S85" s="9"/>
      <c r="T85" s="7">
        <v>0</v>
      </c>
      <c r="U85" s="8">
        <f>IFERROR(T85/T445, "NA")</f>
        <v>0</v>
      </c>
      <c r="V85" s="9"/>
      <c r="W85" s="10">
        <f t="shared" si="22"/>
        <v>0</v>
      </c>
      <c r="X85" s="8">
        <f>IFERROR(W85/W445, "NA")</f>
        <v>0</v>
      </c>
      <c r="Y85" s="9"/>
      <c r="Z85" s="7">
        <v>0</v>
      </c>
      <c r="AA85" s="8">
        <f>IFERROR(Z85/Z445, "NA")</f>
        <v>0</v>
      </c>
      <c r="AB85" s="9"/>
      <c r="AC85" s="10">
        <f t="shared" si="23"/>
        <v>0</v>
      </c>
      <c r="AD85" s="8">
        <f>IFERROR(AC85/AC445,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IFERROR(B86/B445, "NA")</f>
        <v>0</v>
      </c>
      <c r="D86" s="9"/>
      <c r="E86" s="7">
        <v>0</v>
      </c>
      <c r="F86" s="8">
        <f>IFERROR(E86/E445, "NA")</f>
        <v>0</v>
      </c>
      <c r="G86" s="9"/>
      <c r="H86" s="10">
        <f t="shared" si="20"/>
        <v>0</v>
      </c>
      <c r="I86" s="8">
        <f>IFERROR(H86/H445, "NA")</f>
        <v>0</v>
      </c>
      <c r="J86" s="9"/>
      <c r="K86" s="7">
        <v>0</v>
      </c>
      <c r="L86" s="8">
        <f>IFERROR(K86/K445, "NA")</f>
        <v>0</v>
      </c>
      <c r="M86" s="9"/>
      <c r="N86" s="10">
        <f t="shared" si="21"/>
        <v>0</v>
      </c>
      <c r="O86" s="8">
        <f>IFERROR(N86/N445, "NA")</f>
        <v>0</v>
      </c>
      <c r="P86" s="9"/>
      <c r="Q86" s="7">
        <v>0</v>
      </c>
      <c r="R86" s="8">
        <f>IFERROR(Q86/Q445, "NA")</f>
        <v>0</v>
      </c>
      <c r="S86" s="9"/>
      <c r="T86" s="7">
        <v>0</v>
      </c>
      <c r="U86" s="8">
        <f>IFERROR(T86/T445, "NA")</f>
        <v>0</v>
      </c>
      <c r="V86" s="9"/>
      <c r="W86" s="10">
        <f t="shared" si="22"/>
        <v>0</v>
      </c>
      <c r="X86" s="8">
        <f>IFERROR(W86/W445, "NA")</f>
        <v>0</v>
      </c>
      <c r="Y86" s="9"/>
      <c r="Z86" s="7">
        <v>0</v>
      </c>
      <c r="AA86" s="8">
        <f>IFERROR(Z86/Z445, "NA")</f>
        <v>0</v>
      </c>
      <c r="AB86" s="9"/>
      <c r="AC86" s="10">
        <f t="shared" si="23"/>
        <v>0</v>
      </c>
      <c r="AD86" s="8">
        <f>IFERROR(AC86/AC445,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IFERROR(B87/B445, "NA")</f>
        <v>0</v>
      </c>
      <c r="D87" s="9"/>
      <c r="E87" s="7">
        <v>0</v>
      </c>
      <c r="F87" s="8">
        <f>IFERROR(E87/E445, "NA")</f>
        <v>0</v>
      </c>
      <c r="G87" s="9"/>
      <c r="H87" s="10">
        <f t="shared" si="20"/>
        <v>0</v>
      </c>
      <c r="I87" s="8">
        <f>IFERROR(H87/H445, "NA")</f>
        <v>0</v>
      </c>
      <c r="J87" s="9"/>
      <c r="K87" s="7">
        <v>0</v>
      </c>
      <c r="L87" s="8">
        <f>IFERROR(K87/K445, "NA")</f>
        <v>0</v>
      </c>
      <c r="M87" s="9"/>
      <c r="N87" s="10">
        <f t="shared" si="21"/>
        <v>0</v>
      </c>
      <c r="O87" s="8">
        <f>IFERROR(N87/N445, "NA")</f>
        <v>0</v>
      </c>
      <c r="P87" s="9"/>
      <c r="Q87" s="7">
        <v>0</v>
      </c>
      <c r="R87" s="8">
        <f>IFERROR(Q87/Q445, "NA")</f>
        <v>0</v>
      </c>
      <c r="S87" s="9"/>
      <c r="T87" s="7">
        <v>0</v>
      </c>
      <c r="U87" s="8">
        <f>IFERROR(T87/T445, "NA")</f>
        <v>0</v>
      </c>
      <c r="V87" s="9"/>
      <c r="W87" s="10">
        <f t="shared" si="22"/>
        <v>0</v>
      </c>
      <c r="X87" s="8">
        <f>IFERROR(W87/W445, "NA")</f>
        <v>0</v>
      </c>
      <c r="Y87" s="9"/>
      <c r="Z87" s="7">
        <v>0</v>
      </c>
      <c r="AA87" s="8">
        <f>IFERROR(Z87/Z445, "NA")</f>
        <v>0</v>
      </c>
      <c r="AB87" s="9"/>
      <c r="AC87" s="10">
        <f t="shared" si="23"/>
        <v>0</v>
      </c>
      <c r="AD87" s="8">
        <f>IFERROR(AC87/AC445,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1603.61</v>
      </c>
      <c r="C88" s="15">
        <f>IFERROR(B88/B445, "NA")</f>
        <v>1.4682942082124525E-2</v>
      </c>
      <c r="D88" s="2"/>
      <c r="E88" s="14">
        <f>IFERROR(E75+E76+E77+E78+E79+E80+E81+E82+E83+E84+E85+E86+E87, "NA")</f>
        <v>1420.89</v>
      </c>
      <c r="F88" s="15">
        <f>IFERROR(E88/E445, "NA")</f>
        <v>1.5000049089111941E-2</v>
      </c>
      <c r="G88" s="2"/>
      <c r="H88" s="14">
        <f t="shared" si="20"/>
        <v>182.7199999999998</v>
      </c>
      <c r="I88" s="15">
        <f>IFERROR(H88/H445, "NA")</f>
        <v>1.260993667426721E-2</v>
      </c>
      <c r="J88" s="2"/>
      <c r="K88" s="14">
        <f>IFERROR(K75+K76+K77+K78+K79+K80+K81+K82+K83+K84+K85+K86+K87, "NA")</f>
        <v>1388.33</v>
      </c>
      <c r="L88" s="15">
        <f>IFERROR(K88/K445, "NA")</f>
        <v>1.6030350664858948E-2</v>
      </c>
      <c r="M88" s="2"/>
      <c r="N88" s="14">
        <f t="shared" si="21"/>
        <v>215.27999999999997</v>
      </c>
      <c r="O88" s="15">
        <f>IFERROR(N88/N445, "NA")</f>
        <v>9.5216570372378649E-3</v>
      </c>
      <c r="P88" s="2"/>
      <c r="Q88" s="14">
        <f>IFERROR(Q75+Q76+Q77+Q78+Q79+Q80+Q81+Q82+Q83+Q84+Q85+Q86+Q87, "NA")</f>
        <v>8666.33</v>
      </c>
      <c r="R88" s="15">
        <f>IFERROR(Q88/Q445, "NA")</f>
        <v>1.7006280565275405E-2</v>
      </c>
      <c r="S88" s="2"/>
      <c r="T88" s="14">
        <f>IFERROR(T75+T76+T77+T78+T79+T80+T81+T82+T83+T84+T85+T86+T87, "NA")</f>
        <v>7185.04</v>
      </c>
      <c r="U88" s="15">
        <f>IFERROR(T88/T445, "NA")</f>
        <v>1.500001022959512E-2</v>
      </c>
      <c r="V88" s="2"/>
      <c r="W88" s="14">
        <f t="shared" si="22"/>
        <v>1481.29</v>
      </c>
      <c r="X88" s="15">
        <f>IFERROR(W88/W445, "NA")</f>
        <v>4.8418439074169727E-2</v>
      </c>
      <c r="Y88" s="2"/>
      <c r="Z88" s="14">
        <f>IFERROR(Z75+Z76+Z77+Z78+Z79+Z80+Z81+Z82+Z83+Z84+Z85+Z86+Z87, "NA")</f>
        <v>5937.6900000000005</v>
      </c>
      <c r="AA88" s="15">
        <f>IFERROR(Z88/Z445, "NA")</f>
        <v>1.3291959111190268E-2</v>
      </c>
      <c r="AB88" s="2"/>
      <c r="AC88" s="14">
        <f t="shared" si="23"/>
        <v>2728.6399999999994</v>
      </c>
      <c r="AD88" s="15">
        <f>IFERROR(AC88/AC445, "NA")</f>
        <v>4.3392386994751515E-2</v>
      </c>
    </row>
    <row r="89" spans="1:30" ht="16.5" customHeight="1" x14ac:dyDescent="0.45">
      <c r="A89" s="6" t="s">
        <v>85</v>
      </c>
      <c r="B89" s="7">
        <v>0</v>
      </c>
      <c r="C89" s="8">
        <f>IFERROR(B89/B445, "NA")</f>
        <v>0</v>
      </c>
      <c r="D89" s="9"/>
      <c r="E89" s="7">
        <v>0</v>
      </c>
      <c r="F89" s="8">
        <f>IFERROR(E89/E445, "NA")</f>
        <v>0</v>
      </c>
      <c r="G89" s="9"/>
      <c r="H89" s="10">
        <f t="shared" si="20"/>
        <v>0</v>
      </c>
      <c r="I89" s="8">
        <f>IFERROR(H89/H445, "NA")</f>
        <v>0</v>
      </c>
      <c r="J89" s="9"/>
      <c r="K89" s="7">
        <v>-16.91</v>
      </c>
      <c r="L89" s="8">
        <f>IFERROR(K89/K445, "NA")</f>
        <v>-1.9525129453571184E-4</v>
      </c>
      <c r="M89" s="9"/>
      <c r="N89" s="10">
        <f t="shared" si="21"/>
        <v>16.91</v>
      </c>
      <c r="O89" s="8">
        <f>IFERROR(N89/N445, "NA")</f>
        <v>7.4791536835605869E-4</v>
      </c>
      <c r="P89" s="9"/>
      <c r="Q89" s="7">
        <v>-74.040000000000006</v>
      </c>
      <c r="R89" s="8">
        <f>IFERROR(Q89/Q445, "NA")</f>
        <v>-1.4529160706469647E-4</v>
      </c>
      <c r="S89" s="9"/>
      <c r="T89" s="7">
        <v>0</v>
      </c>
      <c r="U89" s="8">
        <f>IFERROR(T89/T445, "NA")</f>
        <v>0</v>
      </c>
      <c r="V89" s="9"/>
      <c r="W89" s="10">
        <f t="shared" si="22"/>
        <v>-74.040000000000006</v>
      </c>
      <c r="X89" s="8">
        <f>IFERROR(W89/W445, "NA")</f>
        <v>-2.4201211302658674E-3</v>
      </c>
      <c r="Y89" s="9"/>
      <c r="Z89" s="7">
        <v>-126.63</v>
      </c>
      <c r="AA89" s="8">
        <f>IFERROR(Z89/Z445, "NA")</f>
        <v>-2.8347063963427249E-4</v>
      </c>
      <c r="AB89" s="9"/>
      <c r="AC89" s="10">
        <f t="shared" si="23"/>
        <v>52.589999999999989</v>
      </c>
      <c r="AD89" s="8">
        <f>IFERROR(AC89/AC445, "NA")</f>
        <v>8.3631612526899205E-4</v>
      </c>
    </row>
    <row r="90" spans="1:30" ht="16.5" customHeight="1" x14ac:dyDescent="0.45">
      <c r="A90" s="6" t="s">
        <v>86</v>
      </c>
      <c r="B90" s="7">
        <v>-10.32</v>
      </c>
      <c r="C90" s="8">
        <f>IFERROR(B90/B445, "NA")</f>
        <v>-9.4491779352539034E-5</v>
      </c>
      <c r="D90" s="9"/>
      <c r="E90" s="7">
        <v>0</v>
      </c>
      <c r="F90" s="8">
        <f>IFERROR(E90/E445, "NA")</f>
        <v>0</v>
      </c>
      <c r="G90" s="9"/>
      <c r="H90" s="10">
        <f t="shared" si="20"/>
        <v>-10.32</v>
      </c>
      <c r="I90" s="8">
        <f>IFERROR(H90/H445, "NA")</f>
        <v>-7.1220745664644133E-4</v>
      </c>
      <c r="J90" s="9"/>
      <c r="K90" s="7">
        <v>0</v>
      </c>
      <c r="L90" s="8">
        <f>IFERROR(K90/K445, "NA")</f>
        <v>0</v>
      </c>
      <c r="M90" s="9"/>
      <c r="N90" s="10">
        <f t="shared" si="21"/>
        <v>-10.32</v>
      </c>
      <c r="O90" s="8">
        <f>IFERROR(N90/N445, "NA")</f>
        <v>-4.5644509766023215E-4</v>
      </c>
      <c r="P90" s="9"/>
      <c r="Q90" s="7">
        <v>-243.65</v>
      </c>
      <c r="R90" s="8">
        <f>IFERROR(Q90/Q445, "NA")</f>
        <v>-4.7812398786214609E-4</v>
      </c>
      <c r="S90" s="9"/>
      <c r="T90" s="7">
        <v>0</v>
      </c>
      <c r="U90" s="8">
        <f>IFERROR(T90/T445, "NA")</f>
        <v>0</v>
      </c>
      <c r="V90" s="9"/>
      <c r="W90" s="10">
        <f t="shared" si="22"/>
        <v>-243.65</v>
      </c>
      <c r="X90" s="8">
        <f>IFERROR(W90/W445, "NA")</f>
        <v>-7.9641074201685386E-3</v>
      </c>
      <c r="Y90" s="9"/>
      <c r="Z90" s="7">
        <v>0</v>
      </c>
      <c r="AA90" s="8">
        <f>IFERROR(Z90/Z445, "NA")</f>
        <v>0</v>
      </c>
      <c r="AB90" s="9"/>
      <c r="AC90" s="10">
        <f t="shared" si="23"/>
        <v>-243.65</v>
      </c>
      <c r="AD90" s="8">
        <f>IFERROR(AC90/AC445, "NA")</f>
        <v>-3.8746610367330282E-3</v>
      </c>
    </row>
    <row r="91" spans="1:30" ht="16.5" hidden="1" customHeight="1" x14ac:dyDescent="0.45">
      <c r="A91" s="6" t="s">
        <v>87</v>
      </c>
      <c r="B91" s="7">
        <v>0</v>
      </c>
      <c r="C91" s="8">
        <f>IFERROR(B91/B445, "NA")</f>
        <v>0</v>
      </c>
      <c r="D91" s="9"/>
      <c r="E91" s="7">
        <v>0</v>
      </c>
      <c r="F91" s="8">
        <f>IFERROR(E91/E445, "NA")</f>
        <v>0</v>
      </c>
      <c r="G91" s="9"/>
      <c r="H91" s="10">
        <f t="shared" si="20"/>
        <v>0</v>
      </c>
      <c r="I91" s="8">
        <f>IFERROR(H91/H445, "NA")</f>
        <v>0</v>
      </c>
      <c r="J91" s="9"/>
      <c r="K91" s="7">
        <v>0</v>
      </c>
      <c r="L91" s="8">
        <f>IFERROR(K91/K445, "NA")</f>
        <v>0</v>
      </c>
      <c r="M91" s="9"/>
      <c r="N91" s="10">
        <f t="shared" si="21"/>
        <v>0</v>
      </c>
      <c r="O91" s="8">
        <f>IFERROR(N91/N445, "NA")</f>
        <v>0</v>
      </c>
      <c r="P91" s="9"/>
      <c r="Q91" s="7">
        <v>0</v>
      </c>
      <c r="R91" s="8">
        <f>IFERROR(Q91/Q445, "NA")</f>
        <v>0</v>
      </c>
      <c r="S91" s="9"/>
      <c r="T91" s="7">
        <v>0</v>
      </c>
      <c r="U91" s="8">
        <f>IFERROR(T91/T445, "NA")</f>
        <v>0</v>
      </c>
      <c r="V91" s="9"/>
      <c r="W91" s="10">
        <f t="shared" si="22"/>
        <v>0</v>
      </c>
      <c r="X91" s="8">
        <f>IFERROR(W91/W445, "NA")</f>
        <v>0</v>
      </c>
      <c r="Y91" s="9"/>
      <c r="Z91" s="7">
        <v>0</v>
      </c>
      <c r="AA91" s="8">
        <f>IFERROR(Z91/Z445, "NA")</f>
        <v>0</v>
      </c>
      <c r="AB91" s="9"/>
      <c r="AC91" s="10">
        <f t="shared" si="23"/>
        <v>0</v>
      </c>
      <c r="AD91" s="8">
        <f>IFERROR(AC91/AC445,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IFERROR(B92/B445, "NA")</f>
        <v>0</v>
      </c>
      <c r="D92" s="9"/>
      <c r="E92" s="7">
        <v>0</v>
      </c>
      <c r="F92" s="8">
        <f>IFERROR(E92/E445, "NA")</f>
        <v>0</v>
      </c>
      <c r="G92" s="9"/>
      <c r="H92" s="10">
        <f t="shared" si="20"/>
        <v>0</v>
      </c>
      <c r="I92" s="8">
        <f>IFERROR(H92/H445, "NA")</f>
        <v>0</v>
      </c>
      <c r="J92" s="9"/>
      <c r="K92" s="7">
        <v>0</v>
      </c>
      <c r="L92" s="8">
        <f>IFERROR(K92/K445, "NA")</f>
        <v>0</v>
      </c>
      <c r="M92" s="9"/>
      <c r="N92" s="10">
        <f t="shared" si="21"/>
        <v>0</v>
      </c>
      <c r="O92" s="8">
        <f>IFERROR(N92/N445, "NA")</f>
        <v>0</v>
      </c>
      <c r="P92" s="9"/>
      <c r="Q92" s="7">
        <v>0</v>
      </c>
      <c r="R92" s="8">
        <f>IFERROR(Q92/Q445, "NA")</f>
        <v>0</v>
      </c>
      <c r="S92" s="9"/>
      <c r="T92" s="7">
        <v>0</v>
      </c>
      <c r="U92" s="8">
        <f>IFERROR(T92/T445, "NA")</f>
        <v>0</v>
      </c>
      <c r="V92" s="9"/>
      <c r="W92" s="10">
        <f t="shared" si="22"/>
        <v>0</v>
      </c>
      <c r="X92" s="8">
        <f>IFERROR(W92/W445, "NA")</f>
        <v>0</v>
      </c>
      <c r="Y92" s="9"/>
      <c r="Z92" s="7">
        <v>0</v>
      </c>
      <c r="AA92" s="8">
        <f>IFERROR(Z92/Z445, "NA")</f>
        <v>0</v>
      </c>
      <c r="AB92" s="9"/>
      <c r="AC92" s="10">
        <f t="shared" si="23"/>
        <v>0</v>
      </c>
      <c r="AD92" s="8">
        <f>IFERROR(AC92/AC445,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IFERROR(B94/B445, "NA")</f>
        <v>0</v>
      </c>
      <c r="D94" s="9"/>
      <c r="E94" s="7">
        <v>-5020.46</v>
      </c>
      <c r="F94" s="8">
        <f>IFERROR(E94/E445, "NA")</f>
        <v>-5.2999983425826722E-2</v>
      </c>
      <c r="G94" s="9"/>
      <c r="H94" s="10">
        <f t="shared" ref="H94:H124" si="24">IFERROR(B94-E94, "NA")</f>
        <v>5020.46</v>
      </c>
      <c r="I94" s="8">
        <f>IFERROR(H94/H445, "NA")</f>
        <v>0.34647374494139466</v>
      </c>
      <c r="J94" s="9"/>
      <c r="K94" s="7">
        <v>0</v>
      </c>
      <c r="L94" s="8">
        <f>IFERROR(K94/K445, "NA")</f>
        <v>0</v>
      </c>
      <c r="M94" s="9"/>
      <c r="N94" s="10">
        <f t="shared" ref="N94:N124" si="25">IFERROR(B94-K94, "NA")</f>
        <v>0</v>
      </c>
      <c r="O94" s="8">
        <f>IFERROR(N94/N445, "NA")</f>
        <v>0</v>
      </c>
      <c r="P94" s="9"/>
      <c r="Q94" s="7">
        <v>0</v>
      </c>
      <c r="R94" s="8">
        <f>IFERROR(Q94/Q445, "NA")</f>
        <v>0</v>
      </c>
      <c r="S94" s="9"/>
      <c r="T94" s="7">
        <v>-25387.13</v>
      </c>
      <c r="U94" s="8">
        <f>IFERROR(T94/T445, "NA")</f>
        <v>-5.3000012484281392E-2</v>
      </c>
      <c r="V94" s="9"/>
      <c r="W94" s="10">
        <f t="shared" ref="W94:W124" si="26">IFERROR(Q94-T94, "NA")</f>
        <v>25387.13</v>
      </c>
      <c r="X94" s="8">
        <f>IFERROR(W94/W445, "NA")</f>
        <v>0.82982076917620895</v>
      </c>
      <c r="Y94" s="9"/>
      <c r="Z94" s="7">
        <v>0</v>
      </c>
      <c r="AA94" s="8">
        <f>IFERROR(Z94/Z445, "NA")</f>
        <v>0</v>
      </c>
      <c r="AB94" s="9"/>
      <c r="AC94" s="10">
        <f t="shared" ref="AC94:AC124" si="27">IFERROR(Q94-Z94, "NA")</f>
        <v>0</v>
      </c>
      <c r="AD94" s="8">
        <f>IFERROR(AC94/AC445,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IFERROR(B95/B445, "NA")</f>
        <v>0</v>
      </c>
      <c r="D95" s="9"/>
      <c r="E95" s="7">
        <v>0</v>
      </c>
      <c r="F95" s="8">
        <f>IFERROR(E95/E445, "NA")</f>
        <v>0</v>
      </c>
      <c r="G95" s="9"/>
      <c r="H95" s="10">
        <f t="shared" si="24"/>
        <v>0</v>
      </c>
      <c r="I95" s="8">
        <f>IFERROR(H95/H445, "NA")</f>
        <v>0</v>
      </c>
      <c r="J95" s="9"/>
      <c r="K95" s="7">
        <v>0</v>
      </c>
      <c r="L95" s="8">
        <f>IFERROR(K95/K445, "NA")</f>
        <v>0</v>
      </c>
      <c r="M95" s="9"/>
      <c r="N95" s="10">
        <f t="shared" si="25"/>
        <v>0</v>
      </c>
      <c r="O95" s="8">
        <f>IFERROR(N95/N445, "NA")</f>
        <v>0</v>
      </c>
      <c r="P95" s="9"/>
      <c r="Q95" s="7">
        <v>0</v>
      </c>
      <c r="R95" s="8">
        <f>IFERROR(Q95/Q445, "NA")</f>
        <v>0</v>
      </c>
      <c r="S95" s="9"/>
      <c r="T95" s="7">
        <v>0</v>
      </c>
      <c r="U95" s="8">
        <f>IFERROR(T95/T445, "NA")</f>
        <v>0</v>
      </c>
      <c r="V95" s="9"/>
      <c r="W95" s="10">
        <f t="shared" si="26"/>
        <v>0</v>
      </c>
      <c r="X95" s="8">
        <f>IFERROR(W95/W445, "NA")</f>
        <v>0</v>
      </c>
      <c r="Y95" s="9"/>
      <c r="Z95" s="7">
        <v>0</v>
      </c>
      <c r="AA95" s="8">
        <f>IFERROR(Z95/Z445, "NA")</f>
        <v>0</v>
      </c>
      <c r="AB95" s="9"/>
      <c r="AC95" s="10">
        <f t="shared" si="27"/>
        <v>0</v>
      </c>
      <c r="AD95" s="8">
        <f>IFERROR(AC95/AC445, "NA")</f>
        <v>0</v>
      </c>
    </row>
    <row r="96" spans="1:30" ht="16.5" customHeight="1" x14ac:dyDescent="0.45">
      <c r="A96" s="12" t="s">
        <v>91</v>
      </c>
      <c r="B96" s="7">
        <v>-2138.69</v>
      </c>
      <c r="C96" s="8">
        <f>IFERROR(B96/B445, "NA")</f>
        <v>-1.9582230967391638E-2</v>
      </c>
      <c r="D96" s="9"/>
      <c r="E96" s="7">
        <v>0</v>
      </c>
      <c r="F96" s="8">
        <f>IFERROR(E96/E445, "NA")</f>
        <v>0</v>
      </c>
      <c r="G96" s="9"/>
      <c r="H96" s="10">
        <f t="shared" si="24"/>
        <v>-2138.69</v>
      </c>
      <c r="I96" s="8">
        <f>IFERROR(H96/H445, "NA")</f>
        <v>-0.14759602378441641</v>
      </c>
      <c r="J96" s="9"/>
      <c r="K96" s="7">
        <v>-1748.15</v>
      </c>
      <c r="L96" s="8">
        <f>IFERROR(K96/K445, "NA")</f>
        <v>-2.0185011859408908E-2</v>
      </c>
      <c r="M96" s="9"/>
      <c r="N96" s="10">
        <f t="shared" si="25"/>
        <v>-390.53999999999996</v>
      </c>
      <c r="O96" s="8">
        <f>IFERROR(N96/N445, "NA")</f>
        <v>-1.7273262445758435E-2</v>
      </c>
      <c r="P96" s="9"/>
      <c r="Q96" s="7">
        <v>-8829.17</v>
      </c>
      <c r="R96" s="8">
        <f>IFERROR(Q96/Q445, "NA")</f>
        <v>-1.7325827908527908E-2</v>
      </c>
      <c r="S96" s="9"/>
      <c r="T96" s="7">
        <v>0</v>
      </c>
      <c r="U96" s="8">
        <f>IFERROR(T96/T445, "NA")</f>
        <v>0</v>
      </c>
      <c r="V96" s="9"/>
      <c r="W96" s="10">
        <f t="shared" si="26"/>
        <v>-8829.17</v>
      </c>
      <c r="X96" s="8">
        <f>IFERROR(W96/W445, "NA")</f>
        <v>-0.28859617611709198</v>
      </c>
      <c r="Y96" s="9"/>
      <c r="Z96" s="7">
        <v>-8966.2999999999993</v>
      </c>
      <c r="AA96" s="8">
        <f>IFERROR(Z96/Z445, "NA")</f>
        <v>-2.0071727048509652E-2</v>
      </c>
      <c r="AB96" s="9"/>
      <c r="AC96" s="10">
        <f t="shared" si="27"/>
        <v>137.1299999999992</v>
      </c>
      <c r="AD96" s="8">
        <f>IFERROR(AC96/AC445, "NA")</f>
        <v>2.1807193431857049E-3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IFERROR(B97/B445, "NA")</f>
        <v>0</v>
      </c>
      <c r="D97" s="9"/>
      <c r="E97" s="7">
        <v>0</v>
      </c>
      <c r="F97" s="8">
        <f>IFERROR(E97/E445, "NA")</f>
        <v>0</v>
      </c>
      <c r="G97" s="9"/>
      <c r="H97" s="10">
        <f t="shared" si="24"/>
        <v>0</v>
      </c>
      <c r="I97" s="8">
        <f>IFERROR(H97/H445, "NA")</f>
        <v>0</v>
      </c>
      <c r="J97" s="9"/>
      <c r="K97" s="7">
        <v>0</v>
      </c>
      <c r="L97" s="8">
        <f>IFERROR(K97/K445, "NA")</f>
        <v>0</v>
      </c>
      <c r="M97" s="9"/>
      <c r="N97" s="10">
        <f t="shared" si="25"/>
        <v>0</v>
      </c>
      <c r="O97" s="8">
        <f>IFERROR(N97/N445, "NA")</f>
        <v>0</v>
      </c>
      <c r="P97" s="9"/>
      <c r="Q97" s="7">
        <v>0</v>
      </c>
      <c r="R97" s="8">
        <f>IFERROR(Q97/Q445, "NA")</f>
        <v>0</v>
      </c>
      <c r="S97" s="9"/>
      <c r="T97" s="7">
        <v>0</v>
      </c>
      <c r="U97" s="8">
        <f>IFERROR(T97/T445, "NA")</f>
        <v>0</v>
      </c>
      <c r="V97" s="9"/>
      <c r="W97" s="10">
        <f t="shared" si="26"/>
        <v>0</v>
      </c>
      <c r="X97" s="8">
        <f>IFERROR(W97/W445, "NA")</f>
        <v>0</v>
      </c>
      <c r="Y97" s="9"/>
      <c r="Z97" s="7">
        <v>0</v>
      </c>
      <c r="AA97" s="8">
        <f>IFERROR(Z97/Z445, "NA")</f>
        <v>0</v>
      </c>
      <c r="AB97" s="9"/>
      <c r="AC97" s="10">
        <f t="shared" si="27"/>
        <v>0</v>
      </c>
      <c r="AD97" s="8">
        <f>IFERROR(AC97/AC445, "NA")</f>
        <v>0</v>
      </c>
    </row>
    <row r="98" spans="1:30" ht="16.5" customHeight="1" x14ac:dyDescent="0.45">
      <c r="A98" s="12" t="s">
        <v>93</v>
      </c>
      <c r="B98" s="7">
        <v>-1085.19</v>
      </c>
      <c r="C98" s="8">
        <f>IFERROR(B98/B445, "NA")</f>
        <v>-9.9361951584866111E-3</v>
      </c>
      <c r="D98" s="9"/>
      <c r="E98" s="7">
        <v>0</v>
      </c>
      <c r="F98" s="8">
        <f>IFERROR(E98/E445, "NA")</f>
        <v>0</v>
      </c>
      <c r="G98" s="9"/>
      <c r="H98" s="10">
        <f t="shared" si="24"/>
        <v>-1085.19</v>
      </c>
      <c r="I98" s="8">
        <f>IFERROR(H98/H445, "NA")</f>
        <v>-7.4891512585092218E-2</v>
      </c>
      <c r="J98" s="9"/>
      <c r="K98" s="7">
        <v>-1363.06</v>
      </c>
      <c r="L98" s="8">
        <f>IFERROR(K98/K445, "NA")</f>
        <v>-1.5738570640440413E-2</v>
      </c>
      <c r="M98" s="9"/>
      <c r="N98" s="10">
        <f t="shared" si="25"/>
        <v>277.86999999999989</v>
      </c>
      <c r="O98" s="8">
        <f>IFERROR(N98/N445, "NA")</f>
        <v>1.2289961171206266E-2</v>
      </c>
      <c r="P98" s="9"/>
      <c r="Q98" s="7">
        <v>-5025.5</v>
      </c>
      <c r="R98" s="8">
        <f>IFERROR(Q98/Q445, "NA")</f>
        <v>-9.8617365113942753E-3</v>
      </c>
      <c r="S98" s="9"/>
      <c r="T98" s="7">
        <v>0</v>
      </c>
      <c r="U98" s="8">
        <f>IFERROR(T98/T445, "NA")</f>
        <v>0</v>
      </c>
      <c r="V98" s="9"/>
      <c r="W98" s="10">
        <f t="shared" si="26"/>
        <v>-5025.5</v>
      </c>
      <c r="X98" s="8">
        <f>IFERROR(W98/W445, "NA")</f>
        <v>-0.16426686575028521</v>
      </c>
      <c r="Y98" s="9"/>
      <c r="Z98" s="7">
        <v>-7433.25</v>
      </c>
      <c r="AA98" s="8">
        <f>IFERROR(Z98/Z445, "NA")</f>
        <v>-1.6639881008145434E-2</v>
      </c>
      <c r="AB98" s="9"/>
      <c r="AC98" s="10">
        <f t="shared" si="27"/>
        <v>2407.75</v>
      </c>
      <c r="AD98" s="8">
        <f>IFERROR(AC98/AC445, "NA")</f>
        <v>3.8289411496794372E-2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IFERROR(B99/B445, "NA")</f>
        <v>0</v>
      </c>
      <c r="D99" s="9"/>
      <c r="E99" s="7">
        <v>0</v>
      </c>
      <c r="F99" s="8">
        <f>IFERROR(E99/E445, "NA")</f>
        <v>0</v>
      </c>
      <c r="G99" s="9"/>
      <c r="H99" s="10">
        <f t="shared" si="24"/>
        <v>0</v>
      </c>
      <c r="I99" s="8">
        <f>IFERROR(H99/H445, "NA")</f>
        <v>0</v>
      </c>
      <c r="J99" s="9"/>
      <c r="K99" s="7">
        <v>0</v>
      </c>
      <c r="L99" s="8">
        <f>IFERROR(K99/K445, "NA")</f>
        <v>0</v>
      </c>
      <c r="M99" s="9"/>
      <c r="N99" s="10">
        <f t="shared" si="25"/>
        <v>0</v>
      </c>
      <c r="O99" s="8">
        <f>IFERROR(N99/N445, "NA")</f>
        <v>0</v>
      </c>
      <c r="P99" s="9"/>
      <c r="Q99" s="7">
        <v>0</v>
      </c>
      <c r="R99" s="8">
        <f>IFERROR(Q99/Q445, "NA")</f>
        <v>0</v>
      </c>
      <c r="S99" s="9"/>
      <c r="T99" s="7">
        <v>0</v>
      </c>
      <c r="U99" s="8">
        <f>IFERROR(T99/T445, "NA")</f>
        <v>0</v>
      </c>
      <c r="V99" s="9"/>
      <c r="W99" s="10">
        <f t="shared" si="26"/>
        <v>0</v>
      </c>
      <c r="X99" s="8">
        <f>IFERROR(W99/W445, "NA")</f>
        <v>0</v>
      </c>
      <c r="Y99" s="9"/>
      <c r="Z99" s="7">
        <v>0</v>
      </c>
      <c r="AA99" s="8">
        <f>IFERROR(Z99/Z445, "NA")</f>
        <v>0</v>
      </c>
      <c r="AB99" s="9"/>
      <c r="AC99" s="10">
        <f t="shared" si="27"/>
        <v>0</v>
      </c>
      <c r="AD99" s="8">
        <f>IFERROR(AC99/AC445, "NA")</f>
        <v>0</v>
      </c>
    </row>
    <row r="100" spans="1:30" ht="16.5" customHeight="1" x14ac:dyDescent="0.45">
      <c r="A100" s="12" t="s">
        <v>95</v>
      </c>
      <c r="B100" s="7">
        <v>-43.84</v>
      </c>
      <c r="C100" s="8">
        <f>IFERROR(B100/B445, "NA")</f>
        <v>-4.0140693864489449E-4</v>
      </c>
      <c r="D100" s="9"/>
      <c r="E100" s="7">
        <v>0</v>
      </c>
      <c r="F100" s="8">
        <f>IFERROR(E100/E445, "NA")</f>
        <v>0</v>
      </c>
      <c r="G100" s="9"/>
      <c r="H100" s="10">
        <f t="shared" si="24"/>
        <v>-43.84</v>
      </c>
      <c r="I100" s="8">
        <f>IFERROR(H100/H445, "NA")</f>
        <v>-3.025501443738371E-3</v>
      </c>
      <c r="J100" s="9"/>
      <c r="K100" s="7">
        <v>-713.2</v>
      </c>
      <c r="L100" s="8">
        <f>IFERROR(K100/K445, "NA")</f>
        <v>-8.2349629368935352E-3</v>
      </c>
      <c r="M100" s="9"/>
      <c r="N100" s="10">
        <f t="shared" si="25"/>
        <v>669.36</v>
      </c>
      <c r="O100" s="8">
        <f>IFERROR(N100/N445, "NA")</f>
        <v>2.9605241334288081E-2</v>
      </c>
      <c r="P100" s="9"/>
      <c r="Q100" s="7">
        <v>-771.98</v>
      </c>
      <c r="R100" s="8">
        <f>IFERROR(Q100/Q445, "NA")</f>
        <v>-1.5148867479984384E-3</v>
      </c>
      <c r="S100" s="9"/>
      <c r="T100" s="7">
        <v>0</v>
      </c>
      <c r="U100" s="8">
        <f>IFERROR(T100/T445, "NA")</f>
        <v>0</v>
      </c>
      <c r="V100" s="9"/>
      <c r="W100" s="10">
        <f t="shared" si="26"/>
        <v>-771.98</v>
      </c>
      <c r="X100" s="8">
        <f>IFERROR(W100/W445, "NA")</f>
        <v>-2.5233456376859056E-2</v>
      </c>
      <c r="Y100" s="9"/>
      <c r="Z100" s="7">
        <v>-1754.02</v>
      </c>
      <c r="AA100" s="8">
        <f>IFERROR(Z100/Z445, "NA")</f>
        <v>-3.9265037615992E-3</v>
      </c>
      <c r="AB100" s="9"/>
      <c r="AC100" s="10">
        <f t="shared" si="27"/>
        <v>982.04</v>
      </c>
      <c r="AD100" s="8">
        <f>IFERROR(AC100/AC445, "NA")</f>
        <v>1.56169592633421E-2</v>
      </c>
    </row>
    <row r="101" spans="1:30" ht="16.5" customHeight="1" x14ac:dyDescent="0.45">
      <c r="A101" s="12" t="s">
        <v>96</v>
      </c>
      <c r="B101" s="7">
        <v>0</v>
      </c>
      <c r="C101" s="8">
        <f>IFERROR(B101/B445, "NA")</f>
        <v>0</v>
      </c>
      <c r="D101" s="9"/>
      <c r="E101" s="7">
        <v>0</v>
      </c>
      <c r="F101" s="8">
        <f>IFERROR(E101/E445, "NA")</f>
        <v>0</v>
      </c>
      <c r="G101" s="9"/>
      <c r="H101" s="10">
        <f t="shared" si="24"/>
        <v>0</v>
      </c>
      <c r="I101" s="8">
        <f>IFERROR(H101/H445, "NA")</f>
        <v>0</v>
      </c>
      <c r="J101" s="9"/>
      <c r="K101" s="7">
        <v>0</v>
      </c>
      <c r="L101" s="8">
        <f>IFERROR(K101/K445, "NA")</f>
        <v>0</v>
      </c>
      <c r="M101" s="9"/>
      <c r="N101" s="10">
        <f t="shared" si="25"/>
        <v>0</v>
      </c>
      <c r="O101" s="8">
        <f>IFERROR(N101/N445, "NA")</f>
        <v>0</v>
      </c>
      <c r="P101" s="9"/>
      <c r="Q101" s="7">
        <v>-57.25</v>
      </c>
      <c r="R101" s="8">
        <f>IFERROR(Q101/Q445, "NA")</f>
        <v>-1.1234392901747533E-4</v>
      </c>
      <c r="S101" s="9"/>
      <c r="T101" s="7">
        <v>0</v>
      </c>
      <c r="U101" s="8">
        <f>IFERROR(T101/T445, "NA")</f>
        <v>0</v>
      </c>
      <c r="V101" s="9"/>
      <c r="W101" s="10">
        <f t="shared" si="26"/>
        <v>-57.25</v>
      </c>
      <c r="X101" s="8">
        <f>IFERROR(W101/W445, "NA")</f>
        <v>-1.87131192203837E-3</v>
      </c>
      <c r="Y101" s="9"/>
      <c r="Z101" s="7">
        <v>0</v>
      </c>
      <c r="AA101" s="8">
        <f>IFERROR(Z101/Z445, "NA")</f>
        <v>0</v>
      </c>
      <c r="AB101" s="9"/>
      <c r="AC101" s="10">
        <f t="shared" si="27"/>
        <v>-57.25</v>
      </c>
      <c r="AD101" s="8">
        <f>IFERROR(AC101/AC445, "NA")</f>
        <v>-9.104220987193345E-4</v>
      </c>
    </row>
    <row r="102" spans="1:30" ht="16.5" customHeight="1" x14ac:dyDescent="0.45">
      <c r="A102" s="12" t="s">
        <v>97</v>
      </c>
      <c r="B102" s="7">
        <v>-947.7</v>
      </c>
      <c r="C102" s="8">
        <f>IFERROR(B102/B445, "NA")</f>
        <v>-8.6773119469381044E-3</v>
      </c>
      <c r="D102" s="9"/>
      <c r="E102" s="7">
        <v>0</v>
      </c>
      <c r="F102" s="8">
        <f>IFERROR(E102/E445, "NA")</f>
        <v>0</v>
      </c>
      <c r="G102" s="9"/>
      <c r="H102" s="10">
        <f t="shared" si="24"/>
        <v>-947.7</v>
      </c>
      <c r="I102" s="8">
        <f>IFERROR(H102/H445, "NA")</f>
        <v>-6.5403004521689193E-2</v>
      </c>
      <c r="J102" s="9"/>
      <c r="K102" s="7">
        <v>-696.85</v>
      </c>
      <c r="L102" s="8">
        <f>IFERROR(K102/K445, "NA")</f>
        <v>-8.0461776816801184E-3</v>
      </c>
      <c r="M102" s="9"/>
      <c r="N102" s="10">
        <f t="shared" si="25"/>
        <v>-250.85000000000002</v>
      </c>
      <c r="O102" s="8">
        <f>IFERROR(N102/N445, "NA")</f>
        <v>-1.1094888832177253E-2</v>
      </c>
      <c r="P102" s="9"/>
      <c r="Q102" s="7">
        <v>-3988.68</v>
      </c>
      <c r="R102" s="8">
        <f>IFERROR(Q102/Q445, "NA")</f>
        <v>-7.8271438042519376E-3</v>
      </c>
      <c r="S102" s="9"/>
      <c r="T102" s="7">
        <v>0</v>
      </c>
      <c r="U102" s="8">
        <f>IFERROR(T102/T445, "NA")</f>
        <v>0</v>
      </c>
      <c r="V102" s="9"/>
      <c r="W102" s="10">
        <f t="shared" si="26"/>
        <v>-3988.68</v>
      </c>
      <c r="X102" s="8">
        <f>IFERROR(W102/W445, "NA")</f>
        <v>-0.13037667139206996</v>
      </c>
      <c r="Y102" s="9"/>
      <c r="Z102" s="7">
        <v>-3554.6</v>
      </c>
      <c r="AA102" s="8">
        <f>IFERROR(Z102/Z445, "NA")</f>
        <v>-7.9572355337912421E-3</v>
      </c>
      <c r="AB102" s="9"/>
      <c r="AC102" s="10">
        <f t="shared" si="27"/>
        <v>-434.07999999999993</v>
      </c>
      <c r="AD102" s="8">
        <f>IFERROR(AC102/AC445, "NA")</f>
        <v>-6.9029873294687979E-3</v>
      </c>
    </row>
    <row r="103" spans="1:30" ht="16.5" customHeight="1" x14ac:dyDescent="0.45">
      <c r="A103" s="12" t="s">
        <v>98</v>
      </c>
      <c r="B103" s="7">
        <v>0</v>
      </c>
      <c r="C103" s="8">
        <f>IFERROR(B103/B445, "NA")</f>
        <v>0</v>
      </c>
      <c r="D103" s="9"/>
      <c r="E103" s="7">
        <v>0</v>
      </c>
      <c r="F103" s="8">
        <f>IFERROR(E103/E445, "NA")</f>
        <v>0</v>
      </c>
      <c r="G103" s="9"/>
      <c r="H103" s="10">
        <f t="shared" si="24"/>
        <v>0</v>
      </c>
      <c r="I103" s="8">
        <f>IFERROR(H103/H445, "NA")</f>
        <v>0</v>
      </c>
      <c r="J103" s="9"/>
      <c r="K103" s="7">
        <v>0</v>
      </c>
      <c r="L103" s="8">
        <f>IFERROR(K103/K445, "NA")</f>
        <v>0</v>
      </c>
      <c r="M103" s="9"/>
      <c r="N103" s="10">
        <f t="shared" si="25"/>
        <v>0</v>
      </c>
      <c r="O103" s="8">
        <f>IFERROR(N103/N445, "NA")</f>
        <v>0</v>
      </c>
      <c r="P103" s="9"/>
      <c r="Q103" s="7">
        <v>-30</v>
      </c>
      <c r="R103" s="8">
        <f>IFERROR(Q103/Q445, "NA")</f>
        <v>-5.8870181144528553E-5</v>
      </c>
      <c r="S103" s="9"/>
      <c r="T103" s="7">
        <v>0</v>
      </c>
      <c r="U103" s="8">
        <f>IFERROR(T103/T445, "NA")</f>
        <v>0</v>
      </c>
      <c r="V103" s="9"/>
      <c r="W103" s="10">
        <f t="shared" si="26"/>
        <v>-30</v>
      </c>
      <c r="X103" s="8">
        <f>IFERROR(W103/W445, "NA")</f>
        <v>-9.8060013381923313E-4</v>
      </c>
      <c r="Y103" s="9"/>
      <c r="Z103" s="7">
        <v>0</v>
      </c>
      <c r="AA103" s="8">
        <f>IFERROR(Z103/Z445, "NA")</f>
        <v>0</v>
      </c>
      <c r="AB103" s="9"/>
      <c r="AC103" s="10">
        <f t="shared" si="27"/>
        <v>-30</v>
      </c>
      <c r="AD103" s="8">
        <f>IFERROR(AC103/AC445, "NA")</f>
        <v>-4.7707708229834122E-4</v>
      </c>
    </row>
    <row r="104" spans="1:30" ht="16.5" customHeight="1" x14ac:dyDescent="0.45">
      <c r="A104" s="12" t="s">
        <v>99</v>
      </c>
      <c r="B104" s="7">
        <v>-62.94</v>
      </c>
      <c r="C104" s="8">
        <f>IFERROR(B104/B445, "NA")</f>
        <v>-5.7628997988845023E-4</v>
      </c>
      <c r="D104" s="9"/>
      <c r="E104" s="7">
        <v>0</v>
      </c>
      <c r="F104" s="8">
        <f>IFERROR(E104/E445, "NA")</f>
        <v>0</v>
      </c>
      <c r="G104" s="9"/>
      <c r="H104" s="10">
        <f t="shared" si="24"/>
        <v>-62.94</v>
      </c>
      <c r="I104" s="8">
        <f>IFERROR(H104/H445, "NA")</f>
        <v>-4.3436373373378885E-3</v>
      </c>
      <c r="J104" s="9"/>
      <c r="K104" s="7">
        <v>-531.22</v>
      </c>
      <c r="L104" s="8">
        <f>IFERROR(K104/K445, "NA")</f>
        <v>-6.133731087123645E-3</v>
      </c>
      <c r="M104" s="9"/>
      <c r="N104" s="10">
        <f t="shared" si="25"/>
        <v>468.28000000000003</v>
      </c>
      <c r="O104" s="8">
        <f>IFERROR(N104/N445, "NA")</f>
        <v>2.0711638598094335E-2</v>
      </c>
      <c r="P104" s="9"/>
      <c r="Q104" s="7">
        <v>-339.78</v>
      </c>
      <c r="R104" s="8">
        <f>IFERROR(Q104/Q445, "NA")</f>
        <v>-6.667636716429303E-4</v>
      </c>
      <c r="S104" s="9"/>
      <c r="T104" s="7">
        <v>0</v>
      </c>
      <c r="U104" s="8">
        <f>IFERROR(T104/T445, "NA")</f>
        <v>0</v>
      </c>
      <c r="V104" s="9"/>
      <c r="W104" s="10">
        <f t="shared" si="26"/>
        <v>-339.78</v>
      </c>
      <c r="X104" s="8">
        <f>IFERROR(W104/W445, "NA")</f>
        <v>-1.1106277115636633E-2</v>
      </c>
      <c r="Y104" s="9"/>
      <c r="Z104" s="7">
        <v>-2550.16</v>
      </c>
      <c r="AA104" s="8">
        <f>IFERROR(Z104/Z445, "NA")</f>
        <v>-5.7087221540688335E-3</v>
      </c>
      <c r="AB104" s="9"/>
      <c r="AC104" s="10">
        <f t="shared" si="27"/>
        <v>2210.38</v>
      </c>
      <c r="AD104" s="8">
        <f>IFERROR(AC104/AC445, "NA")</f>
        <v>3.5150721372353581E-2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IFERROR(B105/B445, "NA")</f>
        <v>0</v>
      </c>
      <c r="D105" s="9"/>
      <c r="E105" s="7">
        <v>0</v>
      </c>
      <c r="F105" s="8">
        <f>IFERROR(E105/E445, "NA")</f>
        <v>0</v>
      </c>
      <c r="G105" s="9"/>
      <c r="H105" s="10">
        <f t="shared" si="24"/>
        <v>0</v>
      </c>
      <c r="I105" s="8">
        <f>IFERROR(H105/H445, "NA")</f>
        <v>0</v>
      </c>
      <c r="J105" s="9"/>
      <c r="K105" s="7">
        <v>0</v>
      </c>
      <c r="L105" s="8">
        <f>IFERROR(K105/K445, "NA")</f>
        <v>0</v>
      </c>
      <c r="M105" s="9"/>
      <c r="N105" s="10">
        <f t="shared" si="25"/>
        <v>0</v>
      </c>
      <c r="O105" s="8">
        <f>IFERROR(N105/N445, "NA")</f>
        <v>0</v>
      </c>
      <c r="P105" s="9"/>
      <c r="Q105" s="7">
        <v>0</v>
      </c>
      <c r="R105" s="8">
        <f>IFERROR(Q105/Q445, "NA")</f>
        <v>0</v>
      </c>
      <c r="S105" s="9"/>
      <c r="T105" s="7">
        <v>0</v>
      </c>
      <c r="U105" s="8">
        <f>IFERROR(T105/T445, "NA")</f>
        <v>0</v>
      </c>
      <c r="V105" s="9"/>
      <c r="W105" s="10">
        <f t="shared" si="26"/>
        <v>0</v>
      </c>
      <c r="X105" s="8">
        <f>IFERROR(W105/W445, "NA")</f>
        <v>0</v>
      </c>
      <c r="Y105" s="9"/>
      <c r="Z105" s="7">
        <v>0</v>
      </c>
      <c r="AA105" s="8">
        <f>IFERROR(Z105/Z445, "NA")</f>
        <v>0</v>
      </c>
      <c r="AB105" s="9"/>
      <c r="AC105" s="10">
        <f t="shared" si="27"/>
        <v>0</v>
      </c>
      <c r="AD105" s="8">
        <f>IFERROR(AC105/AC445,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IFERROR(B106/B445, "NA")</f>
        <v>0</v>
      </c>
      <c r="D106" s="9"/>
      <c r="E106" s="7">
        <v>0</v>
      </c>
      <c r="F106" s="8">
        <f>IFERROR(E106/E445, "NA")</f>
        <v>0</v>
      </c>
      <c r="G106" s="9"/>
      <c r="H106" s="10">
        <f t="shared" si="24"/>
        <v>0</v>
      </c>
      <c r="I106" s="8">
        <f>IFERROR(H106/H445, "NA")</f>
        <v>0</v>
      </c>
      <c r="J106" s="9"/>
      <c r="K106" s="7">
        <v>-62.25</v>
      </c>
      <c r="L106" s="8">
        <f>IFERROR(K106/K445, "NA")</f>
        <v>-7.187695496657635E-4</v>
      </c>
      <c r="M106" s="9"/>
      <c r="N106" s="10">
        <f t="shared" si="25"/>
        <v>62.25</v>
      </c>
      <c r="O106" s="8">
        <f>IFERROR(N106/N445, "NA")</f>
        <v>2.7532662140842493E-3</v>
      </c>
      <c r="P106" s="9"/>
      <c r="Q106" s="7">
        <v>-50</v>
      </c>
      <c r="R106" s="8">
        <f>IFERROR(Q106/Q445, "NA")</f>
        <v>-9.8116968574214262E-5</v>
      </c>
      <c r="S106" s="9"/>
      <c r="T106" s="7">
        <v>0</v>
      </c>
      <c r="U106" s="8">
        <f>IFERROR(T106/T445, "NA")</f>
        <v>0</v>
      </c>
      <c r="V106" s="9"/>
      <c r="W106" s="10">
        <f t="shared" si="26"/>
        <v>-50</v>
      </c>
      <c r="X106" s="8">
        <f>IFERROR(W106/W445, "NA")</f>
        <v>-1.6343335563653886E-3</v>
      </c>
      <c r="Y106" s="9"/>
      <c r="Z106" s="7">
        <v>-62.25</v>
      </c>
      <c r="AA106" s="8">
        <f>IFERROR(Z106/Z445, "NA")</f>
        <v>-1.3935123838927161E-4</v>
      </c>
      <c r="AB106" s="9"/>
      <c r="AC106" s="10">
        <f t="shared" si="27"/>
        <v>12.25</v>
      </c>
      <c r="AD106" s="8">
        <f>IFERROR(AC106/AC445, "NA")</f>
        <v>1.9480647527182266E-4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IFERROR(B107/B445, "NA")</f>
        <v>0</v>
      </c>
      <c r="D107" s="9"/>
      <c r="E107" s="7">
        <v>0</v>
      </c>
      <c r="F107" s="8">
        <f>IFERROR(E107/E445, "NA")</f>
        <v>0</v>
      </c>
      <c r="G107" s="9"/>
      <c r="H107" s="10">
        <f t="shared" si="24"/>
        <v>0</v>
      </c>
      <c r="I107" s="8">
        <f>IFERROR(H107/H445, "NA")</f>
        <v>0</v>
      </c>
      <c r="J107" s="9"/>
      <c r="K107" s="7">
        <v>0</v>
      </c>
      <c r="L107" s="8">
        <f>IFERROR(K107/K445, "NA")</f>
        <v>0</v>
      </c>
      <c r="M107" s="9"/>
      <c r="N107" s="10">
        <f t="shared" si="25"/>
        <v>0</v>
      </c>
      <c r="O107" s="8">
        <f>IFERROR(N107/N445, "NA")</f>
        <v>0</v>
      </c>
      <c r="P107" s="9"/>
      <c r="Q107" s="7">
        <v>0</v>
      </c>
      <c r="R107" s="8">
        <f>IFERROR(Q107/Q445, "NA")</f>
        <v>0</v>
      </c>
      <c r="S107" s="9"/>
      <c r="T107" s="7">
        <v>0</v>
      </c>
      <c r="U107" s="8">
        <f>IFERROR(T107/T445, "NA")</f>
        <v>0</v>
      </c>
      <c r="V107" s="9"/>
      <c r="W107" s="10">
        <f t="shared" si="26"/>
        <v>0</v>
      </c>
      <c r="X107" s="8">
        <f>IFERROR(W107/W445, "NA")</f>
        <v>0</v>
      </c>
      <c r="Y107" s="9"/>
      <c r="Z107" s="7">
        <v>0</v>
      </c>
      <c r="AA107" s="8">
        <f>IFERROR(Z107/Z445, "NA")</f>
        <v>0</v>
      </c>
      <c r="AB107" s="9"/>
      <c r="AC107" s="10">
        <f t="shared" si="27"/>
        <v>0</v>
      </c>
      <c r="AD107" s="8">
        <f>IFERROR(AC107/AC445,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IFERROR(B108/B445, "NA")</f>
        <v>0</v>
      </c>
      <c r="D108" s="9"/>
      <c r="E108" s="7">
        <v>0</v>
      </c>
      <c r="F108" s="8">
        <f>IFERROR(E108/E445, "NA")</f>
        <v>0</v>
      </c>
      <c r="G108" s="9"/>
      <c r="H108" s="10">
        <f t="shared" si="24"/>
        <v>0</v>
      </c>
      <c r="I108" s="8">
        <f>IFERROR(H108/H445, "NA")</f>
        <v>0</v>
      </c>
      <c r="J108" s="9"/>
      <c r="K108" s="7">
        <v>0</v>
      </c>
      <c r="L108" s="8">
        <f>IFERROR(K108/K445, "NA")</f>
        <v>0</v>
      </c>
      <c r="M108" s="9"/>
      <c r="N108" s="10">
        <f t="shared" si="25"/>
        <v>0</v>
      </c>
      <c r="O108" s="8">
        <f>IFERROR(N108/N445, "NA")</f>
        <v>0</v>
      </c>
      <c r="P108" s="9"/>
      <c r="Q108" s="7">
        <v>0</v>
      </c>
      <c r="R108" s="8">
        <f>IFERROR(Q108/Q445, "NA")</f>
        <v>0</v>
      </c>
      <c r="S108" s="9"/>
      <c r="T108" s="7">
        <v>0</v>
      </c>
      <c r="U108" s="8">
        <f>IFERROR(T108/T445, "NA")</f>
        <v>0</v>
      </c>
      <c r="V108" s="9"/>
      <c r="W108" s="10">
        <f t="shared" si="26"/>
        <v>0</v>
      </c>
      <c r="X108" s="8">
        <f>IFERROR(W108/W445, "NA")</f>
        <v>0</v>
      </c>
      <c r="Y108" s="9"/>
      <c r="Z108" s="7">
        <v>0</v>
      </c>
      <c r="AA108" s="8">
        <f>IFERROR(Z108/Z445, "NA")</f>
        <v>0</v>
      </c>
      <c r="AB108" s="9"/>
      <c r="AC108" s="10">
        <f t="shared" si="27"/>
        <v>0</v>
      </c>
      <c r="AD108" s="8">
        <f>IFERROR(AC108/AC445,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IFERROR(B109/B445, "NA")</f>
        <v>0</v>
      </c>
      <c r="D109" s="9"/>
      <c r="E109" s="7">
        <v>0</v>
      </c>
      <c r="F109" s="8">
        <f>IFERROR(E109/E445, "NA")</f>
        <v>0</v>
      </c>
      <c r="G109" s="9"/>
      <c r="H109" s="10">
        <f t="shared" si="24"/>
        <v>0</v>
      </c>
      <c r="I109" s="8">
        <f>IFERROR(H109/H445, "NA")</f>
        <v>0</v>
      </c>
      <c r="J109" s="9"/>
      <c r="K109" s="7">
        <v>0</v>
      </c>
      <c r="L109" s="8">
        <f>IFERROR(K109/K445, "NA")</f>
        <v>0</v>
      </c>
      <c r="M109" s="9"/>
      <c r="N109" s="10">
        <f t="shared" si="25"/>
        <v>0</v>
      </c>
      <c r="O109" s="8">
        <f>IFERROR(N109/N445, "NA")</f>
        <v>0</v>
      </c>
      <c r="P109" s="9"/>
      <c r="Q109" s="7">
        <v>0</v>
      </c>
      <c r="R109" s="8">
        <f>IFERROR(Q109/Q445, "NA")</f>
        <v>0</v>
      </c>
      <c r="S109" s="9"/>
      <c r="T109" s="7">
        <v>0</v>
      </c>
      <c r="U109" s="8">
        <f>IFERROR(T109/T445, "NA")</f>
        <v>0</v>
      </c>
      <c r="V109" s="9"/>
      <c r="W109" s="10">
        <f t="shared" si="26"/>
        <v>0</v>
      </c>
      <c r="X109" s="8">
        <f>IFERROR(W109/W445, "NA")</f>
        <v>0</v>
      </c>
      <c r="Y109" s="9"/>
      <c r="Z109" s="7">
        <v>0</v>
      </c>
      <c r="AA109" s="8">
        <f>IFERROR(Z109/Z445, "NA")</f>
        <v>0</v>
      </c>
      <c r="AB109" s="9"/>
      <c r="AC109" s="10">
        <f t="shared" si="27"/>
        <v>0</v>
      </c>
      <c r="AD109" s="8">
        <f>IFERROR(AC109/AC445,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IFERROR(B110/B445, "NA")</f>
        <v>0</v>
      </c>
      <c r="D110" s="9"/>
      <c r="E110" s="7">
        <v>0</v>
      </c>
      <c r="F110" s="8">
        <f>IFERROR(E110/E445, "NA")</f>
        <v>0</v>
      </c>
      <c r="G110" s="9"/>
      <c r="H110" s="10">
        <f t="shared" si="24"/>
        <v>0</v>
      </c>
      <c r="I110" s="8">
        <f>IFERROR(H110/H445, "NA")</f>
        <v>0</v>
      </c>
      <c r="J110" s="9"/>
      <c r="K110" s="7">
        <v>0</v>
      </c>
      <c r="L110" s="8">
        <f>IFERROR(K110/K445, "NA")</f>
        <v>0</v>
      </c>
      <c r="M110" s="9"/>
      <c r="N110" s="10">
        <f t="shared" si="25"/>
        <v>0</v>
      </c>
      <c r="O110" s="8">
        <f>IFERROR(N110/N445, "NA")</f>
        <v>0</v>
      </c>
      <c r="P110" s="9"/>
      <c r="Q110" s="7">
        <v>0</v>
      </c>
      <c r="R110" s="8">
        <f>IFERROR(Q110/Q445, "NA")</f>
        <v>0</v>
      </c>
      <c r="S110" s="9"/>
      <c r="T110" s="7">
        <v>0</v>
      </c>
      <c r="U110" s="8">
        <f>IFERROR(T110/T445, "NA")</f>
        <v>0</v>
      </c>
      <c r="V110" s="9"/>
      <c r="W110" s="10">
        <f t="shared" si="26"/>
        <v>0</v>
      </c>
      <c r="X110" s="8">
        <f>IFERROR(W110/W445, "NA")</f>
        <v>0</v>
      </c>
      <c r="Y110" s="9"/>
      <c r="Z110" s="7">
        <v>0</v>
      </c>
      <c r="AA110" s="8">
        <f>IFERROR(Z110/Z445, "NA")</f>
        <v>0</v>
      </c>
      <c r="AB110" s="9"/>
      <c r="AC110" s="10">
        <f t="shared" si="27"/>
        <v>0</v>
      </c>
      <c r="AD110" s="8">
        <f>IFERROR(AC110/AC445,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IFERROR(B111/B445, "NA")</f>
        <v>0</v>
      </c>
      <c r="D111" s="9"/>
      <c r="E111" s="7">
        <v>0</v>
      </c>
      <c r="F111" s="8">
        <f>IFERROR(E111/E445, "NA")</f>
        <v>0</v>
      </c>
      <c r="G111" s="9"/>
      <c r="H111" s="10">
        <f t="shared" si="24"/>
        <v>0</v>
      </c>
      <c r="I111" s="8">
        <f>IFERROR(H111/H445, "NA")</f>
        <v>0</v>
      </c>
      <c r="J111" s="9"/>
      <c r="K111" s="7">
        <v>0</v>
      </c>
      <c r="L111" s="8">
        <f>IFERROR(K111/K445, "NA")</f>
        <v>0</v>
      </c>
      <c r="M111" s="9"/>
      <c r="N111" s="10">
        <f t="shared" si="25"/>
        <v>0</v>
      </c>
      <c r="O111" s="8">
        <f>IFERROR(N111/N445, "NA")</f>
        <v>0</v>
      </c>
      <c r="P111" s="9"/>
      <c r="Q111" s="7">
        <v>0</v>
      </c>
      <c r="R111" s="8">
        <f>IFERROR(Q111/Q445, "NA")</f>
        <v>0</v>
      </c>
      <c r="S111" s="9"/>
      <c r="T111" s="7">
        <v>0</v>
      </c>
      <c r="U111" s="8">
        <f>IFERROR(T111/T445, "NA")</f>
        <v>0</v>
      </c>
      <c r="V111" s="9"/>
      <c r="W111" s="10">
        <f t="shared" si="26"/>
        <v>0</v>
      </c>
      <c r="X111" s="8">
        <f>IFERROR(W111/W445, "NA")</f>
        <v>0</v>
      </c>
      <c r="Y111" s="9"/>
      <c r="Z111" s="7">
        <v>0</v>
      </c>
      <c r="AA111" s="8">
        <f>IFERROR(Z111/Z445, "NA")</f>
        <v>0</v>
      </c>
      <c r="AB111" s="9"/>
      <c r="AC111" s="10">
        <f t="shared" si="27"/>
        <v>0</v>
      </c>
      <c r="AD111" s="8">
        <f>IFERROR(AC111/AC445,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IFERROR(B112/B445, "NA")</f>
        <v>0</v>
      </c>
      <c r="D112" s="9"/>
      <c r="E112" s="7">
        <v>0</v>
      </c>
      <c r="F112" s="8">
        <f>IFERROR(E112/E445, "NA")</f>
        <v>0</v>
      </c>
      <c r="G112" s="9"/>
      <c r="H112" s="10">
        <f t="shared" si="24"/>
        <v>0</v>
      </c>
      <c r="I112" s="8">
        <f>IFERROR(H112/H445, "NA")</f>
        <v>0</v>
      </c>
      <c r="J112" s="9"/>
      <c r="K112" s="7">
        <v>0</v>
      </c>
      <c r="L112" s="8">
        <f>IFERROR(K112/K445, "NA")</f>
        <v>0</v>
      </c>
      <c r="M112" s="9"/>
      <c r="N112" s="10">
        <f t="shared" si="25"/>
        <v>0</v>
      </c>
      <c r="O112" s="8">
        <f>IFERROR(N112/N445, "NA")</f>
        <v>0</v>
      </c>
      <c r="P112" s="9"/>
      <c r="Q112" s="7">
        <v>0</v>
      </c>
      <c r="R112" s="8">
        <f>IFERROR(Q112/Q445, "NA")</f>
        <v>0</v>
      </c>
      <c r="S112" s="9"/>
      <c r="T112" s="7">
        <v>0</v>
      </c>
      <c r="U112" s="8">
        <f>IFERROR(T112/T445, "NA")</f>
        <v>0</v>
      </c>
      <c r="V112" s="9"/>
      <c r="W112" s="10">
        <f t="shared" si="26"/>
        <v>0</v>
      </c>
      <c r="X112" s="8">
        <f>IFERROR(W112/W445, "NA")</f>
        <v>0</v>
      </c>
      <c r="Y112" s="9"/>
      <c r="Z112" s="7">
        <v>0</v>
      </c>
      <c r="AA112" s="8">
        <f>IFERROR(Z112/Z445, "NA")</f>
        <v>0</v>
      </c>
      <c r="AB112" s="9"/>
      <c r="AC112" s="10">
        <f t="shared" si="27"/>
        <v>0</v>
      </c>
      <c r="AD112" s="8">
        <f>IFERROR(AC112/AC445,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IFERROR(B113/B445, "NA")</f>
        <v>0</v>
      </c>
      <c r="D113" s="9"/>
      <c r="E113" s="7">
        <v>0</v>
      </c>
      <c r="F113" s="8">
        <f>IFERROR(E113/E445, "NA")</f>
        <v>0</v>
      </c>
      <c r="G113" s="9"/>
      <c r="H113" s="10">
        <f t="shared" si="24"/>
        <v>0</v>
      </c>
      <c r="I113" s="8">
        <f>IFERROR(H113/H445, "NA")</f>
        <v>0</v>
      </c>
      <c r="J113" s="9"/>
      <c r="K113" s="7">
        <v>0</v>
      </c>
      <c r="L113" s="8">
        <f>IFERROR(K113/K445, "NA")</f>
        <v>0</v>
      </c>
      <c r="M113" s="9"/>
      <c r="N113" s="10">
        <f t="shared" si="25"/>
        <v>0</v>
      </c>
      <c r="O113" s="8">
        <f>IFERROR(N113/N445, "NA")</f>
        <v>0</v>
      </c>
      <c r="P113" s="9"/>
      <c r="Q113" s="7">
        <v>0</v>
      </c>
      <c r="R113" s="8">
        <f>IFERROR(Q113/Q445, "NA")</f>
        <v>0</v>
      </c>
      <c r="S113" s="9"/>
      <c r="T113" s="7">
        <v>0</v>
      </c>
      <c r="U113" s="8">
        <f>IFERROR(T113/T445, "NA")</f>
        <v>0</v>
      </c>
      <c r="V113" s="9"/>
      <c r="W113" s="10">
        <f t="shared" si="26"/>
        <v>0</v>
      </c>
      <c r="X113" s="8">
        <f>IFERROR(W113/W445, "NA")</f>
        <v>0</v>
      </c>
      <c r="Y113" s="9"/>
      <c r="Z113" s="7">
        <v>0</v>
      </c>
      <c r="AA113" s="8">
        <f>IFERROR(Z113/Z445, "NA")</f>
        <v>0</v>
      </c>
      <c r="AB113" s="9"/>
      <c r="AC113" s="10">
        <f t="shared" si="27"/>
        <v>0</v>
      </c>
      <c r="AD113" s="8">
        <f>IFERROR(AC113/AC445,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IFERROR(B114/B445, "NA")</f>
        <v>0</v>
      </c>
      <c r="D114" s="9"/>
      <c r="E114" s="7">
        <v>0</v>
      </c>
      <c r="F114" s="8">
        <f>IFERROR(E114/E445, "NA")</f>
        <v>0</v>
      </c>
      <c r="G114" s="9"/>
      <c r="H114" s="10">
        <f t="shared" si="24"/>
        <v>0</v>
      </c>
      <c r="I114" s="8">
        <f>IFERROR(H114/H445, "NA")</f>
        <v>0</v>
      </c>
      <c r="J114" s="9"/>
      <c r="K114" s="7">
        <v>0</v>
      </c>
      <c r="L114" s="8">
        <f>IFERROR(K114/K445, "NA")</f>
        <v>0</v>
      </c>
      <c r="M114" s="9"/>
      <c r="N114" s="10">
        <f t="shared" si="25"/>
        <v>0</v>
      </c>
      <c r="O114" s="8">
        <f>IFERROR(N114/N445, "NA")</f>
        <v>0</v>
      </c>
      <c r="P114" s="9"/>
      <c r="Q114" s="7">
        <v>0</v>
      </c>
      <c r="R114" s="8">
        <f>IFERROR(Q114/Q445, "NA")</f>
        <v>0</v>
      </c>
      <c r="S114" s="9"/>
      <c r="T114" s="7">
        <v>0</v>
      </c>
      <c r="U114" s="8">
        <f>IFERROR(T114/T445, "NA")</f>
        <v>0</v>
      </c>
      <c r="V114" s="9"/>
      <c r="W114" s="10">
        <f t="shared" si="26"/>
        <v>0</v>
      </c>
      <c r="X114" s="8">
        <f>IFERROR(W114/W445, "NA")</f>
        <v>0</v>
      </c>
      <c r="Y114" s="9"/>
      <c r="Z114" s="7">
        <v>0</v>
      </c>
      <c r="AA114" s="8">
        <f>IFERROR(Z114/Z445, "NA")</f>
        <v>0</v>
      </c>
      <c r="AB114" s="9"/>
      <c r="AC114" s="10">
        <f t="shared" si="27"/>
        <v>0</v>
      </c>
      <c r="AD114" s="8">
        <f>IFERROR(AC114/AC445,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IFERROR(B115/B445, "NA")</f>
        <v>0</v>
      </c>
      <c r="D115" s="9"/>
      <c r="E115" s="7">
        <v>0</v>
      </c>
      <c r="F115" s="8">
        <f>IFERROR(E115/E445, "NA")</f>
        <v>0</v>
      </c>
      <c r="G115" s="9"/>
      <c r="H115" s="10">
        <f t="shared" si="24"/>
        <v>0</v>
      </c>
      <c r="I115" s="8">
        <f>IFERROR(H115/H445, "NA")</f>
        <v>0</v>
      </c>
      <c r="J115" s="9"/>
      <c r="K115" s="7">
        <v>0</v>
      </c>
      <c r="L115" s="8">
        <f>IFERROR(K115/K445, "NA")</f>
        <v>0</v>
      </c>
      <c r="M115" s="9"/>
      <c r="N115" s="10">
        <f t="shared" si="25"/>
        <v>0</v>
      </c>
      <c r="O115" s="8">
        <f>IFERROR(N115/N445, "NA")</f>
        <v>0</v>
      </c>
      <c r="P115" s="9"/>
      <c r="Q115" s="7">
        <v>0</v>
      </c>
      <c r="R115" s="8">
        <f>IFERROR(Q115/Q445, "NA")</f>
        <v>0</v>
      </c>
      <c r="S115" s="9"/>
      <c r="T115" s="7">
        <v>0</v>
      </c>
      <c r="U115" s="8">
        <f>IFERROR(T115/T445, "NA")</f>
        <v>0</v>
      </c>
      <c r="V115" s="9"/>
      <c r="W115" s="10">
        <f t="shared" si="26"/>
        <v>0</v>
      </c>
      <c r="X115" s="8">
        <f>IFERROR(W115/W445, "NA")</f>
        <v>0</v>
      </c>
      <c r="Y115" s="9"/>
      <c r="Z115" s="7">
        <v>0</v>
      </c>
      <c r="AA115" s="8">
        <f>IFERROR(Z115/Z445, "NA")</f>
        <v>0</v>
      </c>
      <c r="AB115" s="9"/>
      <c r="AC115" s="10">
        <f t="shared" si="27"/>
        <v>0</v>
      </c>
      <c r="AD115" s="8">
        <f>IFERROR(AC115/AC445,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IFERROR(B116/B445, "NA")</f>
        <v>0</v>
      </c>
      <c r="D116" s="9"/>
      <c r="E116" s="7">
        <v>0</v>
      </c>
      <c r="F116" s="8">
        <f>IFERROR(E116/E445, "NA")</f>
        <v>0</v>
      </c>
      <c r="G116" s="9"/>
      <c r="H116" s="10">
        <f t="shared" si="24"/>
        <v>0</v>
      </c>
      <c r="I116" s="8">
        <f>IFERROR(H116/H445, "NA")</f>
        <v>0</v>
      </c>
      <c r="J116" s="9"/>
      <c r="K116" s="7">
        <v>0</v>
      </c>
      <c r="L116" s="8">
        <f>IFERROR(K116/K445, "NA")</f>
        <v>0</v>
      </c>
      <c r="M116" s="9"/>
      <c r="N116" s="10">
        <f t="shared" si="25"/>
        <v>0</v>
      </c>
      <c r="O116" s="8">
        <f>IFERROR(N116/N445, "NA")</f>
        <v>0</v>
      </c>
      <c r="P116" s="9"/>
      <c r="Q116" s="7">
        <v>0</v>
      </c>
      <c r="R116" s="8">
        <f>IFERROR(Q116/Q445, "NA")</f>
        <v>0</v>
      </c>
      <c r="S116" s="9"/>
      <c r="T116" s="7">
        <v>0</v>
      </c>
      <c r="U116" s="8">
        <f>IFERROR(T116/T445, "NA")</f>
        <v>0</v>
      </c>
      <c r="V116" s="9"/>
      <c r="W116" s="10">
        <f t="shared" si="26"/>
        <v>0</v>
      </c>
      <c r="X116" s="8">
        <f>IFERROR(W116/W445, "NA")</f>
        <v>0</v>
      </c>
      <c r="Y116" s="9"/>
      <c r="Z116" s="7">
        <v>0</v>
      </c>
      <c r="AA116" s="8">
        <f>IFERROR(Z116/Z445, "NA")</f>
        <v>0</v>
      </c>
      <c r="AB116" s="9"/>
      <c r="AC116" s="10">
        <f t="shared" si="27"/>
        <v>0</v>
      </c>
      <c r="AD116" s="8">
        <f>IFERROR(AC116/AC445,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IFERROR(B117/B445, "NA")</f>
        <v>0</v>
      </c>
      <c r="D117" s="9"/>
      <c r="E117" s="7">
        <v>0</v>
      </c>
      <c r="F117" s="8">
        <f>IFERROR(E117/E445, "NA")</f>
        <v>0</v>
      </c>
      <c r="G117" s="9"/>
      <c r="H117" s="10">
        <f t="shared" si="24"/>
        <v>0</v>
      </c>
      <c r="I117" s="8">
        <f>IFERROR(H117/H445, "NA")</f>
        <v>0</v>
      </c>
      <c r="J117" s="9"/>
      <c r="K117" s="7">
        <v>0</v>
      </c>
      <c r="L117" s="8">
        <f>IFERROR(K117/K445, "NA")</f>
        <v>0</v>
      </c>
      <c r="M117" s="9"/>
      <c r="N117" s="10">
        <f t="shared" si="25"/>
        <v>0</v>
      </c>
      <c r="O117" s="8">
        <f>IFERROR(N117/N445, "NA")</f>
        <v>0</v>
      </c>
      <c r="P117" s="9"/>
      <c r="Q117" s="7">
        <v>0</v>
      </c>
      <c r="R117" s="8">
        <f>IFERROR(Q117/Q445, "NA")</f>
        <v>0</v>
      </c>
      <c r="S117" s="9"/>
      <c r="T117" s="7">
        <v>0</v>
      </c>
      <c r="U117" s="8">
        <f>IFERROR(T117/T445, "NA")</f>
        <v>0</v>
      </c>
      <c r="V117" s="9"/>
      <c r="W117" s="10">
        <f t="shared" si="26"/>
        <v>0</v>
      </c>
      <c r="X117" s="8">
        <f>IFERROR(W117/W445, "NA")</f>
        <v>0</v>
      </c>
      <c r="Y117" s="9"/>
      <c r="Z117" s="7">
        <v>0</v>
      </c>
      <c r="AA117" s="8">
        <f>IFERROR(Z117/Z445, "NA")</f>
        <v>0</v>
      </c>
      <c r="AB117" s="9"/>
      <c r="AC117" s="10">
        <f t="shared" si="27"/>
        <v>0</v>
      </c>
      <c r="AD117" s="8">
        <f>IFERROR(AC117/AC445,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-4278.3599999999997</v>
      </c>
      <c r="C118" s="15">
        <f>IFERROR(B118/B445, "NA")</f>
        <v>-3.9173434991349697E-2</v>
      </c>
      <c r="D118" s="2"/>
      <c r="E118" s="14">
        <f>IFERROR(E94+E95+E96+E97+E98+E99+E100+E101+E102+E103+E104+E105+E106+E107+E108+E109+E110+E111+E112+E113+E114+E115+E116+E117, "NA")</f>
        <v>-5020.46</v>
      </c>
      <c r="F118" s="15">
        <f>IFERROR(E118/E445, "NA")</f>
        <v>-5.2999983425826722E-2</v>
      </c>
      <c r="G118" s="2"/>
      <c r="H118" s="14">
        <f t="shared" si="24"/>
        <v>742.10000000000036</v>
      </c>
      <c r="I118" s="15">
        <f>IFERROR(H118/H445, "NA")</f>
        <v>5.1214065269120576E-2</v>
      </c>
      <c r="J118" s="2"/>
      <c r="K118" s="14">
        <f>IFERROR(K94+K95+K96+K97+K98+K99+K100+K101+K102+K103+K104+K105+K106+K107+K108+K109+K110+K111+K112+K113+K114+K115+K116+K117, "NA")</f>
        <v>-5114.7300000000005</v>
      </c>
      <c r="L118" s="15">
        <f>IFERROR(K118/K445, "NA")</f>
        <v>-5.9057223755212385E-2</v>
      </c>
      <c r="M118" s="2"/>
      <c r="N118" s="14">
        <f t="shared" si="25"/>
        <v>836.3700000000008</v>
      </c>
      <c r="O118" s="15">
        <f>IFERROR(N118/N445, "NA")</f>
        <v>3.6991956039737282E-2</v>
      </c>
      <c r="P118" s="2"/>
      <c r="Q118" s="14">
        <f>IFERROR(Q94+Q95+Q96+Q97+Q98+Q99+Q100+Q101+Q102+Q103+Q104+Q105+Q106+Q107+Q108+Q109+Q110+Q111+Q112+Q113+Q114+Q115+Q116+Q117, "NA")</f>
        <v>-19092.359999999997</v>
      </c>
      <c r="R118" s="15">
        <f>IFERROR(Q118/Q445, "NA")</f>
        <v>-3.7465689722551702E-2</v>
      </c>
      <c r="S118" s="2"/>
      <c r="T118" s="14">
        <f>IFERROR(T94+T95+T96+T97+T98+T99+T100+T101+T102+T103+T104+T105+T106+T107+T108+T109+T110+T111+T112+T113+T114+T115+T116+T117, "NA")</f>
        <v>-25387.13</v>
      </c>
      <c r="U118" s="15">
        <f>IFERROR(T118/T445, "NA")</f>
        <v>-5.3000012484281392E-2</v>
      </c>
      <c r="V118" s="2"/>
      <c r="W118" s="14">
        <f t="shared" si="26"/>
        <v>6294.7700000000041</v>
      </c>
      <c r="X118" s="15">
        <f>IFERROR(W118/W445, "NA")</f>
        <v>0.20575507681204327</v>
      </c>
      <c r="Y118" s="2"/>
      <c r="Z118" s="14">
        <f>IFERROR(Z94+Z95+Z96+Z97+Z98+Z99+Z100+Z101+Z102+Z103+Z104+Z105+Z106+Z107+Z108+Z109+Z110+Z111+Z112+Z113+Z114+Z115+Z116+Z117, "NA")</f>
        <v>-24320.579999999998</v>
      </c>
      <c r="AA118" s="15">
        <f>IFERROR(Z118/Z445, "NA")</f>
        <v>-5.4443420744503632E-2</v>
      </c>
      <c r="AB118" s="2"/>
      <c r="AC118" s="14">
        <f t="shared" si="27"/>
        <v>5228.2200000000012</v>
      </c>
      <c r="AD118" s="15">
        <f>IFERROR(AC118/AC445, "NA")</f>
        <v>8.3142131440461134E-2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IFERROR(B119/B445, "NA")</f>
        <v>0</v>
      </c>
      <c r="D119" s="9"/>
      <c r="E119" s="7">
        <v>0</v>
      </c>
      <c r="F119" s="8">
        <f>IFERROR(E119/E445, "NA")</f>
        <v>0</v>
      </c>
      <c r="G119" s="9"/>
      <c r="H119" s="10">
        <f t="shared" si="24"/>
        <v>0</v>
      </c>
      <c r="I119" s="8">
        <f>IFERROR(H119/H445, "NA")</f>
        <v>0</v>
      </c>
      <c r="J119" s="9"/>
      <c r="K119" s="7">
        <v>0</v>
      </c>
      <c r="L119" s="8">
        <f>IFERROR(K119/K445, "NA")</f>
        <v>0</v>
      </c>
      <c r="M119" s="9"/>
      <c r="N119" s="10">
        <f t="shared" si="25"/>
        <v>0</v>
      </c>
      <c r="O119" s="8">
        <f>IFERROR(N119/N445, "NA")</f>
        <v>0</v>
      </c>
      <c r="P119" s="9"/>
      <c r="Q119" s="7">
        <v>0</v>
      </c>
      <c r="R119" s="8">
        <f>IFERROR(Q119/Q445, "NA")</f>
        <v>0</v>
      </c>
      <c r="S119" s="9"/>
      <c r="T119" s="7">
        <v>0</v>
      </c>
      <c r="U119" s="8">
        <f>IFERROR(T119/T445, "NA")</f>
        <v>0</v>
      </c>
      <c r="V119" s="9"/>
      <c r="W119" s="10">
        <f t="shared" si="26"/>
        <v>0</v>
      </c>
      <c r="X119" s="8">
        <f>IFERROR(W119/W445, "NA")</f>
        <v>0</v>
      </c>
      <c r="Y119" s="9"/>
      <c r="Z119" s="7">
        <v>0</v>
      </c>
      <c r="AA119" s="8">
        <f>IFERROR(Z119/Z445, "NA")</f>
        <v>0</v>
      </c>
      <c r="AB119" s="9"/>
      <c r="AC119" s="10">
        <f t="shared" si="27"/>
        <v>0</v>
      </c>
      <c r="AD119" s="8">
        <f>IFERROR(AC119/AC445,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IFERROR(B120/B445, "NA")</f>
        <v>0</v>
      </c>
      <c r="D120" s="9"/>
      <c r="E120" s="7">
        <v>0</v>
      </c>
      <c r="F120" s="8">
        <f>IFERROR(E120/E445, "NA")</f>
        <v>0</v>
      </c>
      <c r="G120" s="9"/>
      <c r="H120" s="10">
        <f t="shared" si="24"/>
        <v>0</v>
      </c>
      <c r="I120" s="8">
        <f>IFERROR(H120/H445, "NA")</f>
        <v>0</v>
      </c>
      <c r="J120" s="9"/>
      <c r="K120" s="7">
        <v>0</v>
      </c>
      <c r="L120" s="8">
        <f>IFERROR(K120/K445, "NA")</f>
        <v>0</v>
      </c>
      <c r="M120" s="9"/>
      <c r="N120" s="10">
        <f t="shared" si="25"/>
        <v>0</v>
      </c>
      <c r="O120" s="8">
        <f>IFERROR(N120/N445, "NA")</f>
        <v>0</v>
      </c>
      <c r="P120" s="9"/>
      <c r="Q120" s="7">
        <v>0</v>
      </c>
      <c r="R120" s="8">
        <f>IFERROR(Q120/Q445, "NA")</f>
        <v>0</v>
      </c>
      <c r="S120" s="9"/>
      <c r="T120" s="7">
        <v>0</v>
      </c>
      <c r="U120" s="8">
        <f>IFERROR(T120/T445, "NA")</f>
        <v>0</v>
      </c>
      <c r="V120" s="9"/>
      <c r="W120" s="10">
        <f t="shared" si="26"/>
        <v>0</v>
      </c>
      <c r="X120" s="8">
        <f>IFERROR(W120/W445, "NA")</f>
        <v>0</v>
      </c>
      <c r="Y120" s="9"/>
      <c r="Z120" s="7">
        <v>0</v>
      </c>
      <c r="AA120" s="8">
        <f>IFERROR(Z120/Z445, "NA")</f>
        <v>0</v>
      </c>
      <c r="AB120" s="9"/>
      <c r="AC120" s="10">
        <f t="shared" si="27"/>
        <v>0</v>
      </c>
      <c r="AD120" s="8">
        <f>IFERROR(AC120/AC445,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IFERROR(B121/B445, "NA")</f>
        <v>0</v>
      </c>
      <c r="D121" s="9"/>
      <c r="E121" s="7">
        <v>0</v>
      </c>
      <c r="F121" s="8">
        <f>IFERROR(E121/E445, "NA")</f>
        <v>0</v>
      </c>
      <c r="G121" s="9"/>
      <c r="H121" s="10">
        <f t="shared" si="24"/>
        <v>0</v>
      </c>
      <c r="I121" s="8">
        <f>IFERROR(H121/H445, "NA")</f>
        <v>0</v>
      </c>
      <c r="J121" s="9"/>
      <c r="K121" s="7">
        <v>0</v>
      </c>
      <c r="L121" s="8">
        <f>IFERROR(K121/K445, "NA")</f>
        <v>0</v>
      </c>
      <c r="M121" s="9"/>
      <c r="N121" s="10">
        <f t="shared" si="25"/>
        <v>0</v>
      </c>
      <c r="O121" s="8">
        <f>IFERROR(N121/N445, "NA")</f>
        <v>0</v>
      </c>
      <c r="P121" s="9"/>
      <c r="Q121" s="7">
        <v>0</v>
      </c>
      <c r="R121" s="8">
        <f>IFERROR(Q121/Q445, "NA")</f>
        <v>0</v>
      </c>
      <c r="S121" s="9"/>
      <c r="T121" s="7">
        <v>0</v>
      </c>
      <c r="U121" s="8">
        <f>IFERROR(T121/T445, "NA")</f>
        <v>0</v>
      </c>
      <c r="V121" s="9"/>
      <c r="W121" s="10">
        <f t="shared" si="26"/>
        <v>0</v>
      </c>
      <c r="X121" s="8">
        <f>IFERROR(W121/W445, "NA")</f>
        <v>0</v>
      </c>
      <c r="Y121" s="9"/>
      <c r="Z121" s="7">
        <v>0</v>
      </c>
      <c r="AA121" s="8">
        <f>IFERROR(Z121/Z445, "NA")</f>
        <v>0</v>
      </c>
      <c r="AB121" s="9"/>
      <c r="AC121" s="10">
        <f t="shared" si="27"/>
        <v>0</v>
      </c>
      <c r="AD121" s="8">
        <f>IFERROR(AC121/AC445,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109215.84999999998</v>
      </c>
      <c r="C122" s="15">
        <f>IFERROR(B122/B445,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94725.69</v>
      </c>
      <c r="F122" s="15">
        <f>IFERROR(E122/E445, "NA")</f>
        <v>1</v>
      </c>
      <c r="G122" s="2"/>
      <c r="H122" s="14">
        <f t="shared" si="24"/>
        <v>14490.159999999974</v>
      </c>
      <c r="I122" s="15">
        <f>IFERROR(H122/H445, "NA")</f>
        <v>0.999999999999998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86606.340000000011</v>
      </c>
      <c r="L122" s="15">
        <f>IFERROR(K122/K445, "NA")</f>
        <v>1.0000000000000002</v>
      </c>
      <c r="M122" s="2"/>
      <c r="N122" s="14">
        <f t="shared" si="25"/>
        <v>22609.509999999966</v>
      </c>
      <c r="O122" s="15">
        <f>IFERROR(N122/N445, "NA")</f>
        <v>0.99999999999999811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509595.85</v>
      </c>
      <c r="R122" s="15">
        <f>IFERROR(Q122/Q445,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479002.33999999997</v>
      </c>
      <c r="U122" s="15">
        <f>IFERROR(T122/T445, "NA")</f>
        <v>0.99999999999999989</v>
      </c>
      <c r="V122" s="2"/>
      <c r="W122" s="14">
        <f t="shared" si="26"/>
        <v>30593.510000000009</v>
      </c>
      <c r="X122" s="15">
        <f>IFERROR(W122/W445, "NA")</f>
        <v>1.000000000000002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446712.93000000005</v>
      </c>
      <c r="AA122" s="15">
        <f>IFERROR(Z122/Z445, "NA")</f>
        <v>1.0000000000000002</v>
      </c>
      <c r="AB122" s="2"/>
      <c r="AC122" s="14">
        <f t="shared" si="27"/>
        <v>62882.919999999925</v>
      </c>
      <c r="AD122" s="15">
        <f>IFERROR(AC122/AC445, "NA")</f>
        <v>0.99999999999999911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IFERROR(B123/B445, "NA")</f>
        <v>0</v>
      </c>
      <c r="D123" s="9"/>
      <c r="E123" s="7">
        <v>0</v>
      </c>
      <c r="F123" s="8">
        <f>IFERROR(E123/E445, "NA")</f>
        <v>0</v>
      </c>
      <c r="G123" s="9"/>
      <c r="H123" s="10">
        <f t="shared" si="24"/>
        <v>0</v>
      </c>
      <c r="I123" s="8">
        <f>IFERROR(H123/H445, "NA")</f>
        <v>0</v>
      </c>
      <c r="J123" s="9"/>
      <c r="K123" s="7">
        <v>0</v>
      </c>
      <c r="L123" s="8">
        <f>IFERROR(K123/K445, "NA")</f>
        <v>0</v>
      </c>
      <c r="M123" s="9"/>
      <c r="N123" s="10">
        <f t="shared" si="25"/>
        <v>0</v>
      </c>
      <c r="O123" s="8">
        <f>IFERROR(N123/N445, "NA")</f>
        <v>0</v>
      </c>
      <c r="P123" s="9"/>
      <c r="Q123" s="7">
        <v>0</v>
      </c>
      <c r="R123" s="8">
        <f>IFERROR(Q123/Q445, "NA")</f>
        <v>0</v>
      </c>
      <c r="S123" s="9"/>
      <c r="T123" s="7">
        <v>0</v>
      </c>
      <c r="U123" s="8">
        <f>IFERROR(T123/T445, "NA")</f>
        <v>0</v>
      </c>
      <c r="V123" s="9"/>
      <c r="W123" s="10">
        <f t="shared" si="26"/>
        <v>0</v>
      </c>
      <c r="X123" s="8">
        <f>IFERROR(W123/W445, "NA")</f>
        <v>0</v>
      </c>
      <c r="Y123" s="9"/>
      <c r="Z123" s="7">
        <v>0</v>
      </c>
      <c r="AA123" s="8">
        <f>IFERROR(Z123/Z445, "NA")</f>
        <v>0</v>
      </c>
      <c r="AB123" s="9"/>
      <c r="AC123" s="10">
        <f t="shared" si="27"/>
        <v>0</v>
      </c>
      <c r="AD123" s="8">
        <f>IFERROR(AC123/AC445,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109215.84999999998</v>
      </c>
      <c r="C124" s="15">
        <f>IFERROR(B124/B445,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94725.69</v>
      </c>
      <c r="F124" s="15">
        <f>IFERROR(E124/E445, "NA")</f>
        <v>1</v>
      </c>
      <c r="G124" s="2"/>
      <c r="H124" s="14">
        <f t="shared" si="24"/>
        <v>14490.159999999974</v>
      </c>
      <c r="I124" s="15">
        <f>IFERROR(H124/H445, "NA")</f>
        <v>0.999999999999998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86606.340000000011</v>
      </c>
      <c r="L124" s="15">
        <f>IFERROR(K124/K445, "NA")</f>
        <v>1.0000000000000002</v>
      </c>
      <c r="M124" s="2"/>
      <c r="N124" s="14">
        <f t="shared" si="25"/>
        <v>22609.509999999966</v>
      </c>
      <c r="O124" s="15">
        <f>IFERROR(N124/N445, "NA")</f>
        <v>0.99999999999999811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509595.85</v>
      </c>
      <c r="R124" s="15">
        <f>IFERROR(Q124/Q445,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479002.33999999997</v>
      </c>
      <c r="U124" s="15">
        <f>IFERROR(T124/T445, "NA")</f>
        <v>0.99999999999999989</v>
      </c>
      <c r="V124" s="2"/>
      <c r="W124" s="14">
        <f t="shared" si="26"/>
        <v>30593.510000000009</v>
      </c>
      <c r="X124" s="15">
        <f>IFERROR(W124/W445, "NA")</f>
        <v>1.000000000000002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446712.93000000005</v>
      </c>
      <c r="AA124" s="15">
        <f>IFERROR(Z124/Z445, "NA")</f>
        <v>1.0000000000000002</v>
      </c>
      <c r="AB124" s="2"/>
      <c r="AC124" s="14">
        <f t="shared" si="27"/>
        <v>62882.919999999925</v>
      </c>
      <c r="AD124" s="15">
        <f>IFERROR(AC124/AC445, "NA")</f>
        <v>0.99999999999999911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IFERROR(B127/B445, "NA")</f>
        <v>0</v>
      </c>
      <c r="D127" s="9"/>
      <c r="E127" s="7">
        <v>0</v>
      </c>
      <c r="F127" s="8">
        <f>IFERROR(E127/E445, "NA")</f>
        <v>0</v>
      </c>
      <c r="G127" s="9"/>
      <c r="H127" s="10">
        <f>IFERROR(-(B127-E127), "NA")</f>
        <v>0</v>
      </c>
      <c r="I127" s="8">
        <f>IFERROR(H127/H445, "NA")</f>
        <v>0</v>
      </c>
      <c r="J127" s="9"/>
      <c r="K127" s="7">
        <v>0</v>
      </c>
      <c r="L127" s="8">
        <f>IFERROR(K127/K445, "NA")</f>
        <v>0</v>
      </c>
      <c r="M127" s="9"/>
      <c r="N127" s="10">
        <f>IFERROR(-(B127-K127), "NA")</f>
        <v>0</v>
      </c>
      <c r="O127" s="8">
        <f>IFERROR(N127/N445, "NA")</f>
        <v>0</v>
      </c>
      <c r="P127" s="9"/>
      <c r="Q127" s="7">
        <v>0</v>
      </c>
      <c r="R127" s="8">
        <f>IFERROR(Q127/Q445, "NA")</f>
        <v>0</v>
      </c>
      <c r="S127" s="9"/>
      <c r="T127" s="7">
        <v>0</v>
      </c>
      <c r="U127" s="8">
        <f>IFERROR(T127/T445, "NA")</f>
        <v>0</v>
      </c>
      <c r="V127" s="9"/>
      <c r="W127" s="10">
        <f>IFERROR(-(Q127-T127), "NA")</f>
        <v>0</v>
      </c>
      <c r="X127" s="8">
        <f>IFERROR(W127/W445, "NA")</f>
        <v>0</v>
      </c>
      <c r="Y127" s="9"/>
      <c r="Z127" s="7">
        <v>0</v>
      </c>
      <c r="AA127" s="8">
        <f>IFERROR(Z127/Z445, "NA")</f>
        <v>0</v>
      </c>
      <c r="AB127" s="9"/>
      <c r="AC127" s="10">
        <f>IFERROR(-(Q127-Z127), "NA")</f>
        <v>0</v>
      </c>
      <c r="AD127" s="8">
        <f>IFERROR(AC127/AC445,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IFERROR(B129/B445, "NA")</f>
        <v>0</v>
      </c>
      <c r="D129" s="9"/>
      <c r="E129" s="7">
        <v>19987.12</v>
      </c>
      <c r="F129" s="8">
        <f>IFERROR(E129/E445, "NA")</f>
        <v>0.21099999377148901</v>
      </c>
      <c r="G129" s="9"/>
      <c r="H129" s="10">
        <f t="shared" ref="H129:H141" si="28">IFERROR(-(B129-E129), "NA")</f>
        <v>19987.12</v>
      </c>
      <c r="I129" s="8">
        <f>IFERROR(H129/H445, "NA")</f>
        <v>1.3793581299309321</v>
      </c>
      <c r="J129" s="9"/>
      <c r="K129" s="7">
        <v>0</v>
      </c>
      <c r="L129" s="8">
        <f>IFERROR(K129/K445, "NA")</f>
        <v>0</v>
      </c>
      <c r="M129" s="9"/>
      <c r="N129" s="10">
        <f t="shared" ref="N129:N141" si="29">IFERROR(-(B129-K129), "NA")</f>
        <v>0</v>
      </c>
      <c r="O129" s="8">
        <f>IFERROR(N129/N445, "NA")</f>
        <v>0</v>
      </c>
      <c r="P129" s="9"/>
      <c r="Q129" s="7">
        <v>0</v>
      </c>
      <c r="R129" s="8">
        <f>IFERROR(Q129/Q445, "NA")</f>
        <v>0</v>
      </c>
      <c r="S129" s="9"/>
      <c r="T129" s="7">
        <v>101478.66</v>
      </c>
      <c r="U129" s="8">
        <f>IFERROR(T129/T445, "NA")</f>
        <v>0.21185420513812103</v>
      </c>
      <c r="V129" s="9"/>
      <c r="W129" s="10">
        <f t="shared" ref="W129:W141" si="30">IFERROR(-(Q129-T129), "NA")</f>
        <v>101478.66</v>
      </c>
      <c r="X129" s="8">
        <f>IFERROR(W129/W445, "NA")</f>
        <v>3.3169995858598824</v>
      </c>
      <c r="Y129" s="9"/>
      <c r="Z129" s="7">
        <v>0</v>
      </c>
      <c r="AA129" s="8">
        <f>IFERROR(Z129/Z445, "NA")</f>
        <v>0</v>
      </c>
      <c r="AB129" s="9"/>
      <c r="AC129" s="10">
        <f t="shared" ref="AC129:AC141" si="31">IFERROR(-(Q129-Z129), "NA")</f>
        <v>0</v>
      </c>
      <c r="AD129" s="8">
        <f>IFERROR(AC129/AC445, "NA")</f>
        <v>0</v>
      </c>
    </row>
    <row r="130" spans="1:30" ht="16.5" customHeight="1" x14ac:dyDescent="0.45">
      <c r="A130" s="12" t="s">
        <v>122</v>
      </c>
      <c r="B130" s="7">
        <v>5647.85</v>
      </c>
      <c r="C130" s="8">
        <f>IFERROR(B130/B445, "NA")</f>
        <v>5.1712732172116041E-2</v>
      </c>
      <c r="D130" s="9"/>
      <c r="E130" s="7">
        <v>0</v>
      </c>
      <c r="F130" s="8">
        <f>IFERROR(E130/E445, "NA")</f>
        <v>0</v>
      </c>
      <c r="G130" s="9"/>
      <c r="H130" s="10">
        <f t="shared" si="28"/>
        <v>-5647.85</v>
      </c>
      <c r="I130" s="8">
        <f>IFERROR(H130/H445, "NA")</f>
        <v>-0.38977140349036854</v>
      </c>
      <c r="J130" s="9"/>
      <c r="K130" s="7">
        <v>4533.51</v>
      </c>
      <c r="L130" s="8">
        <f>IFERROR(K130/K445, "NA")</f>
        <v>5.2346167728598167E-2</v>
      </c>
      <c r="M130" s="9"/>
      <c r="N130" s="10">
        <f t="shared" si="29"/>
        <v>-1114.3400000000001</v>
      </c>
      <c r="O130" s="8">
        <f>IFERROR(N130/N445, "NA")</f>
        <v>-4.9286340128556511E-2</v>
      </c>
      <c r="P130" s="9"/>
      <c r="Q130" s="7">
        <v>23929.14</v>
      </c>
      <c r="R130" s="8">
        <f>IFERROR(Q130/Q445, "NA")</f>
        <v>4.6957093547759468E-2</v>
      </c>
      <c r="S130" s="9"/>
      <c r="T130" s="7">
        <v>0</v>
      </c>
      <c r="U130" s="8">
        <f>IFERROR(T130/T445, "NA")</f>
        <v>0</v>
      </c>
      <c r="V130" s="9"/>
      <c r="W130" s="10">
        <f t="shared" si="30"/>
        <v>-23929.14</v>
      </c>
      <c r="X130" s="8">
        <f>IFERROR(W130/W445, "NA")</f>
        <v>-0.78216392953930547</v>
      </c>
      <c r="Y130" s="9"/>
      <c r="Z130" s="7">
        <v>24101.87</v>
      </c>
      <c r="AA130" s="8">
        <f>IFERROR(Z130/Z445, "NA")</f>
        <v>5.3953822200758769E-2</v>
      </c>
      <c r="AB130" s="9"/>
      <c r="AC130" s="10">
        <f t="shared" si="31"/>
        <v>172.72999999999956</v>
      </c>
      <c r="AD130" s="8">
        <f>IFERROR(AC130/AC445, "NA")</f>
        <v>2.7468508141797426E-3</v>
      </c>
    </row>
    <row r="131" spans="1:30" ht="16.5" customHeight="1" x14ac:dyDescent="0.45">
      <c r="A131" s="12" t="s">
        <v>123</v>
      </c>
      <c r="B131" s="7">
        <v>2701.57</v>
      </c>
      <c r="C131" s="8">
        <f>IFERROR(B131/B445, "NA")</f>
        <v>2.4736061661379736E-2</v>
      </c>
      <c r="D131" s="9"/>
      <c r="E131" s="7">
        <v>0</v>
      </c>
      <c r="F131" s="8">
        <f>IFERROR(E131/E445, "NA")</f>
        <v>0</v>
      </c>
      <c r="G131" s="9"/>
      <c r="H131" s="10">
        <f t="shared" si="28"/>
        <v>-2701.57</v>
      </c>
      <c r="I131" s="8">
        <f>IFERROR(H131/H445, "NA")</f>
        <v>-0.18644169560584559</v>
      </c>
      <c r="J131" s="9"/>
      <c r="K131" s="7">
        <v>3031.76</v>
      </c>
      <c r="L131" s="8">
        <f>IFERROR(K131/K445, "NA")</f>
        <v>3.50062131709988E-2</v>
      </c>
      <c r="M131" s="9"/>
      <c r="N131" s="10">
        <f t="shared" si="29"/>
        <v>330.19000000000005</v>
      </c>
      <c r="O131" s="8">
        <f>IFERROR(N131/N445, "NA")</f>
        <v>1.4604031666320938E-2</v>
      </c>
      <c r="P131" s="9"/>
      <c r="Q131" s="7">
        <v>13198.92</v>
      </c>
      <c r="R131" s="8">
        <f>IFERROR(Q131/Q445, "NA")</f>
        <v>2.5900760377071362E-2</v>
      </c>
      <c r="S131" s="9"/>
      <c r="T131" s="7">
        <v>0</v>
      </c>
      <c r="U131" s="8">
        <f>IFERROR(T131/T445, "NA")</f>
        <v>0</v>
      </c>
      <c r="V131" s="9"/>
      <c r="W131" s="10">
        <f t="shared" si="30"/>
        <v>-13198.92</v>
      </c>
      <c r="X131" s="8">
        <f>IFERROR(W131/W445, "NA")</f>
        <v>-0.43142875727564511</v>
      </c>
      <c r="Y131" s="9"/>
      <c r="Z131" s="7">
        <v>13540.91</v>
      </c>
      <c r="AA131" s="8">
        <f>IFERROR(Z131/Z445, "NA")</f>
        <v>3.0312330560926453E-2</v>
      </c>
      <c r="AB131" s="9"/>
      <c r="AC131" s="10">
        <f t="shared" si="31"/>
        <v>341.98999999999978</v>
      </c>
      <c r="AD131" s="8">
        <f>IFERROR(AC131/AC445, "NA")</f>
        <v>5.4385197125069867E-3</v>
      </c>
    </row>
    <row r="132" spans="1:30" ht="16.5" customHeight="1" x14ac:dyDescent="0.45">
      <c r="A132" s="12" t="s">
        <v>124</v>
      </c>
      <c r="B132" s="7">
        <v>4684.38</v>
      </c>
      <c r="C132" s="8">
        <f>IFERROR(B132/B445, "NA")</f>
        <v>4.2891027263899879E-2</v>
      </c>
      <c r="D132" s="9"/>
      <c r="E132" s="7">
        <v>0</v>
      </c>
      <c r="F132" s="8">
        <f>IFERROR(E132/E445, "NA")</f>
        <v>0</v>
      </c>
      <c r="G132" s="9"/>
      <c r="H132" s="10">
        <f t="shared" si="28"/>
        <v>-4684.38</v>
      </c>
      <c r="I132" s="8">
        <f>IFERROR(H132/H445, "NA")</f>
        <v>-0.32328007420207916</v>
      </c>
      <c r="J132" s="9"/>
      <c r="K132" s="7">
        <v>4074.8</v>
      </c>
      <c r="L132" s="8">
        <f>IFERROR(K132/K445, "NA")</f>
        <v>4.7049673268723752E-2</v>
      </c>
      <c r="M132" s="9"/>
      <c r="N132" s="10">
        <f t="shared" si="29"/>
        <v>-609.57999999999993</v>
      </c>
      <c r="O132" s="8">
        <f>IFERROR(N132/N445, "NA")</f>
        <v>-2.6961221185244601E-2</v>
      </c>
      <c r="P132" s="9"/>
      <c r="Q132" s="7">
        <v>18325.580000000002</v>
      </c>
      <c r="R132" s="8">
        <f>IFERROR(Q132/Q445, "NA")</f>
        <v>3.5961007139284989E-2</v>
      </c>
      <c r="S132" s="9"/>
      <c r="T132" s="7">
        <v>0</v>
      </c>
      <c r="U132" s="8">
        <f>IFERROR(T132/T445, "NA")</f>
        <v>0</v>
      </c>
      <c r="V132" s="9"/>
      <c r="W132" s="10">
        <f t="shared" si="30"/>
        <v>-18325.580000000002</v>
      </c>
      <c r="X132" s="8">
        <f>IFERROR(W132/W445, "NA")</f>
        <v>-0.59900220667716886</v>
      </c>
      <c r="Y132" s="9"/>
      <c r="Z132" s="7">
        <v>17285.939999999999</v>
      </c>
      <c r="AA132" s="8">
        <f>IFERROR(Z132/Z445, "NA")</f>
        <v>3.8695857762612779E-2</v>
      </c>
      <c r="AB132" s="9"/>
      <c r="AC132" s="10">
        <f t="shared" si="31"/>
        <v>-1039.6400000000031</v>
      </c>
      <c r="AD132" s="8">
        <f>IFERROR(AC132/AC445, "NA")</f>
        <v>-1.6532947261354965E-2</v>
      </c>
    </row>
    <row r="133" spans="1:30" ht="16.5" customHeight="1" x14ac:dyDescent="0.45">
      <c r="A133" s="12" t="s">
        <v>125</v>
      </c>
      <c r="B133" s="7">
        <v>2284.54</v>
      </c>
      <c r="C133" s="8">
        <f>IFERROR(B133/B445, "NA")</f>
        <v>2.0917659845159836E-2</v>
      </c>
      <c r="D133" s="9"/>
      <c r="E133" s="7">
        <v>0</v>
      </c>
      <c r="F133" s="8">
        <f>IFERROR(E133/E445, "NA")</f>
        <v>0</v>
      </c>
      <c r="G133" s="9"/>
      <c r="H133" s="10">
        <f t="shared" si="28"/>
        <v>-2284.54</v>
      </c>
      <c r="I133" s="8">
        <f>IFERROR(H133/H445, "NA")</f>
        <v>-0.15766147509758344</v>
      </c>
      <c r="J133" s="9"/>
      <c r="K133" s="7">
        <v>2224.4899999999998</v>
      </c>
      <c r="L133" s="8">
        <f>IFERROR(K133/K445, "NA")</f>
        <v>2.5685071092947698E-2</v>
      </c>
      <c r="M133" s="9"/>
      <c r="N133" s="10">
        <f t="shared" si="29"/>
        <v>-60.050000000000182</v>
      </c>
      <c r="O133" s="8">
        <f>IFERROR(N133/N445, "NA")</f>
        <v>-2.6559620265985489E-3</v>
      </c>
      <c r="P133" s="9"/>
      <c r="Q133" s="7">
        <v>11043.39</v>
      </c>
      <c r="R133" s="8">
        <f>IFERROR(Q133/Q445, "NA")</f>
        <v>2.1670878991655838E-2</v>
      </c>
      <c r="S133" s="9"/>
      <c r="T133" s="7">
        <v>0</v>
      </c>
      <c r="U133" s="8">
        <f>IFERROR(T133/T445, "NA")</f>
        <v>0</v>
      </c>
      <c r="V133" s="9"/>
      <c r="W133" s="10">
        <f t="shared" si="30"/>
        <v>-11043.39</v>
      </c>
      <c r="X133" s="8">
        <f>IFERROR(W133/W445, "NA")</f>
        <v>-0.36097165706059936</v>
      </c>
      <c r="Y133" s="9"/>
      <c r="Z133" s="7">
        <v>10604.67</v>
      </c>
      <c r="AA133" s="8">
        <f>IFERROR(Z133/Z445, "NA")</f>
        <v>2.3739339714209752E-2</v>
      </c>
      <c r="AB133" s="9"/>
      <c r="AC133" s="10">
        <f t="shared" si="31"/>
        <v>-438.71999999999935</v>
      </c>
      <c r="AD133" s="8">
        <f>IFERROR(AC133/AC445, "NA")</f>
        <v>-6.9767752515309317E-3</v>
      </c>
    </row>
    <row r="134" spans="1:30" ht="16.5" customHeight="1" x14ac:dyDescent="0.45">
      <c r="A134" s="12" t="s">
        <v>126</v>
      </c>
      <c r="B134" s="7">
        <v>999.28</v>
      </c>
      <c r="C134" s="8">
        <f>IFERROR(B134/B445, "NA")</f>
        <v>9.1495877200974025E-3</v>
      </c>
      <c r="D134" s="9"/>
      <c r="E134" s="7">
        <v>0</v>
      </c>
      <c r="F134" s="8">
        <f>IFERROR(E134/E445, "NA")</f>
        <v>0</v>
      </c>
      <c r="G134" s="9"/>
      <c r="H134" s="10">
        <f t="shared" si="28"/>
        <v>-999.28</v>
      </c>
      <c r="I134" s="8">
        <f>IFERROR(H134/H445, "NA")</f>
        <v>-6.8962661557912391E-2</v>
      </c>
      <c r="J134" s="9"/>
      <c r="K134" s="7">
        <v>1099.3499999999999</v>
      </c>
      <c r="L134" s="8">
        <f>IFERROR(K134/K445, "NA")</f>
        <v>1.269364344457923E-2</v>
      </c>
      <c r="M134" s="9"/>
      <c r="N134" s="10">
        <f t="shared" si="29"/>
        <v>100.06999999999994</v>
      </c>
      <c r="O134" s="8">
        <f>IFERROR(N134/N445, "NA")</f>
        <v>4.4260136553158341E-3</v>
      </c>
      <c r="P134" s="9"/>
      <c r="Q134" s="7">
        <v>5122.25</v>
      </c>
      <c r="R134" s="8">
        <f>IFERROR(Q134/Q445, "NA")</f>
        <v>1.0051592845585379E-2</v>
      </c>
      <c r="S134" s="9"/>
      <c r="T134" s="7">
        <v>0</v>
      </c>
      <c r="U134" s="8">
        <f>IFERROR(T134/T445, "NA")</f>
        <v>0</v>
      </c>
      <c r="V134" s="9"/>
      <c r="W134" s="10">
        <f t="shared" si="30"/>
        <v>-5122.25</v>
      </c>
      <c r="X134" s="8">
        <f>IFERROR(W134/W445, "NA")</f>
        <v>-0.16742930118185223</v>
      </c>
      <c r="Y134" s="9"/>
      <c r="Z134" s="7">
        <v>3970.27</v>
      </c>
      <c r="AA134" s="8">
        <f>IFERROR(Z134/Z445, "NA")</f>
        <v>8.8877436343738694E-3</v>
      </c>
      <c r="AB134" s="9"/>
      <c r="AC134" s="10">
        <f t="shared" si="31"/>
        <v>-1151.98</v>
      </c>
      <c r="AD134" s="8">
        <f>IFERROR(AC134/AC445, "NA")</f>
        <v>-1.8319441908868105E-2</v>
      </c>
    </row>
    <row r="135" spans="1:30" ht="16.5" customHeight="1" x14ac:dyDescent="0.45">
      <c r="A135" s="12" t="s">
        <v>127</v>
      </c>
      <c r="B135" s="7">
        <v>686.23</v>
      </c>
      <c r="C135" s="8">
        <f>IFERROR(B135/B445, "NA")</f>
        <v>6.2832455179353541E-3</v>
      </c>
      <c r="D135" s="9"/>
      <c r="E135" s="7">
        <v>0</v>
      </c>
      <c r="F135" s="8">
        <f>IFERROR(E135/E445, "NA")</f>
        <v>0</v>
      </c>
      <c r="G135" s="9"/>
      <c r="H135" s="10">
        <f t="shared" si="28"/>
        <v>-686.23</v>
      </c>
      <c r="I135" s="8">
        <f>IFERROR(H135/H445, "NA")</f>
        <v>-4.7358345249465833E-2</v>
      </c>
      <c r="J135" s="9"/>
      <c r="K135" s="7">
        <v>714.19</v>
      </c>
      <c r="L135" s="8">
        <f>IFERROR(K135/K445, "NA")</f>
        <v>8.2463939706954488E-3</v>
      </c>
      <c r="M135" s="9"/>
      <c r="N135" s="10">
        <f t="shared" si="29"/>
        <v>27.960000000000036</v>
      </c>
      <c r="O135" s="8">
        <f>IFERROR(N135/N445, "NA")</f>
        <v>1.2366477645910957E-3</v>
      </c>
      <c r="P135" s="9"/>
      <c r="Q135" s="7">
        <v>3530.07</v>
      </c>
      <c r="R135" s="8">
        <f>IFERROR(Q135/Q445, "NA")</f>
        <v>6.9271953450955309E-3</v>
      </c>
      <c r="S135" s="9"/>
      <c r="T135" s="7">
        <v>0</v>
      </c>
      <c r="U135" s="8">
        <f>IFERROR(T135/T445, "NA")</f>
        <v>0</v>
      </c>
      <c r="V135" s="9"/>
      <c r="W135" s="10">
        <f t="shared" si="30"/>
        <v>-3530.07</v>
      </c>
      <c r="X135" s="8">
        <f>IFERROR(W135/W445, "NA")</f>
        <v>-0.11538623714637536</v>
      </c>
      <c r="Y135" s="9"/>
      <c r="Z135" s="7">
        <v>3820.53</v>
      </c>
      <c r="AA135" s="8">
        <f>IFERROR(Z135/Z445, "NA")</f>
        <v>8.5525395470419895E-3</v>
      </c>
      <c r="AB135" s="9"/>
      <c r="AC135" s="10">
        <f t="shared" si="31"/>
        <v>290.46000000000004</v>
      </c>
      <c r="AD135" s="8">
        <f>IFERROR(AC135/AC445, "NA")</f>
        <v>4.6190603108125401E-3</v>
      </c>
    </row>
    <row r="136" spans="1:30" ht="16.5" customHeight="1" x14ac:dyDescent="0.45">
      <c r="A136" s="12" t="s">
        <v>128</v>
      </c>
      <c r="B136" s="7">
        <v>0</v>
      </c>
      <c r="C136" s="8">
        <f>IFERROR(B136/B445, "NA")</f>
        <v>0</v>
      </c>
      <c r="D136" s="9"/>
      <c r="E136" s="7">
        <v>0</v>
      </c>
      <c r="F136" s="8">
        <f>IFERROR(E136/E445, "NA")</f>
        <v>0</v>
      </c>
      <c r="G136" s="9"/>
      <c r="H136" s="10">
        <f t="shared" si="28"/>
        <v>0</v>
      </c>
      <c r="I136" s="8">
        <f>IFERROR(H136/H445, "NA")</f>
        <v>0</v>
      </c>
      <c r="J136" s="9"/>
      <c r="K136" s="7">
        <v>576.29</v>
      </c>
      <c r="L136" s="8">
        <f>IFERROR(K136/K445, "NA")</f>
        <v>6.6541317875804468E-3</v>
      </c>
      <c r="M136" s="9"/>
      <c r="N136" s="10">
        <f t="shared" si="29"/>
        <v>576.29</v>
      </c>
      <c r="O136" s="8">
        <f>IFERROR(N136/N445, "NA")</f>
        <v>2.5488831911881317E-2</v>
      </c>
      <c r="P136" s="9"/>
      <c r="Q136" s="7">
        <v>0</v>
      </c>
      <c r="R136" s="8">
        <f>IFERROR(Q136/Q445, "NA")</f>
        <v>0</v>
      </c>
      <c r="S136" s="9"/>
      <c r="T136" s="7">
        <v>0</v>
      </c>
      <c r="U136" s="8">
        <f>IFERROR(T136/T445, "NA")</f>
        <v>0</v>
      </c>
      <c r="V136" s="9"/>
      <c r="W136" s="10">
        <f t="shared" si="30"/>
        <v>0</v>
      </c>
      <c r="X136" s="8">
        <f>IFERROR(W136/W445, "NA")</f>
        <v>0</v>
      </c>
      <c r="Y136" s="9"/>
      <c r="Z136" s="7">
        <v>3954.02</v>
      </c>
      <c r="AA136" s="8">
        <f>IFERROR(Z136/Z445, "NA")</f>
        <v>8.8513668050754658E-3</v>
      </c>
      <c r="AB136" s="9"/>
      <c r="AC136" s="10">
        <f t="shared" si="31"/>
        <v>3954.02</v>
      </c>
      <c r="AD136" s="8">
        <f>IFERROR(AC136/AC445, "NA")</f>
        <v>6.287907749830958E-2</v>
      </c>
    </row>
    <row r="137" spans="1:30" ht="16.5" customHeight="1" x14ac:dyDescent="0.45">
      <c r="A137" s="12" t="s">
        <v>129</v>
      </c>
      <c r="B137" s="7">
        <v>460.79</v>
      </c>
      <c r="C137" s="8">
        <f>IFERROR(B137/B445, "NA")</f>
        <v>4.219076260451207E-3</v>
      </c>
      <c r="D137" s="9"/>
      <c r="E137" s="7">
        <v>0</v>
      </c>
      <c r="F137" s="8">
        <f>IFERROR(E137/E445, "NA")</f>
        <v>0</v>
      </c>
      <c r="G137" s="9"/>
      <c r="H137" s="10">
        <f t="shared" si="28"/>
        <v>-460.79</v>
      </c>
      <c r="I137" s="8">
        <f>IFERROR(H137/H445, "NA")</f>
        <v>-3.1800200963964506E-2</v>
      </c>
      <c r="J137" s="9"/>
      <c r="K137" s="7">
        <v>678.43</v>
      </c>
      <c r="L137" s="8">
        <f>IFERROR(K137/K445, "NA")</f>
        <v>7.8334911739717898E-3</v>
      </c>
      <c r="M137" s="9"/>
      <c r="N137" s="10">
        <f t="shared" si="29"/>
        <v>217.63999999999993</v>
      </c>
      <c r="O137" s="8">
        <f>IFERROR(N137/N445, "NA")</f>
        <v>9.6260378929043499E-3</v>
      </c>
      <c r="P137" s="9"/>
      <c r="Q137" s="7">
        <v>2526.4</v>
      </c>
      <c r="R137" s="8">
        <f>IFERROR(Q137/Q445, "NA")</f>
        <v>4.9576541881178986E-3</v>
      </c>
      <c r="S137" s="9"/>
      <c r="T137" s="7">
        <v>0</v>
      </c>
      <c r="U137" s="8">
        <f>IFERROR(T137/T445, "NA")</f>
        <v>0</v>
      </c>
      <c r="V137" s="9"/>
      <c r="W137" s="10">
        <f t="shared" si="30"/>
        <v>-2526.4</v>
      </c>
      <c r="X137" s="8">
        <f>IFERROR(W137/W445, "NA")</f>
        <v>-8.2579605936030365E-2</v>
      </c>
      <c r="Y137" s="9"/>
      <c r="Z137" s="7">
        <v>2532.67</v>
      </c>
      <c r="AA137" s="8">
        <f>IFERROR(Z137/Z445, "NA")</f>
        <v>5.6695694928731973E-3</v>
      </c>
      <c r="AB137" s="9"/>
      <c r="AC137" s="10">
        <f t="shared" si="31"/>
        <v>6.2699999999999818</v>
      </c>
      <c r="AD137" s="8">
        <f>IFERROR(AC137/AC445, "NA")</f>
        <v>9.9709110200353024E-5</v>
      </c>
    </row>
    <row r="138" spans="1:30" ht="16.5" customHeight="1" x14ac:dyDescent="0.45">
      <c r="A138" s="12" t="s">
        <v>130</v>
      </c>
      <c r="B138" s="7">
        <v>6168.04</v>
      </c>
      <c r="C138" s="8">
        <f>IFERROR(B138/B445, "NA")</f>
        <v>5.6475685534654534E-2</v>
      </c>
      <c r="D138" s="9"/>
      <c r="E138" s="7">
        <v>0</v>
      </c>
      <c r="F138" s="8">
        <f>IFERROR(E138/E445, "NA")</f>
        <v>0</v>
      </c>
      <c r="G138" s="9"/>
      <c r="H138" s="10">
        <f t="shared" si="28"/>
        <v>-6168.04</v>
      </c>
      <c r="I138" s="8">
        <f>IFERROR(H138/H445, "NA")</f>
        <v>-0.42567093807107709</v>
      </c>
      <c r="J138" s="9"/>
      <c r="K138" s="7">
        <v>4800.21</v>
      </c>
      <c r="L138" s="8">
        <f>IFERROR(K138/K445, "NA")</f>
        <v>5.5425618955840882E-2</v>
      </c>
      <c r="M138" s="9"/>
      <c r="N138" s="10">
        <f t="shared" si="29"/>
        <v>-1367.83</v>
      </c>
      <c r="O138" s="8">
        <f>IFERROR(N138/N445, "NA")</f>
        <v>-6.0497993985716599E-2</v>
      </c>
      <c r="P138" s="9"/>
      <c r="Q138" s="7">
        <v>32563.06</v>
      </c>
      <c r="R138" s="8">
        <f>IFERROR(Q138/Q445, "NA")</f>
        <v>6.3899774694005068E-2</v>
      </c>
      <c r="S138" s="9"/>
      <c r="T138" s="7">
        <v>0</v>
      </c>
      <c r="U138" s="8">
        <f>IFERROR(T138/T445, "NA")</f>
        <v>0</v>
      </c>
      <c r="V138" s="9"/>
      <c r="W138" s="10">
        <f t="shared" si="30"/>
        <v>-32563.06</v>
      </c>
      <c r="X138" s="8">
        <f>IFERROR(W138/W445, "NA")</f>
        <v>-1.0643780331187906</v>
      </c>
      <c r="Y138" s="9"/>
      <c r="Z138" s="7">
        <v>24962.76</v>
      </c>
      <c r="AA138" s="8">
        <f>IFERROR(Z138/Z445, "NA")</f>
        <v>5.5880988266894353E-2</v>
      </c>
      <c r="AB138" s="9"/>
      <c r="AC138" s="10">
        <f t="shared" si="31"/>
        <v>-7600.3000000000029</v>
      </c>
      <c r="AD138" s="8">
        <f>IFERROR(AC138/AC445, "NA")</f>
        <v>-0.12086429828640281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IFERROR(B139/B445, "NA")</f>
        <v>0</v>
      </c>
      <c r="D139" s="9"/>
      <c r="E139" s="7">
        <v>0</v>
      </c>
      <c r="F139" s="8">
        <f>IFERROR(E139/E445, "NA")</f>
        <v>0</v>
      </c>
      <c r="G139" s="9"/>
      <c r="H139" s="10">
        <f t="shared" si="28"/>
        <v>0</v>
      </c>
      <c r="I139" s="8">
        <f>IFERROR(H139/H445, "NA")</f>
        <v>0</v>
      </c>
      <c r="J139" s="9"/>
      <c r="K139" s="7">
        <v>0</v>
      </c>
      <c r="L139" s="8">
        <f>IFERROR(K139/K445, "NA")</f>
        <v>0</v>
      </c>
      <c r="M139" s="9"/>
      <c r="N139" s="10">
        <f t="shared" si="29"/>
        <v>0</v>
      </c>
      <c r="O139" s="8">
        <f>IFERROR(N139/N445, "NA")</f>
        <v>0</v>
      </c>
      <c r="P139" s="9"/>
      <c r="Q139" s="7">
        <v>0</v>
      </c>
      <c r="R139" s="8">
        <f>IFERROR(Q139/Q445, "NA")</f>
        <v>0</v>
      </c>
      <c r="S139" s="9"/>
      <c r="T139" s="7">
        <v>0</v>
      </c>
      <c r="U139" s="8">
        <f>IFERROR(T139/T445, "NA")</f>
        <v>0</v>
      </c>
      <c r="V139" s="9"/>
      <c r="W139" s="10">
        <f t="shared" si="30"/>
        <v>0</v>
      </c>
      <c r="X139" s="8">
        <f>IFERROR(W139/W445, "NA")</f>
        <v>0</v>
      </c>
      <c r="Y139" s="9"/>
      <c r="Z139" s="7">
        <v>0</v>
      </c>
      <c r="AA139" s="8">
        <f>IFERROR(Z139/Z445, "NA")</f>
        <v>0</v>
      </c>
      <c r="AB139" s="9"/>
      <c r="AC139" s="10">
        <f t="shared" si="31"/>
        <v>0</v>
      </c>
      <c r="AD139" s="8">
        <f>IFERROR(AC139/AC445,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IFERROR(B140/B445, "NA")</f>
        <v>0</v>
      </c>
      <c r="D140" s="9"/>
      <c r="E140" s="7">
        <v>0</v>
      </c>
      <c r="F140" s="8">
        <f>IFERROR(E140/E445, "NA")</f>
        <v>0</v>
      </c>
      <c r="G140" s="9"/>
      <c r="H140" s="10">
        <f t="shared" si="28"/>
        <v>0</v>
      </c>
      <c r="I140" s="8">
        <f>IFERROR(H140/H445, "NA")</f>
        <v>0</v>
      </c>
      <c r="J140" s="9"/>
      <c r="K140" s="7">
        <v>0</v>
      </c>
      <c r="L140" s="8">
        <f>IFERROR(K140/K445, "NA")</f>
        <v>0</v>
      </c>
      <c r="M140" s="9"/>
      <c r="N140" s="10">
        <f t="shared" si="29"/>
        <v>0</v>
      </c>
      <c r="O140" s="8">
        <f>IFERROR(N140/N445, "NA")</f>
        <v>0</v>
      </c>
      <c r="P140" s="9"/>
      <c r="Q140" s="7">
        <v>0</v>
      </c>
      <c r="R140" s="8">
        <f>IFERROR(Q140/Q445, "NA")</f>
        <v>0</v>
      </c>
      <c r="S140" s="9"/>
      <c r="T140" s="7">
        <v>0</v>
      </c>
      <c r="U140" s="8">
        <f>IFERROR(T140/T445, "NA")</f>
        <v>0</v>
      </c>
      <c r="V140" s="9"/>
      <c r="W140" s="10">
        <f t="shared" si="30"/>
        <v>0</v>
      </c>
      <c r="X140" s="8">
        <f>IFERROR(W140/W445, "NA")</f>
        <v>0</v>
      </c>
      <c r="Y140" s="9"/>
      <c r="Z140" s="7">
        <v>71.56</v>
      </c>
      <c r="AA140" s="8">
        <f>IFERROR(Z140/Z445, "NA")</f>
        <v>1.601923633596189E-4</v>
      </c>
      <c r="AB140" s="9"/>
      <c r="AC140" s="10">
        <f t="shared" si="31"/>
        <v>71.56</v>
      </c>
      <c r="AD140" s="8">
        <f>IFERROR(AC140/AC445, "NA")</f>
        <v>1.1379878669756432E-3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23632.680000000004</v>
      </c>
      <c r="C141" s="15">
        <f>IFERROR(B141/B445, "NA")</f>
        <v>0.21638507597569404</v>
      </c>
      <c r="D141" s="2"/>
      <c r="E141" s="14">
        <f>IFERROR(E129+E130+E131+E132+E133+E134+E135+E136+E137+E138+E139+E140, "NA")</f>
        <v>19987.12</v>
      </c>
      <c r="F141" s="15">
        <f>IFERROR(E141/E445, "NA")</f>
        <v>0.21099999377148901</v>
      </c>
      <c r="G141" s="2"/>
      <c r="H141" s="14">
        <f t="shared" si="28"/>
        <v>-3645.5600000000049</v>
      </c>
      <c r="I141" s="15">
        <f>IFERROR(H141/H445, "NA")</f>
        <v>-0.25158866430736471</v>
      </c>
      <c r="J141" s="2"/>
      <c r="K141" s="14">
        <f>IFERROR(K129+K130+K131+K132+K133+K134+K135+K136+K137+K138+K139+K140, "NA")</f>
        <v>21733.03</v>
      </c>
      <c r="L141" s="15">
        <f>IFERROR(K141/K445, "NA")</f>
        <v>0.25094040459393618</v>
      </c>
      <c r="M141" s="2"/>
      <c r="N141" s="14">
        <f t="shared" si="29"/>
        <v>-1899.6500000000051</v>
      </c>
      <c r="O141" s="15">
        <f>IFERROR(N141/N445, "NA")</f>
        <v>-8.4019954435102948E-2</v>
      </c>
      <c r="P141" s="2"/>
      <c r="Q141" s="14">
        <f>IFERROR(Q129+Q130+Q131+Q132+Q133+Q134+Q135+Q136+Q137+Q138+Q139+Q140, "NA")</f>
        <v>110238.81</v>
      </c>
      <c r="R141" s="15">
        <f>IFERROR(Q141/Q445, "NA")</f>
        <v>0.21632595712857552</v>
      </c>
      <c r="S141" s="2"/>
      <c r="T141" s="14">
        <f>IFERROR(T129+T130+T131+T132+T133+T134+T135+T136+T137+T138+T139+T140, "NA")</f>
        <v>101478.66</v>
      </c>
      <c r="U141" s="15">
        <f>IFERROR(T141/T445, "NA")</f>
        <v>0.21185420513812103</v>
      </c>
      <c r="V141" s="2"/>
      <c r="W141" s="14">
        <f t="shared" si="30"/>
        <v>-8760.1499999999942</v>
      </c>
      <c r="X141" s="15">
        <f>IFERROR(W141/W445, "NA")</f>
        <v>-0.28634014207588498</v>
      </c>
      <c r="Y141" s="2"/>
      <c r="Z141" s="14">
        <f>IFERROR(Z129+Z130+Z131+Z132+Z133+Z134+Z135+Z136+Z137+Z138+Z139+Z140, "NA")</f>
        <v>104845.2</v>
      </c>
      <c r="AA141" s="15">
        <f>IFERROR(Z141/Z445, "NA")</f>
        <v>0.23470375034812627</v>
      </c>
      <c r="AB141" s="2"/>
      <c r="AC141" s="14">
        <f t="shared" si="31"/>
        <v>-5393.6100000000006</v>
      </c>
      <c r="AD141" s="15">
        <f>IFERROR(AC141/AC445, "NA")</f>
        <v>-8.5772257395171886E-2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IFERROR(B143/B445, "NA")</f>
        <v>0</v>
      </c>
      <c r="D143" s="9"/>
      <c r="E143" s="7">
        <v>1136.71</v>
      </c>
      <c r="F143" s="8">
        <f>IFERROR(E143/E445, "NA")</f>
        <v>1.200001815769302E-2</v>
      </c>
      <c r="G143" s="9"/>
      <c r="H143" s="10">
        <f t="shared" ref="H143:H149" si="32">IFERROR(-(B143-E143), "NA")</f>
        <v>1136.71</v>
      </c>
      <c r="I143" s="8">
        <f>IFERROR(H143/H445, "NA")</f>
        <v>7.84470288802884E-2</v>
      </c>
      <c r="J143" s="9"/>
      <c r="K143" s="7">
        <v>0</v>
      </c>
      <c r="L143" s="8">
        <f>IFERROR(K143/K445, "NA")</f>
        <v>0</v>
      </c>
      <c r="M143" s="9"/>
      <c r="N143" s="10">
        <f t="shared" ref="N143:N149" si="33">IFERROR(-(B143-K143), "NA")</f>
        <v>0</v>
      </c>
      <c r="O143" s="8">
        <f>IFERROR(N143/N445, "NA")</f>
        <v>0</v>
      </c>
      <c r="P143" s="9"/>
      <c r="Q143" s="7">
        <v>0</v>
      </c>
      <c r="R143" s="8">
        <f>IFERROR(Q143/Q445, "NA")</f>
        <v>0</v>
      </c>
      <c r="S143" s="9"/>
      <c r="T143" s="7">
        <v>5748.03</v>
      </c>
      <c r="U143" s="8">
        <f>IFERROR(T143/T445, "NA")</f>
        <v>1.2000004008331148E-2</v>
      </c>
      <c r="V143" s="9"/>
      <c r="W143" s="10">
        <f t="shared" ref="W143:W149" si="34">IFERROR(-(Q143-T143), "NA")</f>
        <v>5748.03</v>
      </c>
      <c r="X143" s="8">
        <f>IFERROR(W143/W445, "NA")</f>
        <v>0.18788396623989889</v>
      </c>
      <c r="Y143" s="9"/>
      <c r="Z143" s="7">
        <v>0</v>
      </c>
      <c r="AA143" s="8">
        <f>IFERROR(Z143/Z445, "NA")</f>
        <v>0</v>
      </c>
      <c r="AB143" s="9"/>
      <c r="AC143" s="10">
        <f t="shared" ref="AC143:AC149" si="35">IFERROR(-(Q143-Z143), "NA")</f>
        <v>0</v>
      </c>
      <c r="AD143" s="8">
        <f>IFERROR(AC143/AC445, "NA")</f>
        <v>0</v>
      </c>
    </row>
    <row r="144" spans="1:30" ht="16.5" customHeight="1" x14ac:dyDescent="0.45">
      <c r="A144" s="12" t="s">
        <v>135</v>
      </c>
      <c r="B144" s="7">
        <v>1290.02</v>
      </c>
      <c r="C144" s="8">
        <f>IFERROR(B144/B445, "NA")</f>
        <v>1.1811655542670775E-2</v>
      </c>
      <c r="D144" s="9"/>
      <c r="E144" s="7">
        <v>0</v>
      </c>
      <c r="F144" s="8">
        <f>IFERROR(E144/E445, "NA")</f>
        <v>0</v>
      </c>
      <c r="G144" s="9"/>
      <c r="H144" s="10">
        <f t="shared" si="32"/>
        <v>-1290.02</v>
      </c>
      <c r="I144" s="8">
        <f>IFERROR(H144/H445, "NA")</f>
        <v>-8.9027312327814162E-2</v>
      </c>
      <c r="J144" s="9"/>
      <c r="K144" s="7">
        <v>1766.21</v>
      </c>
      <c r="L144" s="8">
        <f>IFERROR(K144/K445, "NA")</f>
        <v>2.0393541627552903E-2</v>
      </c>
      <c r="M144" s="9"/>
      <c r="N144" s="10">
        <f t="shared" si="33"/>
        <v>476.19000000000005</v>
      </c>
      <c r="O144" s="8">
        <f>IFERROR(N144/N445, "NA")</f>
        <v>2.1061491381281588E-2</v>
      </c>
      <c r="P144" s="9"/>
      <c r="Q144" s="7">
        <v>6209.2</v>
      </c>
      <c r="R144" s="8">
        <f>IFERROR(Q144/Q445, "NA")</f>
        <v>1.2184557625420223E-2</v>
      </c>
      <c r="S144" s="9"/>
      <c r="T144" s="7">
        <v>0</v>
      </c>
      <c r="U144" s="8">
        <f>IFERROR(T144/T445, "NA")</f>
        <v>0</v>
      </c>
      <c r="V144" s="9"/>
      <c r="W144" s="10">
        <f t="shared" si="34"/>
        <v>-6209.2</v>
      </c>
      <c r="X144" s="8">
        <f>IFERROR(W144/W445, "NA")</f>
        <v>-0.20295807836367941</v>
      </c>
      <c r="Y144" s="9"/>
      <c r="Z144" s="7">
        <v>6828.93</v>
      </c>
      <c r="AA144" s="8">
        <f>IFERROR(Z144/Z445, "NA")</f>
        <v>1.5287065901584717E-2</v>
      </c>
      <c r="AB144" s="9"/>
      <c r="AC144" s="10">
        <f t="shared" si="35"/>
        <v>619.73000000000047</v>
      </c>
      <c r="AD144" s="8">
        <f>IFERROR(AC144/AC445, "NA")</f>
        <v>9.855299340425042E-3</v>
      </c>
    </row>
    <row r="145" spans="1:30" ht="16.5" customHeight="1" x14ac:dyDescent="0.45">
      <c r="A145" s="12" t="s">
        <v>136</v>
      </c>
      <c r="B145" s="7">
        <v>60.51</v>
      </c>
      <c r="C145" s="8">
        <f>IFERROR(B145/B445, "NA")</f>
        <v>5.5404046207578844E-4</v>
      </c>
      <c r="D145" s="9"/>
      <c r="E145" s="7">
        <v>0</v>
      </c>
      <c r="F145" s="8">
        <f>IFERROR(E145/E445, "NA")</f>
        <v>0</v>
      </c>
      <c r="G145" s="9"/>
      <c r="H145" s="10">
        <f t="shared" si="32"/>
        <v>-60.51</v>
      </c>
      <c r="I145" s="8">
        <f>IFERROR(H145/H445, "NA")</f>
        <v>-4.1759373257438141E-3</v>
      </c>
      <c r="J145" s="9"/>
      <c r="K145" s="7">
        <v>61.65</v>
      </c>
      <c r="L145" s="8">
        <f>IFERROR(K145/K445, "NA")</f>
        <v>7.1184165039187659E-4</v>
      </c>
      <c r="M145" s="9"/>
      <c r="N145" s="10">
        <f t="shared" si="33"/>
        <v>1.1400000000000006</v>
      </c>
      <c r="O145" s="8">
        <f>IFERROR(N145/N445, "NA")</f>
        <v>5.0421260788048929E-5</v>
      </c>
      <c r="P145" s="9"/>
      <c r="Q145" s="7">
        <v>209.37</v>
      </c>
      <c r="R145" s="8">
        <f>IFERROR(Q145/Q445, "NA")</f>
        <v>4.1085499420766481E-4</v>
      </c>
      <c r="S145" s="9"/>
      <c r="T145" s="7">
        <v>0</v>
      </c>
      <c r="U145" s="8">
        <f>IFERROR(T145/T445, "NA")</f>
        <v>0</v>
      </c>
      <c r="V145" s="9"/>
      <c r="W145" s="10">
        <f t="shared" si="34"/>
        <v>-209.37</v>
      </c>
      <c r="X145" s="8">
        <f>IFERROR(W145/W445, "NA")</f>
        <v>-6.8436083339244282E-3</v>
      </c>
      <c r="Y145" s="9"/>
      <c r="Z145" s="7">
        <v>251.15</v>
      </c>
      <c r="AA145" s="8">
        <f>IFERROR(Z145/Z445, "NA")</f>
        <v>5.6221788789502915E-4</v>
      </c>
      <c r="AB145" s="9"/>
      <c r="AC145" s="10">
        <f t="shared" si="35"/>
        <v>41.78</v>
      </c>
      <c r="AD145" s="8">
        <f>IFERROR(AC145/AC445, "NA")</f>
        <v>6.6440934994748996E-4</v>
      </c>
    </row>
    <row r="146" spans="1:30" ht="16.5" customHeight="1" x14ac:dyDescent="0.45">
      <c r="A146" s="12" t="s">
        <v>137</v>
      </c>
      <c r="B146" s="7">
        <v>29.9</v>
      </c>
      <c r="C146" s="8">
        <f>IFERROR(B146/B445, "NA")</f>
        <v>2.7376978707760821E-4</v>
      </c>
      <c r="D146" s="9"/>
      <c r="E146" s="7">
        <v>0</v>
      </c>
      <c r="F146" s="8">
        <f>IFERROR(E146/E445, "NA")</f>
        <v>0</v>
      </c>
      <c r="G146" s="9"/>
      <c r="H146" s="10">
        <f t="shared" si="32"/>
        <v>-29.9</v>
      </c>
      <c r="I146" s="8">
        <f>IFERROR(H146/H445, "NA")</f>
        <v>-2.0634692784620729E-3</v>
      </c>
      <c r="J146" s="9"/>
      <c r="K146" s="7">
        <v>159.85</v>
      </c>
      <c r="L146" s="8">
        <f>IFERROR(K146/K445, "NA")</f>
        <v>1.8457078315513621E-3</v>
      </c>
      <c r="M146" s="9"/>
      <c r="N146" s="10">
        <f t="shared" si="33"/>
        <v>129.94999999999999</v>
      </c>
      <c r="O146" s="8">
        <f>IFERROR(N146/N445, "NA")</f>
        <v>5.7475814380762756E-3</v>
      </c>
      <c r="P146" s="9"/>
      <c r="Q146" s="7">
        <v>404.1</v>
      </c>
      <c r="R146" s="8">
        <f>IFERROR(Q146/Q445, "NA")</f>
        <v>7.9298134001679966E-4</v>
      </c>
      <c r="S146" s="9"/>
      <c r="T146" s="7">
        <v>0</v>
      </c>
      <c r="U146" s="8">
        <f>IFERROR(T146/T445, "NA")</f>
        <v>0</v>
      </c>
      <c r="V146" s="9"/>
      <c r="W146" s="10">
        <f t="shared" si="34"/>
        <v>-404.1</v>
      </c>
      <c r="X146" s="8">
        <f>IFERROR(W146/W445, "NA")</f>
        <v>-1.3208683802545071E-2</v>
      </c>
      <c r="Y146" s="9"/>
      <c r="Z146" s="7">
        <v>-113.57</v>
      </c>
      <c r="AA146" s="8">
        <f>IFERROR(Z146/Z445, "NA")</f>
        <v>-2.5423486174890882E-4</v>
      </c>
      <c r="AB146" s="9"/>
      <c r="AC146" s="10">
        <f t="shared" si="35"/>
        <v>-517.67000000000007</v>
      </c>
      <c r="AD146" s="8">
        <f>IFERROR(AC146/AC445, "NA")</f>
        <v>-8.2322831064460776E-3</v>
      </c>
    </row>
    <row r="147" spans="1:30" ht="16.5" customHeight="1" x14ac:dyDescent="0.45">
      <c r="A147" s="12" t="s">
        <v>138</v>
      </c>
      <c r="B147" s="7">
        <v>0</v>
      </c>
      <c r="C147" s="8">
        <f>IFERROR(B147/B445, "NA")</f>
        <v>0</v>
      </c>
      <c r="D147" s="9"/>
      <c r="E147" s="7">
        <v>0</v>
      </c>
      <c r="F147" s="8">
        <f>IFERROR(E147/E445, "NA")</f>
        <v>0</v>
      </c>
      <c r="G147" s="9"/>
      <c r="H147" s="10">
        <f t="shared" si="32"/>
        <v>0</v>
      </c>
      <c r="I147" s="8">
        <f>IFERROR(H147/H445, "NA")</f>
        <v>0</v>
      </c>
      <c r="J147" s="9"/>
      <c r="K147" s="7">
        <v>0.09</v>
      </c>
      <c r="L147" s="8">
        <f>IFERROR(K147/K445, "NA")</f>
        <v>1.0391848910830315E-6</v>
      </c>
      <c r="M147" s="9"/>
      <c r="N147" s="10">
        <f t="shared" si="33"/>
        <v>0.09</v>
      </c>
      <c r="O147" s="8">
        <f>IFERROR(N147/N445, "NA")</f>
        <v>3.9806258516880715E-6</v>
      </c>
      <c r="P147" s="9"/>
      <c r="Q147" s="7">
        <v>62.99</v>
      </c>
      <c r="R147" s="8">
        <f>IFERROR(Q147/Q445, "NA")</f>
        <v>1.2360775700979512E-4</v>
      </c>
      <c r="S147" s="9"/>
      <c r="T147" s="7">
        <v>0</v>
      </c>
      <c r="U147" s="8">
        <f>IFERROR(T147/T445, "NA")</f>
        <v>0</v>
      </c>
      <c r="V147" s="9"/>
      <c r="W147" s="10">
        <f t="shared" si="34"/>
        <v>-62.99</v>
      </c>
      <c r="X147" s="8">
        <f>IFERROR(W147/W445, "NA")</f>
        <v>-2.0589334143091167E-3</v>
      </c>
      <c r="Y147" s="9"/>
      <c r="Z147" s="7">
        <v>40.68</v>
      </c>
      <c r="AA147" s="8">
        <f>IFERROR(Z147/Z445, "NA")</f>
        <v>9.1065194822097497E-5</v>
      </c>
      <c r="AB147" s="9"/>
      <c r="AC147" s="10">
        <f t="shared" si="35"/>
        <v>-22.310000000000002</v>
      </c>
      <c r="AD147" s="8">
        <f>IFERROR(AC147/AC445, "NA")</f>
        <v>-3.5478632353586645E-4</v>
      </c>
    </row>
    <row r="148" spans="1:30" ht="16.5" customHeight="1" x14ac:dyDescent="0.45">
      <c r="A148" s="13" t="s">
        <v>139</v>
      </c>
      <c r="B148" s="14">
        <f>IFERROR(B143+B144+B145+B146+B147, "NA")</f>
        <v>1380.43</v>
      </c>
      <c r="C148" s="15">
        <f>IFERROR(B148/B445, "NA")</f>
        <v>1.2639465791824171E-2</v>
      </c>
      <c r="D148" s="2"/>
      <c r="E148" s="14">
        <f>IFERROR(E143+E144+E145+E146+E147, "NA")</f>
        <v>1136.71</v>
      </c>
      <c r="F148" s="15">
        <f>IFERROR(E148/E445, "NA")</f>
        <v>1.200001815769302E-2</v>
      </c>
      <c r="G148" s="2"/>
      <c r="H148" s="14">
        <f t="shared" si="32"/>
        <v>-243.72000000000003</v>
      </c>
      <c r="I148" s="15">
        <f>IFERROR(H148/H445, "NA")</f>
        <v>-1.6819690051731655E-2</v>
      </c>
      <c r="J148" s="2"/>
      <c r="K148" s="14">
        <f>IFERROR(K143+K144+K145+K146+K147, "NA")</f>
        <v>1987.8</v>
      </c>
      <c r="L148" s="15">
        <f>IFERROR(K148/K445, "NA")</f>
        <v>2.2952130294387224E-2</v>
      </c>
      <c r="M148" s="2"/>
      <c r="N148" s="14">
        <f t="shared" si="33"/>
        <v>607.36999999999989</v>
      </c>
      <c r="O148" s="15">
        <f>IFERROR(N148/N445, "NA")</f>
        <v>2.6863474705997592E-2</v>
      </c>
      <c r="P148" s="2"/>
      <c r="Q148" s="14">
        <f>IFERROR(Q143+Q144+Q145+Q146+Q147, "NA")</f>
        <v>6885.66</v>
      </c>
      <c r="R148" s="15">
        <f>IFERROR(Q148/Q445, "NA")</f>
        <v>1.3512001716654483E-2</v>
      </c>
      <c r="S148" s="2"/>
      <c r="T148" s="14">
        <f>IFERROR(T143+T144+T145+T146+T147, "NA")</f>
        <v>5748.03</v>
      </c>
      <c r="U148" s="15">
        <f>IFERROR(T148/T445, "NA")</f>
        <v>1.2000004008331148E-2</v>
      </c>
      <c r="V148" s="2"/>
      <c r="W148" s="14">
        <f t="shared" si="34"/>
        <v>-1137.6300000000001</v>
      </c>
      <c r="X148" s="15">
        <f>IFERROR(W148/W445, "NA")</f>
        <v>-3.7185337674559144E-2</v>
      </c>
      <c r="Y148" s="2"/>
      <c r="Z148" s="14">
        <f>IFERROR(Z143+Z144+Z145+Z146+Z147, "NA")</f>
        <v>7007.1900000000005</v>
      </c>
      <c r="AA148" s="15">
        <f>IFERROR(Z148/Z445, "NA")</f>
        <v>1.5686114122552934E-2</v>
      </c>
      <c r="AB148" s="2"/>
      <c r="AC148" s="14">
        <f t="shared" si="35"/>
        <v>121.53000000000065</v>
      </c>
      <c r="AD148" s="15">
        <f>IFERROR(AC148/AC445, "NA")</f>
        <v>1.9326392603905907E-3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25013.110000000004</v>
      </c>
      <c r="C149" s="15">
        <f>IFERROR(B149/B445, "NA")</f>
        <v>0.22902454176751821</v>
      </c>
      <c r="D149" s="2"/>
      <c r="E149" s="14">
        <f>IFERROR(E127+E129+E130+E131+E132+E133+E134+E135+E136+E137+E138+E139+E140+E143+E144+E145+E146+E147, "NA")</f>
        <v>21123.829999999998</v>
      </c>
      <c r="F149" s="15">
        <f>IFERROR(E149/E445, "NA")</f>
        <v>0.22300001192918201</v>
      </c>
      <c r="G149" s="2"/>
      <c r="H149" s="14">
        <f t="shared" si="32"/>
        <v>-3889.2800000000061</v>
      </c>
      <c r="I149" s="15">
        <f>IFERROR(H149/H445, "NA")</f>
        <v>-0.26840835435909643</v>
      </c>
      <c r="J149" s="2"/>
      <c r="K149" s="14">
        <f>IFERROR(K127+K129+K130+K131+K132+K133+K134+K135+K136+K137+K138+K139+K140+K143+K144+K145+K146+K147, "NA")</f>
        <v>23720.829999999998</v>
      </c>
      <c r="L149" s="15">
        <f>IFERROR(K149/K445, "NA")</f>
        <v>0.27389253488832338</v>
      </c>
      <c r="M149" s="2"/>
      <c r="N149" s="14">
        <f t="shared" si="33"/>
        <v>-1292.2800000000061</v>
      </c>
      <c r="O149" s="15">
        <f>IFERROR(N149/N445, "NA")</f>
        <v>-5.715647972910539E-2</v>
      </c>
      <c r="P149" s="2"/>
      <c r="Q149" s="14">
        <f>IFERROR(Q127+Q129+Q130+Q131+Q132+Q133+Q134+Q135+Q136+Q137+Q138+Q139+Q140+Q143+Q144+Q145+Q146+Q147, "NA")</f>
        <v>117124.47</v>
      </c>
      <c r="R149" s="15">
        <f>IFERROR(Q149/Q445, "NA")</f>
        <v>0.22983795884523001</v>
      </c>
      <c r="S149" s="2"/>
      <c r="T149" s="14">
        <f>IFERROR(T127+T129+T130+T131+T132+T133+T134+T135+T136+T137+T138+T139+T140+T143+T144+T145+T146+T147, "NA")</f>
        <v>107226.69</v>
      </c>
      <c r="U149" s="15">
        <f>IFERROR(T149/T445, "NA")</f>
        <v>0.22385420914645218</v>
      </c>
      <c r="V149" s="2"/>
      <c r="W149" s="14">
        <f t="shared" si="34"/>
        <v>-9897.7799999999988</v>
      </c>
      <c r="X149" s="15">
        <f>IFERROR(W149/W445, "NA")</f>
        <v>-0.32352547975044427</v>
      </c>
      <c r="Y149" s="2"/>
      <c r="Z149" s="14">
        <f>IFERROR(Z127+Z129+Z130+Z131+Z132+Z133+Z134+Z135+Z136+Z137+Z138+Z139+Z140+Z143+Z144+Z145+Z146+Z147, "NA")</f>
        <v>111852.38999999998</v>
      </c>
      <c r="AA149" s="15">
        <f>IFERROR(Z149/Z445, "NA")</f>
        <v>0.25038986447067918</v>
      </c>
      <c r="AB149" s="2"/>
      <c r="AC149" s="14">
        <f t="shared" si="35"/>
        <v>-5272.0800000000163</v>
      </c>
      <c r="AD149" s="15">
        <f>IFERROR(AC149/AC445, "NA")</f>
        <v>-8.3839618134781552E-2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IFERROR(B151/B445, "NA")</f>
        <v>0</v>
      </c>
      <c r="D151" s="9"/>
      <c r="E151" s="7">
        <v>0</v>
      </c>
      <c r="F151" s="8">
        <f>IFERROR(E151/E445, "NA")</f>
        <v>0</v>
      </c>
      <c r="G151" s="9"/>
      <c r="H151" s="10">
        <f>IFERROR(-(B151-E151), "NA")</f>
        <v>0</v>
      </c>
      <c r="I151" s="8">
        <f>IFERROR(H151/H445, "NA")</f>
        <v>0</v>
      </c>
      <c r="J151" s="9"/>
      <c r="K151" s="7">
        <v>0</v>
      </c>
      <c r="L151" s="8">
        <f>IFERROR(K151/K445, "NA")</f>
        <v>0</v>
      </c>
      <c r="M151" s="9"/>
      <c r="N151" s="10">
        <f>IFERROR(-(B151-K151), "NA")</f>
        <v>0</v>
      </c>
      <c r="O151" s="8">
        <f>IFERROR(N151/N445, "NA")</f>
        <v>0</v>
      </c>
      <c r="P151" s="9"/>
      <c r="Q151" s="7">
        <v>0</v>
      </c>
      <c r="R151" s="8">
        <f>IFERROR(Q151/Q445, "NA")</f>
        <v>0</v>
      </c>
      <c r="S151" s="9"/>
      <c r="T151" s="7">
        <v>0</v>
      </c>
      <c r="U151" s="8">
        <f>IFERROR(T151/T445, "NA")</f>
        <v>0</v>
      </c>
      <c r="V151" s="9"/>
      <c r="W151" s="10">
        <f>IFERROR(-(Q151-T151), "NA")</f>
        <v>0</v>
      </c>
      <c r="X151" s="8">
        <f>IFERROR(W151/W445, "NA")</f>
        <v>0</v>
      </c>
      <c r="Y151" s="9"/>
      <c r="Z151" s="7">
        <v>0</v>
      </c>
      <c r="AA151" s="8">
        <f>IFERROR(Z151/Z445, "NA")</f>
        <v>0</v>
      </c>
      <c r="AB151" s="9"/>
      <c r="AC151" s="10">
        <f>IFERROR(-(Q151-Z151), "NA")</f>
        <v>0</v>
      </c>
      <c r="AD151" s="8">
        <f>IFERROR(AC151/AC445,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IFERROR(B153/B445, "NA")</f>
        <v>0</v>
      </c>
      <c r="D153" s="9"/>
      <c r="E153" s="7">
        <v>3883.75</v>
      </c>
      <c r="F153" s="8">
        <f>IFERROR(E153/E445, "NA")</f>
        <v>4.0999965268133702E-2</v>
      </c>
      <c r="G153" s="9"/>
      <c r="H153" s="10">
        <f t="shared" ref="H153:H158" si="36">IFERROR(-(B153-E153), "NA")</f>
        <v>3883.75</v>
      </c>
      <c r="I153" s="8">
        <f>IFERROR(H153/H445, "NA")</f>
        <v>0.26802671606110623</v>
      </c>
      <c r="J153" s="9"/>
      <c r="K153" s="7">
        <v>0</v>
      </c>
      <c r="L153" s="8">
        <f>IFERROR(K153/K445, "NA")</f>
        <v>0</v>
      </c>
      <c r="M153" s="9"/>
      <c r="N153" s="10">
        <f t="shared" ref="N153:N158" si="37">IFERROR(-(B153-K153), "NA")</f>
        <v>0</v>
      </c>
      <c r="O153" s="8">
        <f>IFERROR(N153/N445, "NA")</f>
        <v>0</v>
      </c>
      <c r="P153" s="9"/>
      <c r="Q153" s="7">
        <v>0</v>
      </c>
      <c r="R153" s="8">
        <f>IFERROR(Q153/Q445, "NA")</f>
        <v>0</v>
      </c>
      <c r="S153" s="9"/>
      <c r="T153" s="7">
        <v>19639.099999999999</v>
      </c>
      <c r="U153" s="8">
        <f>IFERROR(T153/T445, "NA")</f>
        <v>4.1000008475950235E-2</v>
      </c>
      <c r="V153" s="9"/>
      <c r="W153" s="10">
        <f t="shared" ref="W153:W158" si="38">IFERROR(-(Q153-T153), "NA")</f>
        <v>19639.099999999999</v>
      </c>
      <c r="X153" s="8">
        <f>IFERROR(W153/W445, "NA")</f>
        <v>0.64193680293631006</v>
      </c>
      <c r="Y153" s="9"/>
      <c r="Z153" s="7">
        <v>0</v>
      </c>
      <c r="AA153" s="8">
        <f>IFERROR(Z153/Z445, "NA")</f>
        <v>0</v>
      </c>
      <c r="AB153" s="9"/>
      <c r="AC153" s="10">
        <f t="shared" ref="AC153:AC158" si="39">IFERROR(-(Q153-Z153), "NA")</f>
        <v>0</v>
      </c>
      <c r="AD153" s="8">
        <f>IFERROR(AC153/AC445, "NA")</f>
        <v>0</v>
      </c>
    </row>
    <row r="154" spans="1:30" ht="16.5" customHeight="1" x14ac:dyDescent="0.45">
      <c r="A154" s="12" t="s">
        <v>143</v>
      </c>
      <c r="B154" s="7">
        <v>3228.37</v>
      </c>
      <c r="C154" s="8">
        <f>IFERROR(B154/B445, "NA")</f>
        <v>2.9559537374840739E-2</v>
      </c>
      <c r="D154" s="9"/>
      <c r="E154" s="7">
        <v>0</v>
      </c>
      <c r="F154" s="8">
        <f>IFERROR(E154/E445, "NA")</f>
        <v>0</v>
      </c>
      <c r="G154" s="9"/>
      <c r="H154" s="10">
        <f t="shared" si="36"/>
        <v>-3228.37</v>
      </c>
      <c r="I154" s="8">
        <f>IFERROR(H154/H445, "NA")</f>
        <v>-0.22279740182303018</v>
      </c>
      <c r="J154" s="9"/>
      <c r="K154" s="7">
        <v>2856.14</v>
      </c>
      <c r="L154" s="8">
        <f>IFERROR(K154/K445, "NA")</f>
        <v>3.2978417053532105E-2</v>
      </c>
      <c r="M154" s="9"/>
      <c r="N154" s="10">
        <f t="shared" si="37"/>
        <v>-372.23</v>
      </c>
      <c r="O154" s="8">
        <f>IFERROR(N154/N445, "NA")</f>
        <v>-1.6463426230820564E-2</v>
      </c>
      <c r="P154" s="9"/>
      <c r="Q154" s="7">
        <v>14763.71</v>
      </c>
      <c r="R154" s="8">
        <f>IFERROR(Q154/Q445, "NA")</f>
        <v>2.8971409402176254E-2</v>
      </c>
      <c r="S154" s="9"/>
      <c r="T154" s="7">
        <v>0</v>
      </c>
      <c r="U154" s="8">
        <f>IFERROR(T154/T445, "NA")</f>
        <v>0</v>
      </c>
      <c r="V154" s="9"/>
      <c r="W154" s="10">
        <f t="shared" si="38"/>
        <v>-14763.71</v>
      </c>
      <c r="X154" s="8">
        <f>IFERROR(W154/W445, "NA")</f>
        <v>-0.48257653338894502</v>
      </c>
      <c r="Y154" s="9"/>
      <c r="Z154" s="7">
        <v>15380.1</v>
      </c>
      <c r="AA154" s="8">
        <f>IFERROR(Z154/Z445, "NA")</f>
        <v>3.4429493679531506E-2</v>
      </c>
      <c r="AB154" s="9"/>
      <c r="AC154" s="10">
        <f t="shared" si="39"/>
        <v>616.39000000000124</v>
      </c>
      <c r="AD154" s="8">
        <f>IFERROR(AC154/AC445, "NA")</f>
        <v>9.8021847585958374E-3</v>
      </c>
    </row>
    <row r="155" spans="1:30" ht="16.5" customHeight="1" x14ac:dyDescent="0.45">
      <c r="A155" s="12" t="s">
        <v>144</v>
      </c>
      <c r="B155" s="7">
        <v>1090.76</v>
      </c>
      <c r="C155" s="8">
        <f>IFERROR(B155/B445, "NA")</f>
        <v>9.9871950820325066E-3</v>
      </c>
      <c r="D155" s="9"/>
      <c r="E155" s="7">
        <v>0</v>
      </c>
      <c r="F155" s="8">
        <f>IFERROR(E155/E445, "NA")</f>
        <v>0</v>
      </c>
      <c r="G155" s="9"/>
      <c r="H155" s="10">
        <f t="shared" si="36"/>
        <v>-1090.76</v>
      </c>
      <c r="I155" s="8">
        <f>IFERROR(H155/H445, "NA")</f>
        <v>-7.5275911377100033E-2</v>
      </c>
      <c r="J155" s="9"/>
      <c r="K155" s="7">
        <v>785.06</v>
      </c>
      <c r="L155" s="8">
        <f>IFERROR(K155/K445, "NA")</f>
        <v>9.0646943399293866E-3</v>
      </c>
      <c r="M155" s="9"/>
      <c r="N155" s="10">
        <f t="shared" si="37"/>
        <v>-305.70000000000005</v>
      </c>
      <c r="O155" s="8">
        <f>IFERROR(N155/N445, "NA")</f>
        <v>-1.3520859142900485E-2</v>
      </c>
      <c r="P155" s="9"/>
      <c r="Q155" s="7">
        <v>5170.43</v>
      </c>
      <c r="R155" s="8">
        <f>IFERROR(Q155/Q445, "NA")</f>
        <v>1.0146138356503492E-2</v>
      </c>
      <c r="S155" s="9"/>
      <c r="T155" s="7">
        <v>0</v>
      </c>
      <c r="U155" s="8">
        <f>IFERROR(T155/T445, "NA")</f>
        <v>0</v>
      </c>
      <c r="V155" s="9"/>
      <c r="W155" s="10">
        <f t="shared" si="38"/>
        <v>-5170.43</v>
      </c>
      <c r="X155" s="8">
        <f>IFERROR(W155/W445, "NA")</f>
        <v>-0.16900414499676594</v>
      </c>
      <c r="Y155" s="9"/>
      <c r="Z155" s="7">
        <v>3802.55</v>
      </c>
      <c r="AA155" s="8">
        <f>IFERROR(Z155/Z445, "NA")</f>
        <v>8.5122899845321252E-3</v>
      </c>
      <c r="AB155" s="9"/>
      <c r="AC155" s="10">
        <f t="shared" si="39"/>
        <v>-1367.88</v>
      </c>
      <c r="AD155" s="8">
        <f>IFERROR(AC155/AC445, "NA")</f>
        <v>-2.1752806644475167E-2</v>
      </c>
    </row>
    <row r="156" spans="1:30" ht="16.5" customHeight="1" x14ac:dyDescent="0.45">
      <c r="A156" s="12" t="s">
        <v>145</v>
      </c>
      <c r="B156" s="7">
        <v>0</v>
      </c>
      <c r="C156" s="8">
        <f>IFERROR(B156/B445, "NA")</f>
        <v>0</v>
      </c>
      <c r="D156" s="9"/>
      <c r="E156" s="7">
        <v>0</v>
      </c>
      <c r="F156" s="8">
        <f>IFERROR(E156/E445, "NA")</f>
        <v>0</v>
      </c>
      <c r="G156" s="9"/>
      <c r="H156" s="10">
        <f t="shared" si="36"/>
        <v>0</v>
      </c>
      <c r="I156" s="8">
        <f>IFERROR(H156/H445, "NA")</f>
        <v>0</v>
      </c>
      <c r="J156" s="9"/>
      <c r="K156" s="7">
        <v>0</v>
      </c>
      <c r="L156" s="8">
        <f>IFERROR(K156/K445, "NA")</f>
        <v>0</v>
      </c>
      <c r="M156" s="9"/>
      <c r="N156" s="10">
        <f t="shared" si="37"/>
        <v>0</v>
      </c>
      <c r="O156" s="8">
        <f>IFERROR(N156/N445, "NA")</f>
        <v>0</v>
      </c>
      <c r="P156" s="9"/>
      <c r="Q156" s="7">
        <v>57.62</v>
      </c>
      <c r="R156" s="8">
        <f>IFERROR(Q156/Q445, "NA")</f>
        <v>1.1306999458492451E-4</v>
      </c>
      <c r="S156" s="9"/>
      <c r="T156" s="7">
        <v>0</v>
      </c>
      <c r="U156" s="8">
        <f>IFERROR(T156/T445, "NA")</f>
        <v>0</v>
      </c>
      <c r="V156" s="9"/>
      <c r="W156" s="10">
        <f t="shared" si="38"/>
        <v>-57.62</v>
      </c>
      <c r="X156" s="8">
        <f>IFERROR(W156/W445, "NA")</f>
        <v>-1.8834059903554737E-3</v>
      </c>
      <c r="Y156" s="9"/>
      <c r="Z156" s="7">
        <v>0</v>
      </c>
      <c r="AA156" s="8">
        <f>IFERROR(Z156/Z445, "NA")</f>
        <v>0</v>
      </c>
      <c r="AB156" s="9"/>
      <c r="AC156" s="10">
        <f t="shared" si="39"/>
        <v>-57.62</v>
      </c>
      <c r="AD156" s="8">
        <f>IFERROR(AC156/AC445, "NA")</f>
        <v>-9.1630604940101397E-4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IFERROR(B157/B445, "NA")</f>
        <v>0</v>
      </c>
      <c r="D157" s="9"/>
      <c r="E157" s="7">
        <v>0</v>
      </c>
      <c r="F157" s="8">
        <f>IFERROR(E157/E445, "NA")</f>
        <v>0</v>
      </c>
      <c r="G157" s="9"/>
      <c r="H157" s="10">
        <f t="shared" si="36"/>
        <v>0</v>
      </c>
      <c r="I157" s="8">
        <f>IFERROR(H157/H445, "NA")</f>
        <v>0</v>
      </c>
      <c r="J157" s="9"/>
      <c r="K157" s="7">
        <v>0</v>
      </c>
      <c r="L157" s="8">
        <f>IFERROR(K157/K445, "NA")</f>
        <v>0</v>
      </c>
      <c r="M157" s="9"/>
      <c r="N157" s="10">
        <f t="shared" si="37"/>
        <v>0</v>
      </c>
      <c r="O157" s="8">
        <f>IFERROR(N157/N445, "NA")</f>
        <v>0</v>
      </c>
      <c r="P157" s="9"/>
      <c r="Q157" s="7">
        <v>0</v>
      </c>
      <c r="R157" s="8">
        <f>IFERROR(Q157/Q445, "NA")</f>
        <v>0</v>
      </c>
      <c r="S157" s="9"/>
      <c r="T157" s="7">
        <v>0</v>
      </c>
      <c r="U157" s="8">
        <f>IFERROR(T157/T445, "NA")</f>
        <v>0</v>
      </c>
      <c r="V157" s="9"/>
      <c r="W157" s="10">
        <f t="shared" si="38"/>
        <v>0</v>
      </c>
      <c r="X157" s="8">
        <f>IFERROR(W157/W445, "NA")</f>
        <v>0</v>
      </c>
      <c r="Y157" s="9"/>
      <c r="Z157" s="7">
        <v>0</v>
      </c>
      <c r="AA157" s="8">
        <f>IFERROR(Z157/Z445, "NA")</f>
        <v>0</v>
      </c>
      <c r="AB157" s="9"/>
      <c r="AC157" s="10">
        <f t="shared" si="39"/>
        <v>0</v>
      </c>
      <c r="AD157" s="8">
        <f>IFERROR(AC157/AC445,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4319.13</v>
      </c>
      <c r="C158" s="15">
        <f>IFERROR(B158/B445, "NA")</f>
        <v>3.9546732456873249E-2</v>
      </c>
      <c r="D158" s="2"/>
      <c r="E158" s="14">
        <f>IFERROR(E153+E154+E155+E156+E157, "NA")</f>
        <v>3883.75</v>
      </c>
      <c r="F158" s="15">
        <f>IFERROR(E158/E445, "NA")</f>
        <v>4.0999965268133702E-2</v>
      </c>
      <c r="G158" s="2"/>
      <c r="H158" s="14">
        <f t="shared" si="36"/>
        <v>-435.38000000000011</v>
      </c>
      <c r="I158" s="15">
        <f>IFERROR(H158/H445, "NA")</f>
        <v>-3.0046597139023998E-2</v>
      </c>
      <c r="J158" s="2"/>
      <c r="K158" s="14">
        <f>IFERROR(K153+K154+K155+K156+K157, "NA")</f>
        <v>3641.2</v>
      </c>
      <c r="L158" s="15">
        <f>IFERROR(K158/K445, "NA")</f>
        <v>4.2043111393461494E-2</v>
      </c>
      <c r="M158" s="2"/>
      <c r="N158" s="14">
        <f t="shared" si="37"/>
        <v>-677.93000000000029</v>
      </c>
      <c r="O158" s="15">
        <f>IFERROR(N158/N445, "NA")</f>
        <v>-2.9984285373721057E-2</v>
      </c>
      <c r="P158" s="2"/>
      <c r="Q158" s="14">
        <f>IFERROR(Q153+Q154+Q155+Q156+Q157, "NA")</f>
        <v>19991.759999999998</v>
      </c>
      <c r="R158" s="15">
        <f>IFERROR(Q158/Q445, "NA")</f>
        <v>3.9230617753264668E-2</v>
      </c>
      <c r="S158" s="2"/>
      <c r="T158" s="14">
        <f>IFERROR(T153+T154+T155+T156+T157, "NA")</f>
        <v>19639.099999999999</v>
      </c>
      <c r="U158" s="15">
        <f>IFERROR(T158/T445, "NA")</f>
        <v>4.1000008475950235E-2</v>
      </c>
      <c r="V158" s="2"/>
      <c r="W158" s="14">
        <f t="shared" si="38"/>
        <v>-352.65999999999985</v>
      </c>
      <c r="X158" s="15">
        <f>IFERROR(W158/W445, "NA")</f>
        <v>-1.1527281439756355E-2</v>
      </c>
      <c r="Y158" s="2"/>
      <c r="Z158" s="14">
        <f>IFERROR(Z153+Z154+Z155+Z156+Z157, "NA")</f>
        <v>19182.650000000001</v>
      </c>
      <c r="AA158" s="15">
        <f>IFERROR(Z158/Z445, "NA")</f>
        <v>4.2941783664063635E-2</v>
      </c>
      <c r="AB158" s="2"/>
      <c r="AC158" s="14">
        <f t="shared" si="39"/>
        <v>-809.10999999999694</v>
      </c>
      <c r="AD158" s="15">
        <f>IFERROR(AC158/AC445, "NA")</f>
        <v>-1.2866927935280313E-2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IFERROR(B160/B445, "NA")</f>
        <v>0</v>
      </c>
      <c r="D160" s="9"/>
      <c r="E160" s="7">
        <v>0</v>
      </c>
      <c r="F160" s="8">
        <f>IFERROR(E160/E445, "NA")</f>
        <v>0</v>
      </c>
      <c r="G160" s="9"/>
      <c r="H160" s="10">
        <f t="shared" ref="H160:H171" si="40">IFERROR(-(B160-E160), "NA")</f>
        <v>0</v>
      </c>
      <c r="I160" s="8">
        <f>IFERROR(H160/H445, "NA")</f>
        <v>0</v>
      </c>
      <c r="J160" s="9"/>
      <c r="K160" s="7">
        <v>0</v>
      </c>
      <c r="L160" s="8">
        <f>IFERROR(K160/K445, "NA")</f>
        <v>0</v>
      </c>
      <c r="M160" s="9"/>
      <c r="N160" s="10">
        <f t="shared" ref="N160:N171" si="41">IFERROR(-(B160-K160), "NA")</f>
        <v>0</v>
      </c>
      <c r="O160" s="8">
        <f>IFERROR(N160/N445, "NA")</f>
        <v>0</v>
      </c>
      <c r="P160" s="9"/>
      <c r="Q160" s="7">
        <v>0</v>
      </c>
      <c r="R160" s="8">
        <f>IFERROR(Q160/Q445, "NA")</f>
        <v>0</v>
      </c>
      <c r="S160" s="9"/>
      <c r="T160" s="7">
        <v>0</v>
      </c>
      <c r="U160" s="8">
        <f>IFERROR(T160/T445, "NA")</f>
        <v>0</v>
      </c>
      <c r="V160" s="9"/>
      <c r="W160" s="10">
        <f t="shared" ref="W160:W171" si="42">IFERROR(-(Q160-T160), "NA")</f>
        <v>0</v>
      </c>
      <c r="X160" s="8">
        <f>IFERROR(W160/W445, "NA")</f>
        <v>0</v>
      </c>
      <c r="Y160" s="9"/>
      <c r="Z160" s="7">
        <v>0</v>
      </c>
      <c r="AA160" s="8">
        <f>IFERROR(Z160/Z445, "NA")</f>
        <v>0</v>
      </c>
      <c r="AB160" s="9"/>
      <c r="AC160" s="10">
        <f t="shared" ref="AC160:AC171" si="43">IFERROR(-(Q160-Z160), "NA")</f>
        <v>0</v>
      </c>
      <c r="AD160" s="8">
        <f>IFERROR(AC160/AC445, "NA")</f>
        <v>0</v>
      </c>
    </row>
    <row r="161" spans="1:30" ht="16.5" customHeight="1" x14ac:dyDescent="0.45">
      <c r="A161" s="12" t="s">
        <v>149</v>
      </c>
      <c r="B161" s="7">
        <v>404.99</v>
      </c>
      <c r="C161" s="8">
        <f>IFERROR(B161/B445, "NA")</f>
        <v>3.7081614069752696E-3</v>
      </c>
      <c r="D161" s="9"/>
      <c r="E161" s="7">
        <v>0</v>
      </c>
      <c r="F161" s="8">
        <f>IFERROR(E161/E445, "NA")</f>
        <v>0</v>
      </c>
      <c r="G161" s="9"/>
      <c r="H161" s="10">
        <f t="shared" si="40"/>
        <v>-404.99</v>
      </c>
      <c r="I161" s="8">
        <f>IFERROR(H161/H445, "NA")</f>
        <v>-2.7949311808841304E-2</v>
      </c>
      <c r="J161" s="9"/>
      <c r="K161" s="7">
        <v>275.56</v>
      </c>
      <c r="L161" s="8">
        <f>IFERROR(K161/K445, "NA")</f>
        <v>3.1817532065204464E-3</v>
      </c>
      <c r="M161" s="9"/>
      <c r="N161" s="10">
        <f t="shared" si="41"/>
        <v>-129.43</v>
      </c>
      <c r="O161" s="8">
        <f>IFERROR(N161/N445, "NA")</f>
        <v>-5.7245822664887458E-3</v>
      </c>
      <c r="P161" s="9"/>
      <c r="Q161" s="7">
        <v>1439.18</v>
      </c>
      <c r="R161" s="8">
        <f>IFERROR(Q161/Q445, "NA")</f>
        <v>2.8241595766527535E-3</v>
      </c>
      <c r="S161" s="9"/>
      <c r="T161" s="7">
        <v>0</v>
      </c>
      <c r="U161" s="8">
        <f>IFERROR(T161/T445, "NA")</f>
        <v>0</v>
      </c>
      <c r="V161" s="9"/>
      <c r="W161" s="10">
        <f t="shared" si="42"/>
        <v>-1439.18</v>
      </c>
      <c r="X161" s="8">
        <f>IFERROR(W161/W445, "NA")</f>
        <v>-4.7042003352998803E-2</v>
      </c>
      <c r="Y161" s="9"/>
      <c r="Z161" s="7">
        <v>1317.25</v>
      </c>
      <c r="AA161" s="8">
        <f>IFERROR(Z161/Z445, "NA")</f>
        <v>2.9487617472814141E-3</v>
      </c>
      <c r="AB161" s="9"/>
      <c r="AC161" s="10">
        <f t="shared" si="43"/>
        <v>-121.93000000000006</v>
      </c>
      <c r="AD161" s="8">
        <f>IFERROR(AC161/AC445, "NA")</f>
        <v>-1.9390002881545592E-3</v>
      </c>
    </row>
    <row r="162" spans="1:30" ht="16.5" customHeight="1" x14ac:dyDescent="0.45">
      <c r="A162" s="12" t="s">
        <v>150</v>
      </c>
      <c r="B162" s="7">
        <v>7.53</v>
      </c>
      <c r="C162" s="8">
        <f>IFERROR(B162/B445, "NA")</f>
        <v>6.8946036678742143E-5</v>
      </c>
      <c r="D162" s="9"/>
      <c r="E162" s="7">
        <v>0</v>
      </c>
      <c r="F162" s="8">
        <f>IFERROR(E162/E445, "NA")</f>
        <v>0</v>
      </c>
      <c r="G162" s="9"/>
      <c r="H162" s="10">
        <f t="shared" si="40"/>
        <v>-7.53</v>
      </c>
      <c r="I162" s="8">
        <f>IFERROR(H162/H445, "NA")</f>
        <v>-5.1966299889028131E-4</v>
      </c>
      <c r="J162" s="9"/>
      <c r="K162" s="7">
        <v>0</v>
      </c>
      <c r="L162" s="8">
        <f>IFERROR(K162/K445, "NA")</f>
        <v>0</v>
      </c>
      <c r="M162" s="9"/>
      <c r="N162" s="10">
        <f t="shared" si="41"/>
        <v>-7.53</v>
      </c>
      <c r="O162" s="8">
        <f>IFERROR(N162/N445, "NA")</f>
        <v>-3.3304569625790199E-4</v>
      </c>
      <c r="P162" s="9"/>
      <c r="Q162" s="7">
        <v>14.81</v>
      </c>
      <c r="R162" s="8">
        <f>IFERROR(Q162/Q445, "NA")</f>
        <v>2.9062246091682264E-5</v>
      </c>
      <c r="S162" s="9"/>
      <c r="T162" s="7">
        <v>0</v>
      </c>
      <c r="U162" s="8">
        <f>IFERROR(T162/T445, "NA")</f>
        <v>0</v>
      </c>
      <c r="V162" s="9"/>
      <c r="W162" s="10">
        <f t="shared" si="42"/>
        <v>-14.81</v>
      </c>
      <c r="X162" s="8">
        <f>IFERROR(W162/W445, "NA")</f>
        <v>-4.8408959939542814E-4</v>
      </c>
      <c r="Y162" s="9"/>
      <c r="Z162" s="7">
        <v>0</v>
      </c>
      <c r="AA162" s="8">
        <f>IFERROR(Z162/Z445, "NA")</f>
        <v>0</v>
      </c>
      <c r="AB162" s="9"/>
      <c r="AC162" s="10">
        <f t="shared" si="43"/>
        <v>-14.81</v>
      </c>
      <c r="AD162" s="8">
        <f>IFERROR(AC162/AC445, "NA")</f>
        <v>-2.3551705296128114E-4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IFERROR(B163/B445, "NA")</f>
        <v>0</v>
      </c>
      <c r="D163" s="9"/>
      <c r="E163" s="7">
        <v>0</v>
      </c>
      <c r="F163" s="8">
        <f>IFERROR(E163/E445, "NA")</f>
        <v>0</v>
      </c>
      <c r="G163" s="9"/>
      <c r="H163" s="10">
        <f t="shared" si="40"/>
        <v>0</v>
      </c>
      <c r="I163" s="8">
        <f>IFERROR(H163/H445, "NA")</f>
        <v>0</v>
      </c>
      <c r="J163" s="9"/>
      <c r="K163" s="7">
        <v>0</v>
      </c>
      <c r="L163" s="8">
        <f>IFERROR(K163/K445, "NA")</f>
        <v>0</v>
      </c>
      <c r="M163" s="9"/>
      <c r="N163" s="10">
        <f t="shared" si="41"/>
        <v>0</v>
      </c>
      <c r="O163" s="8">
        <f>IFERROR(N163/N445, "NA")</f>
        <v>0</v>
      </c>
      <c r="P163" s="9"/>
      <c r="Q163" s="7">
        <v>0</v>
      </c>
      <c r="R163" s="8">
        <f>IFERROR(Q163/Q445, "NA")</f>
        <v>0</v>
      </c>
      <c r="S163" s="9"/>
      <c r="T163" s="7">
        <v>0</v>
      </c>
      <c r="U163" s="8">
        <f>IFERROR(T163/T445, "NA")</f>
        <v>0</v>
      </c>
      <c r="V163" s="9"/>
      <c r="W163" s="10">
        <f t="shared" si="42"/>
        <v>0</v>
      </c>
      <c r="X163" s="8">
        <f>IFERROR(W163/W445, "NA")</f>
        <v>0</v>
      </c>
      <c r="Y163" s="9"/>
      <c r="Z163" s="7">
        <v>0</v>
      </c>
      <c r="AA163" s="8">
        <f>IFERROR(Z163/Z445, "NA")</f>
        <v>0</v>
      </c>
      <c r="AB163" s="9"/>
      <c r="AC163" s="10">
        <f t="shared" si="43"/>
        <v>0</v>
      </c>
      <c r="AD163" s="8">
        <f>IFERROR(AC163/AC445,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IFERROR(B164/B445, "NA")</f>
        <v>0</v>
      </c>
      <c r="D164" s="9"/>
      <c r="E164" s="7">
        <v>0</v>
      </c>
      <c r="F164" s="8">
        <f>IFERROR(E164/E445, "NA")</f>
        <v>0</v>
      </c>
      <c r="G164" s="9"/>
      <c r="H164" s="10">
        <f t="shared" si="40"/>
        <v>0</v>
      </c>
      <c r="I164" s="8">
        <f>IFERROR(H164/H445, "NA")</f>
        <v>0</v>
      </c>
      <c r="J164" s="9"/>
      <c r="K164" s="7">
        <v>0</v>
      </c>
      <c r="L164" s="8">
        <f>IFERROR(K164/K445, "NA")</f>
        <v>0</v>
      </c>
      <c r="M164" s="9"/>
      <c r="N164" s="10">
        <f t="shared" si="41"/>
        <v>0</v>
      </c>
      <c r="O164" s="8">
        <f>IFERROR(N164/N445, "NA")</f>
        <v>0</v>
      </c>
      <c r="P164" s="9"/>
      <c r="Q164" s="7">
        <v>0</v>
      </c>
      <c r="R164" s="8">
        <f>IFERROR(Q164/Q445, "NA")</f>
        <v>0</v>
      </c>
      <c r="S164" s="9"/>
      <c r="T164" s="7">
        <v>0</v>
      </c>
      <c r="U164" s="8">
        <f>IFERROR(T164/T445, "NA")</f>
        <v>0</v>
      </c>
      <c r="V164" s="9"/>
      <c r="W164" s="10">
        <f t="shared" si="42"/>
        <v>0</v>
      </c>
      <c r="X164" s="8">
        <f>IFERROR(W164/W445, "NA")</f>
        <v>0</v>
      </c>
      <c r="Y164" s="9"/>
      <c r="Z164" s="7">
        <v>0</v>
      </c>
      <c r="AA164" s="8">
        <f>IFERROR(Z164/Z445, "NA")</f>
        <v>0</v>
      </c>
      <c r="AB164" s="9"/>
      <c r="AC164" s="10">
        <f t="shared" si="43"/>
        <v>0</v>
      </c>
      <c r="AD164" s="8">
        <f>IFERROR(AC164/AC445,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IFERROR(B165/B445, "NA")</f>
        <v>0</v>
      </c>
      <c r="D165" s="9"/>
      <c r="E165" s="7">
        <v>0</v>
      </c>
      <c r="F165" s="8">
        <f>IFERROR(E165/E445, "NA")</f>
        <v>0</v>
      </c>
      <c r="G165" s="9"/>
      <c r="H165" s="10">
        <f t="shared" si="40"/>
        <v>0</v>
      </c>
      <c r="I165" s="8">
        <f>IFERROR(H165/H445, "NA")</f>
        <v>0</v>
      </c>
      <c r="J165" s="9"/>
      <c r="K165" s="7">
        <v>0</v>
      </c>
      <c r="L165" s="8">
        <f>IFERROR(K165/K445, "NA")</f>
        <v>0</v>
      </c>
      <c r="M165" s="9"/>
      <c r="N165" s="10">
        <f t="shared" si="41"/>
        <v>0</v>
      </c>
      <c r="O165" s="8">
        <f>IFERROR(N165/N445, "NA")</f>
        <v>0</v>
      </c>
      <c r="P165" s="9"/>
      <c r="Q165" s="7">
        <v>0</v>
      </c>
      <c r="R165" s="8">
        <f>IFERROR(Q165/Q445, "NA")</f>
        <v>0</v>
      </c>
      <c r="S165" s="9"/>
      <c r="T165" s="7">
        <v>0</v>
      </c>
      <c r="U165" s="8">
        <f>IFERROR(T165/T445, "NA")</f>
        <v>0</v>
      </c>
      <c r="V165" s="9"/>
      <c r="W165" s="10">
        <f t="shared" si="42"/>
        <v>0</v>
      </c>
      <c r="X165" s="8">
        <f>IFERROR(W165/W445, "NA")</f>
        <v>0</v>
      </c>
      <c r="Y165" s="9"/>
      <c r="Z165" s="7">
        <v>0</v>
      </c>
      <c r="AA165" s="8">
        <f>IFERROR(Z165/Z445, "NA")</f>
        <v>0</v>
      </c>
      <c r="AB165" s="9"/>
      <c r="AC165" s="10">
        <f t="shared" si="43"/>
        <v>0</v>
      </c>
      <c r="AD165" s="8">
        <f>IFERROR(AC165/AC445,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412.52</v>
      </c>
      <c r="C166" s="15">
        <f>IFERROR(B166/B445, "NA")</f>
        <v>3.7771074436540116E-3</v>
      </c>
      <c r="D166" s="2"/>
      <c r="E166" s="14">
        <f>IFERROR(E160+E161+E162+E163+E164+E165, "NA")</f>
        <v>0</v>
      </c>
      <c r="F166" s="15">
        <f>IFERROR(E166/E445, "NA")</f>
        <v>0</v>
      </c>
      <c r="G166" s="2"/>
      <c r="H166" s="14">
        <f t="shared" si="40"/>
        <v>-412.52</v>
      </c>
      <c r="I166" s="15">
        <f>IFERROR(H166/H445, "NA")</f>
        <v>-2.8468974807731584E-2</v>
      </c>
      <c r="J166" s="2"/>
      <c r="K166" s="14">
        <f>IFERROR(K160+K161+K162+K163+K164+K165, "NA")</f>
        <v>275.56</v>
      </c>
      <c r="L166" s="15">
        <f>IFERROR(K166/K445, "NA")</f>
        <v>3.1817532065204464E-3</v>
      </c>
      <c r="M166" s="2"/>
      <c r="N166" s="14">
        <f t="shared" si="41"/>
        <v>-136.95999999999998</v>
      </c>
      <c r="O166" s="15">
        <f>IFERROR(N166/N445, "NA")</f>
        <v>-6.0576279627466458E-3</v>
      </c>
      <c r="P166" s="2"/>
      <c r="Q166" s="14">
        <f>IFERROR(Q160+Q161+Q162+Q163+Q164+Q165, "NA")</f>
        <v>1453.99</v>
      </c>
      <c r="R166" s="15">
        <f>IFERROR(Q166/Q445, "NA")</f>
        <v>2.8532218227444359E-3</v>
      </c>
      <c r="S166" s="2"/>
      <c r="T166" s="14">
        <f>IFERROR(T160+T161+T162+T163+T164+T165, "NA")</f>
        <v>0</v>
      </c>
      <c r="U166" s="15">
        <f>IFERROR(T166/T445, "NA")</f>
        <v>0</v>
      </c>
      <c r="V166" s="2"/>
      <c r="W166" s="14">
        <f t="shared" si="42"/>
        <v>-1453.99</v>
      </c>
      <c r="X166" s="15">
        <f>IFERROR(W166/W445, "NA")</f>
        <v>-4.7526092952394225E-2</v>
      </c>
      <c r="Y166" s="2"/>
      <c r="Z166" s="14">
        <f>IFERROR(Z160+Z161+Z162+Z163+Z164+Z165, "NA")</f>
        <v>1317.25</v>
      </c>
      <c r="AA166" s="15">
        <f>IFERROR(Z166/Z445, "NA")</f>
        <v>2.9487617472814141E-3</v>
      </c>
      <c r="AB166" s="2"/>
      <c r="AC166" s="14">
        <f t="shared" si="43"/>
        <v>-136.74</v>
      </c>
      <c r="AD166" s="15">
        <f>IFERROR(AC166/AC445, "NA")</f>
        <v>-2.1745173411158395E-3</v>
      </c>
    </row>
    <row r="167" spans="1:30" ht="16.5" customHeight="1" x14ac:dyDescent="0.45">
      <c r="A167" s="6" t="s">
        <v>155</v>
      </c>
      <c r="B167" s="7">
        <v>383.49</v>
      </c>
      <c r="C167" s="8">
        <f>IFERROR(B167/B445, "NA")</f>
        <v>3.5113035333241465E-3</v>
      </c>
      <c r="D167" s="9"/>
      <c r="E167" s="7">
        <v>0</v>
      </c>
      <c r="F167" s="8">
        <f>IFERROR(E167/E445, "NA")</f>
        <v>0</v>
      </c>
      <c r="G167" s="9"/>
      <c r="H167" s="10">
        <f t="shared" si="40"/>
        <v>-383.49</v>
      </c>
      <c r="I167" s="8">
        <f>IFERROR(H167/H445, "NA")</f>
        <v>-2.6465546274161218E-2</v>
      </c>
      <c r="J167" s="9"/>
      <c r="K167" s="7">
        <v>238.31</v>
      </c>
      <c r="L167" s="8">
        <f>IFERROR(K167/K445, "NA")</f>
        <v>2.7516461265999696E-3</v>
      </c>
      <c r="M167" s="9"/>
      <c r="N167" s="10">
        <f t="shared" si="41"/>
        <v>-145.18</v>
      </c>
      <c r="O167" s="8">
        <f>IFERROR(N167/N445, "NA")</f>
        <v>-6.4211917905341578E-3</v>
      </c>
      <c r="P167" s="9"/>
      <c r="Q167" s="7">
        <v>1712.94</v>
      </c>
      <c r="R167" s="8">
        <f>IFERROR(Q167/Q445, "NA")</f>
        <v>3.3613696029902913E-3</v>
      </c>
      <c r="S167" s="9"/>
      <c r="T167" s="7">
        <v>0</v>
      </c>
      <c r="U167" s="8">
        <f>IFERROR(T167/T445, "NA")</f>
        <v>0</v>
      </c>
      <c r="V167" s="9"/>
      <c r="W167" s="10">
        <f t="shared" si="42"/>
        <v>-1712.94</v>
      </c>
      <c r="X167" s="8">
        <f>IFERROR(W167/W445, "NA")</f>
        <v>-5.5990306440810579E-2</v>
      </c>
      <c r="Y167" s="9"/>
      <c r="Z167" s="7">
        <v>1551.31</v>
      </c>
      <c r="AA167" s="8">
        <f>IFERROR(Z167/Z445, "NA")</f>
        <v>3.4727224036250753E-3</v>
      </c>
      <c r="AB167" s="9"/>
      <c r="AC167" s="10">
        <f t="shared" si="43"/>
        <v>-161.63000000000011</v>
      </c>
      <c r="AD167" s="8">
        <f>IFERROR(AC167/AC445, "NA")</f>
        <v>-2.5703322937293649E-3</v>
      </c>
    </row>
    <row r="168" spans="1:30" ht="16.5" customHeight="1" x14ac:dyDescent="0.45">
      <c r="A168" s="6" t="s">
        <v>156</v>
      </c>
      <c r="B168" s="7">
        <v>120.75</v>
      </c>
      <c r="C168" s="8">
        <f>IFERROR(B168/B445, "NA")</f>
        <v>1.1056087555057256E-3</v>
      </c>
      <c r="D168" s="9"/>
      <c r="E168" s="7">
        <v>0</v>
      </c>
      <c r="F168" s="8">
        <f>IFERROR(E168/E445, "NA")</f>
        <v>0</v>
      </c>
      <c r="G168" s="9"/>
      <c r="H168" s="10">
        <f t="shared" si="40"/>
        <v>-120.75</v>
      </c>
      <c r="I168" s="8">
        <f>IFERROR(H168/H445, "NA")</f>
        <v>-8.3332413168660645E-3</v>
      </c>
      <c r="J168" s="9"/>
      <c r="K168" s="7">
        <v>35.799999999999997</v>
      </c>
      <c r="L168" s="8">
        <f>IFERROR(K168/K445, "NA")</f>
        <v>4.133646566752503E-4</v>
      </c>
      <c r="M168" s="9"/>
      <c r="N168" s="10">
        <f t="shared" si="41"/>
        <v>-84.95</v>
      </c>
      <c r="O168" s="8">
        <f>IFERROR(N168/N445, "NA")</f>
        <v>-3.7572685122322408E-3</v>
      </c>
      <c r="P168" s="9"/>
      <c r="Q168" s="7">
        <v>462.82</v>
      </c>
      <c r="R168" s="8">
        <f>IFERROR(Q168/Q445, "NA")</f>
        <v>9.082099079103568E-4</v>
      </c>
      <c r="S168" s="9"/>
      <c r="T168" s="7">
        <v>0</v>
      </c>
      <c r="U168" s="8">
        <f>IFERROR(T168/T445, "NA")</f>
        <v>0</v>
      </c>
      <c r="V168" s="9"/>
      <c r="W168" s="10">
        <f t="shared" si="42"/>
        <v>-462.82</v>
      </c>
      <c r="X168" s="8">
        <f>IFERROR(W168/W445, "NA")</f>
        <v>-1.5128045131140582E-2</v>
      </c>
      <c r="Y168" s="9"/>
      <c r="Z168" s="7">
        <v>175.6</v>
      </c>
      <c r="AA168" s="8">
        <f>IFERROR(Z168/Z445, "NA")</f>
        <v>3.9309361383383284E-4</v>
      </c>
      <c r="AB168" s="9"/>
      <c r="AC168" s="10">
        <f t="shared" si="43"/>
        <v>-287.22000000000003</v>
      </c>
      <c r="AD168" s="8">
        <f>IFERROR(AC168/AC445, "NA")</f>
        <v>-4.5675359859243198E-3</v>
      </c>
    </row>
    <row r="169" spans="1:30" ht="16.5" customHeight="1" x14ac:dyDescent="0.45">
      <c r="A169" s="6" t="s">
        <v>157</v>
      </c>
      <c r="B169" s="7">
        <v>-1069.5899999999999</v>
      </c>
      <c r="C169" s="8">
        <f>IFERROR(B169/B445, "NA")</f>
        <v>-9.7933587478374242E-3</v>
      </c>
      <c r="D169" s="9"/>
      <c r="E169" s="7">
        <v>0</v>
      </c>
      <c r="F169" s="8">
        <f>IFERROR(E169/E445, "NA")</f>
        <v>0</v>
      </c>
      <c r="G169" s="9"/>
      <c r="H169" s="10">
        <f t="shared" si="40"/>
        <v>1069.5899999999999</v>
      </c>
      <c r="I169" s="8">
        <f>IFERROR(H169/H445, "NA")</f>
        <v>7.3814919918068517E-2</v>
      </c>
      <c r="J169" s="9"/>
      <c r="K169" s="7">
        <v>-1267.8499999999999</v>
      </c>
      <c r="L169" s="8">
        <f>IFERROR(K169/K445, "NA")</f>
        <v>-1.4639228490662461E-2</v>
      </c>
      <c r="M169" s="9"/>
      <c r="N169" s="10">
        <f t="shared" si="41"/>
        <v>-198.26</v>
      </c>
      <c r="O169" s="8">
        <f>IFERROR(N169/N445, "NA")</f>
        <v>-8.7688764595075224E-3</v>
      </c>
      <c r="P169" s="9"/>
      <c r="Q169" s="7">
        <v>-4575.29</v>
      </c>
      <c r="R169" s="8">
        <f>IFERROR(Q169/Q445, "NA")</f>
        <v>-8.9782717029583351E-3</v>
      </c>
      <c r="S169" s="9"/>
      <c r="T169" s="7">
        <v>0</v>
      </c>
      <c r="U169" s="8">
        <f>IFERROR(T169/T445, "NA")</f>
        <v>0</v>
      </c>
      <c r="V169" s="9"/>
      <c r="W169" s="10">
        <f t="shared" si="42"/>
        <v>4575.29</v>
      </c>
      <c r="X169" s="8">
        <f>IFERROR(W169/W445, "NA")</f>
        <v>0.14955099954205997</v>
      </c>
      <c r="Y169" s="9"/>
      <c r="Z169" s="7">
        <v>-8528.85</v>
      </c>
      <c r="AA169" s="8">
        <f>IFERROR(Z169/Z445, "NA")</f>
        <v>-1.9092462803796614E-2</v>
      </c>
      <c r="AB169" s="9"/>
      <c r="AC169" s="10">
        <f t="shared" si="43"/>
        <v>-3953.5600000000004</v>
      </c>
      <c r="AD169" s="8">
        <f>IFERROR(AC169/AC445, "NA")</f>
        <v>-6.2871762316381002E-2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4166.2999999999993</v>
      </c>
      <c r="C170" s="15">
        <f>IFERROR(B170/B445, "NA")</f>
        <v>3.8147393441519697E-2</v>
      </c>
      <c r="D170" s="2"/>
      <c r="E170" s="14">
        <f>IFERROR(E151+E153+E154+E155+E156+E157+E160+E161+E162+E163+E164+E165+E167+E168+E169, "NA")</f>
        <v>3883.75</v>
      </c>
      <c r="F170" s="15">
        <f>IFERROR(E170/E445, "NA")</f>
        <v>4.0999965268133702E-2</v>
      </c>
      <c r="G170" s="2"/>
      <c r="H170" s="14">
        <f t="shared" si="40"/>
        <v>-282.54999999999927</v>
      </c>
      <c r="I170" s="15">
        <f>IFERROR(H170/H445, "NA")</f>
        <v>-1.9499439619714291E-2</v>
      </c>
      <c r="J170" s="2"/>
      <c r="K170" s="14">
        <f>IFERROR(K151+K153+K154+K155+K156+K157+K160+K161+K162+K163+K164+K165+K167+K168+K169, "NA")</f>
        <v>2923.02</v>
      </c>
      <c r="L170" s="15">
        <f>IFERROR(K170/K445, "NA")</f>
        <v>3.3750646892594702E-2</v>
      </c>
      <c r="M170" s="2"/>
      <c r="N170" s="14">
        <f t="shared" si="41"/>
        <v>-1243.2799999999993</v>
      </c>
      <c r="O170" s="15">
        <f>IFERROR(N170/N445, "NA")</f>
        <v>-5.4989250098741581E-2</v>
      </c>
      <c r="P170" s="2"/>
      <c r="Q170" s="14">
        <f>IFERROR(Q151+Q153+Q154+Q155+Q156+Q157+Q160+Q161+Q162+Q163+Q164+Q165+Q167+Q168+Q169, "NA")</f>
        <v>19046.219999999998</v>
      </c>
      <c r="R170" s="15">
        <f>IFERROR(Q170/Q445, "NA")</f>
        <v>3.7375147383951417E-2</v>
      </c>
      <c r="S170" s="2"/>
      <c r="T170" s="14">
        <f>IFERROR(T151+T153+T154+T155+T156+T157+T160+T161+T162+T163+T164+T165+T167+T168+T169, "NA")</f>
        <v>19639.099999999999</v>
      </c>
      <c r="U170" s="15">
        <f>IFERROR(T170/T445, "NA")</f>
        <v>4.1000008475950235E-2</v>
      </c>
      <c r="V170" s="2"/>
      <c r="W170" s="14">
        <f t="shared" si="42"/>
        <v>592.88000000000102</v>
      </c>
      <c r="X170" s="15">
        <f>IFERROR(W170/W445, "NA")</f>
        <v>1.9379273577958264E-2</v>
      </c>
      <c r="Y170" s="2"/>
      <c r="Z170" s="14">
        <f>IFERROR(Z151+Z153+Z154+Z155+Z156+Z157+Z160+Z161+Z162+Z163+Z164+Z165+Z167+Z168+Z169, "NA")</f>
        <v>13697.960000000001</v>
      </c>
      <c r="AA170" s="15">
        <f>IFERROR(Z170/Z445, "NA")</f>
        <v>3.0663898625007343E-2</v>
      </c>
      <c r="AB170" s="2"/>
      <c r="AC170" s="14">
        <f t="shared" si="43"/>
        <v>-5348.2599999999966</v>
      </c>
      <c r="AD170" s="15">
        <f>IFERROR(AC170/AC445, "NA")</f>
        <v>-8.5051075872430826E-2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29179.410000000003</v>
      </c>
      <c r="C171" s="15">
        <f>IFERROR(B171/B445, "NA")</f>
        <v>0.26717193520903793</v>
      </c>
      <c r="D171" s="2"/>
      <c r="E171" s="14">
        <f>IFERROR(E127+E129+E130+E131+E132+E133+E134+E135+E136+E137+E138+E139+E140+E143+E144+E145+E146+E147+E151+E153+E154+E155+E156+E157+E160+E161+E162+E163+E164+E165+E167+E168+E169, "NA")</f>
        <v>25007.579999999998</v>
      </c>
      <c r="F171" s="15">
        <f>IFERROR(E171/E445, "NA")</f>
        <v>0.26399997719731572</v>
      </c>
      <c r="G171" s="2"/>
      <c r="H171" s="14">
        <f t="shared" si="40"/>
        <v>-4171.8300000000054</v>
      </c>
      <c r="I171" s="15">
        <f>IFERROR(H171/H445, "NA")</f>
        <v>-0.28790779397881078</v>
      </c>
      <c r="J171" s="2"/>
      <c r="K171" s="14">
        <f>IFERROR(K127+K129+K130+K131+K132+K133+K134+K135+K136+K137+K138+K139+K140+K143+K144+K145+K146+K147+K151+K153+K154+K155+K156+K157+K160+K161+K162+K163+K164+K165+K167+K168+K169, "NA")</f>
        <v>26643.850000000002</v>
      </c>
      <c r="L171" s="15">
        <f>IFERROR(K171/K445, "NA")</f>
        <v>0.30764318178091815</v>
      </c>
      <c r="M171" s="2"/>
      <c r="N171" s="14">
        <f t="shared" si="41"/>
        <v>-2535.5600000000013</v>
      </c>
      <c r="O171" s="15">
        <f>IFERROR(N171/N445, "NA")</f>
        <v>-0.11214572982784679</v>
      </c>
      <c r="P171" s="2"/>
      <c r="Q171" s="14">
        <f>IFERROR(Q127+Q129+Q130+Q131+Q132+Q133+Q134+Q135+Q136+Q137+Q138+Q139+Q140+Q143+Q144+Q145+Q146+Q147+Q151+Q153+Q154+Q155+Q156+Q157+Q160+Q161+Q162+Q163+Q164+Q165+Q167+Q168+Q169, "NA")</f>
        <v>136170.68999999997</v>
      </c>
      <c r="R171" s="15">
        <f>IFERROR(Q171/Q445, "NA")</f>
        <v>0.26721310622918137</v>
      </c>
      <c r="S171" s="2"/>
      <c r="T171" s="14">
        <f>IFERROR(T127+T129+T130+T131+T132+T133+T134+T135+T136+T137+T138+T139+T140+T143+T144+T145+T146+T147+T151+T153+T154+T155+T156+T157+T160+T161+T162+T163+T164+T165+T167+T168+T169, "NA")</f>
        <v>126865.79000000001</v>
      </c>
      <c r="U171" s="15">
        <f>IFERROR(T171/T445, "NA")</f>
        <v>0.26485421762240241</v>
      </c>
      <c r="V171" s="2"/>
      <c r="W171" s="14">
        <f t="shared" si="42"/>
        <v>-9304.8999999999651</v>
      </c>
      <c r="X171" s="15">
        <f>IFERROR(W171/W445, "NA")</f>
        <v>-0.30414620617248495</v>
      </c>
      <c r="Y171" s="2"/>
      <c r="Z171" s="14">
        <f>IFERROR(Z127+Z129+Z130+Z131+Z132+Z133+Z134+Z135+Z136+Z137+Z138+Z139+Z140+Z143+Z144+Z145+Z146+Z147+Z151+Z153+Z154+Z155+Z156+Z157+Z160+Z161+Z162+Z163+Z164+Z165+Z167+Z168+Z169, "NA")</f>
        <v>125550.34999999998</v>
      </c>
      <c r="AA171" s="15">
        <f>IFERROR(Z171/Z445, "NA")</f>
        <v>0.28105376309568647</v>
      </c>
      <c r="AB171" s="2"/>
      <c r="AC171" s="14">
        <f t="shared" si="43"/>
        <v>-10620.339999999997</v>
      </c>
      <c r="AD171" s="15">
        <f>IFERROR(AC171/AC445, "NA")</f>
        <v>-0.16889069400721213</v>
      </c>
    </row>
    <row r="172" spans="1:30" ht="16.5" customHeight="1" x14ac:dyDescent="0.45">
      <c r="A172" s="22" t="s">
        <v>160</v>
      </c>
      <c r="B172" s="23">
        <f>IFERROR(B124-B171, "NA")</f>
        <v>80036.439999999973</v>
      </c>
      <c r="C172" s="24">
        <f>IFERROR(B172/B445, "NA")</f>
        <v>0.73282806479096185</v>
      </c>
      <c r="D172" s="25"/>
      <c r="E172" s="23">
        <f>IFERROR(E124-E171, "NA")</f>
        <v>69718.11</v>
      </c>
      <c r="F172" s="24">
        <f>IFERROR(E172/E445, "NA")</f>
        <v>0.73600002280268428</v>
      </c>
      <c r="G172" s="25"/>
      <c r="H172" s="23">
        <f>IFERROR(B172-E172, "NA")</f>
        <v>10318.329999999973</v>
      </c>
      <c r="I172" s="24">
        <f>IFERROR(H172/H445, "NA")</f>
        <v>0.7120922060211875</v>
      </c>
      <c r="J172" s="25"/>
      <c r="K172" s="23">
        <f>IFERROR(K124-K171, "NA")</f>
        <v>59962.490000000005</v>
      </c>
      <c r="L172" s="24">
        <f>IFERROR(K172/K445, "NA")</f>
        <v>0.69235681821908202</v>
      </c>
      <c r="M172" s="25"/>
      <c r="N172" s="23">
        <f>IFERROR(B172-K172, "NA")</f>
        <v>20073.949999999968</v>
      </c>
      <c r="O172" s="24">
        <f>IFERROR(N172/N445, "NA")</f>
        <v>0.88785427017215146</v>
      </c>
      <c r="P172" s="25"/>
      <c r="Q172" s="23">
        <f>IFERROR(Q124-Q171, "NA")</f>
        <v>373425.16000000003</v>
      </c>
      <c r="R172" s="24">
        <f>IFERROR(Q172/Q445, "NA")</f>
        <v>0.73278689377081863</v>
      </c>
      <c r="S172" s="25"/>
      <c r="T172" s="23">
        <f>IFERROR(T124-T171, "NA")</f>
        <v>352136.54999999993</v>
      </c>
      <c r="U172" s="24">
        <f>IFERROR(T172/T445, "NA")</f>
        <v>0.73514578237759742</v>
      </c>
      <c r="V172" s="25"/>
      <c r="W172" s="23">
        <f>IFERROR(Q172-T172, "NA")</f>
        <v>21288.610000000102</v>
      </c>
      <c r="X172" s="24">
        <f>IFERROR(W172/W445, "NA")</f>
        <v>0.69585379382751888</v>
      </c>
      <c r="Y172" s="25"/>
      <c r="Z172" s="23">
        <f>IFERROR(Z124-Z171, "NA")</f>
        <v>321162.58000000007</v>
      </c>
      <c r="AA172" s="24">
        <f>IFERROR(Z172/Z445, "NA")</f>
        <v>0.7189462369043137</v>
      </c>
      <c r="AB172" s="25"/>
      <c r="AC172" s="23">
        <f>IFERROR(Q172-Z172, "NA")</f>
        <v>52262.579999999958</v>
      </c>
      <c r="AD172" s="24">
        <f>IFERROR(AC172/AC445, "NA")</f>
        <v>0.83110930599278743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IFERROR(B175/B445, "NA")</f>
        <v>0</v>
      </c>
      <c r="D175" s="9"/>
      <c r="E175" s="7">
        <v>0</v>
      </c>
      <c r="F175" s="8">
        <f>IFERROR(E175/E445, "NA")</f>
        <v>0</v>
      </c>
      <c r="G175" s="9"/>
      <c r="H175" s="10">
        <f>IFERROR(-(B175-E175), "NA")</f>
        <v>0</v>
      </c>
      <c r="I175" s="8">
        <f>IFERROR(H175/H445, "NA")</f>
        <v>0</v>
      </c>
      <c r="J175" s="9"/>
      <c r="K175" s="7">
        <v>0</v>
      </c>
      <c r="L175" s="8">
        <f>IFERROR(K175/K445, "NA")</f>
        <v>0</v>
      </c>
      <c r="M175" s="9"/>
      <c r="N175" s="10">
        <f>IFERROR(-(B175-K175), "NA")</f>
        <v>0</v>
      </c>
      <c r="O175" s="8">
        <f>IFERROR(N175/N445, "NA")</f>
        <v>0</v>
      </c>
      <c r="P175" s="9"/>
      <c r="Q175" s="7">
        <v>0</v>
      </c>
      <c r="R175" s="8">
        <f>IFERROR(Q175/Q445, "NA")</f>
        <v>0</v>
      </c>
      <c r="S175" s="9"/>
      <c r="T175" s="7">
        <v>0</v>
      </c>
      <c r="U175" s="8">
        <f>IFERROR(T175/T445, "NA")</f>
        <v>0</v>
      </c>
      <c r="V175" s="9"/>
      <c r="W175" s="10">
        <f>IFERROR(-(Q175-T175), "NA")</f>
        <v>0</v>
      </c>
      <c r="X175" s="8">
        <f>IFERROR(W175/W445, "NA")</f>
        <v>0</v>
      </c>
      <c r="Y175" s="9"/>
      <c r="Z175" s="7">
        <v>0</v>
      </c>
      <c r="AA175" s="8">
        <f>IFERROR(Z175/Z445, "NA")</f>
        <v>0</v>
      </c>
      <c r="AB175" s="9"/>
      <c r="AC175" s="10">
        <f>IFERROR(-(Q175-Z175), "NA")</f>
        <v>0</v>
      </c>
      <c r="AD175" s="8">
        <f>IFERROR(AC175/AC445,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IFERROR(B177/B445, "NA")</f>
        <v>0</v>
      </c>
      <c r="D177" s="9"/>
      <c r="E177" s="7">
        <v>0</v>
      </c>
      <c r="F177" s="8">
        <f>IFERROR(E177/E445, "NA")</f>
        <v>0</v>
      </c>
      <c r="G177" s="9"/>
      <c r="H177" s="10">
        <f t="shared" ref="H177:H184" si="44">IFERROR(-(B177-E177), "NA")</f>
        <v>0</v>
      </c>
      <c r="I177" s="8">
        <f>IFERROR(H177/H445, "NA")</f>
        <v>0</v>
      </c>
      <c r="J177" s="9"/>
      <c r="K177" s="7">
        <v>0</v>
      </c>
      <c r="L177" s="8">
        <f>IFERROR(K177/K445, "NA")</f>
        <v>0</v>
      </c>
      <c r="M177" s="9"/>
      <c r="N177" s="10">
        <f t="shared" ref="N177:N184" si="45">IFERROR(-(B177-K177), "NA")</f>
        <v>0</v>
      </c>
      <c r="O177" s="8">
        <f>IFERROR(N177/N445, "NA")</f>
        <v>0</v>
      </c>
      <c r="P177" s="9"/>
      <c r="Q177" s="7">
        <v>0</v>
      </c>
      <c r="R177" s="8">
        <f>IFERROR(Q177/Q445, "NA")</f>
        <v>0</v>
      </c>
      <c r="S177" s="9"/>
      <c r="T177" s="7">
        <v>0</v>
      </c>
      <c r="U177" s="8">
        <f>IFERROR(T177/T445, "NA")</f>
        <v>0</v>
      </c>
      <c r="V177" s="9"/>
      <c r="W177" s="10">
        <f t="shared" ref="W177:W184" si="46">IFERROR(-(Q177-T177), "NA")</f>
        <v>0</v>
      </c>
      <c r="X177" s="8">
        <f>IFERROR(W177/W445, "NA")</f>
        <v>0</v>
      </c>
      <c r="Y177" s="9"/>
      <c r="Z177" s="7">
        <v>0</v>
      </c>
      <c r="AA177" s="8">
        <f>IFERROR(Z177/Z445, "NA")</f>
        <v>0</v>
      </c>
      <c r="AB177" s="9"/>
      <c r="AC177" s="10">
        <f t="shared" ref="AC177:AC184" si="47">IFERROR(-(Q177-Z177), "NA")</f>
        <v>0</v>
      </c>
      <c r="AD177" s="8">
        <f>IFERROR(AC177/AC445,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IFERROR(B178/B445, "NA")</f>
        <v>5.1640856157782959E-2</v>
      </c>
      <c r="D178" s="9"/>
      <c r="E178" s="7">
        <v>5640</v>
      </c>
      <c r="F178" s="8">
        <f>IFERROR(E178/E445, "NA")</f>
        <v>5.9540342223952131E-2</v>
      </c>
      <c r="G178" s="9"/>
      <c r="H178" s="10">
        <f t="shared" si="44"/>
        <v>0</v>
      </c>
      <c r="I178" s="8">
        <f>IFERROR(H178/H445, "NA")</f>
        <v>0</v>
      </c>
      <c r="J178" s="9"/>
      <c r="K178" s="7">
        <v>5640</v>
      </c>
      <c r="L178" s="8">
        <f>IFERROR(K178/K445, "NA")</f>
        <v>6.5122253174536654E-2</v>
      </c>
      <c r="M178" s="9"/>
      <c r="N178" s="10">
        <f t="shared" si="45"/>
        <v>0</v>
      </c>
      <c r="O178" s="8">
        <f>IFERROR(N178/N445, "NA")</f>
        <v>0</v>
      </c>
      <c r="P178" s="9"/>
      <c r="Q178" s="7">
        <v>29610</v>
      </c>
      <c r="R178" s="8">
        <f>IFERROR(Q178/Q445, "NA")</f>
        <v>5.8104868789649683E-2</v>
      </c>
      <c r="S178" s="9"/>
      <c r="T178" s="7">
        <v>29610</v>
      </c>
      <c r="U178" s="8">
        <f>IFERROR(T178/T445, "NA")</f>
        <v>6.1815981942802196E-2</v>
      </c>
      <c r="V178" s="9"/>
      <c r="W178" s="10">
        <f t="shared" si="46"/>
        <v>0</v>
      </c>
      <c r="X178" s="8">
        <f>IFERROR(W178/W445, "NA")</f>
        <v>0</v>
      </c>
      <c r="Y178" s="9"/>
      <c r="Z178" s="7">
        <v>29610</v>
      </c>
      <c r="AA178" s="8">
        <f>IFERROR(Z178/Z445, "NA")</f>
        <v>6.6284179416969194E-2</v>
      </c>
      <c r="AB178" s="9"/>
      <c r="AC178" s="10">
        <f t="shared" si="47"/>
        <v>0</v>
      </c>
      <c r="AD178" s="8">
        <f>IFERROR(AC178/AC445,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IFERROR(B179/B445, "NA")</f>
        <v>0</v>
      </c>
      <c r="D179" s="9"/>
      <c r="E179" s="7">
        <v>0</v>
      </c>
      <c r="F179" s="8">
        <f>IFERROR(E179/E445, "NA")</f>
        <v>0</v>
      </c>
      <c r="G179" s="9"/>
      <c r="H179" s="10">
        <f t="shared" si="44"/>
        <v>0</v>
      </c>
      <c r="I179" s="8">
        <f>IFERROR(H179/H445, "NA")</f>
        <v>0</v>
      </c>
      <c r="J179" s="9"/>
      <c r="K179" s="7">
        <v>0</v>
      </c>
      <c r="L179" s="8">
        <f>IFERROR(K179/K445, "NA")</f>
        <v>0</v>
      </c>
      <c r="M179" s="9"/>
      <c r="N179" s="10">
        <f t="shared" si="45"/>
        <v>0</v>
      </c>
      <c r="O179" s="8">
        <f>IFERROR(N179/N445, "NA")</f>
        <v>0</v>
      </c>
      <c r="P179" s="9"/>
      <c r="Q179" s="7">
        <v>0</v>
      </c>
      <c r="R179" s="8">
        <f>IFERROR(Q179/Q445, "NA")</f>
        <v>0</v>
      </c>
      <c r="S179" s="9"/>
      <c r="T179" s="7">
        <v>0</v>
      </c>
      <c r="U179" s="8">
        <f>IFERROR(T179/T445, "NA")</f>
        <v>0</v>
      </c>
      <c r="V179" s="9"/>
      <c r="W179" s="10">
        <f t="shared" si="46"/>
        <v>0</v>
      </c>
      <c r="X179" s="8">
        <f>IFERROR(W179/W445, "NA")</f>
        <v>0</v>
      </c>
      <c r="Y179" s="9"/>
      <c r="Z179" s="7">
        <v>0</v>
      </c>
      <c r="AA179" s="8">
        <f>IFERROR(Z179/Z445, "NA")</f>
        <v>0</v>
      </c>
      <c r="AB179" s="9"/>
      <c r="AC179" s="10">
        <f t="shared" si="47"/>
        <v>0</v>
      </c>
      <c r="AD179" s="8">
        <f>IFERROR(AC179/AC445, "NA")</f>
        <v>0</v>
      </c>
    </row>
    <row r="180" spans="1:30" ht="16.5" customHeight="1" x14ac:dyDescent="0.45">
      <c r="A180" s="12" t="s">
        <v>165</v>
      </c>
      <c r="B180" s="7">
        <v>20494.490000000002</v>
      </c>
      <c r="C180" s="8">
        <f>IFERROR(B180/B445, "NA")</f>
        <v>0.18765124292856761</v>
      </c>
      <c r="D180" s="9"/>
      <c r="E180" s="7">
        <v>20081.849999999999</v>
      </c>
      <c r="F180" s="8">
        <f>IFERROR(E180/E445, "NA")</f>
        <v>0.21200003927128952</v>
      </c>
      <c r="G180" s="9"/>
      <c r="H180" s="10">
        <f t="shared" si="44"/>
        <v>-412.64000000000306</v>
      </c>
      <c r="I180" s="8">
        <f>IFERROR(H180/H445, "NA")</f>
        <v>-2.8477256289785823E-2</v>
      </c>
      <c r="J180" s="9"/>
      <c r="K180" s="7">
        <v>19462</v>
      </c>
      <c r="L180" s="8">
        <f>IFERROR(K180/K445, "NA")</f>
        <v>0.22471795944731068</v>
      </c>
      <c r="M180" s="9"/>
      <c r="N180" s="10">
        <f t="shared" si="45"/>
        <v>-1032.4900000000016</v>
      </c>
      <c r="O180" s="8">
        <f>IFERROR(N180/N445, "NA")</f>
        <v>-4.5666182062326921E-2</v>
      </c>
      <c r="P180" s="9"/>
      <c r="Q180" s="7">
        <v>91935.89</v>
      </c>
      <c r="R180" s="8">
        <f>IFERROR(Q180/Q445, "NA")</f>
        <v>0.18040941659944837</v>
      </c>
      <c r="S180" s="9"/>
      <c r="T180" s="7">
        <v>97110.97</v>
      </c>
      <c r="U180" s="8">
        <f>IFERROR(T180/T445, "NA")</f>
        <v>0.20273589895197588</v>
      </c>
      <c r="V180" s="9"/>
      <c r="W180" s="10">
        <f t="shared" si="46"/>
        <v>5175.0800000000017</v>
      </c>
      <c r="X180" s="8">
        <f>IFERROR(W180/W445, "NA")</f>
        <v>0.16915613801750795</v>
      </c>
      <c r="Y180" s="9"/>
      <c r="Z180" s="7">
        <v>94623.09</v>
      </c>
      <c r="AA180" s="8">
        <f>IFERROR(Z180/Z445, "NA")</f>
        <v>0.2118207995456948</v>
      </c>
      <c r="AB180" s="9"/>
      <c r="AC180" s="10">
        <f t="shared" si="47"/>
        <v>2687.1999999999971</v>
      </c>
      <c r="AD180" s="8">
        <f>IFERROR(AC180/AC445, "NA")</f>
        <v>4.2733384518403375E-2</v>
      </c>
    </row>
    <row r="181" spans="1:30" ht="16.5" customHeight="1" x14ac:dyDescent="0.45">
      <c r="A181" s="12" t="s">
        <v>166</v>
      </c>
      <c r="B181" s="7">
        <v>42.45</v>
      </c>
      <c r="C181" s="8">
        <f>IFERROR(B181/B445, "NA")</f>
        <v>3.8867984820884513E-4</v>
      </c>
      <c r="D181" s="9"/>
      <c r="E181" s="7">
        <v>0</v>
      </c>
      <c r="F181" s="8">
        <f>IFERROR(E181/E445, "NA")</f>
        <v>0</v>
      </c>
      <c r="G181" s="9"/>
      <c r="H181" s="10">
        <f t="shared" si="44"/>
        <v>-42.45</v>
      </c>
      <c r="I181" s="8">
        <f>IFERROR(H181/H445, "NA")</f>
        <v>-2.9295742766125422E-3</v>
      </c>
      <c r="J181" s="9"/>
      <c r="K181" s="7">
        <v>-84.17</v>
      </c>
      <c r="L181" s="8">
        <f>IFERROR(K181/K445, "NA")</f>
        <v>-9.7186880313843084E-4</v>
      </c>
      <c r="M181" s="9"/>
      <c r="N181" s="10">
        <f t="shared" si="45"/>
        <v>-126.62</v>
      </c>
      <c r="O181" s="8">
        <f>IFERROR(N181/N445, "NA")</f>
        <v>-5.6002982815638175E-3</v>
      </c>
      <c r="P181" s="9"/>
      <c r="Q181" s="7">
        <v>475.85</v>
      </c>
      <c r="R181" s="8">
        <f>IFERROR(Q181/Q445, "NA")</f>
        <v>9.3377918992079711E-4</v>
      </c>
      <c r="S181" s="9"/>
      <c r="T181" s="7">
        <v>0</v>
      </c>
      <c r="U181" s="8">
        <f>IFERROR(T181/T445, "NA")</f>
        <v>0</v>
      </c>
      <c r="V181" s="9"/>
      <c r="W181" s="10">
        <f t="shared" si="46"/>
        <v>-475.85</v>
      </c>
      <c r="X181" s="8">
        <f>IFERROR(W181/W445, "NA")</f>
        <v>-1.5553952455929405E-2</v>
      </c>
      <c r="Y181" s="9"/>
      <c r="Z181" s="7">
        <v>971.64</v>
      </c>
      <c r="AA181" s="8">
        <f>IFERROR(Z181/Z445, "NA")</f>
        <v>2.1750881488923992E-3</v>
      </c>
      <c r="AB181" s="9"/>
      <c r="AC181" s="10">
        <f t="shared" si="47"/>
        <v>495.78999999999996</v>
      </c>
      <c r="AD181" s="8">
        <f>IFERROR(AC181/AC445, "NA")</f>
        <v>7.8843348877564862E-3</v>
      </c>
    </row>
    <row r="182" spans="1:30" ht="16.5" customHeight="1" x14ac:dyDescent="0.45">
      <c r="A182" s="13" t="s">
        <v>167</v>
      </c>
      <c r="B182" s="14">
        <f>IFERROR(B177+B178+B179+B180+B181, "NA")</f>
        <v>26176.940000000002</v>
      </c>
      <c r="C182" s="15">
        <f>IFERROR(B182/B445, "NA")</f>
        <v>0.23968077893455941</v>
      </c>
      <c r="D182" s="2"/>
      <c r="E182" s="14">
        <f>IFERROR(E177+E178+E179+E180+E181, "NA")</f>
        <v>25721.85</v>
      </c>
      <c r="F182" s="15">
        <f>IFERROR(E182/E445, "NA")</f>
        <v>0.27154038149524168</v>
      </c>
      <c r="G182" s="2"/>
      <c r="H182" s="14">
        <f t="shared" si="44"/>
        <v>-455.09000000000378</v>
      </c>
      <c r="I182" s="15">
        <f>IFERROR(H182/H445, "NA")</f>
        <v>-3.1406830566398418E-2</v>
      </c>
      <c r="J182" s="2"/>
      <c r="K182" s="14">
        <f>IFERROR(K177+K178+K179+K180+K181, "NA")</f>
        <v>25017.83</v>
      </c>
      <c r="L182" s="15">
        <f>IFERROR(K182/K445, "NA")</f>
        <v>0.28886834381870891</v>
      </c>
      <c r="M182" s="2"/>
      <c r="N182" s="14">
        <f t="shared" si="45"/>
        <v>-1159.1100000000006</v>
      </c>
      <c r="O182" s="15">
        <f>IFERROR(N182/N445, "NA")</f>
        <v>-5.1266480343890697E-2</v>
      </c>
      <c r="P182" s="2"/>
      <c r="Q182" s="14">
        <f>IFERROR(Q177+Q178+Q179+Q180+Q181, "NA")</f>
        <v>122021.74</v>
      </c>
      <c r="R182" s="15">
        <f>IFERROR(Q182/Q445, "NA")</f>
        <v>0.23944806457901888</v>
      </c>
      <c r="S182" s="2"/>
      <c r="T182" s="14">
        <f>IFERROR(T177+T178+T179+T180+T181, "NA")</f>
        <v>126720.97</v>
      </c>
      <c r="U182" s="15">
        <f>IFERROR(T182/T445, "NA")</f>
        <v>0.2645518808947781</v>
      </c>
      <c r="V182" s="2"/>
      <c r="W182" s="14">
        <f t="shared" si="46"/>
        <v>4699.2299999999959</v>
      </c>
      <c r="X182" s="15">
        <f>IFERROR(W182/W445, "NA")</f>
        <v>0.15360218556157837</v>
      </c>
      <c r="Y182" s="2"/>
      <c r="Z182" s="14">
        <f>IFERROR(Z177+Z178+Z179+Z180+Z181, "NA")</f>
        <v>125204.73</v>
      </c>
      <c r="AA182" s="15">
        <f>IFERROR(Z182/Z445, "NA")</f>
        <v>0.2802800671115564</v>
      </c>
      <c r="AB182" s="2"/>
      <c r="AC182" s="14">
        <f t="shared" si="47"/>
        <v>3182.9899999999907</v>
      </c>
      <c r="AD182" s="15">
        <f>IFERROR(AC182/AC445, "NA")</f>
        <v>5.0617719406159757E-2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IFERROR(B183/B445, "NA")</f>
        <v>0</v>
      </c>
      <c r="D183" s="9"/>
      <c r="E183" s="7">
        <v>0</v>
      </c>
      <c r="F183" s="8">
        <f>IFERROR(E183/E445, "NA")</f>
        <v>0</v>
      </c>
      <c r="G183" s="9"/>
      <c r="H183" s="10">
        <f t="shared" si="44"/>
        <v>0</v>
      </c>
      <c r="I183" s="8">
        <f>IFERROR(H183/H445, "NA")</f>
        <v>0</v>
      </c>
      <c r="J183" s="9"/>
      <c r="K183" s="7">
        <v>0</v>
      </c>
      <c r="L183" s="8">
        <f>IFERROR(K183/K445, "NA")</f>
        <v>0</v>
      </c>
      <c r="M183" s="9"/>
      <c r="N183" s="10">
        <f t="shared" si="45"/>
        <v>0</v>
      </c>
      <c r="O183" s="8">
        <f>IFERROR(N183/N445, "NA")</f>
        <v>0</v>
      </c>
      <c r="P183" s="9"/>
      <c r="Q183" s="7">
        <v>0</v>
      </c>
      <c r="R183" s="8">
        <f>IFERROR(Q183/Q445, "NA")</f>
        <v>0</v>
      </c>
      <c r="S183" s="9"/>
      <c r="T183" s="7">
        <v>0</v>
      </c>
      <c r="U183" s="8">
        <f>IFERROR(T183/T445, "NA")</f>
        <v>0</v>
      </c>
      <c r="V183" s="9"/>
      <c r="W183" s="10">
        <f t="shared" si="46"/>
        <v>0</v>
      </c>
      <c r="X183" s="8">
        <f>IFERROR(W183/W445, "NA")</f>
        <v>0</v>
      </c>
      <c r="Y183" s="9"/>
      <c r="Z183" s="7">
        <v>0</v>
      </c>
      <c r="AA183" s="8">
        <f>IFERROR(Z183/Z445, "NA")</f>
        <v>0</v>
      </c>
      <c r="AB183" s="9"/>
      <c r="AC183" s="10">
        <f t="shared" si="47"/>
        <v>0</v>
      </c>
      <c r="AD183" s="8">
        <f>IFERROR(AC183/AC445, "NA")</f>
        <v>0</v>
      </c>
    </row>
    <row r="184" spans="1:30" ht="16.5" customHeight="1" x14ac:dyDescent="0.45">
      <c r="A184" s="6" t="s">
        <v>169</v>
      </c>
      <c r="B184" s="7">
        <v>1159</v>
      </c>
      <c r="C184" s="8">
        <f>IFERROR(B184/B445, "NA")</f>
        <v>1.0612012816821002E-2</v>
      </c>
      <c r="D184" s="9"/>
      <c r="E184" s="7">
        <v>292.5</v>
      </c>
      <c r="F184" s="8">
        <f>IFERROR(E184/E445, "NA")</f>
        <v>3.0878634929975171E-3</v>
      </c>
      <c r="G184" s="9"/>
      <c r="H184" s="10">
        <f t="shared" si="44"/>
        <v>-866.5</v>
      </c>
      <c r="I184" s="8">
        <f>IFERROR(H184/H445, "NA")</f>
        <v>-5.9799201665129975E-2</v>
      </c>
      <c r="J184" s="9"/>
      <c r="K184" s="7">
        <v>500</v>
      </c>
      <c r="L184" s="8">
        <f>IFERROR(K184/K445, "NA")</f>
        <v>5.7732493949057308E-3</v>
      </c>
      <c r="M184" s="9"/>
      <c r="N184" s="10">
        <f t="shared" si="45"/>
        <v>-659</v>
      </c>
      <c r="O184" s="8">
        <f>IFERROR(N184/N445, "NA")</f>
        <v>-2.9147027069582655E-2</v>
      </c>
      <c r="P184" s="9"/>
      <c r="Q184" s="7">
        <v>1461</v>
      </c>
      <c r="R184" s="8">
        <f>IFERROR(Q184/Q445, "NA")</f>
        <v>2.8669778217385406E-3</v>
      </c>
      <c r="S184" s="9"/>
      <c r="T184" s="7">
        <v>1592.5</v>
      </c>
      <c r="U184" s="8">
        <f>IFERROR(T184/T445, "NA")</f>
        <v>3.3246184141814419E-3</v>
      </c>
      <c r="V184" s="9"/>
      <c r="W184" s="10">
        <f t="shared" si="46"/>
        <v>131.5</v>
      </c>
      <c r="X184" s="8">
        <f>IFERROR(W184/W445, "NA")</f>
        <v>4.298297253240972E-3</v>
      </c>
      <c r="Y184" s="9"/>
      <c r="Z184" s="7">
        <v>2500</v>
      </c>
      <c r="AA184" s="8">
        <f>IFERROR(Z184/Z445, "NA")</f>
        <v>5.5964352766775744E-3</v>
      </c>
      <c r="AB184" s="9"/>
      <c r="AC184" s="10">
        <f t="shared" si="47"/>
        <v>1039</v>
      </c>
      <c r="AD184" s="8">
        <f>IFERROR(AC184/AC445, "NA")</f>
        <v>1.652276961693255E-2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2453.73</v>
      </c>
      <c r="C186" s="8">
        <f>IFERROR(B186/B445, "NA")</f>
        <v>2.2466793968091626E-2</v>
      </c>
      <c r="D186" s="9"/>
      <c r="E186" s="7">
        <v>2410.5700000000002</v>
      </c>
      <c r="F186" s="8">
        <f>IFERROR(E186/E445, "NA")</f>
        <v>2.5447901197658208E-2</v>
      </c>
      <c r="G186" s="9"/>
      <c r="H186" s="10">
        <f t="shared" ref="H186:H197" si="48">IFERROR(-(B186-E186), "NA")</f>
        <v>-43.159999999999854</v>
      </c>
      <c r="I186" s="8">
        <f>IFERROR(H186/H445, "NA")</f>
        <v>-2.9785730454321997E-3</v>
      </c>
      <c r="J186" s="9"/>
      <c r="K186" s="7">
        <v>2203.9499999999998</v>
      </c>
      <c r="L186" s="8">
        <f>IFERROR(K186/K445, "NA")</f>
        <v>2.5447906007804971E-2</v>
      </c>
      <c r="M186" s="9"/>
      <c r="N186" s="10">
        <f t="shared" ref="N186:N197" si="49">IFERROR(-(B186-K186), "NA")</f>
        <v>-249.7800000000002</v>
      </c>
      <c r="O186" s="8">
        <f>IFERROR(N186/N445, "NA")</f>
        <v>-1.1047563613718302E-2</v>
      </c>
      <c r="P186" s="9"/>
      <c r="Q186" s="7">
        <v>11240.56</v>
      </c>
      <c r="R186" s="8">
        <f>IFERROR(Q186/Q445, "NA")</f>
        <v>2.2057793445531396E-2</v>
      </c>
      <c r="S186" s="9"/>
      <c r="T186" s="7">
        <v>12240.09</v>
      </c>
      <c r="U186" s="8">
        <f>IFERROR(T186/T445, "NA")</f>
        <v>2.5553298967182496E-2</v>
      </c>
      <c r="V186" s="9"/>
      <c r="W186" s="10">
        <f t="shared" ref="W186:W197" si="50">IFERROR(-(Q186-T186), "NA")</f>
        <v>999.53000000000065</v>
      </c>
      <c r="X186" s="8">
        <f>IFERROR(W186/W445, "NA")</f>
        <v>3.2671308391877957E-2</v>
      </c>
      <c r="Y186" s="9"/>
      <c r="Z186" s="7">
        <v>11416.14</v>
      </c>
      <c r="AA186" s="8">
        <f>IFERROR(Z186/Z445, "NA")</f>
        <v>2.5555875447795969E-2</v>
      </c>
      <c r="AB186" s="9"/>
      <c r="AC186" s="10">
        <f t="shared" ref="AC186:AC197" si="51">IFERROR(-(Q186-Z186), "NA")</f>
        <v>175.57999999999993</v>
      </c>
      <c r="AD186" s="8">
        <f>IFERROR(AC186/AC445, "NA")</f>
        <v>2.7921731369980906E-3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IFERROR(B187/B445, "NA")</f>
        <v>0</v>
      </c>
      <c r="D187" s="9"/>
      <c r="E187" s="7">
        <v>0</v>
      </c>
      <c r="F187" s="8">
        <f>IFERROR(E187/E445, "NA")</f>
        <v>0</v>
      </c>
      <c r="G187" s="9"/>
      <c r="H187" s="10">
        <f t="shared" si="48"/>
        <v>0</v>
      </c>
      <c r="I187" s="8">
        <f>IFERROR(H187/H445, "NA")</f>
        <v>0</v>
      </c>
      <c r="J187" s="9"/>
      <c r="K187" s="7">
        <v>0</v>
      </c>
      <c r="L187" s="8">
        <f>IFERROR(K187/K445, "NA")</f>
        <v>0</v>
      </c>
      <c r="M187" s="9"/>
      <c r="N187" s="10">
        <f t="shared" si="49"/>
        <v>0</v>
      </c>
      <c r="O187" s="8">
        <f>IFERROR(N187/N445, "NA")</f>
        <v>0</v>
      </c>
      <c r="P187" s="9"/>
      <c r="Q187" s="7">
        <v>0</v>
      </c>
      <c r="R187" s="8">
        <f>IFERROR(Q187/Q445, "NA")</f>
        <v>0</v>
      </c>
      <c r="S187" s="9"/>
      <c r="T187" s="7">
        <v>0</v>
      </c>
      <c r="U187" s="8">
        <f>IFERROR(T187/T445, "NA")</f>
        <v>0</v>
      </c>
      <c r="V187" s="9"/>
      <c r="W187" s="10">
        <f t="shared" si="50"/>
        <v>0</v>
      </c>
      <c r="X187" s="8">
        <f>IFERROR(W187/W445, "NA")</f>
        <v>0</v>
      </c>
      <c r="Y187" s="9"/>
      <c r="Z187" s="7">
        <v>0</v>
      </c>
      <c r="AA187" s="8">
        <f>IFERROR(Z187/Z445, "NA")</f>
        <v>0</v>
      </c>
      <c r="AB187" s="9"/>
      <c r="AC187" s="10">
        <f t="shared" si="51"/>
        <v>0</v>
      </c>
      <c r="AD187" s="8">
        <f>IFERROR(AC187/AC445,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IFERROR(B188/B445, "NA")</f>
        <v>0</v>
      </c>
      <c r="D188" s="9"/>
      <c r="E188" s="7">
        <v>0</v>
      </c>
      <c r="F188" s="8">
        <f>IFERROR(E188/E445, "NA")</f>
        <v>0</v>
      </c>
      <c r="G188" s="9"/>
      <c r="H188" s="10">
        <f t="shared" si="48"/>
        <v>0</v>
      </c>
      <c r="I188" s="8">
        <f>IFERROR(H188/H445, "NA")</f>
        <v>0</v>
      </c>
      <c r="J188" s="9"/>
      <c r="K188" s="7">
        <v>0</v>
      </c>
      <c r="L188" s="8">
        <f>IFERROR(K188/K445, "NA")</f>
        <v>0</v>
      </c>
      <c r="M188" s="9"/>
      <c r="N188" s="10">
        <f t="shared" si="49"/>
        <v>0</v>
      </c>
      <c r="O188" s="8">
        <f>IFERROR(N188/N445, "NA")</f>
        <v>0</v>
      </c>
      <c r="P188" s="9"/>
      <c r="Q188" s="7">
        <v>0</v>
      </c>
      <c r="R188" s="8">
        <f>IFERROR(Q188/Q445, "NA")</f>
        <v>0</v>
      </c>
      <c r="S188" s="9"/>
      <c r="T188" s="7">
        <v>0</v>
      </c>
      <c r="U188" s="8">
        <f>IFERROR(T188/T445, "NA")</f>
        <v>0</v>
      </c>
      <c r="V188" s="9"/>
      <c r="W188" s="10">
        <f t="shared" si="50"/>
        <v>0</v>
      </c>
      <c r="X188" s="8">
        <f>IFERROR(W188/W445, "NA")</f>
        <v>0</v>
      </c>
      <c r="Y188" s="9"/>
      <c r="Z188" s="7">
        <v>0</v>
      </c>
      <c r="AA188" s="8">
        <f>IFERROR(Z188/Z445, "NA")</f>
        <v>0</v>
      </c>
      <c r="AB188" s="9"/>
      <c r="AC188" s="10">
        <f t="shared" si="51"/>
        <v>0</v>
      </c>
      <c r="AD188" s="8">
        <f>IFERROR(AC188/AC445,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IFERROR(B189/B445, "NA")</f>
        <v>0</v>
      </c>
      <c r="D189" s="9"/>
      <c r="E189" s="7">
        <v>0</v>
      </c>
      <c r="F189" s="8">
        <f>IFERROR(E189/E445, "NA")</f>
        <v>0</v>
      </c>
      <c r="G189" s="9"/>
      <c r="H189" s="10">
        <f t="shared" si="48"/>
        <v>0</v>
      </c>
      <c r="I189" s="8">
        <f>IFERROR(H189/H445, "NA")</f>
        <v>0</v>
      </c>
      <c r="J189" s="9"/>
      <c r="K189" s="7">
        <v>0</v>
      </c>
      <c r="L189" s="8">
        <f>IFERROR(K189/K445, "NA")</f>
        <v>0</v>
      </c>
      <c r="M189" s="9"/>
      <c r="N189" s="10">
        <f t="shared" si="49"/>
        <v>0</v>
      </c>
      <c r="O189" s="8">
        <f>IFERROR(N189/N445, "NA")</f>
        <v>0</v>
      </c>
      <c r="P189" s="9"/>
      <c r="Q189" s="7">
        <v>0</v>
      </c>
      <c r="R189" s="8">
        <f>IFERROR(Q189/Q445, "NA")</f>
        <v>0</v>
      </c>
      <c r="S189" s="9"/>
      <c r="T189" s="7">
        <v>0</v>
      </c>
      <c r="U189" s="8">
        <f>IFERROR(T189/T445, "NA")</f>
        <v>0</v>
      </c>
      <c r="V189" s="9"/>
      <c r="W189" s="10">
        <f t="shared" si="50"/>
        <v>0</v>
      </c>
      <c r="X189" s="8">
        <f>IFERROR(W189/W445, "NA")</f>
        <v>0</v>
      </c>
      <c r="Y189" s="9"/>
      <c r="Z189" s="7">
        <v>0</v>
      </c>
      <c r="AA189" s="8">
        <f>IFERROR(Z189/Z445, "NA")</f>
        <v>0</v>
      </c>
      <c r="AB189" s="9"/>
      <c r="AC189" s="10">
        <f t="shared" si="51"/>
        <v>0</v>
      </c>
      <c r="AD189" s="8">
        <f>IFERROR(AC189/AC445,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IFERROR(B190/B445, "NA")</f>
        <v>0</v>
      </c>
      <c r="D190" s="9"/>
      <c r="E190" s="7">
        <v>0</v>
      </c>
      <c r="F190" s="8">
        <f>IFERROR(E190/E445, "NA")</f>
        <v>0</v>
      </c>
      <c r="G190" s="9"/>
      <c r="H190" s="10">
        <f t="shared" si="48"/>
        <v>0</v>
      </c>
      <c r="I190" s="8">
        <f>IFERROR(H190/H445, "NA")</f>
        <v>0</v>
      </c>
      <c r="J190" s="9"/>
      <c r="K190" s="7">
        <v>0</v>
      </c>
      <c r="L190" s="8">
        <f>IFERROR(K190/K445, "NA")</f>
        <v>0</v>
      </c>
      <c r="M190" s="9"/>
      <c r="N190" s="10">
        <f t="shared" si="49"/>
        <v>0</v>
      </c>
      <c r="O190" s="8">
        <f>IFERROR(N190/N445, "NA")</f>
        <v>0</v>
      </c>
      <c r="P190" s="9"/>
      <c r="Q190" s="7">
        <v>0</v>
      </c>
      <c r="R190" s="8">
        <f>IFERROR(Q190/Q445, "NA")</f>
        <v>0</v>
      </c>
      <c r="S190" s="9"/>
      <c r="T190" s="7">
        <v>0</v>
      </c>
      <c r="U190" s="8">
        <f>IFERROR(T190/T445, "NA")</f>
        <v>0</v>
      </c>
      <c r="V190" s="9"/>
      <c r="W190" s="10">
        <f t="shared" si="50"/>
        <v>0</v>
      </c>
      <c r="X190" s="8">
        <f>IFERROR(W190/W445, "NA")</f>
        <v>0</v>
      </c>
      <c r="Y190" s="9"/>
      <c r="Z190" s="7">
        <v>0</v>
      </c>
      <c r="AA190" s="8">
        <f>IFERROR(Z190/Z445, "NA")</f>
        <v>0</v>
      </c>
      <c r="AB190" s="9"/>
      <c r="AC190" s="10">
        <f t="shared" si="51"/>
        <v>0</v>
      </c>
      <c r="AD190" s="8">
        <f>IFERROR(AC190/AC445,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IFERROR(B191/B445, "NA")</f>
        <v>0</v>
      </c>
      <c r="D191" s="9"/>
      <c r="E191" s="7">
        <v>0</v>
      </c>
      <c r="F191" s="8">
        <f>IFERROR(E191/E445, "NA")</f>
        <v>0</v>
      </c>
      <c r="G191" s="9"/>
      <c r="H191" s="10">
        <f t="shared" si="48"/>
        <v>0</v>
      </c>
      <c r="I191" s="8">
        <f>IFERROR(H191/H445, "NA")</f>
        <v>0</v>
      </c>
      <c r="J191" s="9"/>
      <c r="K191" s="7">
        <v>0</v>
      </c>
      <c r="L191" s="8">
        <f>IFERROR(K191/K445, "NA")</f>
        <v>0</v>
      </c>
      <c r="M191" s="9"/>
      <c r="N191" s="10">
        <f t="shared" si="49"/>
        <v>0</v>
      </c>
      <c r="O191" s="8">
        <f>IFERROR(N191/N445, "NA")</f>
        <v>0</v>
      </c>
      <c r="P191" s="9"/>
      <c r="Q191" s="7">
        <v>0</v>
      </c>
      <c r="R191" s="8">
        <f>IFERROR(Q191/Q445, "NA")</f>
        <v>0</v>
      </c>
      <c r="S191" s="9"/>
      <c r="T191" s="7">
        <v>0</v>
      </c>
      <c r="U191" s="8">
        <f>IFERROR(T191/T445, "NA")</f>
        <v>0</v>
      </c>
      <c r="V191" s="9"/>
      <c r="W191" s="10">
        <f t="shared" si="50"/>
        <v>0</v>
      </c>
      <c r="X191" s="8">
        <f>IFERROR(W191/W445, "NA")</f>
        <v>0</v>
      </c>
      <c r="Y191" s="9"/>
      <c r="Z191" s="7">
        <v>0</v>
      </c>
      <c r="AA191" s="8">
        <f>IFERROR(Z191/Z445, "NA")</f>
        <v>0</v>
      </c>
      <c r="AB191" s="9"/>
      <c r="AC191" s="10">
        <f t="shared" si="51"/>
        <v>0</v>
      </c>
      <c r="AD191" s="8">
        <f>IFERROR(AC191/AC445,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IFERROR(B192/B445, "NA")</f>
        <v>0</v>
      </c>
      <c r="D192" s="9"/>
      <c r="E192" s="7">
        <v>0</v>
      </c>
      <c r="F192" s="8">
        <f>IFERROR(E192/E445, "NA")</f>
        <v>0</v>
      </c>
      <c r="G192" s="9"/>
      <c r="H192" s="10">
        <f t="shared" si="48"/>
        <v>0</v>
      </c>
      <c r="I192" s="8">
        <f>IFERROR(H192/H445, "NA")</f>
        <v>0</v>
      </c>
      <c r="J192" s="9"/>
      <c r="K192" s="7">
        <v>0</v>
      </c>
      <c r="L192" s="8">
        <f>IFERROR(K192/K445, "NA")</f>
        <v>0</v>
      </c>
      <c r="M192" s="9"/>
      <c r="N192" s="10">
        <f t="shared" si="49"/>
        <v>0</v>
      </c>
      <c r="O192" s="8">
        <f>IFERROR(N192/N445, "NA")</f>
        <v>0</v>
      </c>
      <c r="P192" s="9"/>
      <c r="Q192" s="7">
        <v>0</v>
      </c>
      <c r="R192" s="8">
        <f>IFERROR(Q192/Q445, "NA")</f>
        <v>0</v>
      </c>
      <c r="S192" s="9"/>
      <c r="T192" s="7">
        <v>0</v>
      </c>
      <c r="U192" s="8">
        <f>IFERROR(T192/T445, "NA")</f>
        <v>0</v>
      </c>
      <c r="V192" s="9"/>
      <c r="W192" s="10">
        <f t="shared" si="50"/>
        <v>0</v>
      </c>
      <c r="X192" s="8">
        <f>IFERROR(W192/W445, "NA")</f>
        <v>0</v>
      </c>
      <c r="Y192" s="9"/>
      <c r="Z192" s="7">
        <v>0</v>
      </c>
      <c r="AA192" s="8">
        <f>IFERROR(Z192/Z445, "NA")</f>
        <v>0</v>
      </c>
      <c r="AB192" s="9"/>
      <c r="AC192" s="10">
        <f t="shared" si="51"/>
        <v>0</v>
      </c>
      <c r="AD192" s="8">
        <f>IFERROR(AC192/AC445,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2453.73</v>
      </c>
      <c r="C193" s="15">
        <f>IFERROR(B193/B445, "NA")</f>
        <v>2.2466793968091626E-2</v>
      </c>
      <c r="D193" s="2"/>
      <c r="E193" s="14">
        <f>IFERROR(E186+E187+E188+E189+E190+E191+E192, "NA")</f>
        <v>2410.5700000000002</v>
      </c>
      <c r="F193" s="15">
        <f>IFERROR(E193/E445, "NA")</f>
        <v>2.5447901197658208E-2</v>
      </c>
      <c r="G193" s="2"/>
      <c r="H193" s="14">
        <f t="shared" si="48"/>
        <v>-43.159999999999854</v>
      </c>
      <c r="I193" s="15">
        <f>IFERROR(H193/H445, "NA")</f>
        <v>-2.9785730454321997E-3</v>
      </c>
      <c r="J193" s="2"/>
      <c r="K193" s="14">
        <f>IFERROR(K186+K187+K188+K189+K190+K191+K192, "NA")</f>
        <v>2203.9499999999998</v>
      </c>
      <c r="L193" s="15">
        <f>IFERROR(K193/K445, "NA")</f>
        <v>2.5447906007804971E-2</v>
      </c>
      <c r="M193" s="2"/>
      <c r="N193" s="14">
        <f t="shared" si="49"/>
        <v>-249.7800000000002</v>
      </c>
      <c r="O193" s="15">
        <f>IFERROR(N193/N445, "NA")</f>
        <v>-1.1047563613718302E-2</v>
      </c>
      <c r="P193" s="2"/>
      <c r="Q193" s="14">
        <f>IFERROR(Q186+Q187+Q188+Q189+Q190+Q191+Q192, "NA")</f>
        <v>11240.56</v>
      </c>
      <c r="R193" s="15">
        <f>IFERROR(Q193/Q445, "NA")</f>
        <v>2.2057793445531396E-2</v>
      </c>
      <c r="S193" s="2"/>
      <c r="T193" s="14">
        <f>IFERROR(T186+T187+T188+T189+T190+T191+T192, "NA")</f>
        <v>12240.09</v>
      </c>
      <c r="U193" s="15">
        <f>IFERROR(T193/T445, "NA")</f>
        <v>2.5553298967182496E-2</v>
      </c>
      <c r="V193" s="2"/>
      <c r="W193" s="14">
        <f t="shared" si="50"/>
        <v>999.53000000000065</v>
      </c>
      <c r="X193" s="15">
        <f>IFERROR(W193/W445, "NA")</f>
        <v>3.2671308391877957E-2</v>
      </c>
      <c r="Y193" s="2"/>
      <c r="Z193" s="14">
        <f>IFERROR(Z186+Z187+Z188+Z189+Z190+Z191+Z192, "NA")</f>
        <v>11416.14</v>
      </c>
      <c r="AA193" s="15">
        <f>IFERROR(Z193/Z445, "NA")</f>
        <v>2.5555875447795969E-2</v>
      </c>
      <c r="AB193" s="2"/>
      <c r="AC193" s="14">
        <f t="shared" si="51"/>
        <v>175.57999999999993</v>
      </c>
      <c r="AD193" s="15">
        <f>IFERROR(AC193/AC445, "NA")</f>
        <v>2.7921731369980906E-3</v>
      </c>
    </row>
    <row r="194" spans="1:30" ht="16.5" customHeight="1" x14ac:dyDescent="0.45">
      <c r="A194" s="6" t="s">
        <v>178</v>
      </c>
      <c r="B194" s="7">
        <v>239.12</v>
      </c>
      <c r="C194" s="8">
        <f>IFERROR(B194/B445, "NA")</f>
        <v>2.1894258022072803E-3</v>
      </c>
      <c r="D194" s="9"/>
      <c r="E194" s="7">
        <v>208.11</v>
      </c>
      <c r="F194" s="8">
        <f>IFERROR(E194/E445, "NA")</f>
        <v>2.1969752872742338E-3</v>
      </c>
      <c r="G194" s="9"/>
      <c r="H194" s="10">
        <f t="shared" si="48"/>
        <v>-31.009999999999991</v>
      </c>
      <c r="I194" s="8">
        <f>IFERROR(H194/H445, "NA")</f>
        <v>-2.1400729874618352E-3</v>
      </c>
      <c r="J194" s="9"/>
      <c r="K194" s="7">
        <v>248</v>
      </c>
      <c r="L194" s="8">
        <f>IFERROR(K194/K445, "NA")</f>
        <v>2.8635316998732426E-3</v>
      </c>
      <c r="M194" s="9"/>
      <c r="N194" s="10">
        <f t="shared" si="49"/>
        <v>8.8799999999999955</v>
      </c>
      <c r="O194" s="8">
        <f>IFERROR(N194/N445, "NA")</f>
        <v>3.9275508403322282E-4</v>
      </c>
      <c r="P194" s="9"/>
      <c r="Q194" s="7">
        <v>1309.94</v>
      </c>
      <c r="R194" s="8">
        <f>IFERROR(Q194/Q445, "NA")</f>
        <v>2.5705468362821247E-3</v>
      </c>
      <c r="S194" s="9"/>
      <c r="T194" s="7">
        <v>1026.51</v>
      </c>
      <c r="U194" s="8">
        <f>IFERROR(T194/T445, "NA")</f>
        <v>2.1430166708580169E-3</v>
      </c>
      <c r="V194" s="9"/>
      <c r="W194" s="10">
        <f t="shared" si="50"/>
        <v>-283.43000000000006</v>
      </c>
      <c r="X194" s="8">
        <f>IFERROR(W194/W445, "NA")</f>
        <v>-9.2643831976128438E-3</v>
      </c>
      <c r="Y194" s="9"/>
      <c r="Z194" s="7">
        <v>1338</v>
      </c>
      <c r="AA194" s="8">
        <f>IFERROR(Z194/Z445, "NA")</f>
        <v>2.9952121600778378E-3</v>
      </c>
      <c r="AB194" s="9"/>
      <c r="AC194" s="10">
        <f t="shared" si="51"/>
        <v>28.059999999999945</v>
      </c>
      <c r="AD194" s="8">
        <f>IFERROR(AC194/AC445, "NA")</f>
        <v>4.4622609764304765E-4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IFERROR(B195/B445, "NA")</f>
        <v>0</v>
      </c>
      <c r="D195" s="9"/>
      <c r="E195" s="7">
        <v>0</v>
      </c>
      <c r="F195" s="8">
        <f>IFERROR(E195/E445, "NA")</f>
        <v>0</v>
      </c>
      <c r="G195" s="9"/>
      <c r="H195" s="10">
        <f t="shared" si="48"/>
        <v>0</v>
      </c>
      <c r="I195" s="8">
        <f>IFERROR(H195/H445, "NA")</f>
        <v>0</v>
      </c>
      <c r="J195" s="9"/>
      <c r="K195" s="7">
        <v>0</v>
      </c>
      <c r="L195" s="8">
        <f>IFERROR(K195/K445, "NA")</f>
        <v>0</v>
      </c>
      <c r="M195" s="9"/>
      <c r="N195" s="10">
        <f t="shared" si="49"/>
        <v>0</v>
      </c>
      <c r="O195" s="8">
        <f>IFERROR(N195/N445, "NA")</f>
        <v>0</v>
      </c>
      <c r="P195" s="9"/>
      <c r="Q195" s="7">
        <v>0</v>
      </c>
      <c r="R195" s="8">
        <f>IFERROR(Q195/Q445, "NA")</f>
        <v>0</v>
      </c>
      <c r="S195" s="9"/>
      <c r="T195" s="7">
        <v>0</v>
      </c>
      <c r="U195" s="8">
        <f>IFERROR(T195/T445, "NA")</f>
        <v>0</v>
      </c>
      <c r="V195" s="9"/>
      <c r="W195" s="10">
        <f t="shared" si="50"/>
        <v>0</v>
      </c>
      <c r="X195" s="8">
        <f>IFERROR(W195/W445, "NA")</f>
        <v>0</v>
      </c>
      <c r="Y195" s="9"/>
      <c r="Z195" s="7">
        <v>0</v>
      </c>
      <c r="AA195" s="8">
        <f>IFERROR(Z195/Z445, "NA")</f>
        <v>0</v>
      </c>
      <c r="AB195" s="9"/>
      <c r="AC195" s="10">
        <f t="shared" si="51"/>
        <v>0</v>
      </c>
      <c r="AD195" s="8">
        <f>IFERROR(AC195/AC445,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30028.79</v>
      </c>
      <c r="C196" s="15">
        <f>IFERROR(B196/B445, "NA")</f>
        <v>0.27494901152167933</v>
      </c>
      <c r="D196" s="2"/>
      <c r="E196" s="14">
        <f>IFERROR(E175+E177+E178+E179+E180+E181+E183+E184+E186+E187+E188+E189+E190+E191+E192+E194+E195, "NA")</f>
        <v>28633.03</v>
      </c>
      <c r="F196" s="15">
        <f>IFERROR(E196/E445, "NA")</f>
        <v>0.30227312147317165</v>
      </c>
      <c r="G196" s="2"/>
      <c r="H196" s="14">
        <f t="shared" si="48"/>
        <v>-1395.760000000002</v>
      </c>
      <c r="I196" s="15">
        <f>IFERROR(H196/H445, "NA")</f>
        <v>-9.6324678264422314E-2</v>
      </c>
      <c r="J196" s="2"/>
      <c r="K196" s="14">
        <f>IFERROR(K175+K177+K178+K179+K180+K181+K183+K184+K186+K187+K188+K189+K190+K191+K192+K194+K195, "NA")</f>
        <v>27969.780000000002</v>
      </c>
      <c r="L196" s="15">
        <f>IFERROR(K196/K445, "NA")</f>
        <v>0.32295303092129285</v>
      </c>
      <c r="M196" s="2"/>
      <c r="N196" s="14">
        <f t="shared" si="49"/>
        <v>-2059.0099999999984</v>
      </c>
      <c r="O196" s="15">
        <f>IFERROR(N196/N445, "NA")</f>
        <v>-9.1068315943158326E-2</v>
      </c>
      <c r="P196" s="2"/>
      <c r="Q196" s="14">
        <f>IFERROR(Q175+Q177+Q178+Q179+Q180+Q181+Q183+Q184+Q186+Q187+Q188+Q189+Q190+Q191+Q192+Q194+Q195, "NA")</f>
        <v>136033.24000000002</v>
      </c>
      <c r="R196" s="15">
        <f>IFERROR(Q196/Q445, "NA")</f>
        <v>0.26694338268257095</v>
      </c>
      <c r="S196" s="2"/>
      <c r="T196" s="14">
        <f>IFERROR(T175+T177+T178+T179+T180+T181+T183+T184+T186+T187+T188+T189+T190+T191+T192+T194+T195, "NA")</f>
        <v>141580.07</v>
      </c>
      <c r="U196" s="15">
        <f>IFERROR(T196/T445, "NA")</f>
        <v>0.29557281494700005</v>
      </c>
      <c r="V196" s="2"/>
      <c r="W196" s="14">
        <f t="shared" si="50"/>
        <v>5546.8299999999872</v>
      </c>
      <c r="X196" s="15">
        <f>IFERROR(W196/W445, "NA")</f>
        <v>0.18130740800908415</v>
      </c>
      <c r="Y196" s="2"/>
      <c r="Z196" s="14">
        <f>IFERROR(Z175+Z177+Z178+Z179+Z180+Z181+Z183+Z184+Z186+Z187+Z188+Z189+Z190+Z191+Z192+Z194+Z195, "NA")</f>
        <v>140458.87</v>
      </c>
      <c r="AA196" s="15">
        <f>IFERROR(Z196/Z445, "NA")</f>
        <v>0.31442758999610776</v>
      </c>
      <c r="AB196" s="2"/>
      <c r="AC196" s="14">
        <f t="shared" si="51"/>
        <v>4425.6299999999756</v>
      </c>
      <c r="AD196" s="15">
        <f>IFERROR(AC196/AC445, "NA")</f>
        <v>7.037888825773321E-2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30028.79</v>
      </c>
      <c r="C197" s="15">
        <f>IFERROR(B197/B445, "NA")</f>
        <v>0.27494901152167933</v>
      </c>
      <c r="D197" s="2"/>
      <c r="E197" s="14">
        <f>IFERROR(E175+E177+E178+E179+E180+E181+E183+E184+E186+E187+E188+E189+E190+E191+E192+E194+E195, "NA")</f>
        <v>28633.03</v>
      </c>
      <c r="F197" s="15">
        <f>IFERROR(E197/E445, "NA")</f>
        <v>0.30227312147317165</v>
      </c>
      <c r="G197" s="2"/>
      <c r="H197" s="14">
        <f t="shared" si="48"/>
        <v>-1395.760000000002</v>
      </c>
      <c r="I197" s="15">
        <f>IFERROR(H197/H445, "NA")</f>
        <v>-9.6324678264422314E-2</v>
      </c>
      <c r="J197" s="2"/>
      <c r="K197" s="14">
        <f>IFERROR(K175+K177+K178+K179+K180+K181+K183+K184+K186+K187+K188+K189+K190+K191+K192+K194+K195, "NA")</f>
        <v>27969.780000000002</v>
      </c>
      <c r="L197" s="15">
        <f>IFERROR(K197/K445, "NA")</f>
        <v>0.32295303092129285</v>
      </c>
      <c r="M197" s="2"/>
      <c r="N197" s="14">
        <f t="shared" si="49"/>
        <v>-2059.0099999999984</v>
      </c>
      <c r="O197" s="15">
        <f>IFERROR(N197/N445, "NA")</f>
        <v>-9.1068315943158326E-2</v>
      </c>
      <c r="P197" s="2"/>
      <c r="Q197" s="14">
        <f>IFERROR(Q175+Q177+Q178+Q179+Q180+Q181+Q183+Q184+Q186+Q187+Q188+Q189+Q190+Q191+Q192+Q194+Q195, "NA")</f>
        <v>136033.24000000002</v>
      </c>
      <c r="R197" s="15">
        <f>IFERROR(Q197/Q445, "NA")</f>
        <v>0.26694338268257095</v>
      </c>
      <c r="S197" s="2"/>
      <c r="T197" s="14">
        <f>IFERROR(T175+T177+T178+T179+T180+T181+T183+T184+T186+T187+T188+T189+T190+T191+T192+T194+T195, "NA")</f>
        <v>141580.07</v>
      </c>
      <c r="U197" s="15">
        <f>IFERROR(T197/T445, "NA")</f>
        <v>0.29557281494700005</v>
      </c>
      <c r="V197" s="2"/>
      <c r="W197" s="14">
        <f t="shared" si="50"/>
        <v>5546.8299999999872</v>
      </c>
      <c r="X197" s="15">
        <f>IFERROR(W197/W445, "NA")</f>
        <v>0.18130740800908415</v>
      </c>
      <c r="Y197" s="2"/>
      <c r="Z197" s="14">
        <f>IFERROR(Z175+Z177+Z178+Z179+Z180+Z181+Z183+Z184+Z186+Z187+Z188+Z189+Z190+Z191+Z192+Z194+Z195, "NA")</f>
        <v>140458.87</v>
      </c>
      <c r="AA197" s="15">
        <f>IFERROR(Z197/Z445, "NA")</f>
        <v>0.31442758999610776</v>
      </c>
      <c r="AB197" s="2"/>
      <c r="AC197" s="14">
        <f t="shared" si="51"/>
        <v>4425.6299999999756</v>
      </c>
      <c r="AD197" s="15">
        <f>IFERROR(AC197/AC445, "NA")</f>
        <v>7.037888825773321E-2</v>
      </c>
    </row>
    <row r="198" spans="1:30" ht="16.5" customHeight="1" x14ac:dyDescent="0.45">
      <c r="A198" s="22" t="s">
        <v>181</v>
      </c>
      <c r="B198" s="23">
        <f>IFERROR(B172-B197, "NA")</f>
        <v>50007.649999999972</v>
      </c>
      <c r="C198" s="24">
        <f>IFERROR(B198/B445, "NA")</f>
        <v>0.45787905326928252</v>
      </c>
      <c r="D198" s="25"/>
      <c r="E198" s="23">
        <f>IFERROR(E172-E197, "NA")</f>
        <v>41085.08</v>
      </c>
      <c r="F198" s="24">
        <f>IFERROR(E198/E445, "NA")</f>
        <v>0.43372690132951264</v>
      </c>
      <c r="G198" s="25"/>
      <c r="H198" s="23">
        <f>IFERROR(B198-E198, "NA")</f>
        <v>8922.5699999999706</v>
      </c>
      <c r="I198" s="24">
        <f>IFERROR(H198/H445, "NA")</f>
        <v>0.61576752775676513</v>
      </c>
      <c r="J198" s="25"/>
      <c r="K198" s="23">
        <f>IFERROR(K172-K197, "NA")</f>
        <v>31992.710000000003</v>
      </c>
      <c r="L198" s="24">
        <f>IFERROR(K198/K445, "NA")</f>
        <v>0.36940378729778911</v>
      </c>
      <c r="M198" s="25"/>
      <c r="N198" s="23">
        <f>IFERROR(B198-K198, "NA")</f>
        <v>18014.93999999997</v>
      </c>
      <c r="O198" s="24">
        <f>IFERROR(N198/N445, "NA")</f>
        <v>0.79678595422899312</v>
      </c>
      <c r="P198" s="25"/>
      <c r="Q198" s="23">
        <f>IFERROR(Q172-Q197, "NA")</f>
        <v>237391.92</v>
      </c>
      <c r="R198" s="24">
        <f>IFERROR(Q198/Q445, "NA")</f>
        <v>0.46584351108824773</v>
      </c>
      <c r="S198" s="25"/>
      <c r="T198" s="23">
        <f>IFERROR(T172-T197, "NA")</f>
        <v>210556.47999999992</v>
      </c>
      <c r="U198" s="24">
        <f>IFERROR(T198/T445, "NA")</f>
        <v>0.43957296743059732</v>
      </c>
      <c r="V198" s="25"/>
      <c r="W198" s="23">
        <f>IFERROR(Q198-T198, "NA")</f>
        <v>26835.44000000009</v>
      </c>
      <c r="X198" s="24">
        <f>IFERROR(W198/W445, "NA")</f>
        <v>0.87716120183660296</v>
      </c>
      <c r="Y198" s="25"/>
      <c r="Z198" s="23">
        <f>IFERROR(Z172-Z197, "NA")</f>
        <v>180703.71000000008</v>
      </c>
      <c r="AA198" s="24">
        <f>IFERROR(Z198/Z445, "NA")</f>
        <v>0.40451864690820588</v>
      </c>
      <c r="AB198" s="25"/>
      <c r="AC198" s="23">
        <f>IFERROR(Q198-Z198, "NA")</f>
        <v>56688.209999999934</v>
      </c>
      <c r="AD198" s="24">
        <f>IFERROR(AC198/AC445, "NA")</f>
        <v>0.90148819425052062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IFERROR(B201/B445, "NA")</f>
        <v>0</v>
      </c>
      <c r="D201" s="9"/>
      <c r="E201" s="7">
        <v>0</v>
      </c>
      <c r="F201" s="8">
        <f>IFERROR(E201/E445, "NA")</f>
        <v>0</v>
      </c>
      <c r="G201" s="9"/>
      <c r="H201" s="10">
        <f t="shared" ref="H201:H209" si="52">IFERROR(-(B201-E201), "NA")</f>
        <v>0</v>
      </c>
      <c r="I201" s="8">
        <f>IFERROR(H201/H445, "NA")</f>
        <v>0</v>
      </c>
      <c r="J201" s="9"/>
      <c r="K201" s="7">
        <v>0</v>
      </c>
      <c r="L201" s="8">
        <f>IFERROR(K201/K445, "NA")</f>
        <v>0</v>
      </c>
      <c r="M201" s="9"/>
      <c r="N201" s="10">
        <f t="shared" ref="N201:N209" si="53">IFERROR(-(B201-K201), "NA")</f>
        <v>0</v>
      </c>
      <c r="O201" s="8">
        <f>IFERROR(N201/N445, "NA")</f>
        <v>0</v>
      </c>
      <c r="P201" s="9"/>
      <c r="Q201" s="7">
        <v>0</v>
      </c>
      <c r="R201" s="8">
        <f>IFERROR(Q201/Q445, "NA")</f>
        <v>0</v>
      </c>
      <c r="S201" s="9"/>
      <c r="T201" s="7">
        <v>0</v>
      </c>
      <c r="U201" s="8">
        <f>IFERROR(T201/T445, "NA")</f>
        <v>0</v>
      </c>
      <c r="V201" s="9"/>
      <c r="W201" s="10">
        <f t="shared" ref="W201:W209" si="54">IFERROR(-(Q201-T201), "NA")</f>
        <v>0</v>
      </c>
      <c r="X201" s="8">
        <f>IFERROR(W201/W445, "NA")</f>
        <v>0</v>
      </c>
      <c r="Y201" s="9"/>
      <c r="Z201" s="7">
        <v>0</v>
      </c>
      <c r="AA201" s="8">
        <f>IFERROR(Z201/Z445, "NA")</f>
        <v>0</v>
      </c>
      <c r="AB201" s="9"/>
      <c r="AC201" s="10">
        <f t="shared" ref="AC201:AC209" si="55">IFERROR(-(Q201-Z201), "NA")</f>
        <v>0</v>
      </c>
      <c r="AD201" s="8">
        <f>IFERROR(AC201/AC445, "NA")</f>
        <v>0</v>
      </c>
    </row>
    <row r="202" spans="1:30" ht="16.5" customHeight="1" x14ac:dyDescent="0.45">
      <c r="A202" s="6" t="s">
        <v>184</v>
      </c>
      <c r="B202" s="7">
        <v>1615.22</v>
      </c>
      <c r="C202" s="8">
        <f>IFERROR(B202/B445, "NA")</f>
        <v>1.4789245333896132E-2</v>
      </c>
      <c r="D202" s="9"/>
      <c r="E202" s="7">
        <v>852.53</v>
      </c>
      <c r="F202" s="8">
        <f>IFERROR(E202/E445, "NA")</f>
        <v>8.9999872262740976E-3</v>
      </c>
      <c r="G202" s="9"/>
      <c r="H202" s="10">
        <f t="shared" si="52"/>
        <v>-762.69</v>
      </c>
      <c r="I202" s="8">
        <f>IFERROR(H202/H445, "NA")</f>
        <v>-5.2635029564890926E-2</v>
      </c>
      <c r="J202" s="9"/>
      <c r="K202" s="7">
        <v>840.95</v>
      </c>
      <c r="L202" s="8">
        <f>IFERROR(K202/K445, "NA")</f>
        <v>9.7100281572919493E-3</v>
      </c>
      <c r="M202" s="9"/>
      <c r="N202" s="10">
        <f t="shared" si="53"/>
        <v>-774.27</v>
      </c>
      <c r="O202" s="8">
        <f>IFERROR(N202/N445, "NA")</f>
        <v>-3.4245324202072477E-2</v>
      </c>
      <c r="P202" s="9"/>
      <c r="Q202" s="7">
        <v>5783.48</v>
      </c>
      <c r="R202" s="8">
        <f>IFERROR(Q202/Q445, "NA")</f>
        <v>1.1349150508191932E-2</v>
      </c>
      <c r="S202" s="9"/>
      <c r="T202" s="7">
        <v>4311.0200000000004</v>
      </c>
      <c r="U202" s="8">
        <f>IFERROR(T202/T445, "NA")</f>
        <v>8.999997787067178E-3</v>
      </c>
      <c r="V202" s="9"/>
      <c r="W202" s="10">
        <f t="shared" si="54"/>
        <v>-1472.4599999999991</v>
      </c>
      <c r="X202" s="8">
        <f>IFERROR(W202/W445, "NA")</f>
        <v>-4.8129815768115571E-2</v>
      </c>
      <c r="Y202" s="9"/>
      <c r="Z202" s="7">
        <v>4599.5</v>
      </c>
      <c r="AA202" s="8">
        <f>IFERROR(Z202/Z445, "NA")</f>
        <v>1.0296321622031401E-2</v>
      </c>
      <c r="AB202" s="9"/>
      <c r="AC202" s="10">
        <f t="shared" si="55"/>
        <v>-1183.9799999999996</v>
      </c>
      <c r="AD202" s="8">
        <f>IFERROR(AC202/AC445, "NA")</f>
        <v>-1.8828324129986328E-2</v>
      </c>
    </row>
    <row r="203" spans="1:30" ht="16.5" customHeight="1" x14ac:dyDescent="0.45">
      <c r="A203" s="6" t="s">
        <v>185</v>
      </c>
      <c r="B203" s="7">
        <v>508.42</v>
      </c>
      <c r="C203" s="8">
        <f>IFERROR(B203/B445, "NA")</f>
        <v>4.6551851219397179E-3</v>
      </c>
      <c r="D203" s="9"/>
      <c r="E203" s="7">
        <v>568.35</v>
      </c>
      <c r="F203" s="8">
        <f>IFERROR(E203/E445, "NA")</f>
        <v>5.9999562948551757E-3</v>
      </c>
      <c r="G203" s="9"/>
      <c r="H203" s="10">
        <f t="shared" si="52"/>
        <v>59.930000000000007</v>
      </c>
      <c r="I203" s="8">
        <f>IFERROR(H203/H445, "NA")</f>
        <v>4.1359101624826771E-3</v>
      </c>
      <c r="J203" s="9"/>
      <c r="K203" s="7">
        <v>303.27999999999997</v>
      </c>
      <c r="L203" s="8">
        <f>IFERROR(K203/K445, "NA")</f>
        <v>3.5018221529740201E-3</v>
      </c>
      <c r="M203" s="9"/>
      <c r="N203" s="10">
        <f t="shared" si="53"/>
        <v>-205.14000000000004</v>
      </c>
      <c r="O203" s="8">
        <f>IFERROR(N203/N445, "NA")</f>
        <v>-9.0731731912810122E-3</v>
      </c>
      <c r="P203" s="9"/>
      <c r="Q203" s="7">
        <v>2862.41</v>
      </c>
      <c r="R203" s="8">
        <f>IFERROR(Q203/Q445, "NA")</f>
        <v>5.6170198403303322E-3</v>
      </c>
      <c r="S203" s="9"/>
      <c r="T203" s="7">
        <v>2874.01</v>
      </c>
      <c r="U203" s="8">
        <f>IFERROR(T203/T445, "NA")</f>
        <v>5.9999915658032069E-3</v>
      </c>
      <c r="V203" s="9"/>
      <c r="W203" s="10">
        <f t="shared" si="54"/>
        <v>11.600000000000364</v>
      </c>
      <c r="X203" s="8">
        <f>IFERROR(W203/W445, "NA")</f>
        <v>3.7916538507678203E-4</v>
      </c>
      <c r="Y203" s="9"/>
      <c r="Z203" s="7">
        <v>3252.72</v>
      </c>
      <c r="AA203" s="8">
        <f>IFERROR(Z203/Z445, "NA")</f>
        <v>7.2814547812618717E-3</v>
      </c>
      <c r="AB203" s="9"/>
      <c r="AC203" s="10">
        <f t="shared" si="55"/>
        <v>390.30999999999995</v>
      </c>
      <c r="AD203" s="8">
        <f>IFERROR(AC203/AC445, "NA")</f>
        <v>6.2069318663955184E-3</v>
      </c>
    </row>
    <row r="204" spans="1:30" ht="16.5" customHeight="1" x14ac:dyDescent="0.45">
      <c r="A204" s="6" t="s">
        <v>186</v>
      </c>
      <c r="B204" s="7">
        <v>340.03</v>
      </c>
      <c r="C204" s="8">
        <f>IFERROR(B204/B445, "NA")</f>
        <v>3.1133759431437834E-3</v>
      </c>
      <c r="D204" s="9"/>
      <c r="E204" s="7">
        <v>189.45</v>
      </c>
      <c r="F204" s="8">
        <f>IFERROR(E204/E445, "NA")</f>
        <v>1.9999854316183918E-3</v>
      </c>
      <c r="G204" s="9"/>
      <c r="H204" s="10">
        <f t="shared" si="52"/>
        <v>-150.57999999999998</v>
      </c>
      <c r="I204" s="8">
        <f>IFERROR(H204/H445, "NA")</f>
        <v>-1.0391879730796619E-2</v>
      </c>
      <c r="J204" s="9"/>
      <c r="K204" s="7">
        <v>331.62</v>
      </c>
      <c r="L204" s="8">
        <f>IFERROR(K204/K445, "NA")</f>
        <v>3.8290499286772772E-3</v>
      </c>
      <c r="M204" s="9"/>
      <c r="N204" s="10">
        <f t="shared" si="53"/>
        <v>-8.4099999999999682</v>
      </c>
      <c r="O204" s="8">
        <f>IFERROR(N204/N445, "NA")</f>
        <v>-3.719673712521839E-4</v>
      </c>
      <c r="P204" s="9"/>
      <c r="Q204" s="7">
        <v>828.24</v>
      </c>
      <c r="R204" s="8">
        <f>IFERROR(Q204/Q445, "NA")</f>
        <v>1.6252879610381442E-3</v>
      </c>
      <c r="S204" s="9"/>
      <c r="T204" s="7">
        <v>958.01</v>
      </c>
      <c r="U204" s="8">
        <f>IFERROR(T204/T445, "NA")</f>
        <v>2.0000111064175595E-3</v>
      </c>
      <c r="V204" s="9"/>
      <c r="W204" s="10">
        <f t="shared" si="54"/>
        <v>129.76999999999998</v>
      </c>
      <c r="X204" s="8">
        <f>IFERROR(W204/W445, "NA")</f>
        <v>4.2417493121907294E-3</v>
      </c>
      <c r="Y204" s="9"/>
      <c r="Z204" s="7">
        <v>604.37</v>
      </c>
      <c r="AA204" s="8">
        <f>IFERROR(Z204/Z445, "NA")</f>
        <v>1.3529270352662503E-3</v>
      </c>
      <c r="AB204" s="9"/>
      <c r="AC204" s="10">
        <f t="shared" si="55"/>
        <v>-223.87</v>
      </c>
      <c r="AD204" s="8">
        <f>IFERROR(AC204/AC445, "NA")</f>
        <v>-3.5601082138043217E-3</v>
      </c>
    </row>
    <row r="205" spans="1:30" ht="16.5" customHeight="1" x14ac:dyDescent="0.45">
      <c r="A205" s="6" t="s">
        <v>187</v>
      </c>
      <c r="B205" s="7">
        <v>357.52</v>
      </c>
      <c r="C205" s="8">
        <f>IFERROR(B205/B445, "NA")</f>
        <v>3.2735175343139296E-3</v>
      </c>
      <c r="D205" s="9"/>
      <c r="E205" s="7">
        <v>284.18</v>
      </c>
      <c r="F205" s="8">
        <f>IFERROR(E205/E445, "NA")</f>
        <v>3.0000309314189215E-3</v>
      </c>
      <c r="G205" s="9"/>
      <c r="H205" s="10">
        <f t="shared" si="52"/>
        <v>-73.339999999999975</v>
      </c>
      <c r="I205" s="8">
        <f>IFERROR(H205/H445, "NA")</f>
        <v>-5.0613657820203477E-3</v>
      </c>
      <c r="J205" s="9"/>
      <c r="K205" s="7">
        <v>348.96</v>
      </c>
      <c r="L205" s="8">
        <f>IFERROR(K205/K445, "NA")</f>
        <v>4.029266217692608E-3</v>
      </c>
      <c r="M205" s="9"/>
      <c r="N205" s="10">
        <f t="shared" si="53"/>
        <v>-8.5600000000000023</v>
      </c>
      <c r="O205" s="8">
        <f>IFERROR(N205/N445, "NA")</f>
        <v>-3.7860174767166552E-4</v>
      </c>
      <c r="P205" s="9"/>
      <c r="Q205" s="7">
        <v>1999.83</v>
      </c>
      <c r="R205" s="8">
        <f>IFERROR(Q205/Q445, "NA")</f>
        <v>3.9243451452754177E-3</v>
      </c>
      <c r="S205" s="9"/>
      <c r="T205" s="7">
        <v>1437.02</v>
      </c>
      <c r="U205" s="8">
        <f>IFERROR(T205/T445, "NA")</f>
        <v>3.0000270979887067E-3</v>
      </c>
      <c r="V205" s="9"/>
      <c r="W205" s="10">
        <f t="shared" si="54"/>
        <v>-562.80999999999995</v>
      </c>
      <c r="X205" s="8">
        <f>IFERROR(W205/W445, "NA")</f>
        <v>-1.8396385377160086E-2</v>
      </c>
      <c r="Y205" s="9"/>
      <c r="Z205" s="7">
        <v>1739.86</v>
      </c>
      <c r="AA205" s="8">
        <f>IFERROR(Z205/Z445, "NA")</f>
        <v>3.8948055521920979E-3</v>
      </c>
      <c r="AB205" s="9"/>
      <c r="AC205" s="10">
        <f t="shared" si="55"/>
        <v>-259.97000000000003</v>
      </c>
      <c r="AD205" s="8">
        <f>IFERROR(AC205/AC445, "NA")</f>
        <v>-4.134190969503326E-3</v>
      </c>
    </row>
    <row r="206" spans="1:30" ht="16.5" customHeight="1" x14ac:dyDescent="0.45">
      <c r="A206" s="6" t="s">
        <v>188</v>
      </c>
      <c r="B206" s="7">
        <v>100.98</v>
      </c>
      <c r="C206" s="8">
        <f>IFERROR(B206/B445, "NA")</f>
        <v>9.2459107354839057E-4</v>
      </c>
      <c r="D206" s="9"/>
      <c r="E206" s="7">
        <v>94.73</v>
      </c>
      <c r="F206" s="8">
        <f>IFERROR(E206/E445, "NA")</f>
        <v>1.0000454998005293E-3</v>
      </c>
      <c r="G206" s="9"/>
      <c r="H206" s="10">
        <f t="shared" si="52"/>
        <v>-6.25</v>
      </c>
      <c r="I206" s="8">
        <f>IFERROR(H206/H445, "NA")</f>
        <v>-4.3132719031397851E-4</v>
      </c>
      <c r="J206" s="9"/>
      <c r="K206" s="7">
        <v>238.53</v>
      </c>
      <c r="L206" s="8">
        <f>IFERROR(K206/K445, "NA")</f>
        <v>2.7541863563337282E-3</v>
      </c>
      <c r="M206" s="9"/>
      <c r="N206" s="10">
        <f t="shared" si="53"/>
        <v>137.55000000000001</v>
      </c>
      <c r="O206" s="8">
        <f>IFERROR(N206/N445, "NA")</f>
        <v>6.0837231766632692E-3</v>
      </c>
      <c r="P206" s="9"/>
      <c r="Q206" s="7">
        <v>325.08999999999997</v>
      </c>
      <c r="R206" s="8">
        <f>IFERROR(Q206/Q445, "NA")</f>
        <v>6.3793690627582617E-4</v>
      </c>
      <c r="S206" s="9"/>
      <c r="T206" s="7">
        <v>479.01</v>
      </c>
      <c r="U206" s="8">
        <f>IFERROR(T206/T445, "NA")</f>
        <v>1.0000159915711476E-3</v>
      </c>
      <c r="V206" s="9"/>
      <c r="W206" s="10">
        <f t="shared" si="54"/>
        <v>153.92000000000002</v>
      </c>
      <c r="X206" s="8">
        <f>IFERROR(W206/W445, "NA")</f>
        <v>5.0311324199152126E-3</v>
      </c>
      <c r="Y206" s="9"/>
      <c r="Z206" s="7">
        <v>249.33</v>
      </c>
      <c r="AA206" s="8">
        <f>IFERROR(Z206/Z445, "NA")</f>
        <v>5.581436830136079E-4</v>
      </c>
      <c r="AB206" s="9"/>
      <c r="AC206" s="10">
        <f t="shared" si="55"/>
        <v>-75.759999999999962</v>
      </c>
      <c r="AD206" s="8">
        <f>IFERROR(AC206/AC445, "NA")</f>
        <v>-1.2047786584974106E-3</v>
      </c>
    </row>
    <row r="207" spans="1:30" ht="16.5" customHeight="1" x14ac:dyDescent="0.45">
      <c r="A207" s="6" t="s">
        <v>189</v>
      </c>
      <c r="B207" s="7">
        <v>150.36000000000001</v>
      </c>
      <c r="C207" s="8">
        <f>IFERROR(B207/B445, "NA")</f>
        <v>1.3767232503340862E-3</v>
      </c>
      <c r="D207" s="9"/>
      <c r="E207" s="7">
        <v>100</v>
      </c>
      <c r="F207" s="8">
        <f>IFERROR(E207/E445, "NA")</f>
        <v>1.055679826665818E-3</v>
      </c>
      <c r="G207" s="9"/>
      <c r="H207" s="10">
        <f t="shared" si="52"/>
        <v>-50.360000000000014</v>
      </c>
      <c r="I207" s="8">
        <f>IFERROR(H207/H445, "NA")</f>
        <v>-3.4754619686739141E-3</v>
      </c>
      <c r="J207" s="9"/>
      <c r="K207" s="7">
        <v>488.7</v>
      </c>
      <c r="L207" s="8">
        <f>IFERROR(K207/K445, "NA")</f>
        <v>5.6427739585808616E-3</v>
      </c>
      <c r="M207" s="9"/>
      <c r="N207" s="10">
        <f t="shared" si="53"/>
        <v>338.34</v>
      </c>
      <c r="O207" s="8">
        <f>IFERROR(N207/N445, "NA")</f>
        <v>1.4964499451779354E-2</v>
      </c>
      <c r="P207" s="9"/>
      <c r="Q207" s="7">
        <v>295.43</v>
      </c>
      <c r="R207" s="8">
        <f>IFERROR(Q207/Q445, "NA")</f>
        <v>5.7973392051760238E-4</v>
      </c>
      <c r="S207" s="9"/>
      <c r="T207" s="7">
        <v>500</v>
      </c>
      <c r="U207" s="8">
        <f>IFERROR(T207/T445, "NA")</f>
        <v>1.0438362367916616E-3</v>
      </c>
      <c r="V207" s="9"/>
      <c r="W207" s="10">
        <f t="shared" si="54"/>
        <v>204.57</v>
      </c>
      <c r="X207" s="8">
        <f>IFERROR(W207/W445, "NA")</f>
        <v>6.6867123125133503E-3</v>
      </c>
      <c r="Y207" s="9"/>
      <c r="Z207" s="7">
        <v>588.29999999999995</v>
      </c>
      <c r="AA207" s="8">
        <f>IFERROR(Z207/Z445, "NA")</f>
        <v>1.3169531493077667E-3</v>
      </c>
      <c r="AB207" s="9"/>
      <c r="AC207" s="10">
        <f t="shared" si="55"/>
        <v>292.86999999999995</v>
      </c>
      <c r="AD207" s="8">
        <f>IFERROR(AC207/AC445, "NA")</f>
        <v>4.6573855030905059E-3</v>
      </c>
    </row>
    <row r="208" spans="1:30" ht="16.5" customHeight="1" x14ac:dyDescent="0.45">
      <c r="A208" s="6" t="s">
        <v>190</v>
      </c>
      <c r="B208" s="7">
        <v>0</v>
      </c>
      <c r="C208" s="8">
        <f>IFERROR(B208/B445, "NA")</f>
        <v>0</v>
      </c>
      <c r="D208" s="9"/>
      <c r="E208" s="7">
        <v>100</v>
      </c>
      <c r="F208" s="8">
        <f>IFERROR(E208/E445, "NA")</f>
        <v>1.055679826665818E-3</v>
      </c>
      <c r="G208" s="9"/>
      <c r="H208" s="10">
        <f t="shared" si="52"/>
        <v>100</v>
      </c>
      <c r="I208" s="8">
        <f>IFERROR(H208/H445, "NA")</f>
        <v>6.9012350450236562E-3</v>
      </c>
      <c r="J208" s="9"/>
      <c r="K208" s="7">
        <v>52.63</v>
      </c>
      <c r="L208" s="8">
        <f>IFERROR(K208/K445, "NA")</f>
        <v>6.0769223130777725E-4</v>
      </c>
      <c r="M208" s="9"/>
      <c r="N208" s="10">
        <f t="shared" si="53"/>
        <v>52.63</v>
      </c>
      <c r="O208" s="8">
        <f>IFERROR(N208/N445, "NA")</f>
        <v>2.3277815397149243E-3</v>
      </c>
      <c r="P208" s="9"/>
      <c r="Q208" s="7">
        <v>206.34</v>
      </c>
      <c r="R208" s="8">
        <f>IFERROR(Q208/Q445, "NA")</f>
        <v>4.0490910591206743E-4</v>
      </c>
      <c r="S208" s="9"/>
      <c r="T208" s="7">
        <v>500</v>
      </c>
      <c r="U208" s="8">
        <f>IFERROR(T208/T445, "NA")</f>
        <v>1.0438362367916616E-3</v>
      </c>
      <c r="V208" s="9"/>
      <c r="W208" s="10">
        <f t="shared" si="54"/>
        <v>293.65999999999997</v>
      </c>
      <c r="X208" s="8">
        <f>IFERROR(W208/W445, "NA")</f>
        <v>9.5987678432451987E-3</v>
      </c>
      <c r="Y208" s="9"/>
      <c r="Z208" s="7">
        <v>633.33000000000004</v>
      </c>
      <c r="AA208" s="8">
        <f>IFERROR(Z208/Z445, "NA")</f>
        <v>1.4177561415112834E-3</v>
      </c>
      <c r="AB208" s="9"/>
      <c r="AC208" s="10">
        <f t="shared" si="55"/>
        <v>426.99</v>
      </c>
      <c r="AD208" s="8">
        <f>IFERROR(AC208/AC445, "NA")</f>
        <v>6.7902381123522912E-3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3072.53</v>
      </c>
      <c r="C209" s="15">
        <f>IFERROR(B209/B445, "NA")</f>
        <v>2.8132638257176042E-2</v>
      </c>
      <c r="D209" s="2"/>
      <c r="E209" s="14">
        <f>IFERROR(E201+E202+E203+E204+E205+E206+E207+E208, "NA")</f>
        <v>2189.2400000000002</v>
      </c>
      <c r="F209" s="15">
        <f>IFERROR(E209/E445, "NA")</f>
        <v>2.3111365037298753E-2</v>
      </c>
      <c r="G209" s="2"/>
      <c r="H209" s="14">
        <f t="shared" si="52"/>
        <v>-883.29</v>
      </c>
      <c r="I209" s="15">
        <f>IFERROR(H209/H445, "NA")</f>
        <v>-6.0957919029189449E-2</v>
      </c>
      <c r="J209" s="2"/>
      <c r="K209" s="14">
        <f>IFERROR(K201+K202+K203+K204+K205+K206+K207+K208, "NA")</f>
        <v>2604.67</v>
      </c>
      <c r="L209" s="15">
        <f>IFERROR(K209/K445, "NA")</f>
        <v>3.0074819002858223E-2</v>
      </c>
      <c r="M209" s="2"/>
      <c r="N209" s="14">
        <f t="shared" si="53"/>
        <v>-467.86000000000013</v>
      </c>
      <c r="O209" s="15">
        <f>IFERROR(N209/N445, "NA")</f>
        <v>-2.0693062344119793E-2</v>
      </c>
      <c r="P209" s="2"/>
      <c r="Q209" s="14">
        <f>IFERROR(Q201+Q202+Q203+Q204+Q205+Q206+Q207+Q208, "NA")</f>
        <v>12300.82</v>
      </c>
      <c r="R209" s="15">
        <f>IFERROR(Q209/Q445, "NA")</f>
        <v>2.4138383387541325E-2</v>
      </c>
      <c r="S209" s="2"/>
      <c r="T209" s="14">
        <f>IFERROR(T201+T202+T203+T204+T205+T206+T207+T208, "NA")</f>
        <v>11059.070000000002</v>
      </c>
      <c r="U209" s="15">
        <f>IFERROR(T209/T445, "NA")</f>
        <v>2.3087716022431124E-2</v>
      </c>
      <c r="V209" s="2"/>
      <c r="W209" s="14">
        <f t="shared" si="54"/>
        <v>-1241.7499999999982</v>
      </c>
      <c r="X209" s="15">
        <f>IFERROR(W209/W445, "NA")</f>
        <v>-4.0588673872334363E-2</v>
      </c>
      <c r="Y209" s="2"/>
      <c r="Z209" s="14">
        <f>IFERROR(Z201+Z202+Z203+Z204+Z205+Z206+Z207+Z208, "NA")</f>
        <v>11667.41</v>
      </c>
      <c r="AA209" s="15">
        <f>IFERROR(Z209/Z445, "NA")</f>
        <v>2.611836196458428E-2</v>
      </c>
      <c r="AB209" s="2"/>
      <c r="AC209" s="14">
        <f t="shared" si="55"/>
        <v>-633.40999999999985</v>
      </c>
      <c r="AD209" s="15">
        <f>IFERROR(AC209/AC445, "NA")</f>
        <v>-1.0072846489953075E-2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IFERROR(B211/B445, "NA")</f>
        <v>0</v>
      </c>
      <c r="D211" s="9"/>
      <c r="E211" s="7">
        <v>0</v>
      </c>
      <c r="F211" s="8">
        <f>IFERROR(E211/E445, "NA")</f>
        <v>0</v>
      </c>
      <c r="G211" s="9"/>
      <c r="H211" s="10">
        <f>IFERROR(-(B211-E211), "NA")</f>
        <v>0</v>
      </c>
      <c r="I211" s="8">
        <f>IFERROR(H211/H445, "NA")</f>
        <v>0</v>
      </c>
      <c r="J211" s="9"/>
      <c r="K211" s="7">
        <v>0</v>
      </c>
      <c r="L211" s="8">
        <f>IFERROR(K211/K445, "NA")</f>
        <v>0</v>
      </c>
      <c r="M211" s="9"/>
      <c r="N211" s="10">
        <f>IFERROR(-(B211-K211), "NA")</f>
        <v>0</v>
      </c>
      <c r="O211" s="8">
        <f>IFERROR(N211/N445, "NA")</f>
        <v>0</v>
      </c>
      <c r="P211" s="9"/>
      <c r="Q211" s="7">
        <v>0</v>
      </c>
      <c r="R211" s="8">
        <f>IFERROR(Q211/Q445, "NA")</f>
        <v>0</v>
      </c>
      <c r="S211" s="9"/>
      <c r="T211" s="7">
        <v>0</v>
      </c>
      <c r="U211" s="8">
        <f>IFERROR(T211/T445, "NA")</f>
        <v>0</v>
      </c>
      <c r="V211" s="9"/>
      <c r="W211" s="10">
        <f>IFERROR(-(Q211-T211), "NA")</f>
        <v>0</v>
      </c>
      <c r="X211" s="8">
        <f>IFERROR(W211/W445, "NA")</f>
        <v>0</v>
      </c>
      <c r="Y211" s="9"/>
      <c r="Z211" s="7">
        <v>0</v>
      </c>
      <c r="AA211" s="8">
        <f>IFERROR(Z211/Z445, "NA")</f>
        <v>0</v>
      </c>
      <c r="AB211" s="9"/>
      <c r="AC211" s="10">
        <f>IFERROR(-(Q211-Z211), "NA")</f>
        <v>0</v>
      </c>
      <c r="AD211" s="8">
        <f>IFERROR(AC211/AC445,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IFERROR(B213/B445, "NA")</f>
        <v>0</v>
      </c>
      <c r="D213" s="9"/>
      <c r="E213" s="7">
        <v>3883.75</v>
      </c>
      <c r="F213" s="8">
        <f>IFERROR(E213/E445, "NA")</f>
        <v>4.0999965268133702E-2</v>
      </c>
      <c r="G213" s="9"/>
      <c r="H213" s="10">
        <f t="shared" ref="H213:H227" si="56">IFERROR(-(B213-E213), "NA")</f>
        <v>3883.75</v>
      </c>
      <c r="I213" s="8">
        <f>IFERROR(H213/H445, "NA")</f>
        <v>0.26802671606110623</v>
      </c>
      <c r="J213" s="9"/>
      <c r="K213" s="7">
        <v>0</v>
      </c>
      <c r="L213" s="8">
        <f>IFERROR(K213/K445, "NA")</f>
        <v>0</v>
      </c>
      <c r="M213" s="9"/>
      <c r="N213" s="10">
        <f t="shared" ref="N213:N227" si="57">IFERROR(-(B213-K213), "NA")</f>
        <v>0</v>
      </c>
      <c r="O213" s="8">
        <f>IFERROR(N213/N445, "NA")</f>
        <v>0</v>
      </c>
      <c r="P213" s="9"/>
      <c r="Q213" s="7">
        <v>0</v>
      </c>
      <c r="R213" s="8">
        <f>IFERROR(Q213/Q445, "NA")</f>
        <v>0</v>
      </c>
      <c r="S213" s="9"/>
      <c r="T213" s="7">
        <v>19639.099999999999</v>
      </c>
      <c r="U213" s="8">
        <f>IFERROR(T213/T445, "NA")</f>
        <v>4.1000008475950235E-2</v>
      </c>
      <c r="V213" s="9"/>
      <c r="W213" s="10">
        <f t="shared" ref="W213:W227" si="58">IFERROR(-(Q213-T213), "NA")</f>
        <v>19639.099999999999</v>
      </c>
      <c r="X213" s="8">
        <f>IFERROR(W213/W445, "NA")</f>
        <v>0.64193680293631006</v>
      </c>
      <c r="Y213" s="9"/>
      <c r="Z213" s="7">
        <v>0</v>
      </c>
      <c r="AA213" s="8">
        <f>IFERROR(Z213/Z445, "NA")</f>
        <v>0</v>
      </c>
      <c r="AB213" s="9"/>
      <c r="AC213" s="10">
        <f t="shared" ref="AC213:AC227" si="59">IFERROR(-(Q213-Z213), "NA")</f>
        <v>0</v>
      </c>
      <c r="AD213" s="8">
        <f>IFERROR(AC213/AC445, "NA")</f>
        <v>0</v>
      </c>
    </row>
    <row r="214" spans="1:30" ht="16.5" customHeight="1" x14ac:dyDescent="0.45">
      <c r="A214" s="12" t="s">
        <v>194</v>
      </c>
      <c r="B214" s="7">
        <v>1599.9</v>
      </c>
      <c r="C214" s="8">
        <f>IFERROR(B214/B445, "NA")</f>
        <v>1.4648972653694496E-2</v>
      </c>
      <c r="D214" s="9"/>
      <c r="E214" s="7">
        <v>0</v>
      </c>
      <c r="F214" s="8">
        <f>IFERROR(E214/E445, "NA")</f>
        <v>0</v>
      </c>
      <c r="G214" s="9"/>
      <c r="H214" s="10">
        <f t="shared" si="56"/>
        <v>-1599.9</v>
      </c>
      <c r="I214" s="8">
        <f>IFERROR(H214/H445, "NA")</f>
        <v>-0.11041285948533347</v>
      </c>
      <c r="J214" s="9"/>
      <c r="K214" s="7">
        <v>710.31</v>
      </c>
      <c r="L214" s="8">
        <f>IFERROR(K214/K445, "NA")</f>
        <v>8.2015935553909798E-3</v>
      </c>
      <c r="M214" s="9"/>
      <c r="N214" s="10">
        <f t="shared" si="57"/>
        <v>-889.59000000000015</v>
      </c>
      <c r="O214" s="8">
        <f>IFERROR(N214/N445, "NA")</f>
        <v>-3.9345832793368798E-2</v>
      </c>
      <c r="P214" s="9"/>
      <c r="Q214" s="7">
        <v>8212.23</v>
      </c>
      <c r="R214" s="8">
        <f>IFERROR(Q214/Q445, "NA")</f>
        <v>1.6115182256684391E-2</v>
      </c>
      <c r="S214" s="9"/>
      <c r="T214" s="7">
        <v>0</v>
      </c>
      <c r="U214" s="8">
        <f>IFERROR(T214/T445, "NA")</f>
        <v>0</v>
      </c>
      <c r="V214" s="9"/>
      <c r="W214" s="10">
        <f t="shared" si="58"/>
        <v>-8212.23</v>
      </c>
      <c r="X214" s="8">
        <f>IFERROR(W214/W445, "NA")</f>
        <v>-0.26843046123181069</v>
      </c>
      <c r="Y214" s="9"/>
      <c r="Z214" s="7">
        <v>13646.22</v>
      </c>
      <c r="AA214" s="8">
        <f>IFERROR(Z214/Z445, "NA")</f>
        <v>3.054807480052122E-2</v>
      </c>
      <c r="AB214" s="9"/>
      <c r="AC214" s="10">
        <f t="shared" si="59"/>
        <v>5433.99</v>
      </c>
      <c r="AD214" s="8">
        <f>IFERROR(AC214/AC445, "NA")</f>
        <v>8.6414403147945434E-2</v>
      </c>
    </row>
    <row r="215" spans="1:30" ht="16.5" customHeight="1" x14ac:dyDescent="0.45">
      <c r="A215" s="12" t="s">
        <v>195</v>
      </c>
      <c r="B215" s="7">
        <v>868.63</v>
      </c>
      <c r="C215" s="8">
        <f>IFERROR(B215/B445, "NA")</f>
        <v>7.9533327809104635E-3</v>
      </c>
      <c r="D215" s="9"/>
      <c r="E215" s="7">
        <v>0</v>
      </c>
      <c r="F215" s="8">
        <f>IFERROR(E215/E445, "NA")</f>
        <v>0</v>
      </c>
      <c r="G215" s="9"/>
      <c r="H215" s="10">
        <f t="shared" si="56"/>
        <v>-868.63</v>
      </c>
      <c r="I215" s="8">
        <f>IFERROR(H215/H445, "NA")</f>
        <v>-5.9946197971588983E-2</v>
      </c>
      <c r="J215" s="9"/>
      <c r="K215" s="7">
        <v>0</v>
      </c>
      <c r="L215" s="8">
        <f>IFERROR(K215/K445, "NA")</f>
        <v>0</v>
      </c>
      <c r="M215" s="9"/>
      <c r="N215" s="10">
        <f t="shared" si="57"/>
        <v>-868.63</v>
      </c>
      <c r="O215" s="8">
        <f>IFERROR(N215/N445, "NA")</f>
        <v>-3.8418789261686771E-2</v>
      </c>
      <c r="P215" s="9"/>
      <c r="Q215" s="7">
        <v>4193.5</v>
      </c>
      <c r="R215" s="8">
        <f>IFERROR(Q215/Q445, "NA")</f>
        <v>8.2290701543193505E-3</v>
      </c>
      <c r="S215" s="9"/>
      <c r="T215" s="7">
        <v>0</v>
      </c>
      <c r="U215" s="8">
        <f>IFERROR(T215/T445, "NA")</f>
        <v>0</v>
      </c>
      <c r="V215" s="9"/>
      <c r="W215" s="10">
        <f t="shared" si="58"/>
        <v>-4193.5</v>
      </c>
      <c r="X215" s="8">
        <f>IFERROR(W215/W445, "NA")</f>
        <v>-0.13707155537236515</v>
      </c>
      <c r="Y215" s="9"/>
      <c r="Z215" s="7">
        <v>0</v>
      </c>
      <c r="AA215" s="8">
        <f>IFERROR(Z215/Z445, "NA")</f>
        <v>0</v>
      </c>
      <c r="AB215" s="9"/>
      <c r="AC215" s="10">
        <f t="shared" si="59"/>
        <v>-4193.5</v>
      </c>
      <c r="AD215" s="8">
        <f>IFERROR(AC215/AC445, "NA")</f>
        <v>-6.6687424820603136E-2</v>
      </c>
    </row>
    <row r="216" spans="1:30" ht="16.5" customHeight="1" x14ac:dyDescent="0.45">
      <c r="A216" s="12" t="s">
        <v>196</v>
      </c>
      <c r="B216" s="7">
        <v>70</v>
      </c>
      <c r="C216" s="8">
        <f>IFERROR(B216/B445, "NA")</f>
        <v>6.4093261188737712E-4</v>
      </c>
      <c r="D216" s="9"/>
      <c r="E216" s="7">
        <v>0</v>
      </c>
      <c r="F216" s="8">
        <f>IFERROR(E216/E445, "NA")</f>
        <v>0</v>
      </c>
      <c r="G216" s="9"/>
      <c r="H216" s="10">
        <f t="shared" si="56"/>
        <v>-70</v>
      </c>
      <c r="I216" s="8">
        <f>IFERROR(H216/H445, "NA")</f>
        <v>-4.8308645315165589E-3</v>
      </c>
      <c r="J216" s="9"/>
      <c r="K216" s="7">
        <v>0</v>
      </c>
      <c r="L216" s="8">
        <f>IFERROR(K216/K445, "NA")</f>
        <v>0</v>
      </c>
      <c r="M216" s="9"/>
      <c r="N216" s="10">
        <f t="shared" si="57"/>
        <v>-70</v>
      </c>
      <c r="O216" s="8">
        <f>IFERROR(N216/N445, "NA")</f>
        <v>-3.0960423290907219E-3</v>
      </c>
      <c r="P216" s="9"/>
      <c r="Q216" s="7">
        <v>280</v>
      </c>
      <c r="R216" s="8">
        <f>IFERROR(Q216/Q445, "NA")</f>
        <v>5.4945502401559986E-4</v>
      </c>
      <c r="S216" s="9"/>
      <c r="T216" s="7">
        <v>0</v>
      </c>
      <c r="U216" s="8">
        <f>IFERROR(T216/T445, "NA")</f>
        <v>0</v>
      </c>
      <c r="V216" s="9"/>
      <c r="W216" s="10">
        <f t="shared" si="58"/>
        <v>-280</v>
      </c>
      <c r="X216" s="8">
        <f>IFERROR(W216/W445, "NA")</f>
        <v>-9.1522679156461756E-3</v>
      </c>
      <c r="Y216" s="9"/>
      <c r="Z216" s="7">
        <v>5.73</v>
      </c>
      <c r="AA216" s="8">
        <f>IFERROR(Z216/Z445, "NA")</f>
        <v>1.2827029654145002E-5</v>
      </c>
      <c r="AB216" s="9"/>
      <c r="AC216" s="10">
        <f t="shared" si="59"/>
        <v>-274.27</v>
      </c>
      <c r="AD216" s="8">
        <f>IFERROR(AC216/AC445, "NA")</f>
        <v>-4.3615977120655351E-3</v>
      </c>
    </row>
    <row r="217" spans="1:30" ht="16.5" customHeight="1" x14ac:dyDescent="0.45">
      <c r="A217" s="12" t="s">
        <v>197</v>
      </c>
      <c r="B217" s="7">
        <v>1503.14</v>
      </c>
      <c r="C217" s="8">
        <f>IFERROR(B217/B445, "NA")</f>
        <v>1.3763020660462744E-2</v>
      </c>
      <c r="D217" s="9"/>
      <c r="E217" s="7">
        <v>0</v>
      </c>
      <c r="F217" s="8">
        <f>IFERROR(E217/E445, "NA")</f>
        <v>0</v>
      </c>
      <c r="G217" s="9"/>
      <c r="H217" s="10">
        <f t="shared" si="56"/>
        <v>-1503.14</v>
      </c>
      <c r="I217" s="8">
        <f>IFERROR(H217/H445, "NA")</f>
        <v>-0.10373522445576859</v>
      </c>
      <c r="J217" s="9"/>
      <c r="K217" s="7">
        <v>1620.11</v>
      </c>
      <c r="L217" s="8">
        <f>IFERROR(K217/K445, "NA")</f>
        <v>1.8706598154361449E-2</v>
      </c>
      <c r="M217" s="9"/>
      <c r="N217" s="10">
        <f t="shared" si="57"/>
        <v>116.9699999999998</v>
      </c>
      <c r="O217" s="8">
        <f>IFERROR(N217/N445, "NA")</f>
        <v>5.1734867319105874E-3</v>
      </c>
      <c r="P217" s="9"/>
      <c r="Q217" s="7">
        <v>12937.2</v>
      </c>
      <c r="R217" s="8">
        <f>IFERROR(Q217/Q445, "NA")</f>
        <v>2.5387176916766493E-2</v>
      </c>
      <c r="S217" s="9"/>
      <c r="T217" s="7">
        <v>0</v>
      </c>
      <c r="U217" s="8">
        <f>IFERROR(T217/T445, "NA")</f>
        <v>0</v>
      </c>
      <c r="V217" s="9"/>
      <c r="W217" s="10">
        <f t="shared" si="58"/>
        <v>-12937.2</v>
      </c>
      <c r="X217" s="8">
        <f>IFERROR(W217/W445, "NA")</f>
        <v>-0.42287400170820616</v>
      </c>
      <c r="Y217" s="9"/>
      <c r="Z217" s="7">
        <v>15008.32</v>
      </c>
      <c r="AA217" s="8">
        <f>IFERROR(Z217/Z445, "NA")</f>
        <v>3.3597236596666233E-2</v>
      </c>
      <c r="AB217" s="9"/>
      <c r="AC217" s="10">
        <f t="shared" si="59"/>
        <v>2071.119999999999</v>
      </c>
      <c r="AD217" s="8">
        <f>IFERROR(AC217/AC445, "NA")</f>
        <v>3.2936129556324668E-2</v>
      </c>
    </row>
    <row r="218" spans="1:30" ht="16.5" customHeight="1" x14ac:dyDescent="0.45">
      <c r="A218" s="13" t="s">
        <v>198</v>
      </c>
      <c r="B218" s="14">
        <f>IFERROR(B213+B214+B215+B216+B217, "NA")</f>
        <v>4041.67</v>
      </c>
      <c r="C218" s="15">
        <f>IFERROR(B218/B445, "NA")</f>
        <v>3.7006258706955078E-2</v>
      </c>
      <c r="D218" s="2"/>
      <c r="E218" s="14">
        <f>IFERROR(E213+E214+E215+E216+E217, "NA")</f>
        <v>3883.75</v>
      </c>
      <c r="F218" s="15">
        <f>IFERROR(E218/E445, "NA")</f>
        <v>4.0999965268133702E-2</v>
      </c>
      <c r="G218" s="2"/>
      <c r="H218" s="14">
        <f t="shared" si="56"/>
        <v>-157.92000000000007</v>
      </c>
      <c r="I218" s="15">
        <f>IFERROR(H218/H445, "NA")</f>
        <v>-1.0898430383101362E-2</v>
      </c>
      <c r="J218" s="2"/>
      <c r="K218" s="14">
        <f>IFERROR(K213+K214+K215+K216+K217, "NA")</f>
        <v>2330.42</v>
      </c>
      <c r="L218" s="15">
        <f>IFERROR(K218/K445, "NA")</f>
        <v>2.6908191709752428E-2</v>
      </c>
      <c r="M218" s="2"/>
      <c r="N218" s="14">
        <f t="shared" si="57"/>
        <v>-1711.25</v>
      </c>
      <c r="O218" s="15">
        <f>IFERROR(N218/N445, "NA")</f>
        <v>-7.568717765223569E-2</v>
      </c>
      <c r="P218" s="2"/>
      <c r="Q218" s="14">
        <f>IFERROR(Q213+Q214+Q215+Q216+Q217, "NA")</f>
        <v>25622.93</v>
      </c>
      <c r="R218" s="15">
        <f>IFERROR(Q218/Q445, "NA")</f>
        <v>5.0280884351785834E-2</v>
      </c>
      <c r="S218" s="2"/>
      <c r="T218" s="14">
        <f>IFERROR(T213+T214+T215+T216+T217, "NA")</f>
        <v>19639.099999999999</v>
      </c>
      <c r="U218" s="15">
        <f>IFERROR(T218/T445, "NA")</f>
        <v>4.1000008475950235E-2</v>
      </c>
      <c r="V218" s="2"/>
      <c r="W218" s="14">
        <f t="shared" si="58"/>
        <v>-5983.8300000000017</v>
      </c>
      <c r="X218" s="15">
        <f>IFERROR(W218/W445, "NA")</f>
        <v>-0.19559148329171813</v>
      </c>
      <c r="Y218" s="2"/>
      <c r="Z218" s="14">
        <f>IFERROR(Z213+Z214+Z215+Z216+Z217, "NA")</f>
        <v>28660.269999999997</v>
      </c>
      <c r="AA218" s="15">
        <f>IFERROR(Z218/Z445, "NA")</f>
        <v>6.4158138426841593E-2</v>
      </c>
      <c r="AB218" s="2"/>
      <c r="AC218" s="14">
        <f t="shared" si="59"/>
        <v>3037.3399999999965</v>
      </c>
      <c r="AD218" s="15">
        <f>IFERROR(AC218/AC445, "NA")</f>
        <v>4.8301510171601406E-2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IFERROR(B219/B445, "NA")</f>
        <v>0</v>
      </c>
      <c r="D219" s="9"/>
      <c r="E219" s="7">
        <v>0</v>
      </c>
      <c r="F219" s="8">
        <f>IFERROR(E219/E445, "NA")</f>
        <v>0</v>
      </c>
      <c r="G219" s="9"/>
      <c r="H219" s="10">
        <f t="shared" si="56"/>
        <v>0</v>
      </c>
      <c r="I219" s="8">
        <f>IFERROR(H219/H445, "NA")</f>
        <v>0</v>
      </c>
      <c r="J219" s="9"/>
      <c r="K219" s="7">
        <v>0</v>
      </c>
      <c r="L219" s="8">
        <f>IFERROR(K219/K445, "NA")</f>
        <v>0</v>
      </c>
      <c r="M219" s="9"/>
      <c r="N219" s="10">
        <f t="shared" si="57"/>
        <v>0</v>
      </c>
      <c r="O219" s="8">
        <f>IFERROR(N219/N445, "NA")</f>
        <v>0</v>
      </c>
      <c r="P219" s="9"/>
      <c r="Q219" s="7">
        <v>0</v>
      </c>
      <c r="R219" s="8">
        <f>IFERROR(Q219/Q445, "NA")</f>
        <v>0</v>
      </c>
      <c r="S219" s="9"/>
      <c r="T219" s="7">
        <v>0</v>
      </c>
      <c r="U219" s="8">
        <f>IFERROR(T219/T445, "NA")</f>
        <v>0</v>
      </c>
      <c r="V219" s="9"/>
      <c r="W219" s="10">
        <f t="shared" si="58"/>
        <v>0</v>
      </c>
      <c r="X219" s="8">
        <f>IFERROR(W219/W445, "NA")</f>
        <v>0</v>
      </c>
      <c r="Y219" s="9"/>
      <c r="Z219" s="7">
        <v>0</v>
      </c>
      <c r="AA219" s="8">
        <f>IFERROR(Z219/Z445, "NA")</f>
        <v>0</v>
      </c>
      <c r="AB219" s="9"/>
      <c r="AC219" s="10">
        <f t="shared" si="59"/>
        <v>0</v>
      </c>
      <c r="AD219" s="8">
        <f>IFERROR(AC219/AC445,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IFERROR(B220/B445, "NA")</f>
        <v>0</v>
      </c>
      <c r="D220" s="9"/>
      <c r="E220" s="7">
        <v>0</v>
      </c>
      <c r="F220" s="8">
        <f>IFERROR(E220/E445, "NA")</f>
        <v>0</v>
      </c>
      <c r="G220" s="9"/>
      <c r="H220" s="10">
        <f t="shared" si="56"/>
        <v>0</v>
      </c>
      <c r="I220" s="8">
        <f>IFERROR(H220/H445, "NA")</f>
        <v>0</v>
      </c>
      <c r="J220" s="9"/>
      <c r="K220" s="7">
        <v>0</v>
      </c>
      <c r="L220" s="8">
        <f>IFERROR(K220/K445, "NA")</f>
        <v>0</v>
      </c>
      <c r="M220" s="9"/>
      <c r="N220" s="10">
        <f t="shared" si="57"/>
        <v>0</v>
      </c>
      <c r="O220" s="8">
        <f>IFERROR(N220/N445, "NA")</f>
        <v>0</v>
      </c>
      <c r="P220" s="9"/>
      <c r="Q220" s="7">
        <v>0</v>
      </c>
      <c r="R220" s="8">
        <f>IFERROR(Q220/Q445, "NA")</f>
        <v>0</v>
      </c>
      <c r="S220" s="9"/>
      <c r="T220" s="7">
        <v>0</v>
      </c>
      <c r="U220" s="8">
        <f>IFERROR(T220/T445, "NA")</f>
        <v>0</v>
      </c>
      <c r="V220" s="9"/>
      <c r="W220" s="10">
        <f t="shared" si="58"/>
        <v>0</v>
      </c>
      <c r="X220" s="8">
        <f>IFERROR(W220/W445, "NA")</f>
        <v>0</v>
      </c>
      <c r="Y220" s="9"/>
      <c r="Z220" s="7">
        <v>0</v>
      </c>
      <c r="AA220" s="8">
        <f>IFERROR(Z220/Z445, "NA")</f>
        <v>0</v>
      </c>
      <c r="AB220" s="9"/>
      <c r="AC220" s="10">
        <f t="shared" si="59"/>
        <v>0</v>
      </c>
      <c r="AD220" s="8">
        <f>IFERROR(AC220/AC445,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IFERROR(B221/B445, "NA")</f>
        <v>0</v>
      </c>
      <c r="D221" s="9"/>
      <c r="E221" s="7">
        <v>0</v>
      </c>
      <c r="F221" s="8">
        <f>IFERROR(E221/E445, "NA")</f>
        <v>0</v>
      </c>
      <c r="G221" s="9"/>
      <c r="H221" s="10">
        <f t="shared" si="56"/>
        <v>0</v>
      </c>
      <c r="I221" s="8">
        <f>IFERROR(H221/H445, "NA")</f>
        <v>0</v>
      </c>
      <c r="J221" s="9"/>
      <c r="K221" s="7">
        <v>0</v>
      </c>
      <c r="L221" s="8">
        <f>IFERROR(K221/K445, "NA")</f>
        <v>0</v>
      </c>
      <c r="M221" s="9"/>
      <c r="N221" s="10">
        <f t="shared" si="57"/>
        <v>0</v>
      </c>
      <c r="O221" s="8">
        <f>IFERROR(N221/N445, "NA")</f>
        <v>0</v>
      </c>
      <c r="P221" s="9"/>
      <c r="Q221" s="7">
        <v>0</v>
      </c>
      <c r="R221" s="8">
        <f>IFERROR(Q221/Q445, "NA")</f>
        <v>0</v>
      </c>
      <c r="S221" s="9"/>
      <c r="T221" s="7">
        <v>0</v>
      </c>
      <c r="U221" s="8">
        <f>IFERROR(T221/T445, "NA")</f>
        <v>0</v>
      </c>
      <c r="V221" s="9"/>
      <c r="W221" s="10">
        <f t="shared" si="58"/>
        <v>0</v>
      </c>
      <c r="X221" s="8">
        <f>IFERROR(W221/W445, "NA")</f>
        <v>0</v>
      </c>
      <c r="Y221" s="9"/>
      <c r="Z221" s="7">
        <v>0</v>
      </c>
      <c r="AA221" s="8">
        <f>IFERROR(Z221/Z445, "NA")</f>
        <v>0</v>
      </c>
      <c r="AB221" s="9"/>
      <c r="AC221" s="10">
        <f t="shared" si="59"/>
        <v>0</v>
      </c>
      <c r="AD221" s="8">
        <f>IFERROR(AC221/AC445, "NA")</f>
        <v>0</v>
      </c>
    </row>
    <row r="222" spans="1:30" ht="16.5" customHeight="1" x14ac:dyDescent="0.45">
      <c r="A222" s="6" t="s">
        <v>202</v>
      </c>
      <c r="B222" s="7">
        <v>151.5</v>
      </c>
      <c r="C222" s="8">
        <f>IFERROR(B222/B445, "NA")</f>
        <v>1.3871612957276804E-3</v>
      </c>
      <c r="D222" s="9"/>
      <c r="E222" s="7">
        <v>100</v>
      </c>
      <c r="F222" s="8">
        <f>IFERROR(E222/E445, "NA")</f>
        <v>1.055679826665818E-3</v>
      </c>
      <c r="G222" s="9"/>
      <c r="H222" s="10">
        <f t="shared" si="56"/>
        <v>-51.5</v>
      </c>
      <c r="I222" s="8">
        <f>IFERROR(H222/H445, "NA")</f>
        <v>-3.5541360481871828E-3</v>
      </c>
      <c r="J222" s="9"/>
      <c r="K222" s="7">
        <v>0</v>
      </c>
      <c r="L222" s="8">
        <f>IFERROR(K222/K445, "NA")</f>
        <v>0</v>
      </c>
      <c r="M222" s="9"/>
      <c r="N222" s="10">
        <f t="shared" si="57"/>
        <v>-151.5</v>
      </c>
      <c r="O222" s="8">
        <f>IFERROR(N222/N445, "NA")</f>
        <v>-6.7007201836749202E-3</v>
      </c>
      <c r="P222" s="9"/>
      <c r="Q222" s="7">
        <v>550.17999999999995</v>
      </c>
      <c r="R222" s="8">
        <f>IFERROR(Q222/Q445, "NA")</f>
        <v>1.0796398754032239E-3</v>
      </c>
      <c r="S222" s="9"/>
      <c r="T222" s="7">
        <v>500</v>
      </c>
      <c r="U222" s="8">
        <f>IFERROR(T222/T445, "NA")</f>
        <v>1.0438362367916616E-3</v>
      </c>
      <c r="V222" s="9"/>
      <c r="W222" s="10">
        <f t="shared" si="58"/>
        <v>-50.17999999999995</v>
      </c>
      <c r="X222" s="8">
        <f>IFERROR(W222/W445, "NA")</f>
        <v>-1.6402171571683023E-3</v>
      </c>
      <c r="Y222" s="9"/>
      <c r="Z222" s="7">
        <v>758.74</v>
      </c>
      <c r="AA222" s="8">
        <f>IFERROR(Z222/Z445, "NA")</f>
        <v>1.6984957207305373E-3</v>
      </c>
      <c r="AB222" s="9"/>
      <c r="AC222" s="10">
        <f t="shared" si="59"/>
        <v>208.56000000000006</v>
      </c>
      <c r="AD222" s="8">
        <f>IFERROR(AC222/AC445, "NA")</f>
        <v>3.3166398761380693E-3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IFERROR(B223/B445, "NA")</f>
        <v>0</v>
      </c>
      <c r="D223" s="9"/>
      <c r="E223" s="7">
        <v>0</v>
      </c>
      <c r="F223" s="8">
        <f>IFERROR(E223/E445, "NA")</f>
        <v>0</v>
      </c>
      <c r="G223" s="9"/>
      <c r="H223" s="10">
        <f t="shared" si="56"/>
        <v>0</v>
      </c>
      <c r="I223" s="8">
        <f>IFERROR(H223/H445, "NA")</f>
        <v>0</v>
      </c>
      <c r="J223" s="9"/>
      <c r="K223" s="7">
        <v>0</v>
      </c>
      <c r="L223" s="8">
        <f>IFERROR(K223/K445, "NA")</f>
        <v>0</v>
      </c>
      <c r="M223" s="9"/>
      <c r="N223" s="10">
        <f t="shared" si="57"/>
        <v>0</v>
      </c>
      <c r="O223" s="8">
        <f>IFERROR(N223/N445, "NA")</f>
        <v>0</v>
      </c>
      <c r="P223" s="9"/>
      <c r="Q223" s="7">
        <v>0</v>
      </c>
      <c r="R223" s="8">
        <f>IFERROR(Q223/Q445, "NA")</f>
        <v>0</v>
      </c>
      <c r="S223" s="9"/>
      <c r="T223" s="7">
        <v>0</v>
      </c>
      <c r="U223" s="8">
        <f>IFERROR(T223/T445, "NA")</f>
        <v>0</v>
      </c>
      <c r="V223" s="9"/>
      <c r="W223" s="10">
        <f t="shared" si="58"/>
        <v>0</v>
      </c>
      <c r="X223" s="8">
        <f>IFERROR(W223/W445, "NA")</f>
        <v>0</v>
      </c>
      <c r="Y223" s="9"/>
      <c r="Z223" s="7">
        <v>0</v>
      </c>
      <c r="AA223" s="8">
        <f>IFERROR(Z223/Z445, "NA")</f>
        <v>0</v>
      </c>
      <c r="AB223" s="9"/>
      <c r="AC223" s="10">
        <f t="shared" si="59"/>
        <v>0</v>
      </c>
      <c r="AD223" s="8">
        <f>IFERROR(AC223/AC445,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IFERROR(B224/B445, "NA")</f>
        <v>0</v>
      </c>
      <c r="D224" s="9"/>
      <c r="E224" s="7">
        <v>0</v>
      </c>
      <c r="F224" s="8">
        <f>IFERROR(E224/E445, "NA")</f>
        <v>0</v>
      </c>
      <c r="G224" s="9"/>
      <c r="H224" s="10">
        <f t="shared" si="56"/>
        <v>0</v>
      </c>
      <c r="I224" s="8">
        <f>IFERROR(H224/H445, "NA")</f>
        <v>0</v>
      </c>
      <c r="J224" s="9"/>
      <c r="K224" s="7">
        <v>0</v>
      </c>
      <c r="L224" s="8">
        <f>IFERROR(K224/K445, "NA")</f>
        <v>0</v>
      </c>
      <c r="M224" s="9"/>
      <c r="N224" s="10">
        <f t="shared" si="57"/>
        <v>0</v>
      </c>
      <c r="O224" s="8">
        <f>IFERROR(N224/N445, "NA")</f>
        <v>0</v>
      </c>
      <c r="P224" s="9"/>
      <c r="Q224" s="7">
        <v>0</v>
      </c>
      <c r="R224" s="8">
        <f>IFERROR(Q224/Q445, "NA")</f>
        <v>0</v>
      </c>
      <c r="S224" s="9"/>
      <c r="T224" s="7">
        <v>0</v>
      </c>
      <c r="U224" s="8">
        <f>IFERROR(T224/T445, "NA")</f>
        <v>0</v>
      </c>
      <c r="V224" s="9"/>
      <c r="W224" s="10">
        <f t="shared" si="58"/>
        <v>0</v>
      </c>
      <c r="X224" s="8">
        <f>IFERROR(W224/W445, "NA")</f>
        <v>0</v>
      </c>
      <c r="Y224" s="9"/>
      <c r="Z224" s="7">
        <v>0</v>
      </c>
      <c r="AA224" s="8">
        <f>IFERROR(Z224/Z445, "NA")</f>
        <v>0</v>
      </c>
      <c r="AB224" s="9"/>
      <c r="AC224" s="10">
        <f t="shared" si="59"/>
        <v>0</v>
      </c>
      <c r="AD224" s="8">
        <f>IFERROR(AC224/AC445,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IFERROR(B225/B445, "NA")</f>
        <v>0</v>
      </c>
      <c r="D225" s="9"/>
      <c r="E225" s="7">
        <v>0</v>
      </c>
      <c r="F225" s="8">
        <f>IFERROR(E225/E445, "NA")</f>
        <v>0</v>
      </c>
      <c r="G225" s="9"/>
      <c r="H225" s="10">
        <f t="shared" si="56"/>
        <v>0</v>
      </c>
      <c r="I225" s="8">
        <f>IFERROR(H225/H445, "NA")</f>
        <v>0</v>
      </c>
      <c r="J225" s="9"/>
      <c r="K225" s="7">
        <v>0</v>
      </c>
      <c r="L225" s="8">
        <f>IFERROR(K225/K445, "NA")</f>
        <v>0</v>
      </c>
      <c r="M225" s="9"/>
      <c r="N225" s="10">
        <f t="shared" si="57"/>
        <v>0</v>
      </c>
      <c r="O225" s="8">
        <f>IFERROR(N225/N445, "NA")</f>
        <v>0</v>
      </c>
      <c r="P225" s="9"/>
      <c r="Q225" s="7">
        <v>0</v>
      </c>
      <c r="R225" s="8">
        <f>IFERROR(Q225/Q445, "NA")</f>
        <v>0</v>
      </c>
      <c r="S225" s="9"/>
      <c r="T225" s="7">
        <v>0</v>
      </c>
      <c r="U225" s="8">
        <f>IFERROR(T225/T445, "NA")</f>
        <v>0</v>
      </c>
      <c r="V225" s="9"/>
      <c r="W225" s="10">
        <f t="shared" si="58"/>
        <v>0</v>
      </c>
      <c r="X225" s="8">
        <f>IFERROR(W225/W445, "NA")</f>
        <v>0</v>
      </c>
      <c r="Y225" s="9"/>
      <c r="Z225" s="7">
        <v>0</v>
      </c>
      <c r="AA225" s="8">
        <f>IFERROR(Z225/Z445, "NA")</f>
        <v>0</v>
      </c>
      <c r="AB225" s="9"/>
      <c r="AC225" s="10">
        <f t="shared" si="59"/>
        <v>0</v>
      </c>
      <c r="AD225" s="8">
        <f>IFERROR(AC225/AC445,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IFERROR(B226/B445, "NA")</f>
        <v>0</v>
      </c>
      <c r="D226" s="9"/>
      <c r="E226" s="7">
        <v>0</v>
      </c>
      <c r="F226" s="8">
        <f>IFERROR(E226/E445, "NA")</f>
        <v>0</v>
      </c>
      <c r="G226" s="9"/>
      <c r="H226" s="10">
        <f t="shared" si="56"/>
        <v>0</v>
      </c>
      <c r="I226" s="8">
        <f>IFERROR(H226/H445, "NA")</f>
        <v>0</v>
      </c>
      <c r="J226" s="9"/>
      <c r="K226" s="7">
        <v>0</v>
      </c>
      <c r="L226" s="8">
        <f>IFERROR(K226/K445, "NA")</f>
        <v>0</v>
      </c>
      <c r="M226" s="9"/>
      <c r="N226" s="10">
        <f t="shared" si="57"/>
        <v>0</v>
      </c>
      <c r="O226" s="8">
        <f>IFERROR(N226/N445, "NA")</f>
        <v>0</v>
      </c>
      <c r="P226" s="9"/>
      <c r="Q226" s="7">
        <v>0</v>
      </c>
      <c r="R226" s="8">
        <f>IFERROR(Q226/Q445, "NA")</f>
        <v>0</v>
      </c>
      <c r="S226" s="9"/>
      <c r="T226" s="7">
        <v>0</v>
      </c>
      <c r="U226" s="8">
        <f>IFERROR(T226/T445, "NA")</f>
        <v>0</v>
      </c>
      <c r="V226" s="9"/>
      <c r="W226" s="10">
        <f t="shared" si="58"/>
        <v>0</v>
      </c>
      <c r="X226" s="8">
        <f>IFERROR(W226/W445, "NA")</f>
        <v>0</v>
      </c>
      <c r="Y226" s="9"/>
      <c r="Z226" s="7">
        <v>0</v>
      </c>
      <c r="AA226" s="8">
        <f>IFERROR(Z226/Z445, "NA")</f>
        <v>0</v>
      </c>
      <c r="AB226" s="9"/>
      <c r="AC226" s="10">
        <f t="shared" si="59"/>
        <v>0</v>
      </c>
      <c r="AD226" s="8">
        <f>IFERROR(AC226/AC445,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4193.17</v>
      </c>
      <c r="C227" s="15">
        <f>IFERROR(B227/B445, "NA")</f>
        <v>3.8393420002682761E-2</v>
      </c>
      <c r="D227" s="2"/>
      <c r="E227" s="14">
        <f>IFERROR(E211+E213+E214+E215+E216+E217+E219+E220+E221+E222+E223+E224+E225+E226, "NA")</f>
        <v>3983.75</v>
      </c>
      <c r="F227" s="15">
        <f>IFERROR(E227/E445, "NA")</f>
        <v>4.2055645094799518E-2</v>
      </c>
      <c r="G227" s="2"/>
      <c r="H227" s="14">
        <f t="shared" si="56"/>
        <v>-209.42000000000007</v>
      </c>
      <c r="I227" s="15">
        <f>IFERROR(H227/H445, "NA")</f>
        <v>-1.4452566431288545E-2</v>
      </c>
      <c r="J227" s="2"/>
      <c r="K227" s="14">
        <f>IFERROR(K211+K213+K214+K215+K216+K217+K219+K220+K221+K222+K223+K224+K225+K226, "NA")</f>
        <v>2330.42</v>
      </c>
      <c r="L227" s="15">
        <f>IFERROR(K227/K445, "NA")</f>
        <v>2.6908191709752428E-2</v>
      </c>
      <c r="M227" s="2"/>
      <c r="N227" s="14">
        <f t="shared" si="57"/>
        <v>-1862.75</v>
      </c>
      <c r="O227" s="15">
        <f>IFERROR(N227/N445, "NA")</f>
        <v>-8.2387897835910606E-2</v>
      </c>
      <c r="P227" s="2"/>
      <c r="Q227" s="14">
        <f>IFERROR(Q211+Q213+Q214+Q215+Q216+Q217+Q219+Q220+Q221+Q222+Q223+Q224+Q225+Q226, "NA")</f>
        <v>26173.11</v>
      </c>
      <c r="R227" s="15">
        <f>IFERROR(Q227/Q445, "NA")</f>
        <v>5.1360524227189057E-2</v>
      </c>
      <c r="S227" s="2"/>
      <c r="T227" s="14">
        <f>IFERROR(T211+T213+T214+T215+T216+T217+T219+T220+T221+T222+T223+T224+T225+T226, "NA")</f>
        <v>20139.099999999999</v>
      </c>
      <c r="U227" s="15">
        <f>IFERROR(T227/T445, "NA")</f>
        <v>4.2043844712741897E-2</v>
      </c>
      <c r="V227" s="2"/>
      <c r="W227" s="14">
        <f t="shared" si="58"/>
        <v>-6034.010000000002</v>
      </c>
      <c r="X227" s="15">
        <f>IFERROR(W227/W445, "NA")</f>
        <v>-0.19723170044888644</v>
      </c>
      <c r="Y227" s="2"/>
      <c r="Z227" s="14">
        <f>IFERROR(Z211+Z213+Z214+Z215+Z216+Z217+Z219+Z220+Z221+Z222+Z223+Z224+Z225+Z226, "NA")</f>
        <v>29419.01</v>
      </c>
      <c r="AA227" s="15">
        <f>IFERROR(Z227/Z445, "NA")</f>
        <v>6.5856634147572132E-2</v>
      </c>
      <c r="AB227" s="2"/>
      <c r="AC227" s="14">
        <f t="shared" si="59"/>
        <v>3245.8999999999978</v>
      </c>
      <c r="AD227" s="15">
        <f>IFERROR(AC227/AC445, "NA")</f>
        <v>5.1618150047739494E-2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IFERROR(B229/B445, "NA")</f>
        <v>0</v>
      </c>
      <c r="D229" s="9"/>
      <c r="E229" s="7">
        <v>1420.89</v>
      </c>
      <c r="F229" s="8">
        <f>IFERROR(E229/E445, "NA")</f>
        <v>1.5000049089111941E-2</v>
      </c>
      <c r="G229" s="9"/>
      <c r="H229" s="10">
        <f t="shared" ref="H229:H236" si="60">IFERROR(-(B229-E229), "NA")</f>
        <v>1420.89</v>
      </c>
      <c r="I229" s="8">
        <f>IFERROR(H229/H445, "NA")</f>
        <v>9.8058958631236634E-2</v>
      </c>
      <c r="J229" s="9"/>
      <c r="K229" s="7">
        <v>0</v>
      </c>
      <c r="L229" s="8">
        <f>IFERROR(K229/K445, "NA")</f>
        <v>0</v>
      </c>
      <c r="M229" s="9"/>
      <c r="N229" s="10">
        <f t="shared" ref="N229:N236" si="61">IFERROR(-(B229-K229), "NA")</f>
        <v>0</v>
      </c>
      <c r="O229" s="8">
        <f>IFERROR(N229/N445, "NA")</f>
        <v>0</v>
      </c>
      <c r="P229" s="9"/>
      <c r="Q229" s="7">
        <v>0</v>
      </c>
      <c r="R229" s="8">
        <f>IFERROR(Q229/Q445, "NA")</f>
        <v>0</v>
      </c>
      <c r="S229" s="9"/>
      <c r="T229" s="7">
        <v>7185.04</v>
      </c>
      <c r="U229" s="8">
        <f>IFERROR(T229/T445, "NA")</f>
        <v>1.500001022959512E-2</v>
      </c>
      <c r="V229" s="9"/>
      <c r="W229" s="10">
        <f t="shared" ref="W229:W236" si="62">IFERROR(-(Q229-T229), "NA")</f>
        <v>7185.04</v>
      </c>
      <c r="X229" s="8">
        <f>IFERROR(W229/W445, "NA")</f>
        <v>0.23485503951655143</v>
      </c>
      <c r="Y229" s="9"/>
      <c r="Z229" s="7">
        <v>0</v>
      </c>
      <c r="AA229" s="8">
        <f>IFERROR(Z229/Z445, "NA")</f>
        <v>0</v>
      </c>
      <c r="AB229" s="9"/>
      <c r="AC229" s="10">
        <f t="shared" ref="AC229:AC236" si="63">IFERROR(-(Q229-Z229), "NA")</f>
        <v>0</v>
      </c>
      <c r="AD229" s="8">
        <f>IFERROR(AC229/AC445,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IFERROR(B230/B445, "NA")</f>
        <v>0</v>
      </c>
      <c r="D230" s="9"/>
      <c r="E230" s="7">
        <v>0</v>
      </c>
      <c r="F230" s="8">
        <f>IFERROR(E230/E445, "NA")</f>
        <v>0</v>
      </c>
      <c r="G230" s="9"/>
      <c r="H230" s="10">
        <f t="shared" si="60"/>
        <v>0</v>
      </c>
      <c r="I230" s="8">
        <f>IFERROR(H230/H445, "NA")</f>
        <v>0</v>
      </c>
      <c r="J230" s="9"/>
      <c r="K230" s="7">
        <v>0</v>
      </c>
      <c r="L230" s="8">
        <f>IFERROR(K230/K445, "NA")</f>
        <v>0</v>
      </c>
      <c r="M230" s="9"/>
      <c r="N230" s="10">
        <f t="shared" si="61"/>
        <v>0</v>
      </c>
      <c r="O230" s="8">
        <f>IFERROR(N230/N445, "NA")</f>
        <v>0</v>
      </c>
      <c r="P230" s="9"/>
      <c r="Q230" s="7">
        <v>0</v>
      </c>
      <c r="R230" s="8">
        <f>IFERROR(Q230/Q445, "NA")</f>
        <v>0</v>
      </c>
      <c r="S230" s="9"/>
      <c r="T230" s="7">
        <v>0</v>
      </c>
      <c r="U230" s="8">
        <f>IFERROR(T230/T445, "NA")</f>
        <v>0</v>
      </c>
      <c r="V230" s="9"/>
      <c r="W230" s="10">
        <f t="shared" si="62"/>
        <v>0</v>
      </c>
      <c r="X230" s="8">
        <f>IFERROR(W230/W445, "NA")</f>
        <v>0</v>
      </c>
      <c r="Y230" s="9"/>
      <c r="Z230" s="7">
        <v>0</v>
      </c>
      <c r="AA230" s="8">
        <f>IFERROR(Z230/Z445, "NA")</f>
        <v>0</v>
      </c>
      <c r="AB230" s="9"/>
      <c r="AC230" s="10">
        <f t="shared" si="63"/>
        <v>0</v>
      </c>
      <c r="AD230" s="8">
        <f>IFERROR(AC230/AC445,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IFERROR(B231/B445, "NA")</f>
        <v>0</v>
      </c>
      <c r="D231" s="9"/>
      <c r="E231" s="7">
        <v>0</v>
      </c>
      <c r="F231" s="8">
        <f>IFERROR(E231/E445, "NA")</f>
        <v>0</v>
      </c>
      <c r="G231" s="9"/>
      <c r="H231" s="10">
        <f t="shared" si="60"/>
        <v>0</v>
      </c>
      <c r="I231" s="8">
        <f>IFERROR(H231/H445, "NA")</f>
        <v>0</v>
      </c>
      <c r="J231" s="9"/>
      <c r="K231" s="7">
        <v>182</v>
      </c>
      <c r="L231" s="8">
        <f>IFERROR(K231/K445, "NA")</f>
        <v>2.1014627797456861E-3</v>
      </c>
      <c r="M231" s="9"/>
      <c r="N231" s="10">
        <f t="shared" si="61"/>
        <v>182</v>
      </c>
      <c r="O231" s="8">
        <f>IFERROR(N231/N445, "NA")</f>
        <v>8.0497100556358777E-3</v>
      </c>
      <c r="P231" s="9"/>
      <c r="Q231" s="7">
        <v>217</v>
      </c>
      <c r="R231" s="8">
        <f>IFERROR(Q231/Q445, "NA")</f>
        <v>4.2582764361208988E-4</v>
      </c>
      <c r="S231" s="9"/>
      <c r="T231" s="7">
        <v>0</v>
      </c>
      <c r="U231" s="8">
        <f>IFERROR(T231/T445, "NA")</f>
        <v>0</v>
      </c>
      <c r="V231" s="9"/>
      <c r="W231" s="10">
        <f t="shared" si="62"/>
        <v>-217</v>
      </c>
      <c r="X231" s="8">
        <f>IFERROR(W231/W445, "NA")</f>
        <v>-7.0930076346257869E-3</v>
      </c>
      <c r="Y231" s="9"/>
      <c r="Z231" s="7">
        <v>1221.1300000000001</v>
      </c>
      <c r="AA231" s="8">
        <f>IFERROR(Z231/Z445, "NA")</f>
        <v>2.7335900037637148E-3</v>
      </c>
      <c r="AB231" s="9"/>
      <c r="AC231" s="10">
        <f t="shared" si="63"/>
        <v>1004.1300000000001</v>
      </c>
      <c r="AD231" s="8">
        <f>IFERROR(AC231/AC445, "NA")</f>
        <v>1.5968247021607779E-2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IFERROR(B232/B445, "NA")</f>
        <v>0</v>
      </c>
      <c r="D232" s="9"/>
      <c r="E232" s="7">
        <v>0</v>
      </c>
      <c r="F232" s="8">
        <f>IFERROR(E232/E445, "NA")</f>
        <v>0</v>
      </c>
      <c r="G232" s="9"/>
      <c r="H232" s="10">
        <f t="shared" si="60"/>
        <v>0</v>
      </c>
      <c r="I232" s="8">
        <f>IFERROR(H232/H445, "NA")</f>
        <v>0</v>
      </c>
      <c r="J232" s="9"/>
      <c r="K232" s="7">
        <v>0</v>
      </c>
      <c r="L232" s="8">
        <f>IFERROR(K232/K445, "NA")</f>
        <v>0</v>
      </c>
      <c r="M232" s="9"/>
      <c r="N232" s="10">
        <f t="shared" si="61"/>
        <v>0</v>
      </c>
      <c r="O232" s="8">
        <f>IFERROR(N232/N445, "NA")</f>
        <v>0</v>
      </c>
      <c r="P232" s="9"/>
      <c r="Q232" s="7">
        <v>0</v>
      </c>
      <c r="R232" s="8">
        <f>IFERROR(Q232/Q445, "NA")</f>
        <v>0</v>
      </c>
      <c r="S232" s="9"/>
      <c r="T232" s="7">
        <v>0</v>
      </c>
      <c r="U232" s="8">
        <f>IFERROR(T232/T445, "NA")</f>
        <v>0</v>
      </c>
      <c r="V232" s="9"/>
      <c r="W232" s="10">
        <f t="shared" si="62"/>
        <v>0</v>
      </c>
      <c r="X232" s="8">
        <f>IFERROR(W232/W445, "NA")</f>
        <v>0</v>
      </c>
      <c r="Y232" s="9"/>
      <c r="Z232" s="7">
        <v>0</v>
      </c>
      <c r="AA232" s="8">
        <f>IFERROR(Z232/Z445, "NA")</f>
        <v>0</v>
      </c>
      <c r="AB232" s="9"/>
      <c r="AC232" s="10">
        <f t="shared" si="63"/>
        <v>0</v>
      </c>
      <c r="AD232" s="8">
        <f>IFERROR(AC232/AC445,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IFERROR(B233/B445, "NA")</f>
        <v>0</v>
      </c>
      <c r="D233" s="9"/>
      <c r="E233" s="7">
        <v>0</v>
      </c>
      <c r="F233" s="8">
        <f>IFERROR(E233/E445, "NA")</f>
        <v>0</v>
      </c>
      <c r="G233" s="9"/>
      <c r="H233" s="10">
        <f t="shared" si="60"/>
        <v>0</v>
      </c>
      <c r="I233" s="8">
        <f>IFERROR(H233/H445, "NA")</f>
        <v>0</v>
      </c>
      <c r="J233" s="9"/>
      <c r="K233" s="7">
        <v>0</v>
      </c>
      <c r="L233" s="8">
        <f>IFERROR(K233/K445, "NA")</f>
        <v>0</v>
      </c>
      <c r="M233" s="9"/>
      <c r="N233" s="10">
        <f t="shared" si="61"/>
        <v>0</v>
      </c>
      <c r="O233" s="8">
        <f>IFERROR(N233/N445, "NA")</f>
        <v>0</v>
      </c>
      <c r="P233" s="9"/>
      <c r="Q233" s="7">
        <v>0</v>
      </c>
      <c r="R233" s="8">
        <f>IFERROR(Q233/Q445, "NA")</f>
        <v>0</v>
      </c>
      <c r="S233" s="9"/>
      <c r="T233" s="7">
        <v>0</v>
      </c>
      <c r="U233" s="8">
        <f>IFERROR(T233/T445, "NA")</f>
        <v>0</v>
      </c>
      <c r="V233" s="9"/>
      <c r="W233" s="10">
        <f t="shared" si="62"/>
        <v>0</v>
      </c>
      <c r="X233" s="8">
        <f>IFERROR(W233/W445, "NA")</f>
        <v>0</v>
      </c>
      <c r="Y233" s="9"/>
      <c r="Z233" s="7">
        <v>0</v>
      </c>
      <c r="AA233" s="8">
        <f>IFERROR(Z233/Z445, "NA")</f>
        <v>0</v>
      </c>
      <c r="AB233" s="9"/>
      <c r="AC233" s="10">
        <f t="shared" si="63"/>
        <v>0</v>
      </c>
      <c r="AD233" s="8">
        <f>IFERROR(AC233/AC445, "NA")</f>
        <v>0</v>
      </c>
    </row>
    <row r="234" spans="1:30" ht="16.5" customHeight="1" x14ac:dyDescent="0.45">
      <c r="A234" s="6" t="s">
        <v>213</v>
      </c>
      <c r="B234" s="7">
        <v>1673.11</v>
      </c>
      <c r="C234" s="8">
        <f>IFERROR(B234/B445, "NA")</f>
        <v>1.5319296603926993E-2</v>
      </c>
      <c r="D234" s="9"/>
      <c r="E234" s="7">
        <v>0</v>
      </c>
      <c r="F234" s="8">
        <f>IFERROR(E234/E445, "NA")</f>
        <v>0</v>
      </c>
      <c r="G234" s="9"/>
      <c r="H234" s="10">
        <f t="shared" si="60"/>
        <v>-1673.11</v>
      </c>
      <c r="I234" s="8">
        <f>IFERROR(H234/H445, "NA")</f>
        <v>-0.11546525366179528</v>
      </c>
      <c r="J234" s="9"/>
      <c r="K234" s="7">
        <v>1387.28</v>
      </c>
      <c r="L234" s="8">
        <f>IFERROR(K234/K445, "NA")</f>
        <v>1.6018226841129645E-2</v>
      </c>
      <c r="M234" s="9"/>
      <c r="N234" s="10">
        <f t="shared" si="61"/>
        <v>-285.82999999999993</v>
      </c>
      <c r="O234" s="8">
        <f>IFERROR(N234/N445, "NA")</f>
        <v>-1.2642025413200012E-2</v>
      </c>
      <c r="P234" s="9"/>
      <c r="Q234" s="7">
        <v>8150.43</v>
      </c>
      <c r="R234" s="8">
        <f>IFERROR(Q234/Q445, "NA")</f>
        <v>1.5993909683526663E-2</v>
      </c>
      <c r="S234" s="9"/>
      <c r="T234" s="7">
        <v>0</v>
      </c>
      <c r="U234" s="8">
        <f>IFERROR(T234/T445, "NA")</f>
        <v>0</v>
      </c>
      <c r="V234" s="9"/>
      <c r="W234" s="10">
        <f t="shared" si="62"/>
        <v>-8150.43</v>
      </c>
      <c r="X234" s="8">
        <f>IFERROR(W234/W445, "NA")</f>
        <v>-0.26641042495614309</v>
      </c>
      <c r="Y234" s="9"/>
      <c r="Z234" s="7">
        <v>5569.94</v>
      </c>
      <c r="AA234" s="8">
        <f>IFERROR(Z234/Z445, "NA")</f>
        <v>1.2468723481990995E-2</v>
      </c>
      <c r="AB234" s="9"/>
      <c r="AC234" s="10">
        <f t="shared" si="63"/>
        <v>-2580.4900000000007</v>
      </c>
      <c r="AD234" s="8">
        <f>IFERROR(AC234/AC445, "NA")</f>
        <v>-4.1036421336668231E-2</v>
      </c>
    </row>
    <row r="235" spans="1:30" ht="16.5" customHeight="1" x14ac:dyDescent="0.45">
      <c r="A235" s="6" t="s">
        <v>214</v>
      </c>
      <c r="B235" s="7">
        <v>36.799999999999997</v>
      </c>
      <c r="C235" s="8">
        <f>IFERROR(B235/B445, "NA")</f>
        <v>3.3694743024936395E-4</v>
      </c>
      <c r="D235" s="9"/>
      <c r="E235" s="7">
        <v>0</v>
      </c>
      <c r="F235" s="8">
        <f>IFERROR(E235/E445, "NA")</f>
        <v>0</v>
      </c>
      <c r="G235" s="9"/>
      <c r="H235" s="10">
        <f t="shared" si="60"/>
        <v>-36.799999999999997</v>
      </c>
      <c r="I235" s="8">
        <f>IFERROR(H235/H445, "NA")</f>
        <v>-2.5396544965687051E-3</v>
      </c>
      <c r="J235" s="9"/>
      <c r="K235" s="7">
        <v>0</v>
      </c>
      <c r="L235" s="8">
        <f>IFERROR(K235/K445, "NA")</f>
        <v>0</v>
      </c>
      <c r="M235" s="9"/>
      <c r="N235" s="10">
        <f t="shared" si="61"/>
        <v>-36.799999999999997</v>
      </c>
      <c r="O235" s="8">
        <f>IFERROR(N235/N445, "NA")</f>
        <v>-1.6276336815791224E-3</v>
      </c>
      <c r="P235" s="9"/>
      <c r="Q235" s="7">
        <v>139.61000000000001</v>
      </c>
      <c r="R235" s="8">
        <f>IFERROR(Q235/Q445, "NA")</f>
        <v>2.7396219965292108E-4</v>
      </c>
      <c r="S235" s="9"/>
      <c r="T235" s="7">
        <v>0</v>
      </c>
      <c r="U235" s="8">
        <f>IFERROR(T235/T445, "NA")</f>
        <v>0</v>
      </c>
      <c r="V235" s="9"/>
      <c r="W235" s="10">
        <f t="shared" si="62"/>
        <v>-139.61000000000001</v>
      </c>
      <c r="X235" s="8">
        <f>IFERROR(W235/W445, "NA")</f>
        <v>-4.5633861560834387E-3</v>
      </c>
      <c r="Y235" s="9"/>
      <c r="Z235" s="7">
        <v>0</v>
      </c>
      <c r="AA235" s="8">
        <f>IFERROR(Z235/Z445, "NA")</f>
        <v>0</v>
      </c>
      <c r="AB235" s="9"/>
      <c r="AC235" s="10">
        <f t="shared" si="63"/>
        <v>-139.61000000000001</v>
      </c>
      <c r="AD235" s="8">
        <f>IFERROR(AC235/AC445, "NA")</f>
        <v>-2.2201577153223807E-3</v>
      </c>
    </row>
    <row r="236" spans="1:30" ht="16.5" customHeight="1" x14ac:dyDescent="0.45">
      <c r="A236" s="19" t="s">
        <v>215</v>
      </c>
      <c r="B236" s="14">
        <f>IFERROR(B229+B230+B231+B232+B233+B234+B235, "NA")</f>
        <v>1709.9099999999999</v>
      </c>
      <c r="C236" s="15">
        <f>IFERROR(B236/B445, "NA")</f>
        <v>1.5656244034176356E-2</v>
      </c>
      <c r="D236" s="2"/>
      <c r="E236" s="14">
        <f>IFERROR(E229+E230+E231+E232+E233+E234+E235, "NA")</f>
        <v>1420.89</v>
      </c>
      <c r="F236" s="15">
        <f>IFERROR(E236/E445, "NA")</f>
        <v>1.5000049089111941E-2</v>
      </c>
      <c r="G236" s="2"/>
      <c r="H236" s="14">
        <f t="shared" si="60"/>
        <v>-289.01999999999975</v>
      </c>
      <c r="I236" s="15">
        <f>IFERROR(H236/H445, "NA")</f>
        <v>-1.9945949527127353E-2</v>
      </c>
      <c r="J236" s="2"/>
      <c r="K236" s="14">
        <f>IFERROR(K229+K230+K231+K232+K233+K234+K235, "NA")</f>
        <v>1569.28</v>
      </c>
      <c r="L236" s="15">
        <f>IFERROR(K236/K445, "NA")</f>
        <v>1.8119689620875332E-2</v>
      </c>
      <c r="M236" s="2"/>
      <c r="N236" s="14">
        <f t="shared" si="61"/>
        <v>-140.62999999999988</v>
      </c>
      <c r="O236" s="15">
        <f>IFERROR(N236/N445, "NA")</f>
        <v>-6.2199490391432553E-3</v>
      </c>
      <c r="P236" s="2"/>
      <c r="Q236" s="14">
        <f>IFERROR(Q229+Q230+Q231+Q232+Q233+Q234+Q235, "NA")</f>
        <v>8507.0400000000009</v>
      </c>
      <c r="R236" s="15">
        <f>IFERROR(Q236/Q445, "NA")</f>
        <v>1.6693699526791676E-2</v>
      </c>
      <c r="S236" s="2"/>
      <c r="T236" s="14">
        <f>IFERROR(T229+T230+T231+T232+T233+T234+T235, "NA")</f>
        <v>7185.04</v>
      </c>
      <c r="U236" s="15">
        <f>IFERROR(T236/T445, "NA")</f>
        <v>1.500001022959512E-2</v>
      </c>
      <c r="V236" s="2"/>
      <c r="W236" s="14">
        <f t="shared" si="62"/>
        <v>-1322.0000000000009</v>
      </c>
      <c r="X236" s="15">
        <f>IFERROR(W236/W445, "NA")</f>
        <v>-4.3211779230300902E-2</v>
      </c>
      <c r="Y236" s="2"/>
      <c r="Z236" s="14">
        <f>IFERROR(Z229+Z230+Z231+Z232+Z233+Z234+Z235, "NA")</f>
        <v>6791.07</v>
      </c>
      <c r="AA236" s="15">
        <f>IFERROR(Z236/Z445, "NA")</f>
        <v>1.5202313485754709E-2</v>
      </c>
      <c r="AB236" s="2"/>
      <c r="AC236" s="14">
        <f t="shared" si="63"/>
        <v>-1715.9700000000012</v>
      </c>
      <c r="AD236" s="15">
        <f>IFERROR(AC236/AC445, "NA")</f>
        <v>-2.7288332030382837E-2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IFERROR(B238/B445, "NA")</f>
        <v>0</v>
      </c>
      <c r="D238" s="9"/>
      <c r="E238" s="7">
        <v>0</v>
      </c>
      <c r="F238" s="8">
        <f>IFERROR(E238/E445, "NA")</f>
        <v>0</v>
      </c>
      <c r="G238" s="9"/>
      <c r="H238" s="10">
        <f>IFERROR(-(B238-E238), "NA")</f>
        <v>0</v>
      </c>
      <c r="I238" s="8">
        <f>IFERROR(H238/H445, "NA")</f>
        <v>0</v>
      </c>
      <c r="J238" s="9"/>
      <c r="K238" s="7">
        <v>0</v>
      </c>
      <c r="L238" s="8">
        <f>IFERROR(K238/K445, "NA")</f>
        <v>0</v>
      </c>
      <c r="M238" s="9"/>
      <c r="N238" s="10">
        <f>IFERROR(-(B238-K238), "NA")</f>
        <v>0</v>
      </c>
      <c r="O238" s="8">
        <f>IFERROR(N238/N445, "NA")</f>
        <v>0</v>
      </c>
      <c r="P238" s="9"/>
      <c r="Q238" s="7">
        <v>0</v>
      </c>
      <c r="R238" s="8">
        <f>IFERROR(Q238/Q445, "NA")</f>
        <v>0</v>
      </c>
      <c r="S238" s="9"/>
      <c r="T238" s="7">
        <v>0</v>
      </c>
      <c r="U238" s="8">
        <f>IFERROR(T238/T445, "NA")</f>
        <v>0</v>
      </c>
      <c r="V238" s="9"/>
      <c r="W238" s="10">
        <f>IFERROR(-(Q238-T238), "NA")</f>
        <v>0</v>
      </c>
      <c r="X238" s="8">
        <f>IFERROR(W238/W445, "NA")</f>
        <v>0</v>
      </c>
      <c r="Y238" s="9"/>
      <c r="Z238" s="7">
        <v>0</v>
      </c>
      <c r="AA238" s="8">
        <f>IFERROR(Z238/Z445, "NA")</f>
        <v>0</v>
      </c>
      <c r="AB238" s="9"/>
      <c r="AC238" s="10">
        <f>IFERROR(-(Q238-Z238), "NA")</f>
        <v>0</v>
      </c>
      <c r="AD238" s="8">
        <f>IFERROR(AC238/AC445,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IFERROR(B240/B445, "NA")</f>
        <v>0</v>
      </c>
      <c r="D240" s="9"/>
      <c r="E240" s="7">
        <v>6157.17</v>
      </c>
      <c r="F240" s="8">
        <f>IFERROR(E240/E445, "NA")</f>
        <v>6.5000001583519734E-2</v>
      </c>
      <c r="G240" s="9"/>
      <c r="H240" s="10">
        <f t="shared" ref="H240:H264" si="64">IFERROR(-(B240-E240), "NA")</f>
        <v>6157.17</v>
      </c>
      <c r="I240" s="8">
        <f>IFERROR(H240/H445, "NA")</f>
        <v>0.42492077382168303</v>
      </c>
      <c r="J240" s="9"/>
      <c r="K240" s="7">
        <v>0</v>
      </c>
      <c r="L240" s="8">
        <f>IFERROR(K240/K445, "NA")</f>
        <v>0</v>
      </c>
      <c r="M240" s="9"/>
      <c r="N240" s="10">
        <f t="shared" ref="N240:N264" si="65">IFERROR(-(B240-K240), "NA")</f>
        <v>0</v>
      </c>
      <c r="O240" s="8">
        <f>IFERROR(N240/N445, "NA")</f>
        <v>0</v>
      </c>
      <c r="P240" s="9"/>
      <c r="Q240" s="7">
        <v>0</v>
      </c>
      <c r="R240" s="8">
        <f>IFERROR(Q240/Q445, "NA")</f>
        <v>0</v>
      </c>
      <c r="S240" s="9"/>
      <c r="T240" s="7">
        <v>31135.15</v>
      </c>
      <c r="U240" s="8">
        <f>IFERROR(T240/T445, "NA")</f>
        <v>6.4999995615887804E-2</v>
      </c>
      <c r="V240" s="9"/>
      <c r="W240" s="10">
        <f t="shared" ref="W240:W264" si="66">IFERROR(-(Q240-T240), "NA")</f>
        <v>31135.15</v>
      </c>
      <c r="X240" s="8">
        <f>IFERROR(W240/W445, "NA")</f>
        <v>1.0177044085493967</v>
      </c>
      <c r="Y240" s="9"/>
      <c r="Z240" s="7">
        <v>0</v>
      </c>
      <c r="AA240" s="8">
        <f>IFERROR(Z240/Z445, "NA")</f>
        <v>0</v>
      </c>
      <c r="AB240" s="9"/>
      <c r="AC240" s="10">
        <f t="shared" ref="AC240:AC264" si="67">IFERROR(-(Q240-Z240), "NA")</f>
        <v>0</v>
      </c>
      <c r="AD240" s="8">
        <f>IFERROR(AC240/AC445,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IFERROR(B241/B445, "NA")</f>
        <v>0</v>
      </c>
      <c r="D241" s="9"/>
      <c r="E241" s="7">
        <v>0</v>
      </c>
      <c r="F241" s="8">
        <f>IFERROR(E241/E445, "NA")</f>
        <v>0</v>
      </c>
      <c r="G241" s="9"/>
      <c r="H241" s="10">
        <f t="shared" si="64"/>
        <v>0</v>
      </c>
      <c r="I241" s="8">
        <f>IFERROR(H241/H445, "NA")</f>
        <v>0</v>
      </c>
      <c r="J241" s="9"/>
      <c r="K241" s="7">
        <v>0</v>
      </c>
      <c r="L241" s="8">
        <f>IFERROR(K241/K445, "NA")</f>
        <v>0</v>
      </c>
      <c r="M241" s="9"/>
      <c r="N241" s="10">
        <f t="shared" si="65"/>
        <v>0</v>
      </c>
      <c r="O241" s="8">
        <f>IFERROR(N241/N445, "NA")</f>
        <v>0</v>
      </c>
      <c r="P241" s="9"/>
      <c r="Q241" s="7">
        <v>0</v>
      </c>
      <c r="R241" s="8">
        <f>IFERROR(Q241/Q445, "NA")</f>
        <v>0</v>
      </c>
      <c r="S241" s="9"/>
      <c r="T241" s="7">
        <v>0</v>
      </c>
      <c r="U241" s="8">
        <f>IFERROR(T241/T445, "NA")</f>
        <v>0</v>
      </c>
      <c r="V241" s="9"/>
      <c r="W241" s="10">
        <f t="shared" si="66"/>
        <v>0</v>
      </c>
      <c r="X241" s="8">
        <f>IFERROR(W241/W445, "NA")</f>
        <v>0</v>
      </c>
      <c r="Y241" s="9"/>
      <c r="Z241" s="7">
        <v>0</v>
      </c>
      <c r="AA241" s="8">
        <f>IFERROR(Z241/Z445, "NA")</f>
        <v>0</v>
      </c>
      <c r="AB241" s="9"/>
      <c r="AC241" s="10">
        <f t="shared" si="67"/>
        <v>0</v>
      </c>
      <c r="AD241" s="8">
        <f>IFERROR(AC241/AC445, "NA")</f>
        <v>0</v>
      </c>
    </row>
    <row r="242" spans="1:30" ht="16.5" customHeight="1" x14ac:dyDescent="0.45">
      <c r="A242" s="12" t="s">
        <v>219</v>
      </c>
      <c r="B242" s="7">
        <v>1847.33</v>
      </c>
      <c r="C242" s="8">
        <f>IFERROR(B242/B445, "NA")</f>
        <v>1.6914486313112976E-2</v>
      </c>
      <c r="D242" s="9"/>
      <c r="E242" s="7">
        <v>0</v>
      </c>
      <c r="F242" s="8">
        <f>IFERROR(E242/E445, "NA")</f>
        <v>0</v>
      </c>
      <c r="G242" s="9"/>
      <c r="H242" s="10">
        <f t="shared" si="64"/>
        <v>-1847.33</v>
      </c>
      <c r="I242" s="8">
        <f>IFERROR(H242/H445, "NA")</f>
        <v>-0.12748858535723551</v>
      </c>
      <c r="J242" s="9"/>
      <c r="K242" s="7">
        <v>1098.06</v>
      </c>
      <c r="L242" s="8">
        <f>IFERROR(K242/K445, "NA")</f>
        <v>1.2678748461140374E-2</v>
      </c>
      <c r="M242" s="9"/>
      <c r="N242" s="10">
        <f t="shared" si="65"/>
        <v>-749.27</v>
      </c>
      <c r="O242" s="8">
        <f>IFERROR(N242/N445, "NA")</f>
        <v>-3.3139594798825792E-2</v>
      </c>
      <c r="P242" s="9"/>
      <c r="Q242" s="7">
        <v>9302.15</v>
      </c>
      <c r="R242" s="8">
        <f>IFERROR(Q242/Q445, "NA")</f>
        <v>1.8253975184452542E-2</v>
      </c>
      <c r="S242" s="9"/>
      <c r="T242" s="7">
        <v>0</v>
      </c>
      <c r="U242" s="8">
        <f>IFERROR(T242/T445, "NA")</f>
        <v>0</v>
      </c>
      <c r="V242" s="9"/>
      <c r="W242" s="10">
        <f t="shared" si="66"/>
        <v>-9302.15</v>
      </c>
      <c r="X242" s="8">
        <f>IFERROR(W242/W445, "NA")</f>
        <v>-0.30405631782688597</v>
      </c>
      <c r="Y242" s="9"/>
      <c r="Z242" s="7">
        <v>6613.77</v>
      </c>
      <c r="AA242" s="8">
        <f>IFERROR(Z242/Z445, "NA")</f>
        <v>1.4805414295932738E-2</v>
      </c>
      <c r="AB242" s="9"/>
      <c r="AC242" s="10">
        <f t="shared" si="67"/>
        <v>-2688.3799999999992</v>
      </c>
      <c r="AD242" s="8">
        <f>IFERROR(AC242/AC445, "NA")</f>
        <v>-4.2752149550307143E-2</v>
      </c>
    </row>
    <row r="243" spans="1:30" ht="16.5" customHeight="1" x14ac:dyDescent="0.45">
      <c r="A243" s="12" t="s">
        <v>220</v>
      </c>
      <c r="B243" s="7">
        <v>2357.41</v>
      </c>
      <c r="C243" s="8">
        <f>IFERROR(B243/B445, "NA")</f>
        <v>2.1584870694134593E-2</v>
      </c>
      <c r="D243" s="9"/>
      <c r="E243" s="7">
        <v>0</v>
      </c>
      <c r="F243" s="8">
        <f>IFERROR(E243/E445, "NA")</f>
        <v>0</v>
      </c>
      <c r="G243" s="9"/>
      <c r="H243" s="10">
        <f t="shared" si="64"/>
        <v>-2357.41</v>
      </c>
      <c r="I243" s="8">
        <f>IFERROR(H243/H445, "NA")</f>
        <v>-0.16269040507489216</v>
      </c>
      <c r="J243" s="9"/>
      <c r="K243" s="7">
        <v>1335.19</v>
      </c>
      <c r="L243" s="8">
        <f>IFERROR(K243/K445, "NA")</f>
        <v>1.5416769719168368E-2</v>
      </c>
      <c r="M243" s="9"/>
      <c r="N243" s="10">
        <f t="shared" si="65"/>
        <v>-1022.2199999999998</v>
      </c>
      <c r="O243" s="8">
        <f>IFERROR(N243/N445, "NA")</f>
        <v>-4.5211948423473106E-2</v>
      </c>
      <c r="P243" s="9"/>
      <c r="Q243" s="7">
        <v>11463.83</v>
      </c>
      <c r="R243" s="8">
        <f>IFERROR(Q243/Q445, "NA")</f>
        <v>2.2495924957002693E-2</v>
      </c>
      <c r="S243" s="9"/>
      <c r="T243" s="7">
        <v>0</v>
      </c>
      <c r="U243" s="8">
        <f>IFERROR(T243/T445, "NA")</f>
        <v>0</v>
      </c>
      <c r="V243" s="9"/>
      <c r="W243" s="10">
        <f t="shared" si="66"/>
        <v>-11463.83</v>
      </c>
      <c r="X243" s="8">
        <f>IFERROR(W243/W445, "NA")</f>
        <v>-0.37471444106936463</v>
      </c>
      <c r="Y243" s="9"/>
      <c r="Z243" s="7">
        <v>6581.68</v>
      </c>
      <c r="AA243" s="8">
        <f>IFERROR(Z243/Z445, "NA")</f>
        <v>1.4733578452721304E-2</v>
      </c>
      <c r="AB243" s="9"/>
      <c r="AC243" s="10">
        <f t="shared" si="67"/>
        <v>-4882.1499999999996</v>
      </c>
      <c r="AD243" s="8">
        <f>IFERROR(AC243/AC445, "NA")</f>
        <v>-7.7638729244761548E-2</v>
      </c>
    </row>
    <row r="244" spans="1:30" ht="16.5" customHeight="1" x14ac:dyDescent="0.45">
      <c r="A244" s="12" t="s">
        <v>221</v>
      </c>
      <c r="B244" s="7">
        <v>928.59</v>
      </c>
      <c r="C244" s="8">
        <f>IFERROR(B244/B445, "NA")</f>
        <v>8.5023373438928504E-3</v>
      </c>
      <c r="D244" s="9"/>
      <c r="E244" s="7">
        <v>0</v>
      </c>
      <c r="F244" s="8">
        <f>IFERROR(E244/E445, "NA")</f>
        <v>0</v>
      </c>
      <c r="G244" s="9"/>
      <c r="H244" s="10">
        <f t="shared" si="64"/>
        <v>-928.59</v>
      </c>
      <c r="I244" s="8">
        <f>IFERROR(H244/H445, "NA")</f>
        <v>-6.4084178504585171E-2</v>
      </c>
      <c r="J244" s="9"/>
      <c r="K244" s="7">
        <v>465.54</v>
      </c>
      <c r="L244" s="8">
        <f>IFERROR(K244/K445, "NA")</f>
        <v>5.3753570466088287E-3</v>
      </c>
      <c r="M244" s="9"/>
      <c r="N244" s="10">
        <f t="shared" si="65"/>
        <v>-463.05</v>
      </c>
      <c r="O244" s="8">
        <f>IFERROR(N244/N445, "NA")</f>
        <v>-2.0480320006935126E-2</v>
      </c>
      <c r="P244" s="9"/>
      <c r="Q244" s="7">
        <v>3783.87</v>
      </c>
      <c r="R244" s="8">
        <f>IFERROR(Q244/Q445, "NA")</f>
        <v>7.4252370775782419E-3</v>
      </c>
      <c r="S244" s="9"/>
      <c r="T244" s="7">
        <v>0</v>
      </c>
      <c r="U244" s="8">
        <f>IFERROR(T244/T445, "NA")</f>
        <v>0</v>
      </c>
      <c r="V244" s="9"/>
      <c r="W244" s="10">
        <f t="shared" si="66"/>
        <v>-3783.87</v>
      </c>
      <c r="X244" s="8">
        <f>IFERROR(W244/W445, "NA")</f>
        <v>-0.12368211427848605</v>
      </c>
      <c r="Y244" s="9"/>
      <c r="Z244" s="7">
        <v>2329.9699999999998</v>
      </c>
      <c r="AA244" s="8">
        <f>IFERROR(Z244/Z445, "NA")</f>
        <v>5.215810520640179E-3</v>
      </c>
      <c r="AB244" s="9"/>
      <c r="AC244" s="10">
        <f t="shared" si="67"/>
        <v>-1453.9</v>
      </c>
      <c r="AD244" s="8">
        <f>IFERROR(AC244/AC445, "NA")</f>
        <v>-2.3120745665118611E-2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IFERROR(B245/B445, "NA")</f>
        <v>0</v>
      </c>
      <c r="D245" s="9"/>
      <c r="E245" s="7">
        <v>0</v>
      </c>
      <c r="F245" s="8">
        <f>IFERROR(E245/E445, "NA")</f>
        <v>0</v>
      </c>
      <c r="G245" s="9"/>
      <c r="H245" s="10">
        <f t="shared" si="64"/>
        <v>0</v>
      </c>
      <c r="I245" s="8">
        <f>IFERROR(H245/H445, "NA")</f>
        <v>0</v>
      </c>
      <c r="J245" s="9"/>
      <c r="K245" s="7">
        <v>0</v>
      </c>
      <c r="L245" s="8">
        <f>IFERROR(K245/K445, "NA")</f>
        <v>0</v>
      </c>
      <c r="M245" s="9"/>
      <c r="N245" s="10">
        <f t="shared" si="65"/>
        <v>0</v>
      </c>
      <c r="O245" s="8">
        <f>IFERROR(N245/N445, "NA")</f>
        <v>0</v>
      </c>
      <c r="P245" s="9"/>
      <c r="Q245" s="7">
        <v>0</v>
      </c>
      <c r="R245" s="8">
        <f>IFERROR(Q245/Q445, "NA")</f>
        <v>0</v>
      </c>
      <c r="S245" s="9"/>
      <c r="T245" s="7">
        <v>0</v>
      </c>
      <c r="U245" s="8">
        <f>IFERROR(T245/T445, "NA")</f>
        <v>0</v>
      </c>
      <c r="V245" s="9"/>
      <c r="W245" s="10">
        <f t="shared" si="66"/>
        <v>0</v>
      </c>
      <c r="X245" s="8">
        <f>IFERROR(W245/W445, "NA")</f>
        <v>0</v>
      </c>
      <c r="Y245" s="9"/>
      <c r="Z245" s="7">
        <v>0</v>
      </c>
      <c r="AA245" s="8">
        <f>IFERROR(Z245/Z445, "NA")</f>
        <v>0</v>
      </c>
      <c r="AB245" s="9"/>
      <c r="AC245" s="10">
        <f t="shared" si="67"/>
        <v>0</v>
      </c>
      <c r="AD245" s="8">
        <f>IFERROR(AC245/AC445, "NA")</f>
        <v>0</v>
      </c>
    </row>
    <row r="246" spans="1:30" ht="16.5" customHeight="1" x14ac:dyDescent="0.45">
      <c r="A246" s="12" t="s">
        <v>223</v>
      </c>
      <c r="B246" s="7">
        <v>170.65</v>
      </c>
      <c r="C246" s="8">
        <f>IFERROR(B246/B445, "NA")</f>
        <v>1.5625021459797273E-3</v>
      </c>
      <c r="D246" s="9"/>
      <c r="E246" s="7">
        <v>0</v>
      </c>
      <c r="F246" s="8">
        <f>IFERROR(E246/E445, "NA")</f>
        <v>0</v>
      </c>
      <c r="G246" s="9"/>
      <c r="H246" s="10">
        <f t="shared" si="64"/>
        <v>-170.65</v>
      </c>
      <c r="I246" s="8">
        <f>IFERROR(H246/H445, "NA")</f>
        <v>-1.177695760433287E-2</v>
      </c>
      <c r="J246" s="9"/>
      <c r="K246" s="7">
        <v>396.57</v>
      </c>
      <c r="L246" s="8">
        <f>IFERROR(K246/K445, "NA")</f>
        <v>4.5789950250755317E-3</v>
      </c>
      <c r="M246" s="9"/>
      <c r="N246" s="10">
        <f t="shared" si="65"/>
        <v>225.92</v>
      </c>
      <c r="O246" s="8">
        <f>IFERROR(N246/N445, "NA")</f>
        <v>9.9922554712596548E-3</v>
      </c>
      <c r="P246" s="9"/>
      <c r="Q246" s="7">
        <v>910.11</v>
      </c>
      <c r="R246" s="8">
        <f>IFERROR(Q246/Q445, "NA")</f>
        <v>1.7859446853815627E-3</v>
      </c>
      <c r="S246" s="9"/>
      <c r="T246" s="7">
        <v>0</v>
      </c>
      <c r="U246" s="8">
        <f>IFERROR(T246/T445, "NA")</f>
        <v>0</v>
      </c>
      <c r="V246" s="9"/>
      <c r="W246" s="10">
        <f t="shared" si="66"/>
        <v>-910.11</v>
      </c>
      <c r="X246" s="8">
        <f>IFERROR(W246/W445, "NA")</f>
        <v>-2.9748466259674079E-2</v>
      </c>
      <c r="Y246" s="9"/>
      <c r="Z246" s="7">
        <v>2006.6</v>
      </c>
      <c r="AA246" s="8">
        <f>IFERROR(Z246/Z445, "NA")</f>
        <v>4.4919228104724884E-3</v>
      </c>
      <c r="AB246" s="9"/>
      <c r="AC246" s="10">
        <f t="shared" si="67"/>
        <v>1096.4899999999998</v>
      </c>
      <c r="AD246" s="8">
        <f>IFERROR(AC246/AC445, "NA")</f>
        <v>1.743700833231027E-2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IFERROR(B247/B445, "NA")</f>
        <v>0</v>
      </c>
      <c r="D247" s="9"/>
      <c r="E247" s="7">
        <v>0</v>
      </c>
      <c r="F247" s="8">
        <f>IFERROR(E247/E445, "NA")</f>
        <v>0</v>
      </c>
      <c r="G247" s="9"/>
      <c r="H247" s="10">
        <f t="shared" si="64"/>
        <v>0</v>
      </c>
      <c r="I247" s="8">
        <f>IFERROR(H247/H445, "NA")</f>
        <v>0</v>
      </c>
      <c r="J247" s="9"/>
      <c r="K247" s="7">
        <v>0</v>
      </c>
      <c r="L247" s="8">
        <f>IFERROR(K247/K445, "NA")</f>
        <v>0</v>
      </c>
      <c r="M247" s="9"/>
      <c r="N247" s="10">
        <f t="shared" si="65"/>
        <v>0</v>
      </c>
      <c r="O247" s="8">
        <f>IFERROR(N247/N445, "NA")</f>
        <v>0</v>
      </c>
      <c r="P247" s="9"/>
      <c r="Q247" s="7">
        <v>0</v>
      </c>
      <c r="R247" s="8">
        <f>IFERROR(Q247/Q445, "NA")</f>
        <v>0</v>
      </c>
      <c r="S247" s="9"/>
      <c r="T247" s="7">
        <v>0</v>
      </c>
      <c r="U247" s="8">
        <f>IFERROR(T247/T445, "NA")</f>
        <v>0</v>
      </c>
      <c r="V247" s="9"/>
      <c r="W247" s="10">
        <f t="shared" si="66"/>
        <v>0</v>
      </c>
      <c r="X247" s="8">
        <f>IFERROR(W247/W445, "NA")</f>
        <v>0</v>
      </c>
      <c r="Y247" s="9"/>
      <c r="Z247" s="7">
        <v>0</v>
      </c>
      <c r="AA247" s="8">
        <f>IFERROR(Z247/Z445, "NA")</f>
        <v>0</v>
      </c>
      <c r="AB247" s="9"/>
      <c r="AC247" s="10">
        <f t="shared" si="67"/>
        <v>0</v>
      </c>
      <c r="AD247" s="8">
        <f>IFERROR(AC247/AC445, "NA")</f>
        <v>0</v>
      </c>
    </row>
    <row r="248" spans="1:30" ht="16.5" customHeight="1" x14ac:dyDescent="0.45">
      <c r="A248" s="12" t="s">
        <v>225</v>
      </c>
      <c r="B248" s="7">
        <v>263.13</v>
      </c>
      <c r="C248" s="8">
        <f>IFERROR(B248/B445, "NA")</f>
        <v>2.4092656880846507E-3</v>
      </c>
      <c r="D248" s="9"/>
      <c r="E248" s="7">
        <v>0</v>
      </c>
      <c r="F248" s="8">
        <f>IFERROR(E248/E445, "NA")</f>
        <v>0</v>
      </c>
      <c r="G248" s="9"/>
      <c r="H248" s="10">
        <f t="shared" si="64"/>
        <v>-263.13</v>
      </c>
      <c r="I248" s="8">
        <f>IFERROR(H248/H445, "NA")</f>
        <v>-1.8159219773970746E-2</v>
      </c>
      <c r="J248" s="9"/>
      <c r="K248" s="7">
        <v>270.29000000000002</v>
      </c>
      <c r="L248" s="8">
        <f>IFERROR(K248/K445, "NA")</f>
        <v>3.1209031578981403E-3</v>
      </c>
      <c r="M248" s="9"/>
      <c r="N248" s="10">
        <f t="shared" si="65"/>
        <v>7.160000000000025</v>
      </c>
      <c r="O248" s="8">
        <f>IFERROR(N248/N445, "NA")</f>
        <v>3.166809010898521E-4</v>
      </c>
      <c r="P248" s="9"/>
      <c r="Q248" s="7">
        <v>1269.04</v>
      </c>
      <c r="R248" s="8">
        <f>IFERROR(Q248/Q445, "NA")</f>
        <v>2.4902871559884169E-3</v>
      </c>
      <c r="S248" s="9"/>
      <c r="T248" s="7">
        <v>0</v>
      </c>
      <c r="U248" s="8">
        <f>IFERROR(T248/T445, "NA")</f>
        <v>0</v>
      </c>
      <c r="V248" s="9"/>
      <c r="W248" s="10">
        <f t="shared" si="66"/>
        <v>-1269.04</v>
      </c>
      <c r="X248" s="8">
        <f>IFERROR(W248/W445, "NA")</f>
        <v>-4.1480693127398653E-2</v>
      </c>
      <c r="Y248" s="9"/>
      <c r="Z248" s="7">
        <v>1329.9</v>
      </c>
      <c r="AA248" s="8">
        <f>IFERROR(Z248/Z445, "NA")</f>
        <v>2.977079709781403E-3</v>
      </c>
      <c r="AB248" s="9"/>
      <c r="AC248" s="10">
        <f t="shared" si="67"/>
        <v>60.860000000000127</v>
      </c>
      <c r="AD248" s="8">
        <f>IFERROR(AC248/AC445, "NA")</f>
        <v>9.678303742892369E-4</v>
      </c>
    </row>
    <row r="249" spans="1:30" ht="16.5" customHeight="1" x14ac:dyDescent="0.45">
      <c r="A249" s="12" t="s">
        <v>226</v>
      </c>
      <c r="B249" s="7">
        <v>2050.3000000000002</v>
      </c>
      <c r="C249" s="8">
        <f>IFERROR(B249/B445, "NA")</f>
        <v>1.8772916202181276E-2</v>
      </c>
      <c r="D249" s="9"/>
      <c r="E249" s="7">
        <v>0</v>
      </c>
      <c r="F249" s="8">
        <f>IFERROR(E249/E445, "NA")</f>
        <v>0</v>
      </c>
      <c r="G249" s="9"/>
      <c r="H249" s="10">
        <f t="shared" si="64"/>
        <v>-2050.3000000000002</v>
      </c>
      <c r="I249" s="8">
        <f>IFERROR(H249/H445, "NA")</f>
        <v>-0.14149602212812001</v>
      </c>
      <c r="J249" s="9"/>
      <c r="K249" s="7">
        <v>1314.02</v>
      </c>
      <c r="L249" s="8">
        <f>IFERROR(K249/K445, "NA")</f>
        <v>1.5172330339788058E-2</v>
      </c>
      <c r="M249" s="9"/>
      <c r="N249" s="10">
        <f t="shared" si="65"/>
        <v>-736.2800000000002</v>
      </c>
      <c r="O249" s="8">
        <f>IFERROR(N249/N445, "NA")</f>
        <v>-3.2565057800898821E-2</v>
      </c>
      <c r="P249" s="9"/>
      <c r="Q249" s="7">
        <v>11581.56</v>
      </c>
      <c r="R249" s="8">
        <f>IFERROR(Q249/Q445, "NA")</f>
        <v>2.2726951171207536E-2</v>
      </c>
      <c r="S249" s="9"/>
      <c r="T249" s="7">
        <v>0</v>
      </c>
      <c r="U249" s="8">
        <f>IFERROR(T249/T445, "NA")</f>
        <v>0</v>
      </c>
      <c r="V249" s="9"/>
      <c r="W249" s="10">
        <f t="shared" si="66"/>
        <v>-11581.56</v>
      </c>
      <c r="X249" s="8">
        <f>IFERROR(W249/W445, "NA")</f>
        <v>-0.37856264286118257</v>
      </c>
      <c r="Y249" s="9"/>
      <c r="Z249" s="7">
        <v>9655.5400000000009</v>
      </c>
      <c r="AA249" s="8">
        <f>IFERROR(Z249/Z445, "NA")</f>
        <v>2.1614641868548556E-2</v>
      </c>
      <c r="AB249" s="9"/>
      <c r="AC249" s="10">
        <f t="shared" si="67"/>
        <v>-1926.0199999999986</v>
      </c>
      <c r="AD249" s="8">
        <f>IFERROR(AC249/AC445, "NA")</f>
        <v>-3.0628666734941683E-2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IFERROR(B250/B445, "NA")</f>
        <v>0</v>
      </c>
      <c r="D250" s="9"/>
      <c r="E250" s="7">
        <v>0</v>
      </c>
      <c r="F250" s="8">
        <f>IFERROR(E250/E445, "NA")</f>
        <v>0</v>
      </c>
      <c r="G250" s="9"/>
      <c r="H250" s="10">
        <f t="shared" si="64"/>
        <v>0</v>
      </c>
      <c r="I250" s="8">
        <f>IFERROR(H250/H445, "NA")</f>
        <v>0</v>
      </c>
      <c r="J250" s="9"/>
      <c r="K250" s="7">
        <v>0</v>
      </c>
      <c r="L250" s="8">
        <f>IFERROR(K250/K445, "NA")</f>
        <v>0</v>
      </c>
      <c r="M250" s="9"/>
      <c r="N250" s="10">
        <f t="shared" si="65"/>
        <v>0</v>
      </c>
      <c r="O250" s="8">
        <f>IFERROR(N250/N445, "NA")</f>
        <v>0</v>
      </c>
      <c r="P250" s="9"/>
      <c r="Q250" s="7">
        <v>0</v>
      </c>
      <c r="R250" s="8">
        <f>IFERROR(Q250/Q445, "NA")</f>
        <v>0</v>
      </c>
      <c r="S250" s="9"/>
      <c r="T250" s="7">
        <v>0</v>
      </c>
      <c r="U250" s="8">
        <f>IFERROR(T250/T445, "NA")</f>
        <v>0</v>
      </c>
      <c r="V250" s="9"/>
      <c r="W250" s="10">
        <f t="shared" si="66"/>
        <v>0</v>
      </c>
      <c r="X250" s="8">
        <f>IFERROR(W250/W445, "NA")</f>
        <v>0</v>
      </c>
      <c r="Y250" s="9"/>
      <c r="Z250" s="7">
        <v>0</v>
      </c>
      <c r="AA250" s="8">
        <f>IFERROR(Z250/Z445, "NA")</f>
        <v>0</v>
      </c>
      <c r="AB250" s="9"/>
      <c r="AC250" s="10">
        <f t="shared" si="67"/>
        <v>0</v>
      </c>
      <c r="AD250" s="8">
        <f>IFERROR(AC250/AC445, "NA")</f>
        <v>0</v>
      </c>
    </row>
    <row r="251" spans="1:30" ht="16.5" customHeight="1" x14ac:dyDescent="0.45">
      <c r="A251" s="12" t="s">
        <v>228</v>
      </c>
      <c r="B251" s="7">
        <v>25.21</v>
      </c>
      <c r="C251" s="8">
        <f>IFERROR(B251/B445, "NA")</f>
        <v>2.3082730208115397E-4</v>
      </c>
      <c r="D251" s="9"/>
      <c r="E251" s="7">
        <v>0</v>
      </c>
      <c r="F251" s="8">
        <f>IFERROR(E251/E445, "NA")</f>
        <v>0</v>
      </c>
      <c r="G251" s="9"/>
      <c r="H251" s="10">
        <f t="shared" si="64"/>
        <v>-25.21</v>
      </c>
      <c r="I251" s="8">
        <f>IFERROR(H251/H445, "NA")</f>
        <v>-1.7398013548504637E-3</v>
      </c>
      <c r="J251" s="9"/>
      <c r="K251" s="7">
        <v>28.47</v>
      </c>
      <c r="L251" s="8">
        <f>IFERROR(K251/K445, "NA")</f>
        <v>3.2872882054593234E-4</v>
      </c>
      <c r="M251" s="9"/>
      <c r="N251" s="10">
        <f t="shared" si="65"/>
        <v>3.259999999999998</v>
      </c>
      <c r="O251" s="8">
        <f>IFERROR(N251/N445, "NA")</f>
        <v>1.4418711418336783E-4</v>
      </c>
      <c r="P251" s="9"/>
      <c r="Q251" s="7">
        <v>122.38</v>
      </c>
      <c r="R251" s="8">
        <f>IFERROR(Q251/Q445, "NA")</f>
        <v>2.4015109228224681E-4</v>
      </c>
      <c r="S251" s="9"/>
      <c r="T251" s="7">
        <v>0</v>
      </c>
      <c r="U251" s="8">
        <f>IFERROR(T251/T445, "NA")</f>
        <v>0</v>
      </c>
      <c r="V251" s="9"/>
      <c r="W251" s="10">
        <f t="shared" si="66"/>
        <v>-122.38</v>
      </c>
      <c r="X251" s="8">
        <f>IFERROR(W251/W445, "NA")</f>
        <v>-4.000194812559925E-3</v>
      </c>
      <c r="Y251" s="9"/>
      <c r="Z251" s="7">
        <v>265.01</v>
      </c>
      <c r="AA251" s="8">
        <f>IFERROR(Z251/Z445, "NA")</f>
        <v>5.9324452506892957E-4</v>
      </c>
      <c r="AB251" s="9"/>
      <c r="AC251" s="10">
        <f t="shared" si="67"/>
        <v>142.63</v>
      </c>
      <c r="AD251" s="8">
        <f>IFERROR(AC251/AC445, "NA")</f>
        <v>2.2681834749404134E-3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IFERROR(B252/B445, "NA")</f>
        <v>0</v>
      </c>
      <c r="D252" s="9"/>
      <c r="E252" s="7">
        <v>0</v>
      </c>
      <c r="F252" s="8">
        <f>IFERROR(E252/E445, "NA")</f>
        <v>0</v>
      </c>
      <c r="G252" s="9"/>
      <c r="H252" s="10">
        <f t="shared" si="64"/>
        <v>0</v>
      </c>
      <c r="I252" s="8">
        <f>IFERROR(H252/H445, "NA")</f>
        <v>0</v>
      </c>
      <c r="J252" s="9"/>
      <c r="K252" s="7">
        <v>0</v>
      </c>
      <c r="L252" s="8">
        <f>IFERROR(K252/K445, "NA")</f>
        <v>0</v>
      </c>
      <c r="M252" s="9"/>
      <c r="N252" s="10">
        <f t="shared" si="65"/>
        <v>0</v>
      </c>
      <c r="O252" s="8">
        <f>IFERROR(N252/N445, "NA")</f>
        <v>0</v>
      </c>
      <c r="P252" s="9"/>
      <c r="Q252" s="7">
        <v>0</v>
      </c>
      <c r="R252" s="8">
        <f>IFERROR(Q252/Q445, "NA")</f>
        <v>0</v>
      </c>
      <c r="S252" s="9"/>
      <c r="T252" s="7">
        <v>0</v>
      </c>
      <c r="U252" s="8">
        <f>IFERROR(T252/T445, "NA")</f>
        <v>0</v>
      </c>
      <c r="V252" s="9"/>
      <c r="W252" s="10">
        <f t="shared" si="66"/>
        <v>0</v>
      </c>
      <c r="X252" s="8">
        <f>IFERROR(W252/W445, "NA")</f>
        <v>0</v>
      </c>
      <c r="Y252" s="9"/>
      <c r="Z252" s="7">
        <v>0</v>
      </c>
      <c r="AA252" s="8">
        <f>IFERROR(Z252/Z445, "NA")</f>
        <v>0</v>
      </c>
      <c r="AB252" s="9"/>
      <c r="AC252" s="10">
        <f t="shared" si="67"/>
        <v>0</v>
      </c>
      <c r="AD252" s="8">
        <f>IFERROR(AC252/AC445,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IFERROR(B253/B445, "NA")</f>
        <v>0</v>
      </c>
      <c r="D253" s="9"/>
      <c r="E253" s="7">
        <v>0</v>
      </c>
      <c r="F253" s="8">
        <f>IFERROR(E253/E445, "NA")</f>
        <v>0</v>
      </c>
      <c r="G253" s="9"/>
      <c r="H253" s="10">
        <f t="shared" si="64"/>
        <v>0</v>
      </c>
      <c r="I253" s="8">
        <f>IFERROR(H253/H445, "NA")</f>
        <v>0</v>
      </c>
      <c r="J253" s="9"/>
      <c r="K253" s="7">
        <v>0</v>
      </c>
      <c r="L253" s="8">
        <f>IFERROR(K253/K445, "NA")</f>
        <v>0</v>
      </c>
      <c r="M253" s="9"/>
      <c r="N253" s="10">
        <f t="shared" si="65"/>
        <v>0</v>
      </c>
      <c r="O253" s="8">
        <f>IFERROR(N253/N445, "NA")</f>
        <v>0</v>
      </c>
      <c r="P253" s="9"/>
      <c r="Q253" s="7">
        <v>0</v>
      </c>
      <c r="R253" s="8">
        <f>IFERROR(Q253/Q445, "NA")</f>
        <v>0</v>
      </c>
      <c r="S253" s="9"/>
      <c r="T253" s="7">
        <v>0</v>
      </c>
      <c r="U253" s="8">
        <f>IFERROR(T253/T445, "NA")</f>
        <v>0</v>
      </c>
      <c r="V253" s="9"/>
      <c r="W253" s="10">
        <f t="shared" si="66"/>
        <v>0</v>
      </c>
      <c r="X253" s="8">
        <f>IFERROR(W253/W445, "NA")</f>
        <v>0</v>
      </c>
      <c r="Y253" s="9"/>
      <c r="Z253" s="7">
        <v>0</v>
      </c>
      <c r="AA253" s="8">
        <f>IFERROR(Z253/Z445, "NA")</f>
        <v>0</v>
      </c>
      <c r="AB253" s="9"/>
      <c r="AC253" s="10">
        <f t="shared" si="67"/>
        <v>0</v>
      </c>
      <c r="AD253" s="8">
        <f>IFERROR(AC253/AC445,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IFERROR(B254/B445, "NA")</f>
        <v>0</v>
      </c>
      <c r="D254" s="9"/>
      <c r="E254" s="7">
        <v>0</v>
      </c>
      <c r="F254" s="8">
        <f>IFERROR(E254/E445, "NA")</f>
        <v>0</v>
      </c>
      <c r="G254" s="9"/>
      <c r="H254" s="10">
        <f t="shared" si="64"/>
        <v>0</v>
      </c>
      <c r="I254" s="8">
        <f>IFERROR(H254/H445, "NA")</f>
        <v>0</v>
      </c>
      <c r="J254" s="9"/>
      <c r="K254" s="7">
        <v>0</v>
      </c>
      <c r="L254" s="8">
        <f>IFERROR(K254/K445, "NA")</f>
        <v>0</v>
      </c>
      <c r="M254" s="9"/>
      <c r="N254" s="10">
        <f t="shared" si="65"/>
        <v>0</v>
      </c>
      <c r="O254" s="8">
        <f>IFERROR(N254/N445, "NA")</f>
        <v>0</v>
      </c>
      <c r="P254" s="9"/>
      <c r="Q254" s="7">
        <v>0</v>
      </c>
      <c r="R254" s="8">
        <f>IFERROR(Q254/Q445, "NA")</f>
        <v>0</v>
      </c>
      <c r="S254" s="9"/>
      <c r="T254" s="7">
        <v>0</v>
      </c>
      <c r="U254" s="8">
        <f>IFERROR(T254/T445, "NA")</f>
        <v>0</v>
      </c>
      <c r="V254" s="9"/>
      <c r="W254" s="10">
        <f t="shared" si="66"/>
        <v>0</v>
      </c>
      <c r="X254" s="8">
        <f>IFERROR(W254/W445, "NA")</f>
        <v>0</v>
      </c>
      <c r="Y254" s="9"/>
      <c r="Z254" s="7">
        <v>0</v>
      </c>
      <c r="AA254" s="8">
        <f>IFERROR(Z254/Z445, "NA")</f>
        <v>0</v>
      </c>
      <c r="AB254" s="9"/>
      <c r="AC254" s="10">
        <f t="shared" si="67"/>
        <v>0</v>
      </c>
      <c r="AD254" s="8">
        <f>IFERROR(AC254/AC445,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IFERROR(B255/B445, "NA")</f>
        <v>0</v>
      </c>
      <c r="D255" s="9"/>
      <c r="E255" s="7">
        <v>0</v>
      </c>
      <c r="F255" s="8">
        <f>IFERROR(E255/E445, "NA")</f>
        <v>0</v>
      </c>
      <c r="G255" s="9"/>
      <c r="H255" s="10">
        <f t="shared" si="64"/>
        <v>0</v>
      </c>
      <c r="I255" s="8">
        <f>IFERROR(H255/H445, "NA")</f>
        <v>0</v>
      </c>
      <c r="J255" s="9"/>
      <c r="K255" s="7">
        <v>0</v>
      </c>
      <c r="L255" s="8">
        <f>IFERROR(K255/K445, "NA")</f>
        <v>0</v>
      </c>
      <c r="M255" s="9"/>
      <c r="N255" s="10">
        <f t="shared" si="65"/>
        <v>0</v>
      </c>
      <c r="O255" s="8">
        <f>IFERROR(N255/N445, "NA")</f>
        <v>0</v>
      </c>
      <c r="P255" s="9"/>
      <c r="Q255" s="7">
        <v>0</v>
      </c>
      <c r="R255" s="8">
        <f>IFERROR(Q255/Q445, "NA")</f>
        <v>0</v>
      </c>
      <c r="S255" s="9"/>
      <c r="T255" s="7">
        <v>0</v>
      </c>
      <c r="U255" s="8">
        <f>IFERROR(T255/T445, "NA")</f>
        <v>0</v>
      </c>
      <c r="V255" s="9"/>
      <c r="W255" s="10">
        <f t="shared" si="66"/>
        <v>0</v>
      </c>
      <c r="X255" s="8">
        <f>IFERROR(W255/W445, "NA")</f>
        <v>0</v>
      </c>
      <c r="Y255" s="9"/>
      <c r="Z255" s="7">
        <v>0</v>
      </c>
      <c r="AA255" s="8">
        <f>IFERROR(Z255/Z445, "NA")</f>
        <v>0</v>
      </c>
      <c r="AB255" s="9"/>
      <c r="AC255" s="10">
        <f t="shared" si="67"/>
        <v>0</v>
      </c>
      <c r="AD255" s="8">
        <f>IFERROR(AC255/AC445,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IFERROR(B256/B445, "NA")</f>
        <v>0</v>
      </c>
      <c r="D256" s="9"/>
      <c r="E256" s="7">
        <v>0</v>
      </c>
      <c r="F256" s="8">
        <f>IFERROR(E256/E445, "NA")</f>
        <v>0</v>
      </c>
      <c r="G256" s="9"/>
      <c r="H256" s="10">
        <f t="shared" si="64"/>
        <v>0</v>
      </c>
      <c r="I256" s="8">
        <f>IFERROR(H256/H445, "NA")</f>
        <v>0</v>
      </c>
      <c r="J256" s="9"/>
      <c r="K256" s="7">
        <v>0</v>
      </c>
      <c r="L256" s="8">
        <f>IFERROR(K256/K445, "NA")</f>
        <v>0</v>
      </c>
      <c r="M256" s="9"/>
      <c r="N256" s="10">
        <f t="shared" si="65"/>
        <v>0</v>
      </c>
      <c r="O256" s="8">
        <f>IFERROR(N256/N445, "NA")</f>
        <v>0</v>
      </c>
      <c r="P256" s="9"/>
      <c r="Q256" s="7">
        <v>0</v>
      </c>
      <c r="R256" s="8">
        <f>IFERROR(Q256/Q445, "NA")</f>
        <v>0</v>
      </c>
      <c r="S256" s="9"/>
      <c r="T256" s="7">
        <v>0</v>
      </c>
      <c r="U256" s="8">
        <f>IFERROR(T256/T445, "NA")</f>
        <v>0</v>
      </c>
      <c r="V256" s="9"/>
      <c r="W256" s="10">
        <f t="shared" si="66"/>
        <v>0</v>
      </c>
      <c r="X256" s="8">
        <f>IFERROR(W256/W445, "NA")</f>
        <v>0</v>
      </c>
      <c r="Y256" s="9"/>
      <c r="Z256" s="7">
        <v>0</v>
      </c>
      <c r="AA256" s="8">
        <f>IFERROR(Z256/Z445, "NA")</f>
        <v>0</v>
      </c>
      <c r="AB256" s="9"/>
      <c r="AC256" s="10">
        <f t="shared" si="67"/>
        <v>0</v>
      </c>
      <c r="AD256" s="8">
        <f>IFERROR(AC256/AC445,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IFERROR(B257/B445, "NA")</f>
        <v>0</v>
      </c>
      <c r="D257" s="9"/>
      <c r="E257" s="7">
        <v>0</v>
      </c>
      <c r="F257" s="8">
        <f>IFERROR(E257/E445, "NA")</f>
        <v>0</v>
      </c>
      <c r="G257" s="9"/>
      <c r="H257" s="10">
        <f t="shared" si="64"/>
        <v>0</v>
      </c>
      <c r="I257" s="8">
        <f>IFERROR(H257/H445, "NA")</f>
        <v>0</v>
      </c>
      <c r="J257" s="9"/>
      <c r="K257" s="7">
        <v>0</v>
      </c>
      <c r="L257" s="8">
        <f>IFERROR(K257/K445, "NA")</f>
        <v>0</v>
      </c>
      <c r="M257" s="9"/>
      <c r="N257" s="10">
        <f t="shared" si="65"/>
        <v>0</v>
      </c>
      <c r="O257" s="8">
        <f>IFERROR(N257/N445, "NA")</f>
        <v>0</v>
      </c>
      <c r="P257" s="9"/>
      <c r="Q257" s="7">
        <v>0</v>
      </c>
      <c r="R257" s="8">
        <f>IFERROR(Q257/Q445, "NA")</f>
        <v>0</v>
      </c>
      <c r="S257" s="9"/>
      <c r="T257" s="7">
        <v>0</v>
      </c>
      <c r="U257" s="8">
        <f>IFERROR(T257/T445, "NA")</f>
        <v>0</v>
      </c>
      <c r="V257" s="9"/>
      <c r="W257" s="10">
        <f t="shared" si="66"/>
        <v>0</v>
      </c>
      <c r="X257" s="8">
        <f>IFERROR(W257/W445, "NA")</f>
        <v>0</v>
      </c>
      <c r="Y257" s="9"/>
      <c r="Z257" s="7">
        <v>0</v>
      </c>
      <c r="AA257" s="8">
        <f>IFERROR(Z257/Z445, "NA")</f>
        <v>0</v>
      </c>
      <c r="AB257" s="9"/>
      <c r="AC257" s="10">
        <f t="shared" si="67"/>
        <v>0</v>
      </c>
      <c r="AD257" s="8">
        <f>IFERROR(AC257/AC445, "NA")</f>
        <v>0</v>
      </c>
    </row>
    <row r="258" spans="1:30" ht="16.5" customHeight="1" x14ac:dyDescent="0.45">
      <c r="A258" s="12" t="s">
        <v>235</v>
      </c>
      <c r="B258" s="7">
        <v>1395.53</v>
      </c>
      <c r="C258" s="8">
        <f>IFERROR(B258/B445, "NA")</f>
        <v>1.2777724112388448E-2</v>
      </c>
      <c r="D258" s="9"/>
      <c r="E258" s="7">
        <v>0</v>
      </c>
      <c r="F258" s="8">
        <f>IFERROR(E258/E445, "NA")</f>
        <v>0</v>
      </c>
      <c r="G258" s="9"/>
      <c r="H258" s="10">
        <f t="shared" si="64"/>
        <v>-1395.53</v>
      </c>
      <c r="I258" s="8">
        <f>IFERROR(H258/H445, "NA")</f>
        <v>-9.6308805423818616E-2</v>
      </c>
      <c r="J258" s="9"/>
      <c r="K258" s="7">
        <v>0</v>
      </c>
      <c r="L258" s="8">
        <f>IFERROR(K258/K445, "NA")</f>
        <v>0</v>
      </c>
      <c r="M258" s="9"/>
      <c r="N258" s="10">
        <f t="shared" si="65"/>
        <v>-1395.53</v>
      </c>
      <c r="O258" s="8">
        <f>IFERROR(N258/N445, "NA")</f>
        <v>-6.1723142164513932E-2</v>
      </c>
      <c r="P258" s="9"/>
      <c r="Q258" s="7">
        <v>4007.75</v>
      </c>
      <c r="R258" s="8">
        <f>IFERROR(Q258/Q445, "NA")</f>
        <v>7.864565616066143E-3</v>
      </c>
      <c r="S258" s="9"/>
      <c r="T258" s="7">
        <v>0</v>
      </c>
      <c r="U258" s="8">
        <f>IFERROR(T258/T445, "NA")</f>
        <v>0</v>
      </c>
      <c r="V258" s="9"/>
      <c r="W258" s="10">
        <f t="shared" si="66"/>
        <v>-4007.75</v>
      </c>
      <c r="X258" s="8">
        <f>IFERROR(W258/W445, "NA")</f>
        <v>-0.13100000621046773</v>
      </c>
      <c r="Y258" s="9"/>
      <c r="Z258" s="7">
        <v>0</v>
      </c>
      <c r="AA258" s="8">
        <f>IFERROR(Z258/Z445, "NA")</f>
        <v>0</v>
      </c>
      <c r="AB258" s="9"/>
      <c r="AC258" s="10">
        <f t="shared" si="67"/>
        <v>-4007.75</v>
      </c>
      <c r="AD258" s="8">
        <f>IFERROR(AC258/AC445, "NA")</f>
        <v>-6.3733522552705896E-2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IFERROR(B259/B445, "NA")</f>
        <v>0</v>
      </c>
      <c r="D259" s="9"/>
      <c r="E259" s="7">
        <v>0</v>
      </c>
      <c r="F259" s="8">
        <f>IFERROR(E259/E445, "NA")</f>
        <v>0</v>
      </c>
      <c r="G259" s="9"/>
      <c r="H259" s="10">
        <f t="shared" si="64"/>
        <v>0</v>
      </c>
      <c r="I259" s="8">
        <f>IFERROR(H259/H445, "NA")</f>
        <v>0</v>
      </c>
      <c r="J259" s="9"/>
      <c r="K259" s="7">
        <v>0</v>
      </c>
      <c r="L259" s="8">
        <f>IFERROR(K259/K445, "NA")</f>
        <v>0</v>
      </c>
      <c r="M259" s="9"/>
      <c r="N259" s="10">
        <f t="shared" si="65"/>
        <v>0</v>
      </c>
      <c r="O259" s="8">
        <f>IFERROR(N259/N445, "NA")</f>
        <v>0</v>
      </c>
      <c r="P259" s="9"/>
      <c r="Q259" s="7">
        <v>0</v>
      </c>
      <c r="R259" s="8">
        <f>IFERROR(Q259/Q445, "NA")</f>
        <v>0</v>
      </c>
      <c r="S259" s="9"/>
      <c r="T259" s="7">
        <v>0</v>
      </c>
      <c r="U259" s="8">
        <f>IFERROR(T259/T445, "NA")</f>
        <v>0</v>
      </c>
      <c r="V259" s="9"/>
      <c r="W259" s="10">
        <f t="shared" si="66"/>
        <v>0</v>
      </c>
      <c r="X259" s="8">
        <f>IFERROR(W259/W445, "NA")</f>
        <v>0</v>
      </c>
      <c r="Y259" s="9"/>
      <c r="Z259" s="7">
        <v>0</v>
      </c>
      <c r="AA259" s="8">
        <f>IFERROR(Z259/Z445, "NA")</f>
        <v>0</v>
      </c>
      <c r="AB259" s="9"/>
      <c r="AC259" s="10">
        <f t="shared" si="67"/>
        <v>0</v>
      </c>
      <c r="AD259" s="8">
        <f>IFERROR(AC259/AC445,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IFERROR(B260/B445, "NA")</f>
        <v>0</v>
      </c>
      <c r="D260" s="9"/>
      <c r="E260" s="7">
        <v>0</v>
      </c>
      <c r="F260" s="8">
        <f>IFERROR(E260/E445, "NA")</f>
        <v>0</v>
      </c>
      <c r="G260" s="9"/>
      <c r="H260" s="10">
        <f t="shared" si="64"/>
        <v>0</v>
      </c>
      <c r="I260" s="8">
        <f>IFERROR(H260/H445, "NA")</f>
        <v>0</v>
      </c>
      <c r="J260" s="9"/>
      <c r="K260" s="7">
        <v>0</v>
      </c>
      <c r="L260" s="8">
        <f>IFERROR(K260/K445, "NA")</f>
        <v>0</v>
      </c>
      <c r="M260" s="9"/>
      <c r="N260" s="10">
        <f t="shared" si="65"/>
        <v>0</v>
      </c>
      <c r="O260" s="8">
        <f>IFERROR(N260/N445, "NA")</f>
        <v>0</v>
      </c>
      <c r="P260" s="9"/>
      <c r="Q260" s="7">
        <v>0</v>
      </c>
      <c r="R260" s="8">
        <f>IFERROR(Q260/Q445, "NA")</f>
        <v>0</v>
      </c>
      <c r="S260" s="9"/>
      <c r="T260" s="7">
        <v>0</v>
      </c>
      <c r="U260" s="8">
        <f>IFERROR(T260/T445, "NA")</f>
        <v>0</v>
      </c>
      <c r="V260" s="9"/>
      <c r="W260" s="10">
        <f t="shared" si="66"/>
        <v>0</v>
      </c>
      <c r="X260" s="8">
        <f>IFERROR(W260/W445, "NA")</f>
        <v>0</v>
      </c>
      <c r="Y260" s="9"/>
      <c r="Z260" s="7">
        <v>0</v>
      </c>
      <c r="AA260" s="8">
        <f>IFERROR(Z260/Z445, "NA")</f>
        <v>0</v>
      </c>
      <c r="AB260" s="9"/>
      <c r="AC260" s="10">
        <f t="shared" si="67"/>
        <v>0</v>
      </c>
      <c r="AD260" s="8">
        <f>IFERROR(AC260/AC445,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IFERROR(B261/B445, "NA")</f>
        <v>0</v>
      </c>
      <c r="D261" s="9"/>
      <c r="E261" s="7">
        <v>0</v>
      </c>
      <c r="F261" s="8">
        <f>IFERROR(E261/E445, "NA")</f>
        <v>0</v>
      </c>
      <c r="G261" s="9"/>
      <c r="H261" s="10">
        <f t="shared" si="64"/>
        <v>0</v>
      </c>
      <c r="I261" s="8">
        <f>IFERROR(H261/H445, "NA")</f>
        <v>0</v>
      </c>
      <c r="J261" s="9"/>
      <c r="K261" s="7">
        <v>0</v>
      </c>
      <c r="L261" s="8">
        <f>IFERROR(K261/K445, "NA")</f>
        <v>0</v>
      </c>
      <c r="M261" s="9"/>
      <c r="N261" s="10">
        <f t="shared" si="65"/>
        <v>0</v>
      </c>
      <c r="O261" s="8">
        <f>IFERROR(N261/N445, "NA")</f>
        <v>0</v>
      </c>
      <c r="P261" s="9"/>
      <c r="Q261" s="7">
        <v>0</v>
      </c>
      <c r="R261" s="8">
        <f>IFERROR(Q261/Q445, "NA")</f>
        <v>0</v>
      </c>
      <c r="S261" s="9"/>
      <c r="T261" s="7">
        <v>0</v>
      </c>
      <c r="U261" s="8">
        <f>IFERROR(T261/T445, "NA")</f>
        <v>0</v>
      </c>
      <c r="V261" s="9"/>
      <c r="W261" s="10">
        <f t="shared" si="66"/>
        <v>0</v>
      </c>
      <c r="X261" s="8">
        <f>IFERROR(W261/W445, "NA")</f>
        <v>0</v>
      </c>
      <c r="Y261" s="9"/>
      <c r="Z261" s="7">
        <v>0</v>
      </c>
      <c r="AA261" s="8">
        <f>IFERROR(Z261/Z445, "NA")</f>
        <v>0</v>
      </c>
      <c r="AB261" s="9"/>
      <c r="AC261" s="10">
        <f t="shared" si="67"/>
        <v>0</v>
      </c>
      <c r="AD261" s="8">
        <f>IFERROR(AC261/AC445, "NA")</f>
        <v>0</v>
      </c>
    </row>
    <row r="262" spans="1:30" ht="16.5" hidden="1" customHeight="1" x14ac:dyDescent="0.45">
      <c r="A262" s="12" t="s">
        <v>239</v>
      </c>
      <c r="B262" s="7">
        <v>0</v>
      </c>
      <c r="C262" s="8">
        <f>IFERROR(B262/B445, "NA")</f>
        <v>0</v>
      </c>
      <c r="D262" s="9"/>
      <c r="E262" s="7">
        <v>0</v>
      </c>
      <c r="F262" s="8">
        <f>IFERROR(E262/E445, "NA")</f>
        <v>0</v>
      </c>
      <c r="G262" s="9"/>
      <c r="H262" s="10">
        <f t="shared" si="64"/>
        <v>0</v>
      </c>
      <c r="I262" s="8">
        <f>IFERROR(H262/H445, "NA")</f>
        <v>0</v>
      </c>
      <c r="J262" s="9"/>
      <c r="K262" s="7">
        <v>0</v>
      </c>
      <c r="L262" s="8">
        <f>IFERROR(K262/K445, "NA")</f>
        <v>0</v>
      </c>
      <c r="M262" s="9"/>
      <c r="N262" s="10">
        <f t="shared" si="65"/>
        <v>0</v>
      </c>
      <c r="O262" s="8">
        <f>IFERROR(N262/N445, "NA")</f>
        <v>0</v>
      </c>
      <c r="P262" s="9"/>
      <c r="Q262" s="7">
        <v>0</v>
      </c>
      <c r="R262" s="8">
        <f>IFERROR(Q262/Q445, "NA")</f>
        <v>0</v>
      </c>
      <c r="S262" s="9"/>
      <c r="T262" s="7">
        <v>0</v>
      </c>
      <c r="U262" s="8">
        <f>IFERROR(T262/T445, "NA")</f>
        <v>0</v>
      </c>
      <c r="V262" s="9"/>
      <c r="W262" s="10">
        <f t="shared" si="66"/>
        <v>0</v>
      </c>
      <c r="X262" s="8">
        <f>IFERROR(W262/W445, "NA")</f>
        <v>0</v>
      </c>
      <c r="Y262" s="9"/>
      <c r="Z262" s="7">
        <v>0</v>
      </c>
      <c r="AA262" s="8">
        <f>IFERROR(Z262/Z445, "NA")</f>
        <v>0</v>
      </c>
      <c r="AB262" s="9"/>
      <c r="AC262" s="10">
        <f t="shared" si="67"/>
        <v>0</v>
      </c>
      <c r="AD262" s="8">
        <f>IFERROR(AC262/AC445, "NA")</f>
        <v>0</v>
      </c>
    </row>
    <row r="263" spans="1:30" ht="16.5" customHeight="1" x14ac:dyDescent="0.45">
      <c r="A263" s="13" t="s">
        <v>240</v>
      </c>
      <c r="B263" s="14">
        <f>IFERROR(B240+B241+B242+B243+B244+B245+B246+B247+B248+B249+B250+B251+B252+B253+B254+B255+B256+B257+B258+B259+B260+B261+B262, "NA")</f>
        <v>9038.15</v>
      </c>
      <c r="C263" s="15">
        <f>IFERROR(B263/B445, "NA")</f>
        <v>8.275492980185567E-2</v>
      </c>
      <c r="D263" s="2"/>
      <c r="E263" s="14">
        <f>IFERROR(E240+E241+E242+E243+E244+E245+E246+E247+E248+E249+E250+E251+E252+E253+E254+E255+E256+E257+E258+E259+E260+E261+E262, "NA")</f>
        <v>6157.17</v>
      </c>
      <c r="F263" s="15">
        <f>IFERROR(E263/E445, "NA")</f>
        <v>6.5000001583519734E-2</v>
      </c>
      <c r="G263" s="2"/>
      <c r="H263" s="14">
        <f t="shared" si="64"/>
        <v>-2880.9799999999996</v>
      </c>
      <c r="I263" s="15">
        <f>IFERROR(H263/H445, "NA")</f>
        <v>-0.1988232014001225</v>
      </c>
      <c r="J263" s="2"/>
      <c r="K263" s="14">
        <f>IFERROR(K240+K241+K242+K243+K244+K245+K246+K247+K248+K249+K250+K251+K252+K253+K254+K255+K256+K257+K258+K259+K260+K261+K262, "NA")</f>
        <v>4908.1400000000003</v>
      </c>
      <c r="L263" s="15">
        <f>IFERROR(K263/K445, "NA")</f>
        <v>5.6671832570225233E-2</v>
      </c>
      <c r="M263" s="2"/>
      <c r="N263" s="14">
        <f t="shared" si="65"/>
        <v>-4130.0099999999993</v>
      </c>
      <c r="O263" s="15">
        <f>IFERROR(N263/N445, "NA")</f>
        <v>-0.18266693970811387</v>
      </c>
      <c r="P263" s="2"/>
      <c r="Q263" s="14">
        <f>IFERROR(Q240+Q241+Q242+Q243+Q244+Q245+Q246+Q247+Q248+Q249+Q250+Q251+Q252+Q253+Q254+Q255+Q256+Q257+Q258+Q259+Q260+Q261+Q262, "NA")</f>
        <v>42440.689999999995</v>
      </c>
      <c r="R263" s="15">
        <f>IFERROR(Q263/Q445, "NA")</f>
        <v>8.3283036939959379E-2</v>
      </c>
      <c r="S263" s="2"/>
      <c r="T263" s="14">
        <f>IFERROR(T240+T241+T242+T243+T244+T245+T246+T247+T248+T249+T250+T251+T252+T253+T254+T255+T256+T257+T258+T259+T260+T261+T262, "NA")</f>
        <v>31135.15</v>
      </c>
      <c r="U263" s="15">
        <f>IFERROR(T263/T445, "NA")</f>
        <v>6.4999995615887804E-2</v>
      </c>
      <c r="V263" s="2"/>
      <c r="W263" s="14">
        <f t="shared" si="66"/>
        <v>-11305.539999999994</v>
      </c>
      <c r="X263" s="15">
        <f>IFERROR(W263/W445, "NA")</f>
        <v>-0.36954046789662293</v>
      </c>
      <c r="Y263" s="2"/>
      <c r="Z263" s="14">
        <f>IFERROR(Z240+Z241+Z242+Z243+Z244+Z245+Z246+Z247+Z248+Z249+Z250+Z251+Z252+Z253+Z254+Z255+Z256+Z257+Z258+Z259+Z260+Z261+Z262, "NA")</f>
        <v>28782.47</v>
      </c>
      <c r="AA263" s="15">
        <f>IFERROR(Z263/Z445, "NA")</f>
        <v>6.4431692183165593E-2</v>
      </c>
      <c r="AB263" s="2"/>
      <c r="AC263" s="14">
        <f t="shared" si="67"/>
        <v>-13658.219999999994</v>
      </c>
      <c r="AD263" s="15">
        <f>IFERROR(AC263/AC445, "NA")</f>
        <v>-0.2172007915662949</v>
      </c>
    </row>
    <row r="264" spans="1:30" ht="16.5" customHeight="1" x14ac:dyDescent="0.45">
      <c r="A264" s="19" t="s">
        <v>241</v>
      </c>
      <c r="B264" s="14">
        <f>IFERROR(B238+B240+B241+B242+B243+B244+B245+B246+B247+B248+B249+B250+B251+B252+B253+B254+B255+B256+B257+B258+B259+B260+B261+B262, "NA")</f>
        <v>9038.15</v>
      </c>
      <c r="C264" s="15">
        <f>IFERROR(B264/B445, "NA")</f>
        <v>8.275492980185567E-2</v>
      </c>
      <c r="D264" s="2"/>
      <c r="E264" s="14">
        <f>IFERROR(E238+E240+E241+E242+E243+E244+E245+E246+E247+E248+E249+E250+E251+E252+E253+E254+E255+E256+E257+E258+E259+E260+E261+E262, "NA")</f>
        <v>6157.17</v>
      </c>
      <c r="F264" s="15">
        <f>IFERROR(E264/E445, "NA")</f>
        <v>6.5000001583519734E-2</v>
      </c>
      <c r="G264" s="2"/>
      <c r="H264" s="14">
        <f t="shared" si="64"/>
        <v>-2880.9799999999996</v>
      </c>
      <c r="I264" s="15">
        <f>IFERROR(H264/H445, "NA")</f>
        <v>-0.1988232014001225</v>
      </c>
      <c r="J264" s="2"/>
      <c r="K264" s="14">
        <f>IFERROR(K238+K240+K241+K242+K243+K244+K245+K246+K247+K248+K249+K250+K251+K252+K253+K254+K255+K256+K257+K258+K259+K260+K261+K262, "NA")</f>
        <v>4908.1400000000003</v>
      </c>
      <c r="L264" s="15">
        <f>IFERROR(K264/K445, "NA")</f>
        <v>5.6671832570225233E-2</v>
      </c>
      <c r="M264" s="2"/>
      <c r="N264" s="14">
        <f t="shared" si="65"/>
        <v>-4130.0099999999993</v>
      </c>
      <c r="O264" s="15">
        <f>IFERROR(N264/N445, "NA")</f>
        <v>-0.18266693970811387</v>
      </c>
      <c r="P264" s="2"/>
      <c r="Q264" s="14">
        <f>IFERROR(Q238+Q240+Q241+Q242+Q243+Q244+Q245+Q246+Q247+Q248+Q249+Q250+Q251+Q252+Q253+Q254+Q255+Q256+Q257+Q258+Q259+Q260+Q261+Q262, "NA")</f>
        <v>42440.689999999995</v>
      </c>
      <c r="R264" s="15">
        <f>IFERROR(Q264/Q445, "NA")</f>
        <v>8.3283036939959379E-2</v>
      </c>
      <c r="S264" s="2"/>
      <c r="T264" s="14">
        <f>IFERROR(T238+T240+T241+T242+T243+T244+T245+T246+T247+T248+T249+T250+T251+T252+T253+T254+T255+T256+T257+T258+T259+T260+T261+T262, "NA")</f>
        <v>31135.15</v>
      </c>
      <c r="U264" s="15">
        <f>IFERROR(T264/T445, "NA")</f>
        <v>6.4999995615887804E-2</v>
      </c>
      <c r="V264" s="2"/>
      <c r="W264" s="14">
        <f t="shared" si="66"/>
        <v>-11305.539999999994</v>
      </c>
      <c r="X264" s="15">
        <f>IFERROR(W264/W445, "NA")</f>
        <v>-0.36954046789662293</v>
      </c>
      <c r="Y264" s="2"/>
      <c r="Z264" s="14">
        <f>IFERROR(Z238+Z240+Z241+Z242+Z243+Z244+Z245+Z246+Z247+Z248+Z249+Z250+Z251+Z252+Z253+Z254+Z255+Z256+Z257+Z258+Z259+Z260+Z261+Z262, "NA")</f>
        <v>28782.47</v>
      </c>
      <c r="AA264" s="15">
        <f>IFERROR(Z264/Z445, "NA")</f>
        <v>6.4431692183165593E-2</v>
      </c>
      <c r="AB264" s="2"/>
      <c r="AC264" s="14">
        <f t="shared" si="67"/>
        <v>-13658.219999999994</v>
      </c>
      <c r="AD264" s="15">
        <f>IFERROR(AC264/AC445, "NA")</f>
        <v>-0.2172007915662949</v>
      </c>
    </row>
    <row r="265" spans="1:30" ht="16.5" customHeight="1" x14ac:dyDescent="0.45">
      <c r="A265" s="5" t="s">
        <v>242</v>
      </c>
      <c r="B265" s="2"/>
      <c r="C265" s="3"/>
      <c r="D265" s="4"/>
      <c r="E265" s="2"/>
      <c r="F265" s="3"/>
      <c r="G265" s="4"/>
      <c r="H265" s="2"/>
      <c r="I265" s="3"/>
      <c r="J265" s="4"/>
      <c r="K265" s="2"/>
      <c r="L265" s="3"/>
      <c r="M265" s="4"/>
      <c r="N265" s="2"/>
      <c r="O265" s="3"/>
      <c r="P265" s="4"/>
      <c r="Q265" s="2"/>
      <c r="R265" s="3"/>
      <c r="S265" s="4"/>
      <c r="T265" s="2"/>
      <c r="U265" s="3"/>
      <c r="V265" s="4"/>
      <c r="W265" s="2"/>
      <c r="X265" s="3"/>
      <c r="Y265" s="4"/>
      <c r="Z265" s="2"/>
      <c r="AA265" s="3"/>
      <c r="AB265" s="4"/>
      <c r="AC265" s="2"/>
      <c r="AD265" s="3"/>
    </row>
    <row r="266" spans="1:30" ht="16.5" customHeight="1" x14ac:dyDescent="0.45">
      <c r="A266" s="6" t="s">
        <v>242</v>
      </c>
      <c r="B266" s="7">
        <v>2833.48</v>
      </c>
      <c r="C266" s="8">
        <f>IFERROR(B266/B445, "NA")</f>
        <v>2.5943853387580647E-2</v>
      </c>
      <c r="D266" s="9"/>
      <c r="E266" s="7">
        <v>2273.42</v>
      </c>
      <c r="F266" s="8">
        <f>IFERROR(E266/E445, "NA")</f>
        <v>2.4000036315386039E-2</v>
      </c>
      <c r="G266" s="9"/>
      <c r="H266" s="10">
        <f>IFERROR(-(B266-E266), "NA")</f>
        <v>-560.05999999999995</v>
      </c>
      <c r="I266" s="8">
        <f>IFERROR(H266/H445, "NA")</f>
        <v>-3.8651056993159481E-2</v>
      </c>
      <c r="J266" s="9"/>
      <c r="K266" s="7">
        <v>2295.16</v>
      </c>
      <c r="L266" s="8">
        <f>IFERROR(K266/K445, "NA")</f>
        <v>2.6501062162423674E-2</v>
      </c>
      <c r="M266" s="9"/>
      <c r="N266" s="10">
        <f>IFERROR(-(B266-K266), "NA")</f>
        <v>-538.32000000000016</v>
      </c>
      <c r="O266" s="8">
        <f>IFERROR(N266/N445, "NA")</f>
        <v>-2.3809450094230258E-2</v>
      </c>
      <c r="P266" s="9"/>
      <c r="Q266" s="7">
        <v>13065.88</v>
      </c>
      <c r="R266" s="8">
        <f>IFERROR(Q266/Q445, "NA")</f>
        <v>2.5639690747089088E-2</v>
      </c>
      <c r="S266" s="9"/>
      <c r="T266" s="7">
        <v>11496.06</v>
      </c>
      <c r="U266" s="8">
        <f>IFERROR(T266/T445, "NA")</f>
        <v>2.4000008016662296E-2</v>
      </c>
      <c r="V266" s="9"/>
      <c r="W266" s="10">
        <f>IFERROR(-(Q266-T266), "NA")</f>
        <v>-1569.8199999999997</v>
      </c>
      <c r="X266" s="8">
        <f>IFERROR(W266/W445, "NA")</f>
        <v>-5.1312190069070278E-2</v>
      </c>
      <c r="Y266" s="9"/>
      <c r="Z266" s="7">
        <v>10622.17</v>
      </c>
      <c r="AA266" s="8">
        <f>IFERROR(Z266/Z445, "NA")</f>
        <v>2.3778514761146494E-2</v>
      </c>
      <c r="AB266" s="9"/>
      <c r="AC266" s="10">
        <f>IFERROR(-(Q266-Z266), "NA")</f>
        <v>-2443.7099999999991</v>
      </c>
      <c r="AD266" s="8">
        <f>IFERROR(AC266/AC445, "NA")</f>
        <v>-3.8861267892775969E-2</v>
      </c>
    </row>
    <row r="267" spans="1:30" ht="16.5" customHeight="1" x14ac:dyDescent="0.45">
      <c r="A267" s="6" t="s">
        <v>243</v>
      </c>
      <c r="B267" s="7">
        <v>0</v>
      </c>
      <c r="C267" s="8">
        <f>IFERROR(B267/B445, "NA")</f>
        <v>0</v>
      </c>
      <c r="D267" s="9"/>
      <c r="E267" s="7">
        <v>0</v>
      </c>
      <c r="F267" s="8">
        <f>IFERROR(E267/E445, "NA")</f>
        <v>0</v>
      </c>
      <c r="G267" s="9"/>
      <c r="H267" s="10">
        <f>IFERROR(-(B267-E267), "NA")</f>
        <v>0</v>
      </c>
      <c r="I267" s="8">
        <f>IFERROR(H267/H445, "NA")</f>
        <v>0</v>
      </c>
      <c r="J267" s="9"/>
      <c r="K267" s="7">
        <v>0</v>
      </c>
      <c r="L267" s="8">
        <f>IFERROR(K267/K445, "NA")</f>
        <v>0</v>
      </c>
      <c r="M267" s="9"/>
      <c r="N267" s="10">
        <f>IFERROR(-(B267-K267), "NA")</f>
        <v>0</v>
      </c>
      <c r="O267" s="8">
        <f>IFERROR(N267/N445, "NA")</f>
        <v>0</v>
      </c>
      <c r="P267" s="9"/>
      <c r="Q267" s="7">
        <v>-17.96</v>
      </c>
      <c r="R267" s="8">
        <f>IFERROR(Q267/Q445, "NA")</f>
        <v>-3.5243615111857765E-5</v>
      </c>
      <c r="S267" s="9"/>
      <c r="T267" s="7">
        <v>0</v>
      </c>
      <c r="U267" s="8">
        <f>IFERROR(T267/T445, "NA")</f>
        <v>0</v>
      </c>
      <c r="V267" s="9"/>
      <c r="W267" s="10">
        <f>IFERROR(-(Q267-T267), "NA")</f>
        <v>17.96</v>
      </c>
      <c r="X267" s="8">
        <f>IFERROR(W267/W445, "NA")</f>
        <v>5.8705261344644763E-4</v>
      </c>
      <c r="Y267" s="9"/>
      <c r="Z267" s="7">
        <v>0</v>
      </c>
      <c r="AA267" s="8">
        <f>IFERROR(Z267/Z445, "NA")</f>
        <v>0</v>
      </c>
      <c r="AB267" s="9"/>
      <c r="AC267" s="10">
        <f>IFERROR(-(Q267-Z267), "NA")</f>
        <v>17.96</v>
      </c>
      <c r="AD267" s="8">
        <f>IFERROR(AC267/AC445, "NA")</f>
        <v>2.8561014660260695E-4</v>
      </c>
    </row>
    <row r="268" spans="1:30" ht="16.5" customHeight="1" x14ac:dyDescent="0.45">
      <c r="A268" s="19" t="s">
        <v>244</v>
      </c>
      <c r="B268" s="14">
        <f>IFERROR(B266+B267, "NA")</f>
        <v>2833.48</v>
      </c>
      <c r="C268" s="15">
        <f>IFERROR(B268/B445, "NA")</f>
        <v>2.5943853387580647E-2</v>
      </c>
      <c r="D268" s="2"/>
      <c r="E268" s="14">
        <f>IFERROR(E266+E267, "NA")</f>
        <v>2273.42</v>
      </c>
      <c r="F268" s="15">
        <f>IFERROR(E268/E445, "NA")</f>
        <v>2.4000036315386039E-2</v>
      </c>
      <c r="G268" s="2"/>
      <c r="H268" s="14">
        <f>IFERROR(-(B268-E268), "NA")</f>
        <v>-560.05999999999995</v>
      </c>
      <c r="I268" s="15">
        <f>IFERROR(H268/H445, "NA")</f>
        <v>-3.8651056993159481E-2</v>
      </c>
      <c r="J268" s="2"/>
      <c r="K268" s="14">
        <f>IFERROR(K266+K267, "NA")</f>
        <v>2295.16</v>
      </c>
      <c r="L268" s="15">
        <f>IFERROR(K268/K445, "NA")</f>
        <v>2.6501062162423674E-2</v>
      </c>
      <c r="M268" s="2"/>
      <c r="N268" s="14">
        <f>IFERROR(-(B268-K268), "NA")</f>
        <v>-538.32000000000016</v>
      </c>
      <c r="O268" s="15">
        <f>IFERROR(N268/N445, "NA")</f>
        <v>-2.3809450094230258E-2</v>
      </c>
      <c r="P268" s="2"/>
      <c r="Q268" s="14">
        <f>IFERROR(Q266+Q267, "NA")</f>
        <v>13047.92</v>
      </c>
      <c r="R268" s="15">
        <f>IFERROR(Q268/Q445, "NA")</f>
        <v>2.5604447131977234E-2</v>
      </c>
      <c r="S268" s="2"/>
      <c r="T268" s="14">
        <f>IFERROR(T266+T267, "NA")</f>
        <v>11496.06</v>
      </c>
      <c r="U268" s="15">
        <f>IFERROR(T268/T445, "NA")</f>
        <v>2.4000008016662296E-2</v>
      </c>
      <c r="V268" s="2"/>
      <c r="W268" s="14">
        <f>IFERROR(-(Q268-T268), "NA")</f>
        <v>-1551.8600000000006</v>
      </c>
      <c r="X268" s="15">
        <f>IFERROR(W268/W445, "NA")</f>
        <v>-5.0725137455623862E-2</v>
      </c>
      <c r="Y268" s="2"/>
      <c r="Z268" s="14">
        <f>IFERROR(Z266+Z267, "NA")</f>
        <v>10622.17</v>
      </c>
      <c r="AA268" s="15">
        <f>IFERROR(Z268/Z445, "NA")</f>
        <v>2.3778514761146494E-2</v>
      </c>
      <c r="AB268" s="2"/>
      <c r="AC268" s="14">
        <f>IFERROR(-(Q268-Z268), "NA")</f>
        <v>-2425.75</v>
      </c>
      <c r="AD268" s="15">
        <f>IFERROR(AC268/AC445, "NA")</f>
        <v>-3.8575657746173372E-2</v>
      </c>
    </row>
    <row r="269" spans="1:30" ht="16.5" customHeight="1" x14ac:dyDescent="0.45">
      <c r="A269" s="5" t="s">
        <v>245</v>
      </c>
      <c r="B269" s="2"/>
      <c r="C269" s="3"/>
      <c r="D269" s="4"/>
      <c r="E269" s="2"/>
      <c r="F269" s="3"/>
      <c r="G269" s="4"/>
      <c r="H269" s="2"/>
      <c r="I269" s="3"/>
      <c r="J269" s="4"/>
      <c r="K269" s="2"/>
      <c r="L269" s="3"/>
      <c r="M269" s="4"/>
      <c r="N269" s="2"/>
      <c r="O269" s="3"/>
      <c r="P269" s="4"/>
      <c r="Q269" s="2"/>
      <c r="R269" s="3"/>
      <c r="S269" s="4"/>
      <c r="T269" s="2"/>
      <c r="U269" s="3"/>
      <c r="V269" s="4"/>
      <c r="W269" s="2"/>
      <c r="X269" s="3"/>
      <c r="Y269" s="4"/>
      <c r="Z269" s="2"/>
      <c r="AA269" s="3"/>
      <c r="AB269" s="4"/>
      <c r="AC269" s="2"/>
      <c r="AD269" s="3"/>
    </row>
    <row r="270" spans="1:30" ht="16.5" hidden="1" customHeight="1" x14ac:dyDescent="0.45">
      <c r="A270" s="6" t="s">
        <v>245</v>
      </c>
      <c r="B270" s="7">
        <v>0</v>
      </c>
      <c r="C270" s="8">
        <f>IFERROR(B270/B445, "NA")</f>
        <v>0</v>
      </c>
      <c r="D270" s="9"/>
      <c r="E270" s="7">
        <v>0</v>
      </c>
      <c r="F270" s="8">
        <f>IFERROR(E270/E445, "NA")</f>
        <v>0</v>
      </c>
      <c r="G270" s="9"/>
      <c r="H270" s="10">
        <f>IFERROR(-(B270-E270), "NA")</f>
        <v>0</v>
      </c>
      <c r="I270" s="8">
        <f>IFERROR(H270/H445, "NA")</f>
        <v>0</v>
      </c>
      <c r="J270" s="9"/>
      <c r="K270" s="7">
        <v>0</v>
      </c>
      <c r="L270" s="8">
        <f>IFERROR(K270/K445, "NA")</f>
        <v>0</v>
      </c>
      <c r="M270" s="9"/>
      <c r="N270" s="10">
        <f>IFERROR(-(B270-K270), "NA")</f>
        <v>0</v>
      </c>
      <c r="O270" s="8">
        <f>IFERROR(N270/N445, "NA")</f>
        <v>0</v>
      </c>
      <c r="P270" s="9"/>
      <c r="Q270" s="7">
        <v>0</v>
      </c>
      <c r="R270" s="8">
        <f>IFERROR(Q270/Q445, "NA")</f>
        <v>0</v>
      </c>
      <c r="S270" s="9"/>
      <c r="T270" s="7">
        <v>0</v>
      </c>
      <c r="U270" s="8">
        <f>IFERROR(T270/T445, "NA")</f>
        <v>0</v>
      </c>
      <c r="V270" s="9"/>
      <c r="W270" s="10">
        <f>IFERROR(-(Q270-T270), "NA")</f>
        <v>0</v>
      </c>
      <c r="X270" s="8">
        <f>IFERROR(W270/W445, "NA")</f>
        <v>0</v>
      </c>
      <c r="Y270" s="9"/>
      <c r="Z270" s="7">
        <v>0</v>
      </c>
      <c r="AA270" s="8">
        <f>IFERROR(Z270/Z445, "NA")</f>
        <v>0</v>
      </c>
      <c r="AB270" s="9"/>
      <c r="AC270" s="10">
        <f>IFERROR(-(Q270-Z270), "NA")</f>
        <v>0</v>
      </c>
      <c r="AD270" s="8">
        <f>IFERROR(AC270/AC445, "NA")</f>
        <v>0</v>
      </c>
    </row>
    <row r="271" spans="1:30" ht="16.5" customHeight="1" x14ac:dyDescent="0.45">
      <c r="A271" s="6" t="s">
        <v>246</v>
      </c>
      <c r="B271" s="7">
        <v>307.92</v>
      </c>
      <c r="C271" s="8">
        <f>IFERROR(B271/B445, "NA")</f>
        <v>2.819370997890874E-3</v>
      </c>
      <c r="D271" s="9"/>
      <c r="E271" s="7">
        <v>354.13</v>
      </c>
      <c r="F271" s="8">
        <f>IFERROR(E271/E445, "NA")</f>
        <v>3.7384789701716608E-3</v>
      </c>
      <c r="G271" s="9"/>
      <c r="H271" s="10">
        <f>IFERROR(-(B271-E271), "NA")</f>
        <v>46.20999999999998</v>
      </c>
      <c r="I271" s="8">
        <f>IFERROR(H271/H445, "NA")</f>
        <v>3.18906071430543E-3</v>
      </c>
      <c r="J271" s="9"/>
      <c r="K271" s="7">
        <v>429.37</v>
      </c>
      <c r="L271" s="8">
        <f>IFERROR(K271/K445, "NA")</f>
        <v>4.957720185381348E-3</v>
      </c>
      <c r="M271" s="9"/>
      <c r="N271" s="10">
        <f>IFERROR(-(B271-K271), "NA")</f>
        <v>121.44999999999999</v>
      </c>
      <c r="O271" s="8">
        <f>IFERROR(N271/N445, "NA")</f>
        <v>5.3716334409724025E-3</v>
      </c>
      <c r="P271" s="9"/>
      <c r="Q271" s="7">
        <v>1539.6</v>
      </c>
      <c r="R271" s="8">
        <f>IFERROR(Q271/Q445, "NA")</f>
        <v>3.0212176963372054E-3</v>
      </c>
      <c r="S271" s="9"/>
      <c r="T271" s="7">
        <v>1770.65</v>
      </c>
      <c r="U271" s="8">
        <f>IFERROR(T271/T445, "NA")</f>
        <v>3.6965372653503113E-3</v>
      </c>
      <c r="V271" s="9"/>
      <c r="W271" s="10">
        <f>IFERROR(-(Q271-T271), "NA")</f>
        <v>231.05000000000018</v>
      </c>
      <c r="X271" s="8">
        <f>IFERROR(W271/W445, "NA")</f>
        <v>7.552255363964467E-3</v>
      </c>
      <c r="Y271" s="9"/>
      <c r="Z271" s="7">
        <v>1972.61</v>
      </c>
      <c r="AA271" s="8">
        <f>IFERROR(Z271/Z445, "NA")</f>
        <v>4.41583367645078E-3</v>
      </c>
      <c r="AB271" s="9"/>
      <c r="AC271" s="10">
        <f>IFERROR(-(Q271-Z271), "NA")</f>
        <v>433.01</v>
      </c>
      <c r="AD271" s="8">
        <f>IFERROR(AC271/AC445, "NA")</f>
        <v>6.8859715802001582E-3</v>
      </c>
    </row>
    <row r="272" spans="1:30" ht="16.5" customHeight="1" x14ac:dyDescent="0.45">
      <c r="A272" s="6" t="s">
        <v>247</v>
      </c>
      <c r="B272" s="7">
        <v>793.91</v>
      </c>
      <c r="C272" s="8">
        <f>IFERROR(B272/B445, "NA")</f>
        <v>7.2691829986215361E-3</v>
      </c>
      <c r="D272" s="9"/>
      <c r="E272" s="7">
        <v>905.41</v>
      </c>
      <c r="F272" s="8">
        <f>IFERROR(E272/E445, "NA")</f>
        <v>9.5582307186149809E-3</v>
      </c>
      <c r="G272" s="9"/>
      <c r="H272" s="10">
        <f>IFERROR(-(B272-E272), "NA")</f>
        <v>111.5</v>
      </c>
      <c r="I272" s="8">
        <f>IFERROR(H272/H445, "NA")</f>
        <v>7.6948770752013765E-3</v>
      </c>
      <c r="J272" s="9"/>
      <c r="K272" s="7">
        <v>952.74</v>
      </c>
      <c r="L272" s="8">
        <f>IFERROR(K272/K445, "NA")</f>
        <v>1.1000811257004972E-2</v>
      </c>
      <c r="M272" s="9"/>
      <c r="N272" s="10">
        <f>IFERROR(-(B272-K272), "NA")</f>
        <v>158.83000000000004</v>
      </c>
      <c r="O272" s="8">
        <f>IFERROR(N272/N445, "NA")</f>
        <v>7.0249200447068498E-3</v>
      </c>
      <c r="P272" s="9"/>
      <c r="Q272" s="7">
        <v>3973.55</v>
      </c>
      <c r="R272" s="8">
        <f>IFERROR(Q272/Q445, "NA")</f>
        <v>7.7974536095613816E-3</v>
      </c>
      <c r="S272" s="9"/>
      <c r="T272" s="7">
        <v>4527.05</v>
      </c>
      <c r="U272" s="8">
        <f>IFERROR(T272/T445, "NA")</f>
        <v>9.4509976715353838E-3</v>
      </c>
      <c r="V272" s="9"/>
      <c r="W272" s="10">
        <f>IFERROR(-(Q272-T272), "NA")</f>
        <v>553.5</v>
      </c>
      <c r="X272" s="8">
        <f>IFERROR(W272/W445, "NA")</f>
        <v>1.809207246896485E-2</v>
      </c>
      <c r="Y272" s="9"/>
      <c r="Z272" s="7">
        <v>4763.7</v>
      </c>
      <c r="AA272" s="8">
        <f>IFERROR(Z272/Z445, "NA")</f>
        <v>1.0663895491003585E-2</v>
      </c>
      <c r="AB272" s="9"/>
      <c r="AC272" s="10">
        <f>IFERROR(-(Q272-Z272), "NA")</f>
        <v>790.14999999999964</v>
      </c>
      <c r="AD272" s="8">
        <f>IFERROR(AC272/AC445, "NA")</f>
        <v>1.2565415219267805E-2</v>
      </c>
    </row>
    <row r="273" spans="1:30" ht="16.5" hidden="1" customHeight="1" x14ac:dyDescent="0.45">
      <c r="A273" s="6" t="s">
        <v>248</v>
      </c>
      <c r="B273" s="7">
        <v>0</v>
      </c>
      <c r="C273" s="8">
        <f>IFERROR(B273/B445, "NA")</f>
        <v>0</v>
      </c>
      <c r="D273" s="9"/>
      <c r="E273" s="7">
        <v>0</v>
      </c>
      <c r="F273" s="8">
        <f>IFERROR(E273/E445, "NA")</f>
        <v>0</v>
      </c>
      <c r="G273" s="9"/>
      <c r="H273" s="10">
        <f>IFERROR(-(B273-E273), "NA")</f>
        <v>0</v>
      </c>
      <c r="I273" s="8">
        <f>IFERROR(H273/H445, "NA")</f>
        <v>0</v>
      </c>
      <c r="J273" s="9"/>
      <c r="K273" s="7">
        <v>0</v>
      </c>
      <c r="L273" s="8">
        <f>IFERROR(K273/K445, "NA")</f>
        <v>0</v>
      </c>
      <c r="M273" s="9"/>
      <c r="N273" s="10">
        <f>IFERROR(-(B273-K273), "NA")</f>
        <v>0</v>
      </c>
      <c r="O273" s="8">
        <f>IFERROR(N273/N445, "NA")</f>
        <v>0</v>
      </c>
      <c r="P273" s="9"/>
      <c r="Q273" s="7">
        <v>0</v>
      </c>
      <c r="R273" s="8">
        <f>IFERROR(Q273/Q445, "NA")</f>
        <v>0</v>
      </c>
      <c r="S273" s="9"/>
      <c r="T273" s="7">
        <v>0</v>
      </c>
      <c r="U273" s="8">
        <f>IFERROR(T273/T445, "NA")</f>
        <v>0</v>
      </c>
      <c r="V273" s="9"/>
      <c r="W273" s="10">
        <f>IFERROR(-(Q273-T273), "NA")</f>
        <v>0</v>
      </c>
      <c r="X273" s="8">
        <f>IFERROR(W273/W445, "NA")</f>
        <v>0</v>
      </c>
      <c r="Y273" s="9"/>
      <c r="Z273" s="7">
        <v>0</v>
      </c>
      <c r="AA273" s="8">
        <f>IFERROR(Z273/Z445, "NA")</f>
        <v>0</v>
      </c>
      <c r="AB273" s="9"/>
      <c r="AC273" s="10">
        <f>IFERROR(-(Q273-Z273), "NA")</f>
        <v>0</v>
      </c>
      <c r="AD273" s="8">
        <f>IFERROR(AC273/AC445, "NA")</f>
        <v>0</v>
      </c>
    </row>
    <row r="274" spans="1:30" ht="16.5" customHeight="1" x14ac:dyDescent="0.45">
      <c r="A274" s="19" t="s">
        <v>249</v>
      </c>
      <c r="B274" s="14">
        <f>IFERROR(B270+B271+B272+B273, "NA")</f>
        <v>1101.83</v>
      </c>
      <c r="C274" s="15">
        <f>IFERROR(B274/B445, "NA")</f>
        <v>1.0088553996512409E-2</v>
      </c>
      <c r="D274" s="2"/>
      <c r="E274" s="14">
        <f>IFERROR(E270+E271+E272+E273, "NA")</f>
        <v>1259.54</v>
      </c>
      <c r="F274" s="15">
        <f>IFERROR(E274/E445, "NA")</f>
        <v>1.3296709688786643E-2</v>
      </c>
      <c r="G274" s="2"/>
      <c r="H274" s="14">
        <f>IFERROR(-(B274-E274), "NA")</f>
        <v>157.71000000000004</v>
      </c>
      <c r="I274" s="15">
        <f>IFERROR(H274/H445, "NA")</f>
        <v>1.088393778950681E-2</v>
      </c>
      <c r="J274" s="2"/>
      <c r="K274" s="14">
        <f>IFERROR(K270+K271+K272+K273, "NA")</f>
        <v>1382.1100000000001</v>
      </c>
      <c r="L274" s="15">
        <f>IFERROR(K274/K445, "NA")</f>
        <v>1.595853144238632E-2</v>
      </c>
      <c r="M274" s="2"/>
      <c r="N274" s="14">
        <f>IFERROR(-(B274-K274), "NA")</f>
        <v>280.2800000000002</v>
      </c>
      <c r="O274" s="15">
        <f>IFERROR(N274/N445, "NA")</f>
        <v>1.239655348567926E-2</v>
      </c>
      <c r="P274" s="2"/>
      <c r="Q274" s="14">
        <f>IFERROR(Q270+Q271+Q272+Q273, "NA")</f>
        <v>5513.15</v>
      </c>
      <c r="R274" s="15">
        <f>IFERROR(Q274/Q445, "NA")</f>
        <v>1.0818671305898586E-2</v>
      </c>
      <c r="S274" s="2"/>
      <c r="T274" s="14">
        <f>IFERROR(T270+T271+T272+T273, "NA")</f>
        <v>6297.7000000000007</v>
      </c>
      <c r="U274" s="15">
        <f>IFERROR(T274/T445, "NA")</f>
        <v>1.3147534936885695E-2</v>
      </c>
      <c r="V274" s="2"/>
      <c r="W274" s="14">
        <f>IFERROR(-(Q274-T274), "NA")</f>
        <v>784.55000000000109</v>
      </c>
      <c r="X274" s="15">
        <f>IFERROR(W274/W445, "NA")</f>
        <v>2.5644327832929349E-2</v>
      </c>
      <c r="Y274" s="2"/>
      <c r="Z274" s="14">
        <f>IFERROR(Z270+Z271+Z272+Z273, "NA")</f>
        <v>6736.3099999999995</v>
      </c>
      <c r="AA274" s="15">
        <f>IFERROR(Z274/Z445, "NA")</f>
        <v>1.5079729167454365E-2</v>
      </c>
      <c r="AB274" s="2"/>
      <c r="AC274" s="14">
        <f>IFERROR(-(Q274-Z274), "NA")</f>
        <v>1223.1599999999999</v>
      </c>
      <c r="AD274" s="15">
        <f>IFERROR(AC274/AC445, "NA")</f>
        <v>1.9451386799467965E-2</v>
      </c>
    </row>
    <row r="275" spans="1:30" ht="16.5" customHeight="1" x14ac:dyDescent="0.45">
      <c r="A275" s="5" t="s">
        <v>250</v>
      </c>
      <c r="B275" s="2"/>
      <c r="C275" s="3"/>
      <c r="D275" s="4"/>
      <c r="E275" s="2"/>
      <c r="F275" s="3"/>
      <c r="G275" s="4"/>
      <c r="H275" s="2"/>
      <c r="I275" s="3"/>
      <c r="J275" s="4"/>
      <c r="K275" s="2"/>
      <c r="L275" s="3"/>
      <c r="M275" s="4"/>
      <c r="N275" s="2"/>
      <c r="O275" s="3"/>
      <c r="P275" s="4"/>
      <c r="Q275" s="2"/>
      <c r="R275" s="3"/>
      <c r="S275" s="4"/>
      <c r="T275" s="2"/>
      <c r="U275" s="3"/>
      <c r="V275" s="4"/>
      <c r="W275" s="2"/>
      <c r="X275" s="3"/>
      <c r="Y275" s="4"/>
      <c r="Z275" s="2"/>
      <c r="AA275" s="3"/>
      <c r="AB275" s="4"/>
      <c r="AC275" s="2"/>
      <c r="AD275" s="3"/>
    </row>
    <row r="276" spans="1:30" ht="16.5" hidden="1" customHeight="1" x14ac:dyDescent="0.45">
      <c r="A276" s="6" t="s">
        <v>250</v>
      </c>
      <c r="B276" s="7">
        <v>0</v>
      </c>
      <c r="C276" s="8">
        <f>IFERROR(B276/B445, "NA")</f>
        <v>0</v>
      </c>
      <c r="D276" s="9"/>
      <c r="E276" s="7">
        <v>0</v>
      </c>
      <c r="F276" s="8">
        <f>IFERROR(E276/E445, "NA")</f>
        <v>0</v>
      </c>
      <c r="G276" s="9"/>
      <c r="H276" s="10">
        <f t="shared" ref="H276:H285" si="68">IFERROR(-(B276-E276), "NA")</f>
        <v>0</v>
      </c>
      <c r="I276" s="8">
        <f>IFERROR(H276/H445, "NA")</f>
        <v>0</v>
      </c>
      <c r="J276" s="9"/>
      <c r="K276" s="7">
        <v>0</v>
      </c>
      <c r="L276" s="8">
        <f>IFERROR(K276/K445, "NA")</f>
        <v>0</v>
      </c>
      <c r="M276" s="9"/>
      <c r="N276" s="10">
        <f t="shared" ref="N276:N285" si="69">IFERROR(-(B276-K276), "NA")</f>
        <v>0</v>
      </c>
      <c r="O276" s="8">
        <f>IFERROR(N276/N445, "NA")</f>
        <v>0</v>
      </c>
      <c r="P276" s="9"/>
      <c r="Q276" s="7">
        <v>0</v>
      </c>
      <c r="R276" s="8">
        <f>IFERROR(Q276/Q445, "NA")</f>
        <v>0</v>
      </c>
      <c r="S276" s="9"/>
      <c r="T276" s="7">
        <v>0</v>
      </c>
      <c r="U276" s="8">
        <f>IFERROR(T276/T445, "NA")</f>
        <v>0</v>
      </c>
      <c r="V276" s="9"/>
      <c r="W276" s="10">
        <f t="shared" ref="W276:W285" si="70">IFERROR(-(Q276-T276), "NA")</f>
        <v>0</v>
      </c>
      <c r="X276" s="8">
        <f>IFERROR(W276/W445, "NA")</f>
        <v>0</v>
      </c>
      <c r="Y276" s="9"/>
      <c r="Z276" s="7">
        <v>0</v>
      </c>
      <c r="AA276" s="8">
        <f>IFERROR(Z276/Z445, "NA")</f>
        <v>0</v>
      </c>
      <c r="AB276" s="9"/>
      <c r="AC276" s="10">
        <f t="shared" ref="AC276:AC285" si="71">IFERROR(-(Q276-Z276), "NA")</f>
        <v>0</v>
      </c>
      <c r="AD276" s="8">
        <f>IFERROR(AC276/AC445,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IFERROR(B277/B445, "NA")</f>
        <v>0</v>
      </c>
      <c r="D277" s="9"/>
      <c r="E277" s="7">
        <v>0</v>
      </c>
      <c r="F277" s="8">
        <f>IFERROR(E277/E445, "NA")</f>
        <v>0</v>
      </c>
      <c r="G277" s="9"/>
      <c r="H277" s="10">
        <f t="shared" si="68"/>
        <v>0</v>
      </c>
      <c r="I277" s="8">
        <f>IFERROR(H277/H445, "NA")</f>
        <v>0</v>
      </c>
      <c r="J277" s="9"/>
      <c r="K277" s="7">
        <v>0</v>
      </c>
      <c r="L277" s="8">
        <f>IFERROR(K277/K445, "NA")</f>
        <v>0</v>
      </c>
      <c r="M277" s="9"/>
      <c r="N277" s="10">
        <f t="shared" si="69"/>
        <v>0</v>
      </c>
      <c r="O277" s="8">
        <f>IFERROR(N277/N445, "NA")</f>
        <v>0</v>
      </c>
      <c r="P277" s="9"/>
      <c r="Q277" s="7">
        <v>0</v>
      </c>
      <c r="R277" s="8">
        <f>IFERROR(Q277/Q445, "NA")</f>
        <v>0</v>
      </c>
      <c r="S277" s="9"/>
      <c r="T277" s="7">
        <v>0</v>
      </c>
      <c r="U277" s="8">
        <f>IFERROR(T277/T445, "NA")</f>
        <v>0</v>
      </c>
      <c r="V277" s="9"/>
      <c r="W277" s="10">
        <f t="shared" si="70"/>
        <v>0</v>
      </c>
      <c r="X277" s="8">
        <f>IFERROR(W277/W445, "NA")</f>
        <v>0</v>
      </c>
      <c r="Y277" s="9"/>
      <c r="Z277" s="7">
        <v>0</v>
      </c>
      <c r="AA277" s="8">
        <f>IFERROR(Z277/Z445, "NA")</f>
        <v>0</v>
      </c>
      <c r="AB277" s="9"/>
      <c r="AC277" s="10">
        <f t="shared" si="71"/>
        <v>0</v>
      </c>
      <c r="AD277" s="8">
        <f>IFERROR(AC277/AC445,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IFERROR(B278/B445, "NA")</f>
        <v>0</v>
      </c>
      <c r="D278" s="9"/>
      <c r="E278" s="7">
        <v>0</v>
      </c>
      <c r="F278" s="8">
        <f>IFERROR(E278/E445, "NA")</f>
        <v>0</v>
      </c>
      <c r="G278" s="9"/>
      <c r="H278" s="10">
        <f t="shared" si="68"/>
        <v>0</v>
      </c>
      <c r="I278" s="8">
        <f>IFERROR(H278/H445, "NA")</f>
        <v>0</v>
      </c>
      <c r="J278" s="9"/>
      <c r="K278" s="7">
        <v>0</v>
      </c>
      <c r="L278" s="8">
        <f>IFERROR(K278/K445, "NA")</f>
        <v>0</v>
      </c>
      <c r="M278" s="9"/>
      <c r="N278" s="10">
        <f t="shared" si="69"/>
        <v>0</v>
      </c>
      <c r="O278" s="8">
        <f>IFERROR(N278/N445, "NA")</f>
        <v>0</v>
      </c>
      <c r="P278" s="9"/>
      <c r="Q278" s="7">
        <v>0</v>
      </c>
      <c r="R278" s="8">
        <f>IFERROR(Q278/Q445, "NA")</f>
        <v>0</v>
      </c>
      <c r="S278" s="9"/>
      <c r="T278" s="7">
        <v>0</v>
      </c>
      <c r="U278" s="8">
        <f>IFERROR(T278/T445, "NA")</f>
        <v>0</v>
      </c>
      <c r="V278" s="9"/>
      <c r="W278" s="10">
        <f t="shared" si="70"/>
        <v>0</v>
      </c>
      <c r="X278" s="8">
        <f>IFERROR(W278/W445, "NA")</f>
        <v>0</v>
      </c>
      <c r="Y278" s="9"/>
      <c r="Z278" s="7">
        <v>0</v>
      </c>
      <c r="AA278" s="8">
        <f>IFERROR(Z278/Z445, "NA")</f>
        <v>0</v>
      </c>
      <c r="AB278" s="9"/>
      <c r="AC278" s="10">
        <f t="shared" si="71"/>
        <v>0</v>
      </c>
      <c r="AD278" s="8">
        <f>IFERROR(AC278/AC445,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IFERROR(B279/B445, "NA")</f>
        <v>0</v>
      </c>
      <c r="D279" s="9"/>
      <c r="E279" s="7">
        <v>0</v>
      </c>
      <c r="F279" s="8">
        <f>IFERROR(E279/E445, "NA")</f>
        <v>0</v>
      </c>
      <c r="G279" s="9"/>
      <c r="H279" s="10">
        <f t="shared" si="68"/>
        <v>0</v>
      </c>
      <c r="I279" s="8">
        <f>IFERROR(H279/H445, "NA")</f>
        <v>0</v>
      </c>
      <c r="J279" s="9"/>
      <c r="K279" s="7">
        <v>0</v>
      </c>
      <c r="L279" s="8">
        <f>IFERROR(K279/K445, "NA")</f>
        <v>0</v>
      </c>
      <c r="M279" s="9"/>
      <c r="N279" s="10">
        <f t="shared" si="69"/>
        <v>0</v>
      </c>
      <c r="O279" s="8">
        <f>IFERROR(N279/N445, "NA")</f>
        <v>0</v>
      </c>
      <c r="P279" s="9"/>
      <c r="Q279" s="7">
        <v>0</v>
      </c>
      <c r="R279" s="8">
        <f>IFERROR(Q279/Q445, "NA")</f>
        <v>0</v>
      </c>
      <c r="S279" s="9"/>
      <c r="T279" s="7">
        <v>0</v>
      </c>
      <c r="U279" s="8">
        <f>IFERROR(T279/T445, "NA")</f>
        <v>0</v>
      </c>
      <c r="V279" s="9"/>
      <c r="W279" s="10">
        <f t="shared" si="70"/>
        <v>0</v>
      </c>
      <c r="X279" s="8">
        <f>IFERROR(W279/W445, "NA")</f>
        <v>0</v>
      </c>
      <c r="Y279" s="9"/>
      <c r="Z279" s="7">
        <v>0</v>
      </c>
      <c r="AA279" s="8">
        <f>IFERROR(Z279/Z445, "NA")</f>
        <v>0</v>
      </c>
      <c r="AB279" s="9"/>
      <c r="AC279" s="10">
        <f t="shared" si="71"/>
        <v>0</v>
      </c>
      <c r="AD279" s="8">
        <f>IFERROR(AC279/AC445,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IFERROR(B280/B445, "NA")</f>
        <v>0</v>
      </c>
      <c r="D280" s="9"/>
      <c r="E280" s="7">
        <v>0</v>
      </c>
      <c r="F280" s="8">
        <f>IFERROR(E280/E445, "NA")</f>
        <v>0</v>
      </c>
      <c r="G280" s="9"/>
      <c r="H280" s="10">
        <f t="shared" si="68"/>
        <v>0</v>
      </c>
      <c r="I280" s="8">
        <f>IFERROR(H280/H445, "NA")</f>
        <v>0</v>
      </c>
      <c r="J280" s="9"/>
      <c r="K280" s="7">
        <v>0</v>
      </c>
      <c r="L280" s="8">
        <f>IFERROR(K280/K445, "NA")</f>
        <v>0</v>
      </c>
      <c r="M280" s="9"/>
      <c r="N280" s="10">
        <f t="shared" si="69"/>
        <v>0</v>
      </c>
      <c r="O280" s="8">
        <f>IFERROR(N280/N445, "NA")</f>
        <v>0</v>
      </c>
      <c r="P280" s="9"/>
      <c r="Q280" s="7">
        <v>0</v>
      </c>
      <c r="R280" s="8">
        <f>IFERROR(Q280/Q445, "NA")</f>
        <v>0</v>
      </c>
      <c r="S280" s="9"/>
      <c r="T280" s="7">
        <v>0</v>
      </c>
      <c r="U280" s="8">
        <f>IFERROR(T280/T445, "NA")</f>
        <v>0</v>
      </c>
      <c r="V280" s="9"/>
      <c r="W280" s="10">
        <f t="shared" si="70"/>
        <v>0</v>
      </c>
      <c r="X280" s="8">
        <f>IFERROR(W280/W445, "NA")</f>
        <v>0</v>
      </c>
      <c r="Y280" s="9"/>
      <c r="Z280" s="7">
        <v>0</v>
      </c>
      <c r="AA280" s="8">
        <f>IFERROR(Z280/Z445, "NA")</f>
        <v>0</v>
      </c>
      <c r="AB280" s="9"/>
      <c r="AC280" s="10">
        <f t="shared" si="71"/>
        <v>0</v>
      </c>
      <c r="AD280" s="8">
        <f>IFERROR(AC280/AC445,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IFERROR(B281/B445, "NA")</f>
        <v>0</v>
      </c>
      <c r="D281" s="9"/>
      <c r="E281" s="7">
        <v>0</v>
      </c>
      <c r="F281" s="8">
        <f>IFERROR(E281/E445, "NA")</f>
        <v>0</v>
      </c>
      <c r="G281" s="9"/>
      <c r="H281" s="10">
        <f t="shared" si="68"/>
        <v>0</v>
      </c>
      <c r="I281" s="8">
        <f>IFERROR(H281/H445, "NA")</f>
        <v>0</v>
      </c>
      <c r="J281" s="9"/>
      <c r="K281" s="7">
        <v>0</v>
      </c>
      <c r="L281" s="8">
        <f>IFERROR(K281/K445, "NA")</f>
        <v>0</v>
      </c>
      <c r="M281" s="9"/>
      <c r="N281" s="10">
        <f t="shared" si="69"/>
        <v>0</v>
      </c>
      <c r="O281" s="8">
        <f>IFERROR(N281/N445, "NA")</f>
        <v>0</v>
      </c>
      <c r="P281" s="9"/>
      <c r="Q281" s="7">
        <v>0</v>
      </c>
      <c r="R281" s="8">
        <f>IFERROR(Q281/Q445, "NA")</f>
        <v>0</v>
      </c>
      <c r="S281" s="9"/>
      <c r="T281" s="7">
        <v>0</v>
      </c>
      <c r="U281" s="8">
        <f>IFERROR(T281/T445, "NA")</f>
        <v>0</v>
      </c>
      <c r="V281" s="9"/>
      <c r="W281" s="10">
        <f t="shared" si="70"/>
        <v>0</v>
      </c>
      <c r="X281" s="8">
        <f>IFERROR(W281/W445, "NA")</f>
        <v>0</v>
      </c>
      <c r="Y281" s="9"/>
      <c r="Z281" s="7">
        <v>0</v>
      </c>
      <c r="AA281" s="8">
        <f>IFERROR(Z281/Z445, "NA")</f>
        <v>0</v>
      </c>
      <c r="AB281" s="9"/>
      <c r="AC281" s="10">
        <f t="shared" si="71"/>
        <v>0</v>
      </c>
      <c r="AD281" s="8">
        <f>IFERROR(AC281/AC445,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IFERROR(B282/B445, "NA")</f>
        <v>0</v>
      </c>
      <c r="D282" s="9"/>
      <c r="E282" s="7">
        <v>0</v>
      </c>
      <c r="F282" s="8">
        <f>IFERROR(E282/E445, "NA")</f>
        <v>0</v>
      </c>
      <c r="G282" s="9"/>
      <c r="H282" s="10">
        <f t="shared" si="68"/>
        <v>0</v>
      </c>
      <c r="I282" s="8">
        <f>IFERROR(H282/H445, "NA")</f>
        <v>0</v>
      </c>
      <c r="J282" s="9"/>
      <c r="K282" s="7">
        <v>0</v>
      </c>
      <c r="L282" s="8">
        <f>IFERROR(K282/K445, "NA")</f>
        <v>0</v>
      </c>
      <c r="M282" s="9"/>
      <c r="N282" s="10">
        <f t="shared" si="69"/>
        <v>0</v>
      </c>
      <c r="O282" s="8">
        <f>IFERROR(N282/N445, "NA")</f>
        <v>0</v>
      </c>
      <c r="P282" s="9"/>
      <c r="Q282" s="7">
        <v>0</v>
      </c>
      <c r="R282" s="8">
        <f>IFERROR(Q282/Q445, "NA")</f>
        <v>0</v>
      </c>
      <c r="S282" s="9"/>
      <c r="T282" s="7">
        <v>0</v>
      </c>
      <c r="U282" s="8">
        <f>IFERROR(T282/T445, "NA")</f>
        <v>0</v>
      </c>
      <c r="V282" s="9"/>
      <c r="W282" s="10">
        <f t="shared" si="70"/>
        <v>0</v>
      </c>
      <c r="X282" s="8">
        <f>IFERROR(W282/W445, "NA")</f>
        <v>0</v>
      </c>
      <c r="Y282" s="9"/>
      <c r="Z282" s="7">
        <v>0</v>
      </c>
      <c r="AA282" s="8">
        <f>IFERROR(Z282/Z445, "NA")</f>
        <v>0</v>
      </c>
      <c r="AB282" s="9"/>
      <c r="AC282" s="10">
        <f t="shared" si="71"/>
        <v>0</v>
      </c>
      <c r="AD282" s="8">
        <f>IFERROR(AC282/AC445,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IFERROR(B283/B445, "NA")</f>
        <v>0</v>
      </c>
      <c r="D283" s="9"/>
      <c r="E283" s="7">
        <v>0</v>
      </c>
      <c r="F283" s="8">
        <f>IFERROR(E283/E445, "NA")</f>
        <v>0</v>
      </c>
      <c r="G283" s="9"/>
      <c r="H283" s="10">
        <f t="shared" si="68"/>
        <v>0</v>
      </c>
      <c r="I283" s="8">
        <f>IFERROR(H283/H445, "NA")</f>
        <v>0</v>
      </c>
      <c r="J283" s="9"/>
      <c r="K283" s="7">
        <v>0</v>
      </c>
      <c r="L283" s="8">
        <f>IFERROR(K283/K445, "NA")</f>
        <v>0</v>
      </c>
      <c r="M283" s="9"/>
      <c r="N283" s="10">
        <f t="shared" si="69"/>
        <v>0</v>
      </c>
      <c r="O283" s="8">
        <f>IFERROR(N283/N445, "NA")</f>
        <v>0</v>
      </c>
      <c r="P283" s="9"/>
      <c r="Q283" s="7">
        <v>0</v>
      </c>
      <c r="R283" s="8">
        <f>IFERROR(Q283/Q445, "NA")</f>
        <v>0</v>
      </c>
      <c r="S283" s="9"/>
      <c r="T283" s="7">
        <v>0</v>
      </c>
      <c r="U283" s="8">
        <f>IFERROR(T283/T445, "NA")</f>
        <v>0</v>
      </c>
      <c r="V283" s="9"/>
      <c r="W283" s="10">
        <f t="shared" si="70"/>
        <v>0</v>
      </c>
      <c r="X283" s="8">
        <f>IFERROR(W283/W445, "NA")</f>
        <v>0</v>
      </c>
      <c r="Y283" s="9"/>
      <c r="Z283" s="7">
        <v>0</v>
      </c>
      <c r="AA283" s="8">
        <f>IFERROR(Z283/Z445, "NA")</f>
        <v>0</v>
      </c>
      <c r="AB283" s="9"/>
      <c r="AC283" s="10">
        <f t="shared" si="71"/>
        <v>0</v>
      </c>
      <c r="AD283" s="8">
        <f>IFERROR(AC283/AC445, "NA")</f>
        <v>0</v>
      </c>
    </row>
    <row r="284" spans="1:30" ht="16.5" hidden="1" customHeight="1" x14ac:dyDescent="0.45">
      <c r="A284" s="6" t="s">
        <v>258</v>
      </c>
      <c r="B284" s="7">
        <v>0</v>
      </c>
      <c r="C284" s="8">
        <f>IFERROR(B284/B445, "NA")</f>
        <v>0</v>
      </c>
      <c r="D284" s="9"/>
      <c r="E284" s="7">
        <v>0</v>
      </c>
      <c r="F284" s="8">
        <f>IFERROR(E284/E445, "NA")</f>
        <v>0</v>
      </c>
      <c r="G284" s="9"/>
      <c r="H284" s="10">
        <f t="shared" si="68"/>
        <v>0</v>
      </c>
      <c r="I284" s="8">
        <f>IFERROR(H284/H445, "NA")</f>
        <v>0</v>
      </c>
      <c r="J284" s="9"/>
      <c r="K284" s="7">
        <v>0</v>
      </c>
      <c r="L284" s="8">
        <f>IFERROR(K284/K445, "NA")</f>
        <v>0</v>
      </c>
      <c r="M284" s="9"/>
      <c r="N284" s="10">
        <f t="shared" si="69"/>
        <v>0</v>
      </c>
      <c r="O284" s="8">
        <f>IFERROR(N284/N445, "NA")</f>
        <v>0</v>
      </c>
      <c r="P284" s="9"/>
      <c r="Q284" s="7">
        <v>0</v>
      </c>
      <c r="R284" s="8">
        <f>IFERROR(Q284/Q445, "NA")</f>
        <v>0</v>
      </c>
      <c r="S284" s="9"/>
      <c r="T284" s="7">
        <v>0</v>
      </c>
      <c r="U284" s="8">
        <f>IFERROR(T284/T445, "NA")</f>
        <v>0</v>
      </c>
      <c r="V284" s="9"/>
      <c r="W284" s="10">
        <f t="shared" si="70"/>
        <v>0</v>
      </c>
      <c r="X284" s="8">
        <f>IFERROR(W284/W445, "NA")</f>
        <v>0</v>
      </c>
      <c r="Y284" s="9"/>
      <c r="Z284" s="7">
        <v>0</v>
      </c>
      <c r="AA284" s="8">
        <f>IFERROR(Z284/Z445, "NA")</f>
        <v>0</v>
      </c>
      <c r="AB284" s="9"/>
      <c r="AC284" s="10">
        <f t="shared" si="71"/>
        <v>0</v>
      </c>
      <c r="AD284" s="8">
        <f>IFERROR(AC284/AC445, "NA")</f>
        <v>0</v>
      </c>
    </row>
    <row r="285" spans="1:30" ht="16.5" customHeight="1" x14ac:dyDescent="0.45">
      <c r="A285" s="19" t="s">
        <v>259</v>
      </c>
      <c r="B285" s="14">
        <f>IFERROR(B276+B277+B278+B279+B280+B281+B282+B283+B284, "NA")</f>
        <v>0</v>
      </c>
      <c r="C285" s="15">
        <f>IFERROR(B285/B445, "NA")</f>
        <v>0</v>
      </c>
      <c r="D285" s="2"/>
      <c r="E285" s="14">
        <f>IFERROR(E276+E277+E278+E279+E280+E281+E282+E283+E284, "NA")</f>
        <v>0</v>
      </c>
      <c r="F285" s="15">
        <f>IFERROR(E285/E445, "NA")</f>
        <v>0</v>
      </c>
      <c r="G285" s="2"/>
      <c r="H285" s="14">
        <f t="shared" si="68"/>
        <v>0</v>
      </c>
      <c r="I285" s="15">
        <f>IFERROR(H285/H445, "NA")</f>
        <v>0</v>
      </c>
      <c r="J285" s="2"/>
      <c r="K285" s="14">
        <f>IFERROR(K276+K277+K278+K279+K280+K281+K282+K283+K284, "NA")</f>
        <v>0</v>
      </c>
      <c r="L285" s="15">
        <f>IFERROR(K285/K445, "NA")</f>
        <v>0</v>
      </c>
      <c r="M285" s="2"/>
      <c r="N285" s="14">
        <f t="shared" si="69"/>
        <v>0</v>
      </c>
      <c r="O285" s="15">
        <f>IFERROR(N285/N445, "NA")</f>
        <v>0</v>
      </c>
      <c r="P285" s="2"/>
      <c r="Q285" s="14">
        <f>IFERROR(Q276+Q277+Q278+Q279+Q280+Q281+Q282+Q283+Q284, "NA")</f>
        <v>0</v>
      </c>
      <c r="R285" s="15">
        <f>IFERROR(Q285/Q445, "NA")</f>
        <v>0</v>
      </c>
      <c r="S285" s="2"/>
      <c r="T285" s="14">
        <f>IFERROR(T276+T277+T278+T279+T280+T281+T282+T283+T284, "NA")</f>
        <v>0</v>
      </c>
      <c r="U285" s="15">
        <f>IFERROR(T285/T445, "NA")</f>
        <v>0</v>
      </c>
      <c r="V285" s="2"/>
      <c r="W285" s="14">
        <f t="shared" si="70"/>
        <v>0</v>
      </c>
      <c r="X285" s="15">
        <f>IFERROR(W285/W445, "NA")</f>
        <v>0</v>
      </c>
      <c r="Y285" s="2"/>
      <c r="Z285" s="14">
        <f>IFERROR(Z276+Z277+Z278+Z279+Z280+Z281+Z282+Z283+Z284, "NA")</f>
        <v>0</v>
      </c>
      <c r="AA285" s="15">
        <f>IFERROR(Z285/Z445, "NA")</f>
        <v>0</v>
      </c>
      <c r="AB285" s="2"/>
      <c r="AC285" s="14">
        <f t="shared" si="71"/>
        <v>0</v>
      </c>
      <c r="AD285" s="15">
        <f>IFERROR(AC285/AC445, "NA")</f>
        <v>0</v>
      </c>
    </row>
    <row r="286" spans="1:30" ht="16.5" customHeight="1" x14ac:dyDescent="0.45">
      <c r="A286" s="5" t="s">
        <v>260</v>
      </c>
      <c r="B286" s="2"/>
      <c r="C286" s="3"/>
      <c r="D286" s="4"/>
      <c r="E286" s="2"/>
      <c r="F286" s="3"/>
      <c r="G286" s="4"/>
      <c r="H286" s="2"/>
      <c r="I286" s="3"/>
      <c r="J286" s="4"/>
      <c r="K286" s="2"/>
      <c r="L286" s="3"/>
      <c r="M286" s="4"/>
      <c r="N286" s="2"/>
      <c r="O286" s="3"/>
      <c r="P286" s="4"/>
      <c r="Q286" s="2"/>
      <c r="R286" s="3"/>
      <c r="S286" s="4"/>
      <c r="T286" s="2"/>
      <c r="U286" s="3"/>
      <c r="V286" s="4"/>
      <c r="W286" s="2"/>
      <c r="X286" s="3"/>
      <c r="Y286" s="4"/>
      <c r="Z286" s="2"/>
      <c r="AA286" s="3"/>
      <c r="AB286" s="4"/>
      <c r="AC286" s="2"/>
      <c r="AD286" s="3"/>
    </row>
    <row r="287" spans="1:30" ht="16.5" hidden="1" customHeight="1" x14ac:dyDescent="0.45">
      <c r="A287" s="6" t="s">
        <v>260</v>
      </c>
      <c r="B287" s="7">
        <v>0</v>
      </c>
      <c r="C287" s="8">
        <f>IFERROR(B287/B445, "NA")</f>
        <v>0</v>
      </c>
      <c r="D287" s="9"/>
      <c r="E287" s="7">
        <v>0</v>
      </c>
      <c r="F287" s="8">
        <f>IFERROR(E287/E445, "NA")</f>
        <v>0</v>
      </c>
      <c r="G287" s="9"/>
      <c r="H287" s="10">
        <f t="shared" ref="H287:H296" si="72">IFERROR(-(B287-E287), "NA")</f>
        <v>0</v>
      </c>
      <c r="I287" s="8">
        <f>IFERROR(H287/H445, "NA")</f>
        <v>0</v>
      </c>
      <c r="J287" s="9"/>
      <c r="K287" s="7">
        <v>0</v>
      </c>
      <c r="L287" s="8">
        <f>IFERROR(K287/K445, "NA")</f>
        <v>0</v>
      </c>
      <c r="M287" s="9"/>
      <c r="N287" s="10">
        <f t="shared" ref="N287:N296" si="73">IFERROR(-(B287-K287), "NA")</f>
        <v>0</v>
      </c>
      <c r="O287" s="8">
        <f>IFERROR(N287/N445, "NA")</f>
        <v>0</v>
      </c>
      <c r="P287" s="9"/>
      <c r="Q287" s="7">
        <v>0</v>
      </c>
      <c r="R287" s="8">
        <f>IFERROR(Q287/Q445, "NA")</f>
        <v>0</v>
      </c>
      <c r="S287" s="9"/>
      <c r="T287" s="7">
        <v>0</v>
      </c>
      <c r="U287" s="8">
        <f>IFERROR(T287/T445, "NA")</f>
        <v>0</v>
      </c>
      <c r="V287" s="9"/>
      <c r="W287" s="10">
        <f t="shared" ref="W287:W296" si="74">IFERROR(-(Q287-T287), "NA")</f>
        <v>0</v>
      </c>
      <c r="X287" s="8">
        <f>IFERROR(W287/W445, "NA")</f>
        <v>0</v>
      </c>
      <c r="Y287" s="9"/>
      <c r="Z287" s="7">
        <v>0</v>
      </c>
      <c r="AA287" s="8">
        <f>IFERROR(Z287/Z445, "NA")</f>
        <v>0</v>
      </c>
      <c r="AB287" s="9"/>
      <c r="AC287" s="10">
        <f t="shared" ref="AC287:AC296" si="75">IFERROR(-(Q287-Z287), "NA")</f>
        <v>0</v>
      </c>
      <c r="AD287" s="8">
        <f>IFERROR(AC287/AC445, "NA")</f>
        <v>0</v>
      </c>
    </row>
    <row r="288" spans="1:30" ht="16.5" hidden="1" customHeight="1" x14ac:dyDescent="0.45">
      <c r="A288" s="6" t="s">
        <v>261</v>
      </c>
      <c r="B288" s="7">
        <v>0</v>
      </c>
      <c r="C288" s="8">
        <f>IFERROR(B288/B445, "NA")</f>
        <v>0</v>
      </c>
      <c r="D288" s="9"/>
      <c r="E288" s="7">
        <v>0</v>
      </c>
      <c r="F288" s="8">
        <f>IFERROR(E288/E445, "NA")</f>
        <v>0</v>
      </c>
      <c r="G288" s="9"/>
      <c r="H288" s="10">
        <f t="shared" si="72"/>
        <v>0</v>
      </c>
      <c r="I288" s="8">
        <f>IFERROR(H288/H445, "NA")</f>
        <v>0</v>
      </c>
      <c r="J288" s="9"/>
      <c r="K288" s="7">
        <v>0</v>
      </c>
      <c r="L288" s="8">
        <f>IFERROR(K288/K445, "NA")</f>
        <v>0</v>
      </c>
      <c r="M288" s="9"/>
      <c r="N288" s="10">
        <f t="shared" si="73"/>
        <v>0</v>
      </c>
      <c r="O288" s="8">
        <f>IFERROR(N288/N445, "NA")</f>
        <v>0</v>
      </c>
      <c r="P288" s="9"/>
      <c r="Q288" s="7">
        <v>0</v>
      </c>
      <c r="R288" s="8">
        <f>IFERROR(Q288/Q445, "NA")</f>
        <v>0</v>
      </c>
      <c r="S288" s="9"/>
      <c r="T288" s="7">
        <v>0</v>
      </c>
      <c r="U288" s="8">
        <f>IFERROR(T288/T445, "NA")</f>
        <v>0</v>
      </c>
      <c r="V288" s="9"/>
      <c r="W288" s="10">
        <f t="shared" si="74"/>
        <v>0</v>
      </c>
      <c r="X288" s="8">
        <f>IFERROR(W288/W445, "NA")</f>
        <v>0</v>
      </c>
      <c r="Y288" s="9"/>
      <c r="Z288" s="7">
        <v>0</v>
      </c>
      <c r="AA288" s="8">
        <f>IFERROR(Z288/Z445, "NA")</f>
        <v>0</v>
      </c>
      <c r="AB288" s="9"/>
      <c r="AC288" s="10">
        <f t="shared" si="75"/>
        <v>0</v>
      </c>
      <c r="AD288" s="8">
        <f>IFERROR(AC288/AC445, "NA")</f>
        <v>0</v>
      </c>
    </row>
    <row r="289" spans="1:30" ht="16.5" customHeight="1" x14ac:dyDescent="0.45">
      <c r="A289" s="6" t="s">
        <v>262</v>
      </c>
      <c r="B289" s="7">
        <v>137.5</v>
      </c>
      <c r="C289" s="8">
        <f>IFERROR(B289/B445, "NA")</f>
        <v>1.258974773350205E-3</v>
      </c>
      <c r="D289" s="9"/>
      <c r="E289" s="7">
        <v>138</v>
      </c>
      <c r="F289" s="8">
        <f>IFERROR(E289/E445, "NA")</f>
        <v>1.4568381607988287E-3</v>
      </c>
      <c r="G289" s="9"/>
      <c r="H289" s="10">
        <f t="shared" si="72"/>
        <v>0.5</v>
      </c>
      <c r="I289" s="8">
        <f>IFERROR(H289/H445, "NA")</f>
        <v>3.4506175225118281E-5</v>
      </c>
      <c r="J289" s="9"/>
      <c r="K289" s="7">
        <v>137.5</v>
      </c>
      <c r="L289" s="8">
        <f>IFERROR(K289/K445, "NA")</f>
        <v>1.5876435835990761E-3</v>
      </c>
      <c r="M289" s="9"/>
      <c r="N289" s="10">
        <f t="shared" si="73"/>
        <v>0</v>
      </c>
      <c r="O289" s="8">
        <f>IFERROR(N289/N445, "NA")</f>
        <v>0</v>
      </c>
      <c r="P289" s="9"/>
      <c r="Q289" s="7">
        <v>687.5</v>
      </c>
      <c r="R289" s="8">
        <f>IFERROR(Q289/Q445, "NA")</f>
        <v>1.349108317895446E-3</v>
      </c>
      <c r="S289" s="9"/>
      <c r="T289" s="7">
        <v>690</v>
      </c>
      <c r="U289" s="8">
        <f>IFERROR(T289/T445, "NA")</f>
        <v>1.440494006772493E-3</v>
      </c>
      <c r="V289" s="9"/>
      <c r="W289" s="10">
        <f t="shared" si="74"/>
        <v>2.5</v>
      </c>
      <c r="X289" s="8">
        <f>IFERROR(W289/W445, "NA")</f>
        <v>8.1716677818269437E-5</v>
      </c>
      <c r="Y289" s="9"/>
      <c r="Z289" s="7">
        <v>687.5</v>
      </c>
      <c r="AA289" s="8">
        <f>IFERROR(Z289/Z445, "NA")</f>
        <v>1.5390197010863331E-3</v>
      </c>
      <c r="AB289" s="9"/>
      <c r="AC289" s="10">
        <f t="shared" si="75"/>
        <v>0</v>
      </c>
      <c r="AD289" s="8">
        <f>IFERROR(AC289/AC445, "NA")</f>
        <v>0</v>
      </c>
    </row>
    <row r="290" spans="1:30" ht="16.5" customHeight="1" x14ac:dyDescent="0.45">
      <c r="A290" s="6" t="s">
        <v>263</v>
      </c>
      <c r="B290" s="7">
        <v>253.14</v>
      </c>
      <c r="C290" s="8">
        <f>IFERROR(B290/B445, "NA")</f>
        <v>2.3177954481881521E-3</v>
      </c>
      <c r="D290" s="9"/>
      <c r="E290" s="7">
        <v>234</v>
      </c>
      <c r="F290" s="8">
        <f>IFERROR(E290/E445, "NA")</f>
        <v>2.4702907943980139E-3</v>
      </c>
      <c r="G290" s="9"/>
      <c r="H290" s="10">
        <f t="shared" si="72"/>
        <v>-19.139999999999986</v>
      </c>
      <c r="I290" s="8">
        <f>IFERROR(H290/H445, "NA")</f>
        <v>-1.3208963876175268E-3</v>
      </c>
      <c r="J290" s="9"/>
      <c r="K290" s="7">
        <v>228.86</v>
      </c>
      <c r="L290" s="8">
        <f>IFERROR(K290/K445, "NA")</f>
        <v>2.6425317130362516E-3</v>
      </c>
      <c r="M290" s="9"/>
      <c r="N290" s="10">
        <f t="shared" si="73"/>
        <v>-24.279999999999973</v>
      </c>
      <c r="O290" s="8">
        <f>IFERROR(N290/N445, "NA")</f>
        <v>-1.0738843964331808E-3</v>
      </c>
      <c r="P290" s="9"/>
      <c r="Q290" s="7">
        <v>1247.4100000000001</v>
      </c>
      <c r="R290" s="8">
        <f>IFERROR(Q290/Q445, "NA")</f>
        <v>2.4478417553832122E-3</v>
      </c>
      <c r="S290" s="9"/>
      <c r="T290" s="7">
        <v>1170</v>
      </c>
      <c r="U290" s="8">
        <f>IFERROR(T290/T445, "NA")</f>
        <v>2.4425767940924881E-3</v>
      </c>
      <c r="V290" s="9"/>
      <c r="W290" s="10">
        <f t="shared" si="74"/>
        <v>-77.410000000000082</v>
      </c>
      <c r="X290" s="8">
        <f>IFERROR(W290/W445, "NA")</f>
        <v>-2.5302752119648973E-3</v>
      </c>
      <c r="Y290" s="9"/>
      <c r="Z290" s="7">
        <v>1106.56</v>
      </c>
      <c r="AA290" s="8">
        <f>IFERROR(Z290/Z445, "NA")</f>
        <v>2.4771165679041349E-3</v>
      </c>
      <c r="AB290" s="9"/>
      <c r="AC290" s="10">
        <f t="shared" si="75"/>
        <v>-140.85000000000014</v>
      </c>
      <c r="AD290" s="8">
        <f>IFERROR(AC290/AC445, "NA")</f>
        <v>-2.2398769013907143E-3</v>
      </c>
    </row>
    <row r="291" spans="1:30" ht="16.5" customHeight="1" x14ac:dyDescent="0.45">
      <c r="A291" s="6" t="s">
        <v>264</v>
      </c>
      <c r="B291" s="7">
        <v>395</v>
      </c>
      <c r="C291" s="8">
        <f>IFERROR(B291/B445, "NA")</f>
        <v>3.616691167078771E-3</v>
      </c>
      <c r="D291" s="9"/>
      <c r="E291" s="7">
        <v>663.08</v>
      </c>
      <c r="F291" s="8">
        <f>IFERROR(E291/E445, "NA")</f>
        <v>7.0000017946557054E-3</v>
      </c>
      <c r="G291" s="9"/>
      <c r="H291" s="10">
        <f t="shared" si="72"/>
        <v>268.08000000000004</v>
      </c>
      <c r="I291" s="8">
        <f>IFERROR(H291/H445, "NA")</f>
        <v>1.8500830908699421E-2</v>
      </c>
      <c r="J291" s="9"/>
      <c r="K291" s="7">
        <v>2214.67</v>
      </c>
      <c r="L291" s="8">
        <f>IFERROR(K291/K445, "NA")</f>
        <v>2.5571684474831751E-2</v>
      </c>
      <c r="M291" s="9"/>
      <c r="N291" s="10">
        <f t="shared" si="73"/>
        <v>1819.67</v>
      </c>
      <c r="O291" s="8">
        <f>IFERROR(N291/N445, "NA")</f>
        <v>8.0482504928235915E-2</v>
      </c>
      <c r="P291" s="9"/>
      <c r="Q291" s="7">
        <v>3801.43</v>
      </c>
      <c r="R291" s="8">
        <f>IFERROR(Q291/Q445, "NA")</f>
        <v>7.4596957569415057E-3</v>
      </c>
      <c r="S291" s="9"/>
      <c r="T291" s="7">
        <v>3224.3</v>
      </c>
      <c r="U291" s="8">
        <f>IFERROR(T291/T445, "NA")</f>
        <v>6.7312823565747089E-3</v>
      </c>
      <c r="V291" s="9"/>
      <c r="W291" s="10">
        <f t="shared" si="74"/>
        <v>-577.12999999999965</v>
      </c>
      <c r="X291" s="8">
        <f>IFERROR(W291/W445, "NA")</f>
        <v>-1.8864458507703123E-2</v>
      </c>
      <c r="Y291" s="9"/>
      <c r="Z291" s="7">
        <v>4767.12</v>
      </c>
      <c r="AA291" s="8">
        <f>IFERROR(Z291/Z445, "NA")</f>
        <v>1.0671551414462079E-2</v>
      </c>
      <c r="AB291" s="9"/>
      <c r="AC291" s="10">
        <f t="shared" si="75"/>
        <v>965.69</v>
      </c>
      <c r="AD291" s="8">
        <f>IFERROR(AC291/AC445, "NA")</f>
        <v>1.5356952253489506E-2</v>
      </c>
    </row>
    <row r="292" spans="1:30" ht="16.5" customHeight="1" x14ac:dyDescent="0.45">
      <c r="A292" s="6" t="s">
        <v>265</v>
      </c>
      <c r="B292" s="7">
        <v>1746.15</v>
      </c>
      <c r="C292" s="8">
        <f>IFERROR(B292/B445, "NA")</f>
        <v>1.5988064003530623E-2</v>
      </c>
      <c r="D292" s="9"/>
      <c r="E292" s="7">
        <v>947.26</v>
      </c>
      <c r="F292" s="8">
        <f>IFERROR(E292/E445, "NA")</f>
        <v>1.0000032726074626E-2</v>
      </c>
      <c r="G292" s="9"/>
      <c r="H292" s="10">
        <f t="shared" si="72"/>
        <v>-798.8900000000001</v>
      </c>
      <c r="I292" s="8">
        <f>IFERROR(H292/H445, "NA")</f>
        <v>-5.5133276651189493E-2</v>
      </c>
      <c r="J292" s="9"/>
      <c r="K292" s="7">
        <v>1954.26</v>
      </c>
      <c r="L292" s="8">
        <f>IFERROR(K292/K445, "NA")</f>
        <v>2.2564860724976949E-2</v>
      </c>
      <c r="M292" s="9"/>
      <c r="N292" s="10">
        <f t="shared" si="73"/>
        <v>208.1099999999999</v>
      </c>
      <c r="O292" s="8">
        <f>IFERROR(N292/N445, "NA")</f>
        <v>9.2045338443867124E-3</v>
      </c>
      <c r="P292" s="9"/>
      <c r="Q292" s="7">
        <v>7893.85</v>
      </c>
      <c r="R292" s="8">
        <f>IFERROR(Q292/Q445, "NA")</f>
        <v>1.5490412647591226E-2</v>
      </c>
      <c r="S292" s="9"/>
      <c r="T292" s="7">
        <v>4790.03</v>
      </c>
      <c r="U292" s="8">
        <f>IFERROR(T292/T445, "NA")</f>
        <v>1.0000013778638324E-2</v>
      </c>
      <c r="V292" s="9"/>
      <c r="W292" s="10">
        <f t="shared" si="74"/>
        <v>-3103.8200000000006</v>
      </c>
      <c r="X292" s="8">
        <f>IFERROR(W292/W445, "NA")</f>
        <v>-0.10145354357836044</v>
      </c>
      <c r="Y292" s="9"/>
      <c r="Z292" s="7">
        <v>8433.48</v>
      </c>
      <c r="AA292" s="8">
        <f>IFERROR(Z292/Z445, "NA")</f>
        <v>1.8878969990861916E-2</v>
      </c>
      <c r="AB292" s="9"/>
      <c r="AC292" s="10">
        <f t="shared" si="75"/>
        <v>539.6299999999992</v>
      </c>
      <c r="AD292" s="8">
        <f>IFERROR(AC292/AC445, "NA")</f>
        <v>8.5815035306884505E-3</v>
      </c>
    </row>
    <row r="293" spans="1:30" ht="16.5" customHeight="1" x14ac:dyDescent="0.45">
      <c r="A293" s="6" t="s">
        <v>266</v>
      </c>
      <c r="B293" s="7">
        <v>259.95</v>
      </c>
      <c r="C293" s="8">
        <f>IFERROR(B293/B445, "NA")</f>
        <v>2.380149035144624E-3</v>
      </c>
      <c r="D293" s="9"/>
      <c r="E293" s="7">
        <v>189.45</v>
      </c>
      <c r="F293" s="8">
        <f>IFERROR(E293/E445, "NA")</f>
        <v>1.9999854316183918E-3</v>
      </c>
      <c r="G293" s="9"/>
      <c r="H293" s="10">
        <f t="shared" si="72"/>
        <v>-70.5</v>
      </c>
      <c r="I293" s="8">
        <f>IFERROR(H293/H445, "NA")</f>
        <v>-4.8653707067416773E-3</v>
      </c>
      <c r="J293" s="9"/>
      <c r="K293" s="7">
        <v>0</v>
      </c>
      <c r="L293" s="8">
        <f>IFERROR(K293/K445, "NA")</f>
        <v>0</v>
      </c>
      <c r="M293" s="9"/>
      <c r="N293" s="10">
        <f t="shared" si="73"/>
        <v>-259.95</v>
      </c>
      <c r="O293" s="8">
        <f>IFERROR(N293/N445, "NA")</f>
        <v>-1.1497374334959044E-2</v>
      </c>
      <c r="P293" s="9"/>
      <c r="Q293" s="7">
        <v>259.95</v>
      </c>
      <c r="R293" s="8">
        <f>IFERROR(Q293/Q445, "NA")</f>
        <v>5.1011011961733994E-4</v>
      </c>
      <c r="S293" s="9"/>
      <c r="T293" s="7">
        <v>958.01</v>
      </c>
      <c r="U293" s="8">
        <f>IFERROR(T293/T445, "NA")</f>
        <v>2.0000111064175595E-3</v>
      </c>
      <c r="V293" s="9"/>
      <c r="W293" s="10">
        <f t="shared" si="74"/>
        <v>698.06</v>
      </c>
      <c r="X293" s="8">
        <f>IFERROR(W293/W445, "NA")</f>
        <v>2.2817257647128462E-2</v>
      </c>
      <c r="Y293" s="9"/>
      <c r="Z293" s="7">
        <v>1038.82</v>
      </c>
      <c r="AA293" s="8">
        <f>IFERROR(Z293/Z445, "NA")</f>
        <v>2.3254755576472791E-3</v>
      </c>
      <c r="AB293" s="9"/>
      <c r="AC293" s="10">
        <f t="shared" si="75"/>
        <v>778.86999999999989</v>
      </c>
      <c r="AD293" s="8">
        <f>IFERROR(AC293/AC445, "NA")</f>
        <v>1.2386034236323633E-2</v>
      </c>
    </row>
    <row r="294" spans="1:30" ht="16.5" customHeight="1" x14ac:dyDescent="0.45">
      <c r="A294" s="6" t="s">
        <v>267</v>
      </c>
      <c r="B294" s="7">
        <v>0</v>
      </c>
      <c r="C294" s="8">
        <f>IFERROR(B294/B445, "NA")</f>
        <v>0</v>
      </c>
      <c r="D294" s="9"/>
      <c r="E294" s="7">
        <v>189.45</v>
      </c>
      <c r="F294" s="8">
        <f>IFERROR(E294/E445, "NA")</f>
        <v>1.9999854316183918E-3</v>
      </c>
      <c r="G294" s="9"/>
      <c r="H294" s="10">
        <f t="shared" si="72"/>
        <v>189.45</v>
      </c>
      <c r="I294" s="8">
        <f>IFERROR(H294/H445, "NA")</f>
        <v>1.3074389792797314E-2</v>
      </c>
      <c r="J294" s="9"/>
      <c r="K294" s="7">
        <v>292.74</v>
      </c>
      <c r="L294" s="8">
        <f>IFERROR(K294/K445, "NA")</f>
        <v>3.3801220557294078E-3</v>
      </c>
      <c r="M294" s="9"/>
      <c r="N294" s="10">
        <f t="shared" si="73"/>
        <v>292.74</v>
      </c>
      <c r="O294" s="8">
        <f>IFERROR(N294/N445, "NA")</f>
        <v>1.29476490202574E-2</v>
      </c>
      <c r="P294" s="9"/>
      <c r="Q294" s="7">
        <v>0</v>
      </c>
      <c r="R294" s="8">
        <f>IFERROR(Q294/Q445, "NA")</f>
        <v>0</v>
      </c>
      <c r="S294" s="9"/>
      <c r="T294" s="7">
        <v>958.01</v>
      </c>
      <c r="U294" s="8">
        <f>IFERROR(T294/T445, "NA")</f>
        <v>2.0000111064175595E-3</v>
      </c>
      <c r="V294" s="9"/>
      <c r="W294" s="10">
        <f t="shared" si="74"/>
        <v>958.01</v>
      </c>
      <c r="X294" s="8">
        <f>IFERROR(W294/W445, "NA")</f>
        <v>3.131415780667212E-2</v>
      </c>
      <c r="Y294" s="9"/>
      <c r="Z294" s="7">
        <v>292.74</v>
      </c>
      <c r="AA294" s="8">
        <f>IFERROR(Z294/Z445, "NA")</f>
        <v>6.5532018515783734E-4</v>
      </c>
      <c r="AB294" s="9"/>
      <c r="AC294" s="10">
        <f t="shared" si="75"/>
        <v>292.74</v>
      </c>
      <c r="AD294" s="8">
        <f>IFERROR(AC294/AC445, "NA")</f>
        <v>4.6553181690672137E-3</v>
      </c>
    </row>
    <row r="295" spans="1:30" ht="16.5" customHeight="1" x14ac:dyDescent="0.45">
      <c r="A295" s="6" t="s">
        <v>268</v>
      </c>
      <c r="B295" s="7">
        <v>367.99</v>
      </c>
      <c r="C295" s="8">
        <f>IFERROR(B295/B445, "NA")</f>
        <v>3.3693827406919416E-3</v>
      </c>
      <c r="D295" s="9"/>
      <c r="E295" s="7">
        <v>365</v>
      </c>
      <c r="F295" s="8">
        <f>IFERROR(E295/E445, "NA")</f>
        <v>3.8532313673302352E-3</v>
      </c>
      <c r="G295" s="9"/>
      <c r="H295" s="10">
        <f t="shared" si="72"/>
        <v>-2.9900000000000091</v>
      </c>
      <c r="I295" s="8">
        <f>IFERROR(H295/H445, "NA")</f>
        <v>-2.0634692784620793E-4</v>
      </c>
      <c r="J295" s="9"/>
      <c r="K295" s="7">
        <v>312.5</v>
      </c>
      <c r="L295" s="8">
        <f>IFERROR(K295/K445, "NA")</f>
        <v>3.6082808718160822E-3</v>
      </c>
      <c r="M295" s="9"/>
      <c r="N295" s="10">
        <f t="shared" si="73"/>
        <v>-55.490000000000009</v>
      </c>
      <c r="O295" s="8">
        <f>IFERROR(N295/N445, "NA")</f>
        <v>-2.4542769834463457E-3</v>
      </c>
      <c r="P295" s="9"/>
      <c r="Q295" s="7">
        <v>1877.42</v>
      </c>
      <c r="R295" s="8">
        <f>IFERROR(Q295/Q445, "NA")</f>
        <v>3.6841351828120266E-3</v>
      </c>
      <c r="S295" s="9"/>
      <c r="T295" s="7">
        <v>1825</v>
      </c>
      <c r="U295" s="8">
        <f>IFERROR(T295/T445, "NA")</f>
        <v>3.8100022642895645E-3</v>
      </c>
      <c r="V295" s="9"/>
      <c r="W295" s="10">
        <f t="shared" si="74"/>
        <v>-52.420000000000073</v>
      </c>
      <c r="X295" s="8">
        <f>IFERROR(W295/W445, "NA")</f>
        <v>-1.7134353004934757E-3</v>
      </c>
      <c r="Y295" s="9"/>
      <c r="Z295" s="7">
        <v>1997.95</v>
      </c>
      <c r="AA295" s="8">
        <f>IFERROR(Z295/Z445, "NA")</f>
        <v>4.4725591444151839E-3</v>
      </c>
      <c r="AB295" s="9"/>
      <c r="AC295" s="10">
        <f t="shared" si="75"/>
        <v>120.52999999999997</v>
      </c>
      <c r="AD295" s="8">
        <f>IFERROR(AC295/AC445, "NA")</f>
        <v>1.9167366909806352E-3</v>
      </c>
    </row>
    <row r="296" spans="1:30" ht="16.5" customHeight="1" x14ac:dyDescent="0.45">
      <c r="A296" s="19" t="s">
        <v>269</v>
      </c>
      <c r="B296" s="14">
        <f>IFERROR(B287+B288+B289+B290+B291+B292+B293+B294+B295, "NA")</f>
        <v>3159.7299999999996</v>
      </c>
      <c r="C296" s="15">
        <f>IFERROR(B296/B445, "NA")</f>
        <v>2.893105716798431E-2</v>
      </c>
      <c r="D296" s="2"/>
      <c r="E296" s="14">
        <f>IFERROR(E287+E288+E289+E290+E291+E292+E293+E294+E295, "NA")</f>
        <v>2726.24</v>
      </c>
      <c r="F296" s="15">
        <f>IFERROR(E296/E445, "NA")</f>
        <v>2.8780365706494192E-2</v>
      </c>
      <c r="G296" s="2"/>
      <c r="H296" s="14">
        <f t="shared" si="72"/>
        <v>-433.48999999999978</v>
      </c>
      <c r="I296" s="15">
        <f>IFERROR(H296/H445, "NA")</f>
        <v>-2.9916163796673029E-2</v>
      </c>
      <c r="J296" s="2"/>
      <c r="K296" s="14">
        <f>IFERROR(K287+K288+K289+K290+K291+K292+K293+K294+K295, "NA")</f>
        <v>5140.53</v>
      </c>
      <c r="L296" s="15">
        <f>IFERROR(K296/K445, "NA")</f>
        <v>5.9355123423989513E-2</v>
      </c>
      <c r="M296" s="2"/>
      <c r="N296" s="14">
        <f t="shared" si="73"/>
        <v>1980.8000000000002</v>
      </c>
      <c r="O296" s="15">
        <f>IFERROR(N296/N445, "NA")</f>
        <v>8.7609152078041472E-2</v>
      </c>
      <c r="P296" s="2"/>
      <c r="Q296" s="14">
        <f>IFERROR(Q287+Q288+Q289+Q290+Q291+Q292+Q293+Q294+Q295, "NA")</f>
        <v>15767.560000000001</v>
      </c>
      <c r="R296" s="15">
        <f>IFERROR(Q296/Q445, "NA")</f>
        <v>3.0941303780240757E-2</v>
      </c>
      <c r="S296" s="2"/>
      <c r="T296" s="14">
        <f>IFERROR(T287+T288+T289+T290+T291+T292+T293+T294+T295, "NA")</f>
        <v>13615.35</v>
      </c>
      <c r="U296" s="15">
        <f>IFERROR(T296/T445, "NA")</f>
        <v>2.8424391413202698E-2</v>
      </c>
      <c r="V296" s="2"/>
      <c r="W296" s="14">
        <f t="shared" si="74"/>
        <v>-2152.2100000000009</v>
      </c>
      <c r="X296" s="15">
        <f>IFERROR(W296/W445, "NA")</f>
        <v>-7.0348580466903093E-2</v>
      </c>
      <c r="Y296" s="2"/>
      <c r="Z296" s="14">
        <f>IFERROR(Z287+Z288+Z289+Z290+Z291+Z292+Z293+Z294+Z295, "NA")</f>
        <v>18324.169999999998</v>
      </c>
      <c r="AA296" s="15">
        <f>IFERROR(Z296/Z445, "NA")</f>
        <v>4.1020012561534765E-2</v>
      </c>
      <c r="AB296" s="2"/>
      <c r="AC296" s="14">
        <f t="shared" si="75"/>
        <v>2556.6099999999969</v>
      </c>
      <c r="AD296" s="15">
        <f>IFERROR(AC296/AC445, "NA")</f>
        <v>4.0656667979158692E-2</v>
      </c>
    </row>
    <row r="297" spans="1:30" ht="16.5" customHeight="1" x14ac:dyDescent="0.45">
      <c r="A297" s="5" t="s">
        <v>270</v>
      </c>
      <c r="B297" s="2"/>
      <c r="C297" s="3"/>
      <c r="D297" s="4"/>
      <c r="E297" s="2"/>
      <c r="F297" s="3"/>
      <c r="G297" s="4"/>
      <c r="H297" s="2"/>
      <c r="I297" s="3"/>
      <c r="J297" s="4"/>
      <c r="K297" s="2"/>
      <c r="L297" s="3"/>
      <c r="M297" s="4"/>
      <c r="N297" s="2"/>
      <c r="O297" s="3"/>
      <c r="P297" s="4"/>
      <c r="Q297" s="2"/>
      <c r="R297" s="3"/>
      <c r="S297" s="4"/>
      <c r="T297" s="2"/>
      <c r="U297" s="3"/>
      <c r="V297" s="4"/>
      <c r="W297" s="2"/>
      <c r="X297" s="3"/>
      <c r="Y297" s="4"/>
      <c r="Z297" s="2"/>
      <c r="AA297" s="3"/>
      <c r="AB297" s="4"/>
      <c r="AC297" s="2"/>
      <c r="AD297" s="3"/>
    </row>
    <row r="298" spans="1:30" ht="16.5" hidden="1" customHeight="1" x14ac:dyDescent="0.45">
      <c r="A298" s="6" t="s">
        <v>270</v>
      </c>
      <c r="B298" s="7">
        <v>0</v>
      </c>
      <c r="C298" s="8">
        <f>IFERROR(B298/B445, "NA")</f>
        <v>0</v>
      </c>
      <c r="D298" s="9"/>
      <c r="E298" s="7">
        <v>0</v>
      </c>
      <c r="F298" s="8">
        <f>IFERROR(E298/E445, "NA")</f>
        <v>0</v>
      </c>
      <c r="G298" s="9"/>
      <c r="H298" s="10">
        <f t="shared" ref="H298:H326" si="76">IFERROR(-(B298-E298), "NA")</f>
        <v>0</v>
      </c>
      <c r="I298" s="8">
        <f>IFERROR(H298/H445, "NA")</f>
        <v>0</v>
      </c>
      <c r="J298" s="9"/>
      <c r="K298" s="7">
        <v>0</v>
      </c>
      <c r="L298" s="8">
        <f>IFERROR(K298/K445, "NA")</f>
        <v>0</v>
      </c>
      <c r="M298" s="9"/>
      <c r="N298" s="10">
        <f t="shared" ref="N298:N326" si="77">IFERROR(-(B298-K298), "NA")</f>
        <v>0</v>
      </c>
      <c r="O298" s="8">
        <f>IFERROR(N298/N445, "NA")</f>
        <v>0</v>
      </c>
      <c r="P298" s="9"/>
      <c r="Q298" s="7">
        <v>0</v>
      </c>
      <c r="R298" s="8">
        <f>IFERROR(Q298/Q445, "NA")</f>
        <v>0</v>
      </c>
      <c r="S298" s="9"/>
      <c r="T298" s="7">
        <v>0</v>
      </c>
      <c r="U298" s="8">
        <f>IFERROR(T298/T445, "NA")</f>
        <v>0</v>
      </c>
      <c r="V298" s="9"/>
      <c r="W298" s="10">
        <f t="shared" ref="W298:W326" si="78">IFERROR(-(Q298-T298), "NA")</f>
        <v>0</v>
      </c>
      <c r="X298" s="8">
        <f>IFERROR(W298/W445, "NA")</f>
        <v>0</v>
      </c>
      <c r="Y298" s="9"/>
      <c r="Z298" s="7">
        <v>0</v>
      </c>
      <c r="AA298" s="8">
        <f>IFERROR(Z298/Z445, "NA")</f>
        <v>0</v>
      </c>
      <c r="AB298" s="9"/>
      <c r="AC298" s="10">
        <f t="shared" ref="AC298:AC326" si="79">IFERROR(-(Q298-Z298), "NA")</f>
        <v>0</v>
      </c>
      <c r="AD298" s="8">
        <f>IFERROR(AC298/AC445,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IFERROR(B299/B445, "NA")</f>
        <v>0</v>
      </c>
      <c r="D299" s="9"/>
      <c r="E299" s="7">
        <v>0</v>
      </c>
      <c r="F299" s="8">
        <f>IFERROR(E299/E445, "NA")</f>
        <v>0</v>
      </c>
      <c r="G299" s="9"/>
      <c r="H299" s="10">
        <f t="shared" si="76"/>
        <v>0</v>
      </c>
      <c r="I299" s="8">
        <f>IFERROR(H299/H445, "NA")</f>
        <v>0</v>
      </c>
      <c r="J299" s="9"/>
      <c r="K299" s="7">
        <v>0</v>
      </c>
      <c r="L299" s="8">
        <f>IFERROR(K299/K445, "NA")</f>
        <v>0</v>
      </c>
      <c r="M299" s="9"/>
      <c r="N299" s="10">
        <f t="shared" si="77"/>
        <v>0</v>
      </c>
      <c r="O299" s="8">
        <f>IFERROR(N299/N445, "NA")</f>
        <v>0</v>
      </c>
      <c r="P299" s="9"/>
      <c r="Q299" s="7">
        <v>0</v>
      </c>
      <c r="R299" s="8">
        <f>IFERROR(Q299/Q445, "NA")</f>
        <v>0</v>
      </c>
      <c r="S299" s="9"/>
      <c r="T299" s="7">
        <v>0</v>
      </c>
      <c r="U299" s="8">
        <f>IFERROR(T299/T445, "NA")</f>
        <v>0</v>
      </c>
      <c r="V299" s="9"/>
      <c r="W299" s="10">
        <f t="shared" si="78"/>
        <v>0</v>
      </c>
      <c r="X299" s="8">
        <f>IFERROR(W299/W445, "NA")</f>
        <v>0</v>
      </c>
      <c r="Y299" s="9"/>
      <c r="Z299" s="7">
        <v>0</v>
      </c>
      <c r="AA299" s="8">
        <f>IFERROR(Z299/Z445, "NA")</f>
        <v>0</v>
      </c>
      <c r="AB299" s="9"/>
      <c r="AC299" s="10">
        <f t="shared" si="79"/>
        <v>0</v>
      </c>
      <c r="AD299" s="8">
        <f>IFERROR(AC299/AC445, "NA")</f>
        <v>0</v>
      </c>
    </row>
    <row r="300" spans="1:30" ht="16.5" customHeight="1" x14ac:dyDescent="0.45">
      <c r="A300" s="6" t="s">
        <v>272</v>
      </c>
      <c r="B300" s="7">
        <v>159</v>
      </c>
      <c r="C300" s="8">
        <f>IFERROR(B300/B445, "NA")</f>
        <v>1.455832647001328E-3</v>
      </c>
      <c r="D300" s="9"/>
      <c r="E300" s="7">
        <v>159</v>
      </c>
      <c r="F300" s="8">
        <f>IFERROR(E300/E445, "NA")</f>
        <v>1.6785309243986504E-3</v>
      </c>
      <c r="G300" s="9"/>
      <c r="H300" s="10">
        <f t="shared" si="76"/>
        <v>0</v>
      </c>
      <c r="I300" s="8">
        <f>IFERROR(H300/H445, "NA")</f>
        <v>0</v>
      </c>
      <c r="J300" s="9"/>
      <c r="K300" s="7">
        <v>0</v>
      </c>
      <c r="L300" s="8">
        <f>IFERROR(K300/K445, "NA")</f>
        <v>0</v>
      </c>
      <c r="M300" s="9"/>
      <c r="N300" s="10">
        <f t="shared" si="77"/>
        <v>-159</v>
      </c>
      <c r="O300" s="8">
        <f>IFERROR(N300/N445, "NA")</f>
        <v>-7.0324390046489259E-3</v>
      </c>
      <c r="P300" s="9"/>
      <c r="Q300" s="7">
        <v>795</v>
      </c>
      <c r="R300" s="8">
        <f>IFERROR(Q300/Q445, "NA")</f>
        <v>1.5600598003300066E-3</v>
      </c>
      <c r="S300" s="9"/>
      <c r="T300" s="7">
        <v>795</v>
      </c>
      <c r="U300" s="8">
        <f>IFERROR(T300/T445, "NA")</f>
        <v>1.6596996164987418E-3</v>
      </c>
      <c r="V300" s="9"/>
      <c r="W300" s="10">
        <f t="shared" si="78"/>
        <v>0</v>
      </c>
      <c r="X300" s="8">
        <f>IFERROR(W300/W445, "NA")</f>
        <v>0</v>
      </c>
      <c r="Y300" s="9"/>
      <c r="Z300" s="7">
        <v>411.65</v>
      </c>
      <c r="AA300" s="8">
        <f>IFERROR(Z300/Z445, "NA")</f>
        <v>9.2150903265772943E-4</v>
      </c>
      <c r="AB300" s="9"/>
      <c r="AC300" s="10">
        <f t="shared" si="79"/>
        <v>-383.35</v>
      </c>
      <c r="AD300" s="8">
        <f>IFERROR(AC300/AC445, "NA")</f>
        <v>-6.0962499833023039E-3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IFERROR(B301/B445, "NA")</f>
        <v>0</v>
      </c>
      <c r="D301" s="9"/>
      <c r="E301" s="7">
        <v>0</v>
      </c>
      <c r="F301" s="8">
        <f>IFERROR(E301/E445, "NA")</f>
        <v>0</v>
      </c>
      <c r="G301" s="9"/>
      <c r="H301" s="10">
        <f t="shared" si="76"/>
        <v>0</v>
      </c>
      <c r="I301" s="8">
        <f>IFERROR(H301/H445, "NA")</f>
        <v>0</v>
      </c>
      <c r="J301" s="9"/>
      <c r="K301" s="7">
        <v>0</v>
      </c>
      <c r="L301" s="8">
        <f>IFERROR(K301/K445, "NA")</f>
        <v>0</v>
      </c>
      <c r="M301" s="9"/>
      <c r="N301" s="10">
        <f t="shared" si="77"/>
        <v>0</v>
      </c>
      <c r="O301" s="8">
        <f>IFERROR(N301/N445, "NA")</f>
        <v>0</v>
      </c>
      <c r="P301" s="9"/>
      <c r="Q301" s="7">
        <v>0</v>
      </c>
      <c r="R301" s="8">
        <f>IFERROR(Q301/Q445, "NA")</f>
        <v>0</v>
      </c>
      <c r="S301" s="9"/>
      <c r="T301" s="7">
        <v>0</v>
      </c>
      <c r="U301" s="8">
        <f>IFERROR(T301/T445, "NA")</f>
        <v>0</v>
      </c>
      <c r="V301" s="9"/>
      <c r="W301" s="10">
        <f t="shared" si="78"/>
        <v>0</v>
      </c>
      <c r="X301" s="8">
        <f>IFERROR(W301/W445, "NA")</f>
        <v>0</v>
      </c>
      <c r="Y301" s="9"/>
      <c r="Z301" s="7">
        <v>0</v>
      </c>
      <c r="AA301" s="8">
        <f>IFERROR(Z301/Z445, "NA")</f>
        <v>0</v>
      </c>
      <c r="AB301" s="9"/>
      <c r="AC301" s="10">
        <f t="shared" si="79"/>
        <v>0</v>
      </c>
      <c r="AD301" s="8">
        <f>IFERROR(AC301/AC445,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IFERROR(B302/B445, "NA")</f>
        <v>0</v>
      </c>
      <c r="D302" s="9"/>
      <c r="E302" s="7">
        <v>0</v>
      </c>
      <c r="F302" s="8">
        <f>IFERROR(E302/E445, "NA")</f>
        <v>0</v>
      </c>
      <c r="G302" s="9"/>
      <c r="H302" s="10">
        <f t="shared" si="76"/>
        <v>0</v>
      </c>
      <c r="I302" s="8">
        <f>IFERROR(H302/H445, "NA")</f>
        <v>0</v>
      </c>
      <c r="J302" s="9"/>
      <c r="K302" s="7">
        <v>0</v>
      </c>
      <c r="L302" s="8">
        <f>IFERROR(K302/K445, "NA")</f>
        <v>0</v>
      </c>
      <c r="M302" s="9"/>
      <c r="N302" s="10">
        <f t="shared" si="77"/>
        <v>0</v>
      </c>
      <c r="O302" s="8">
        <f>IFERROR(N302/N445, "NA")</f>
        <v>0</v>
      </c>
      <c r="P302" s="9"/>
      <c r="Q302" s="7">
        <v>0</v>
      </c>
      <c r="R302" s="8">
        <f>IFERROR(Q302/Q445, "NA")</f>
        <v>0</v>
      </c>
      <c r="S302" s="9"/>
      <c r="T302" s="7">
        <v>0</v>
      </c>
      <c r="U302" s="8">
        <f>IFERROR(T302/T445, "NA")</f>
        <v>0</v>
      </c>
      <c r="V302" s="9"/>
      <c r="W302" s="10">
        <f t="shared" si="78"/>
        <v>0</v>
      </c>
      <c r="X302" s="8">
        <f>IFERROR(W302/W445, "NA")</f>
        <v>0</v>
      </c>
      <c r="Y302" s="9"/>
      <c r="Z302" s="7">
        <v>0</v>
      </c>
      <c r="AA302" s="8">
        <f>IFERROR(Z302/Z445, "NA")</f>
        <v>0</v>
      </c>
      <c r="AB302" s="9"/>
      <c r="AC302" s="10">
        <f t="shared" si="79"/>
        <v>0</v>
      </c>
      <c r="AD302" s="8">
        <f>IFERROR(AC302/AC445,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IFERROR(B303/B445, "NA")</f>
        <v>0</v>
      </c>
      <c r="D303" s="9"/>
      <c r="E303" s="7">
        <v>0</v>
      </c>
      <c r="F303" s="8">
        <f>IFERROR(E303/E445, "NA")</f>
        <v>0</v>
      </c>
      <c r="G303" s="9"/>
      <c r="H303" s="10">
        <f t="shared" si="76"/>
        <v>0</v>
      </c>
      <c r="I303" s="8">
        <f>IFERROR(H303/H445, "NA")</f>
        <v>0</v>
      </c>
      <c r="J303" s="9"/>
      <c r="K303" s="7">
        <v>0</v>
      </c>
      <c r="L303" s="8">
        <f>IFERROR(K303/K445, "NA")</f>
        <v>0</v>
      </c>
      <c r="M303" s="9"/>
      <c r="N303" s="10">
        <f t="shared" si="77"/>
        <v>0</v>
      </c>
      <c r="O303" s="8">
        <f>IFERROR(N303/N445, "NA")</f>
        <v>0</v>
      </c>
      <c r="P303" s="9"/>
      <c r="Q303" s="7">
        <v>0</v>
      </c>
      <c r="R303" s="8">
        <f>IFERROR(Q303/Q445, "NA")</f>
        <v>0</v>
      </c>
      <c r="S303" s="9"/>
      <c r="T303" s="7">
        <v>0</v>
      </c>
      <c r="U303" s="8">
        <f>IFERROR(T303/T445, "NA")</f>
        <v>0</v>
      </c>
      <c r="V303" s="9"/>
      <c r="W303" s="10">
        <f t="shared" si="78"/>
        <v>0</v>
      </c>
      <c r="X303" s="8">
        <f>IFERROR(W303/W445, "NA")</f>
        <v>0</v>
      </c>
      <c r="Y303" s="9"/>
      <c r="Z303" s="7">
        <v>0</v>
      </c>
      <c r="AA303" s="8">
        <f>IFERROR(Z303/Z445, "NA")</f>
        <v>0</v>
      </c>
      <c r="AB303" s="9"/>
      <c r="AC303" s="10">
        <f t="shared" si="79"/>
        <v>0</v>
      </c>
      <c r="AD303" s="8">
        <f>IFERROR(AC303/AC445,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IFERROR(B304/B445, "NA")</f>
        <v>0</v>
      </c>
      <c r="D304" s="9"/>
      <c r="E304" s="7">
        <v>0</v>
      </c>
      <c r="F304" s="8">
        <f>IFERROR(E304/E445, "NA")</f>
        <v>0</v>
      </c>
      <c r="G304" s="9"/>
      <c r="H304" s="10">
        <f t="shared" si="76"/>
        <v>0</v>
      </c>
      <c r="I304" s="8">
        <f>IFERROR(H304/H445, "NA")</f>
        <v>0</v>
      </c>
      <c r="J304" s="9"/>
      <c r="K304" s="7">
        <v>0</v>
      </c>
      <c r="L304" s="8">
        <f>IFERROR(K304/K445, "NA")</f>
        <v>0</v>
      </c>
      <c r="M304" s="9"/>
      <c r="N304" s="10">
        <f t="shared" si="77"/>
        <v>0</v>
      </c>
      <c r="O304" s="8">
        <f>IFERROR(N304/N445, "NA")</f>
        <v>0</v>
      </c>
      <c r="P304" s="9"/>
      <c r="Q304" s="7">
        <v>0</v>
      </c>
      <c r="R304" s="8">
        <f>IFERROR(Q304/Q445, "NA")</f>
        <v>0</v>
      </c>
      <c r="S304" s="9"/>
      <c r="T304" s="7">
        <v>0</v>
      </c>
      <c r="U304" s="8">
        <f>IFERROR(T304/T445, "NA")</f>
        <v>0</v>
      </c>
      <c r="V304" s="9"/>
      <c r="W304" s="10">
        <f t="shared" si="78"/>
        <v>0</v>
      </c>
      <c r="X304" s="8">
        <f>IFERROR(W304/W445, "NA")</f>
        <v>0</v>
      </c>
      <c r="Y304" s="9"/>
      <c r="Z304" s="7">
        <v>0</v>
      </c>
      <c r="AA304" s="8">
        <f>IFERROR(Z304/Z445, "NA")</f>
        <v>0</v>
      </c>
      <c r="AB304" s="9"/>
      <c r="AC304" s="10">
        <f t="shared" si="79"/>
        <v>0</v>
      </c>
      <c r="AD304" s="8">
        <f>IFERROR(AC304/AC445,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IFERROR(B305/B445, "NA")</f>
        <v>0</v>
      </c>
      <c r="D305" s="9"/>
      <c r="E305" s="7">
        <v>0</v>
      </c>
      <c r="F305" s="8">
        <f>IFERROR(E305/E445, "NA")</f>
        <v>0</v>
      </c>
      <c r="G305" s="9"/>
      <c r="H305" s="10">
        <f t="shared" si="76"/>
        <v>0</v>
      </c>
      <c r="I305" s="8">
        <f>IFERROR(H305/H445, "NA")</f>
        <v>0</v>
      </c>
      <c r="J305" s="9"/>
      <c r="K305" s="7">
        <v>0</v>
      </c>
      <c r="L305" s="8">
        <f>IFERROR(K305/K445, "NA")</f>
        <v>0</v>
      </c>
      <c r="M305" s="9"/>
      <c r="N305" s="10">
        <f t="shared" si="77"/>
        <v>0</v>
      </c>
      <c r="O305" s="8">
        <f>IFERROR(N305/N445, "NA")</f>
        <v>0</v>
      </c>
      <c r="P305" s="9"/>
      <c r="Q305" s="7">
        <v>0</v>
      </c>
      <c r="R305" s="8">
        <f>IFERROR(Q305/Q445, "NA")</f>
        <v>0</v>
      </c>
      <c r="S305" s="9"/>
      <c r="T305" s="7">
        <v>0</v>
      </c>
      <c r="U305" s="8">
        <f>IFERROR(T305/T445, "NA")</f>
        <v>0</v>
      </c>
      <c r="V305" s="9"/>
      <c r="W305" s="10">
        <f t="shared" si="78"/>
        <v>0</v>
      </c>
      <c r="X305" s="8">
        <f>IFERROR(W305/W445, "NA")</f>
        <v>0</v>
      </c>
      <c r="Y305" s="9"/>
      <c r="Z305" s="7">
        <v>268.25</v>
      </c>
      <c r="AA305" s="8">
        <f>IFERROR(Z305/Z445, "NA")</f>
        <v>6.0049750518750378E-4</v>
      </c>
      <c r="AB305" s="9"/>
      <c r="AC305" s="10">
        <f t="shared" si="79"/>
        <v>268.25</v>
      </c>
      <c r="AD305" s="8">
        <f>IFERROR(AC305/AC445, "NA")</f>
        <v>4.2658642442176681E-3</v>
      </c>
    </row>
    <row r="306" spans="1:30" ht="16.5" customHeight="1" x14ac:dyDescent="0.45">
      <c r="A306" s="6" t="s">
        <v>278</v>
      </c>
      <c r="B306" s="7">
        <v>137.38999999999999</v>
      </c>
      <c r="C306" s="8">
        <f>IFERROR(B306/B445, "NA")</f>
        <v>1.2579675935315247E-3</v>
      </c>
      <c r="D306" s="9"/>
      <c r="E306" s="7">
        <v>0</v>
      </c>
      <c r="F306" s="8">
        <f>IFERROR(E306/E445, "NA")</f>
        <v>0</v>
      </c>
      <c r="G306" s="9"/>
      <c r="H306" s="10">
        <f t="shared" si="76"/>
        <v>-137.38999999999999</v>
      </c>
      <c r="I306" s="8">
        <f>IFERROR(H306/H445, "NA")</f>
        <v>-9.4816068283580003E-3</v>
      </c>
      <c r="J306" s="9"/>
      <c r="K306" s="7">
        <v>0</v>
      </c>
      <c r="L306" s="8">
        <f>IFERROR(K306/K445, "NA")</f>
        <v>0</v>
      </c>
      <c r="M306" s="9"/>
      <c r="N306" s="10">
        <f t="shared" si="77"/>
        <v>-137.38999999999999</v>
      </c>
      <c r="O306" s="8">
        <f>IFERROR(N306/N445, "NA")</f>
        <v>-6.0766465084824894E-3</v>
      </c>
      <c r="P306" s="9"/>
      <c r="Q306" s="7">
        <v>349.33</v>
      </c>
      <c r="R306" s="8">
        <f>IFERROR(Q306/Q445, "NA")</f>
        <v>6.8550401264060533E-4</v>
      </c>
      <c r="S306" s="9"/>
      <c r="T306" s="7">
        <v>0</v>
      </c>
      <c r="U306" s="8">
        <f>IFERROR(T306/T445, "NA")</f>
        <v>0</v>
      </c>
      <c r="V306" s="9"/>
      <c r="W306" s="10">
        <f t="shared" si="78"/>
        <v>-349.33</v>
      </c>
      <c r="X306" s="8">
        <f>IFERROR(W306/W445, "NA")</f>
        <v>-1.1418434824902424E-2</v>
      </c>
      <c r="Y306" s="9"/>
      <c r="Z306" s="7">
        <v>5.59</v>
      </c>
      <c r="AA306" s="8">
        <f>IFERROR(Z306/Z445, "NA")</f>
        <v>1.2513629278651057E-5</v>
      </c>
      <c r="AB306" s="9"/>
      <c r="AC306" s="10">
        <f t="shared" si="79"/>
        <v>-343.74</v>
      </c>
      <c r="AD306" s="8">
        <f>IFERROR(AC306/AC445, "NA")</f>
        <v>-5.4663492089743939E-3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IFERROR(B307/B445, "NA")</f>
        <v>0</v>
      </c>
      <c r="D307" s="9"/>
      <c r="E307" s="7">
        <v>0</v>
      </c>
      <c r="F307" s="8">
        <f>IFERROR(E307/E445, "NA")</f>
        <v>0</v>
      </c>
      <c r="G307" s="9"/>
      <c r="H307" s="10">
        <f t="shared" si="76"/>
        <v>0</v>
      </c>
      <c r="I307" s="8">
        <f>IFERROR(H307/H445, "NA")</f>
        <v>0</v>
      </c>
      <c r="J307" s="9"/>
      <c r="K307" s="7">
        <v>0</v>
      </c>
      <c r="L307" s="8">
        <f>IFERROR(K307/K445, "NA")</f>
        <v>0</v>
      </c>
      <c r="M307" s="9"/>
      <c r="N307" s="10">
        <f t="shared" si="77"/>
        <v>0</v>
      </c>
      <c r="O307" s="8">
        <f>IFERROR(N307/N445, "NA")</f>
        <v>0</v>
      </c>
      <c r="P307" s="9"/>
      <c r="Q307" s="7">
        <v>0</v>
      </c>
      <c r="R307" s="8">
        <f>IFERROR(Q307/Q445, "NA")</f>
        <v>0</v>
      </c>
      <c r="S307" s="9"/>
      <c r="T307" s="7">
        <v>0</v>
      </c>
      <c r="U307" s="8">
        <f>IFERROR(T307/T445, "NA")</f>
        <v>0</v>
      </c>
      <c r="V307" s="9"/>
      <c r="W307" s="10">
        <f t="shared" si="78"/>
        <v>0</v>
      </c>
      <c r="X307" s="8">
        <f>IFERROR(W307/W445, "NA")</f>
        <v>0</v>
      </c>
      <c r="Y307" s="9"/>
      <c r="Z307" s="7">
        <v>0</v>
      </c>
      <c r="AA307" s="8">
        <f>IFERROR(Z307/Z445, "NA")</f>
        <v>0</v>
      </c>
      <c r="AB307" s="9"/>
      <c r="AC307" s="10">
        <f t="shared" si="79"/>
        <v>0</v>
      </c>
      <c r="AD307" s="8">
        <f>IFERROR(AC307/AC445,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IFERROR(B308/B445, "NA")</f>
        <v>0</v>
      </c>
      <c r="D308" s="9"/>
      <c r="E308" s="7">
        <v>0</v>
      </c>
      <c r="F308" s="8">
        <f>IFERROR(E308/E445, "NA")</f>
        <v>0</v>
      </c>
      <c r="G308" s="9"/>
      <c r="H308" s="10">
        <f t="shared" si="76"/>
        <v>0</v>
      </c>
      <c r="I308" s="8">
        <f>IFERROR(H308/H445, "NA")</f>
        <v>0</v>
      </c>
      <c r="J308" s="9"/>
      <c r="K308" s="7">
        <v>0</v>
      </c>
      <c r="L308" s="8">
        <f>IFERROR(K308/K445, "NA")</f>
        <v>0</v>
      </c>
      <c r="M308" s="9"/>
      <c r="N308" s="10">
        <f t="shared" si="77"/>
        <v>0</v>
      </c>
      <c r="O308" s="8">
        <f>IFERROR(N308/N445, "NA")</f>
        <v>0</v>
      </c>
      <c r="P308" s="9"/>
      <c r="Q308" s="7">
        <v>0</v>
      </c>
      <c r="R308" s="8">
        <f>IFERROR(Q308/Q445, "NA")</f>
        <v>0</v>
      </c>
      <c r="S308" s="9"/>
      <c r="T308" s="7">
        <v>0</v>
      </c>
      <c r="U308" s="8">
        <f>IFERROR(T308/T445, "NA")</f>
        <v>0</v>
      </c>
      <c r="V308" s="9"/>
      <c r="W308" s="10">
        <f t="shared" si="78"/>
        <v>0</v>
      </c>
      <c r="X308" s="8">
        <f>IFERROR(W308/W445, "NA")</f>
        <v>0</v>
      </c>
      <c r="Y308" s="9"/>
      <c r="Z308" s="7">
        <v>0</v>
      </c>
      <c r="AA308" s="8">
        <f>IFERROR(Z308/Z445, "NA")</f>
        <v>0</v>
      </c>
      <c r="AB308" s="9"/>
      <c r="AC308" s="10">
        <f t="shared" si="79"/>
        <v>0</v>
      </c>
      <c r="AD308" s="8">
        <f>IFERROR(AC308/AC445,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IFERROR(B309/B445, "NA")</f>
        <v>0</v>
      </c>
      <c r="D309" s="9"/>
      <c r="E309" s="7">
        <v>0</v>
      </c>
      <c r="F309" s="8">
        <f>IFERROR(E309/E445, "NA")</f>
        <v>0</v>
      </c>
      <c r="G309" s="9"/>
      <c r="H309" s="10">
        <f t="shared" si="76"/>
        <v>0</v>
      </c>
      <c r="I309" s="8">
        <f>IFERROR(H309/H445, "NA")</f>
        <v>0</v>
      </c>
      <c r="J309" s="9"/>
      <c r="K309" s="7">
        <v>0</v>
      </c>
      <c r="L309" s="8">
        <f>IFERROR(K309/K445, "NA")</f>
        <v>0</v>
      </c>
      <c r="M309" s="9"/>
      <c r="N309" s="10">
        <f t="shared" si="77"/>
        <v>0</v>
      </c>
      <c r="O309" s="8">
        <f>IFERROR(N309/N445, "NA")</f>
        <v>0</v>
      </c>
      <c r="P309" s="9"/>
      <c r="Q309" s="7">
        <v>0</v>
      </c>
      <c r="R309" s="8">
        <f>IFERROR(Q309/Q445, "NA")</f>
        <v>0</v>
      </c>
      <c r="S309" s="9"/>
      <c r="T309" s="7">
        <v>0</v>
      </c>
      <c r="U309" s="8">
        <f>IFERROR(T309/T445, "NA")</f>
        <v>0</v>
      </c>
      <c r="V309" s="9"/>
      <c r="W309" s="10">
        <f t="shared" si="78"/>
        <v>0</v>
      </c>
      <c r="X309" s="8">
        <f>IFERROR(W309/W445, "NA")</f>
        <v>0</v>
      </c>
      <c r="Y309" s="9"/>
      <c r="Z309" s="7">
        <v>0</v>
      </c>
      <c r="AA309" s="8">
        <f>IFERROR(Z309/Z445, "NA")</f>
        <v>0</v>
      </c>
      <c r="AB309" s="9"/>
      <c r="AC309" s="10">
        <f t="shared" si="79"/>
        <v>0</v>
      </c>
      <c r="AD309" s="8">
        <f>IFERROR(AC309/AC445, "NA")</f>
        <v>0</v>
      </c>
    </row>
    <row r="310" spans="1:30" ht="16.5" hidden="1" customHeight="1" x14ac:dyDescent="0.45">
      <c r="A310" s="6" t="s">
        <v>282</v>
      </c>
      <c r="B310" s="7">
        <v>0</v>
      </c>
      <c r="C310" s="8">
        <f>IFERROR(B310/B445, "NA")</f>
        <v>0</v>
      </c>
      <c r="D310" s="9"/>
      <c r="E310" s="7">
        <v>0</v>
      </c>
      <c r="F310" s="8">
        <f>IFERROR(E310/E445, "NA")</f>
        <v>0</v>
      </c>
      <c r="G310" s="9"/>
      <c r="H310" s="10">
        <f t="shared" si="76"/>
        <v>0</v>
      </c>
      <c r="I310" s="8">
        <f>IFERROR(H310/H445, "NA")</f>
        <v>0</v>
      </c>
      <c r="J310" s="9"/>
      <c r="K310" s="7">
        <v>0</v>
      </c>
      <c r="L310" s="8">
        <f>IFERROR(K310/K445, "NA")</f>
        <v>0</v>
      </c>
      <c r="M310" s="9"/>
      <c r="N310" s="10">
        <f t="shared" si="77"/>
        <v>0</v>
      </c>
      <c r="O310" s="8">
        <f>IFERROR(N310/N445, "NA")</f>
        <v>0</v>
      </c>
      <c r="P310" s="9"/>
      <c r="Q310" s="7">
        <v>0</v>
      </c>
      <c r="R310" s="8">
        <f>IFERROR(Q310/Q445, "NA")</f>
        <v>0</v>
      </c>
      <c r="S310" s="9"/>
      <c r="T310" s="7">
        <v>0</v>
      </c>
      <c r="U310" s="8">
        <f>IFERROR(T310/T445, "NA")</f>
        <v>0</v>
      </c>
      <c r="V310" s="9"/>
      <c r="W310" s="10">
        <f t="shared" si="78"/>
        <v>0</v>
      </c>
      <c r="X310" s="8">
        <f>IFERROR(W310/W445, "NA")</f>
        <v>0</v>
      </c>
      <c r="Y310" s="9"/>
      <c r="Z310" s="7">
        <v>0</v>
      </c>
      <c r="AA310" s="8">
        <f>IFERROR(Z310/Z445, "NA")</f>
        <v>0</v>
      </c>
      <c r="AB310" s="9"/>
      <c r="AC310" s="10">
        <f t="shared" si="79"/>
        <v>0</v>
      </c>
      <c r="AD310" s="8">
        <f>IFERROR(AC310/AC445, "NA")</f>
        <v>0</v>
      </c>
    </row>
    <row r="311" spans="1:30" ht="16.5" customHeight="1" x14ac:dyDescent="0.45">
      <c r="A311" s="6" t="s">
        <v>283</v>
      </c>
      <c r="B311" s="7">
        <v>0</v>
      </c>
      <c r="C311" s="8">
        <f>IFERROR(B311/B445, "NA")</f>
        <v>0</v>
      </c>
      <c r="D311" s="9"/>
      <c r="E311" s="7">
        <v>55</v>
      </c>
      <c r="F311" s="8">
        <f>IFERROR(E311/E445, "NA")</f>
        <v>5.8062390466619986E-4</v>
      </c>
      <c r="G311" s="9"/>
      <c r="H311" s="10">
        <f t="shared" si="76"/>
        <v>55</v>
      </c>
      <c r="I311" s="8">
        <f>IFERROR(H311/H445, "NA")</f>
        <v>3.7956792747630107E-3</v>
      </c>
      <c r="J311" s="9"/>
      <c r="K311" s="7">
        <v>0</v>
      </c>
      <c r="L311" s="8">
        <f>IFERROR(K311/K445, "NA")</f>
        <v>0</v>
      </c>
      <c r="M311" s="9"/>
      <c r="N311" s="10">
        <f t="shared" si="77"/>
        <v>0</v>
      </c>
      <c r="O311" s="8">
        <f>IFERROR(N311/N445, "NA")</f>
        <v>0</v>
      </c>
      <c r="P311" s="9"/>
      <c r="Q311" s="7">
        <v>278.95999999999998</v>
      </c>
      <c r="R311" s="8">
        <f>IFERROR(Q311/Q445, "NA")</f>
        <v>5.4741419106925609E-4</v>
      </c>
      <c r="S311" s="9"/>
      <c r="T311" s="7">
        <v>275</v>
      </c>
      <c r="U311" s="8">
        <f>IFERROR(T311/T445, "NA")</f>
        <v>5.7410993023541382E-4</v>
      </c>
      <c r="V311" s="9"/>
      <c r="W311" s="10">
        <f t="shared" si="78"/>
        <v>-3.9599999999999795</v>
      </c>
      <c r="X311" s="8">
        <f>IFERROR(W311/W445, "NA")</f>
        <v>-1.2943921766413812E-4</v>
      </c>
      <c r="Y311" s="9"/>
      <c r="Z311" s="7">
        <v>52.79</v>
      </c>
      <c r="AA311" s="8">
        <f>IFERROR(Z311/Z445, "NA")</f>
        <v>1.1817432730232367E-4</v>
      </c>
      <c r="AB311" s="9"/>
      <c r="AC311" s="10">
        <f t="shared" si="79"/>
        <v>-226.17</v>
      </c>
      <c r="AD311" s="8">
        <f>IFERROR(AC311/AC445, "NA")</f>
        <v>-3.5966841234471945E-3</v>
      </c>
    </row>
    <row r="312" spans="1:30" ht="16.5" customHeight="1" x14ac:dyDescent="0.45">
      <c r="A312" s="6" t="s">
        <v>284</v>
      </c>
      <c r="B312" s="7">
        <v>0</v>
      </c>
      <c r="C312" s="8">
        <f>IFERROR(B312/B445, "NA")</f>
        <v>0</v>
      </c>
      <c r="D312" s="9"/>
      <c r="E312" s="7">
        <v>0</v>
      </c>
      <c r="F312" s="8">
        <f>IFERROR(E312/E445, "NA")</f>
        <v>0</v>
      </c>
      <c r="G312" s="9"/>
      <c r="H312" s="10">
        <f t="shared" si="76"/>
        <v>0</v>
      </c>
      <c r="I312" s="8">
        <f>IFERROR(H312/H445, "NA")</f>
        <v>0</v>
      </c>
      <c r="J312" s="9"/>
      <c r="K312" s="7">
        <v>0</v>
      </c>
      <c r="L312" s="8">
        <f>IFERROR(K312/K445, "NA")</f>
        <v>0</v>
      </c>
      <c r="M312" s="9"/>
      <c r="N312" s="10">
        <f t="shared" si="77"/>
        <v>0</v>
      </c>
      <c r="O312" s="8">
        <f>IFERROR(N312/N445, "NA")</f>
        <v>0</v>
      </c>
      <c r="P312" s="9"/>
      <c r="Q312" s="7">
        <v>0</v>
      </c>
      <c r="R312" s="8">
        <f>IFERROR(Q312/Q445, "NA")</f>
        <v>0</v>
      </c>
      <c r="S312" s="9"/>
      <c r="T312" s="7">
        <v>0</v>
      </c>
      <c r="U312" s="8">
        <f>IFERROR(T312/T445, "NA")</f>
        <v>0</v>
      </c>
      <c r="V312" s="9"/>
      <c r="W312" s="10">
        <f t="shared" si="78"/>
        <v>0</v>
      </c>
      <c r="X312" s="8">
        <f>IFERROR(W312/W445, "NA")</f>
        <v>0</v>
      </c>
      <c r="Y312" s="9"/>
      <c r="Z312" s="7">
        <v>60.62</v>
      </c>
      <c r="AA312" s="8">
        <f>IFERROR(Z312/Z445, "NA")</f>
        <v>1.3570236258887784E-4</v>
      </c>
      <c r="AB312" s="9"/>
      <c r="AC312" s="10">
        <f t="shared" si="79"/>
        <v>60.62</v>
      </c>
      <c r="AD312" s="8">
        <f>IFERROR(AC312/AC445, "NA")</f>
        <v>9.6401375763084814E-4</v>
      </c>
    </row>
    <row r="313" spans="1:30" ht="16.5" customHeight="1" x14ac:dyDescent="0.45">
      <c r="A313" s="6" t="s">
        <v>285</v>
      </c>
      <c r="B313" s="7">
        <v>522.95000000000005</v>
      </c>
      <c r="C313" s="8">
        <f>IFERROR(B313/B445, "NA")</f>
        <v>4.7882244198071983E-3</v>
      </c>
      <c r="D313" s="9"/>
      <c r="E313" s="7">
        <v>35</v>
      </c>
      <c r="F313" s="8">
        <f>IFERROR(E313/E445, "NA")</f>
        <v>3.6948793933303626E-4</v>
      </c>
      <c r="G313" s="9"/>
      <c r="H313" s="10">
        <f t="shared" si="76"/>
        <v>-487.95000000000005</v>
      </c>
      <c r="I313" s="8">
        <f>IFERROR(H313/H445, "NA")</f>
        <v>-3.3674576402192929E-2</v>
      </c>
      <c r="J313" s="9"/>
      <c r="K313" s="7">
        <v>42.75</v>
      </c>
      <c r="L313" s="8">
        <f>IFERROR(K313/K445, "NA")</f>
        <v>4.9361282326444006E-4</v>
      </c>
      <c r="M313" s="9"/>
      <c r="N313" s="10">
        <f t="shared" si="77"/>
        <v>-480.20000000000005</v>
      </c>
      <c r="O313" s="8">
        <f>IFERROR(N313/N445, "NA")</f>
        <v>-2.1238850377562356E-2</v>
      </c>
      <c r="P313" s="9"/>
      <c r="Q313" s="7">
        <v>922.93</v>
      </c>
      <c r="R313" s="8">
        <f>IFERROR(Q313/Q445, "NA")</f>
        <v>1.8111018761239911E-3</v>
      </c>
      <c r="S313" s="9"/>
      <c r="T313" s="7">
        <v>175</v>
      </c>
      <c r="U313" s="8">
        <f>IFERROR(T313/T445, "NA")</f>
        <v>3.6534268287708154E-4</v>
      </c>
      <c r="V313" s="9"/>
      <c r="W313" s="10">
        <f t="shared" si="78"/>
        <v>-747.93</v>
      </c>
      <c r="X313" s="8">
        <f>IFERROR(W313/W445, "NA")</f>
        <v>-2.4447341936247299E-2</v>
      </c>
      <c r="Y313" s="9"/>
      <c r="Z313" s="7">
        <v>81.13</v>
      </c>
      <c r="AA313" s="8">
        <f>IFERROR(Z313/Z445, "NA")</f>
        <v>1.8161551759874063E-4</v>
      </c>
      <c r="AB313" s="9"/>
      <c r="AC313" s="10">
        <f t="shared" si="79"/>
        <v>-841.8</v>
      </c>
      <c r="AD313" s="8">
        <f>IFERROR(AC313/AC445, "NA")</f>
        <v>-1.3386782929291454E-2</v>
      </c>
    </row>
    <row r="314" spans="1:30" ht="16.5" customHeight="1" x14ac:dyDescent="0.45">
      <c r="A314" s="6" t="s">
        <v>286</v>
      </c>
      <c r="B314" s="7">
        <v>48</v>
      </c>
      <c r="C314" s="8">
        <f>IFERROR(B314/B445, "NA")</f>
        <v>4.3949664815134433E-4</v>
      </c>
      <c r="D314" s="9"/>
      <c r="E314" s="7">
        <v>15</v>
      </c>
      <c r="F314" s="8">
        <f>IFERROR(E314/E445, "NA")</f>
        <v>1.5835197399987269E-4</v>
      </c>
      <c r="G314" s="9"/>
      <c r="H314" s="10">
        <f t="shared" si="76"/>
        <v>-33</v>
      </c>
      <c r="I314" s="8">
        <f>IFERROR(H314/H445, "NA")</f>
        <v>-2.2774075648578063E-3</v>
      </c>
      <c r="J314" s="9"/>
      <c r="K314" s="7">
        <v>10</v>
      </c>
      <c r="L314" s="8">
        <f>IFERROR(K314/K445, "NA")</f>
        <v>1.1546498789811462E-4</v>
      </c>
      <c r="M314" s="9"/>
      <c r="N314" s="10">
        <f t="shared" si="77"/>
        <v>-38</v>
      </c>
      <c r="O314" s="8">
        <f>IFERROR(N314/N445, "NA")</f>
        <v>-1.6807086929349635E-3</v>
      </c>
      <c r="P314" s="9"/>
      <c r="Q314" s="7">
        <v>88</v>
      </c>
      <c r="R314" s="8">
        <f>IFERROR(Q314/Q445, "NA")</f>
        <v>1.726858646906171E-4</v>
      </c>
      <c r="S314" s="9"/>
      <c r="T314" s="7">
        <v>75</v>
      </c>
      <c r="U314" s="8">
        <f>IFERROR(T314/T445, "NA")</f>
        <v>1.5657543551874924E-4</v>
      </c>
      <c r="V314" s="9"/>
      <c r="W314" s="10">
        <f t="shared" si="78"/>
        <v>-13</v>
      </c>
      <c r="X314" s="8">
        <f>IFERROR(W314/W445, "NA")</f>
        <v>-4.2492672465500105E-4</v>
      </c>
      <c r="Y314" s="9"/>
      <c r="Z314" s="7">
        <v>34</v>
      </c>
      <c r="AA314" s="8">
        <f>IFERROR(Z314/Z445, "NA")</f>
        <v>7.6111519762815013E-5</v>
      </c>
      <c r="AB314" s="9"/>
      <c r="AC314" s="10">
        <f t="shared" si="79"/>
        <v>-54</v>
      </c>
      <c r="AD314" s="8">
        <f>IFERROR(AC314/AC445, "NA")</f>
        <v>-8.587387481370142E-4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IFERROR(B315/B445, "NA")</f>
        <v>0</v>
      </c>
      <c r="D315" s="9"/>
      <c r="E315" s="7">
        <v>0</v>
      </c>
      <c r="F315" s="8">
        <f>IFERROR(E315/E445, "NA")</f>
        <v>0</v>
      </c>
      <c r="G315" s="9"/>
      <c r="H315" s="10">
        <f t="shared" si="76"/>
        <v>0</v>
      </c>
      <c r="I315" s="8">
        <f>IFERROR(H315/H445, "NA")</f>
        <v>0</v>
      </c>
      <c r="J315" s="9"/>
      <c r="K315" s="7">
        <v>0</v>
      </c>
      <c r="L315" s="8">
        <f>IFERROR(K315/K445, "NA")</f>
        <v>0</v>
      </c>
      <c r="M315" s="9"/>
      <c r="N315" s="10">
        <f t="shared" si="77"/>
        <v>0</v>
      </c>
      <c r="O315" s="8">
        <f>IFERROR(N315/N445, "NA")</f>
        <v>0</v>
      </c>
      <c r="P315" s="9"/>
      <c r="Q315" s="7">
        <v>0</v>
      </c>
      <c r="R315" s="8">
        <f>IFERROR(Q315/Q445, "NA")</f>
        <v>0</v>
      </c>
      <c r="S315" s="9"/>
      <c r="T315" s="7">
        <v>0</v>
      </c>
      <c r="U315" s="8">
        <f>IFERROR(T315/T445, "NA")</f>
        <v>0</v>
      </c>
      <c r="V315" s="9"/>
      <c r="W315" s="10">
        <f t="shared" si="78"/>
        <v>0</v>
      </c>
      <c r="X315" s="8">
        <f>IFERROR(W315/W445, "NA")</f>
        <v>0</v>
      </c>
      <c r="Y315" s="9"/>
      <c r="Z315" s="7">
        <v>0</v>
      </c>
      <c r="AA315" s="8">
        <f>IFERROR(Z315/Z445, "NA")</f>
        <v>0</v>
      </c>
      <c r="AB315" s="9"/>
      <c r="AC315" s="10">
        <f t="shared" si="79"/>
        <v>0</v>
      </c>
      <c r="AD315" s="8">
        <f>IFERROR(AC315/AC445, "NA")</f>
        <v>0</v>
      </c>
    </row>
    <row r="316" spans="1:30" ht="16.5" customHeight="1" x14ac:dyDescent="0.45">
      <c r="A316" s="6" t="s">
        <v>288</v>
      </c>
      <c r="B316" s="7">
        <v>408.07</v>
      </c>
      <c r="C316" s="8">
        <f>IFERROR(B316/B445, "NA")</f>
        <v>3.736362441898314E-3</v>
      </c>
      <c r="D316" s="9"/>
      <c r="E316" s="7">
        <v>378.9</v>
      </c>
      <c r="F316" s="8">
        <f>IFERROR(E316/E445, "NA")</f>
        <v>3.9999708632367835E-3</v>
      </c>
      <c r="G316" s="9"/>
      <c r="H316" s="10">
        <f t="shared" si="76"/>
        <v>-29.170000000000016</v>
      </c>
      <c r="I316" s="8">
        <f>IFERROR(H316/H445, "NA")</f>
        <v>-2.0130902626334015E-3</v>
      </c>
      <c r="J316" s="9"/>
      <c r="K316" s="7">
        <v>455.52</v>
      </c>
      <c r="L316" s="8">
        <f>IFERROR(K316/K445, "NA")</f>
        <v>5.2596611287349174E-3</v>
      </c>
      <c r="M316" s="9"/>
      <c r="N316" s="10">
        <f t="shared" si="77"/>
        <v>47.449999999999989</v>
      </c>
      <c r="O316" s="8">
        <f>IFERROR(N316/N445, "NA")</f>
        <v>2.0986744073622104E-3</v>
      </c>
      <c r="P316" s="9"/>
      <c r="Q316" s="7">
        <v>2040.35</v>
      </c>
      <c r="R316" s="8">
        <f>IFERROR(Q316/Q445, "NA")</f>
        <v>4.0038591366079613E-3</v>
      </c>
      <c r="S316" s="9"/>
      <c r="T316" s="7">
        <v>1916.01</v>
      </c>
      <c r="U316" s="8">
        <f>IFERROR(T316/T445, "NA")</f>
        <v>4.000001336110383E-3</v>
      </c>
      <c r="V316" s="9"/>
      <c r="W316" s="10">
        <f t="shared" si="78"/>
        <v>-124.33999999999992</v>
      </c>
      <c r="X316" s="8">
        <f>IFERROR(W316/W445, "NA")</f>
        <v>-4.0642606879694454E-3</v>
      </c>
      <c r="Y316" s="9"/>
      <c r="Z316" s="7">
        <v>2277.6</v>
      </c>
      <c r="AA316" s="8">
        <f>IFERROR(Z316/Z445, "NA")</f>
        <v>5.0985763944643376E-3</v>
      </c>
      <c r="AB316" s="9"/>
      <c r="AC316" s="10">
        <f t="shared" si="79"/>
        <v>237.25</v>
      </c>
      <c r="AD316" s="8">
        <f>IFERROR(AC316/AC445, "NA")</f>
        <v>3.7728845925093821E-3</v>
      </c>
    </row>
    <row r="317" spans="1:30" ht="16.5" customHeight="1" x14ac:dyDescent="0.45">
      <c r="A317" s="6" t="s">
        <v>289</v>
      </c>
      <c r="B317" s="7">
        <v>-1.61</v>
      </c>
      <c r="C317" s="8">
        <f>IFERROR(B317/B445, "NA")</f>
        <v>-1.4741450073409675E-5</v>
      </c>
      <c r="D317" s="9"/>
      <c r="E317" s="7">
        <v>0</v>
      </c>
      <c r="F317" s="8">
        <f>IFERROR(E317/E445, "NA")</f>
        <v>0</v>
      </c>
      <c r="G317" s="9"/>
      <c r="H317" s="10">
        <f t="shared" si="76"/>
        <v>1.61</v>
      </c>
      <c r="I317" s="8">
        <f>IFERROR(H317/H445, "NA")</f>
        <v>1.1110988422488087E-4</v>
      </c>
      <c r="J317" s="9"/>
      <c r="K317" s="7">
        <v>0</v>
      </c>
      <c r="L317" s="8">
        <f>IFERROR(K317/K445, "NA")</f>
        <v>0</v>
      </c>
      <c r="M317" s="9"/>
      <c r="N317" s="10">
        <f t="shared" si="77"/>
        <v>1.61</v>
      </c>
      <c r="O317" s="8">
        <f>IFERROR(N317/N445, "NA")</f>
        <v>7.1208973569086609E-5</v>
      </c>
      <c r="P317" s="9"/>
      <c r="Q317" s="7">
        <v>292.39</v>
      </c>
      <c r="R317" s="8">
        <f>IFERROR(Q317/Q445, "NA")</f>
        <v>5.7376840882829012E-4</v>
      </c>
      <c r="S317" s="9"/>
      <c r="T317" s="7">
        <v>0</v>
      </c>
      <c r="U317" s="8">
        <f>IFERROR(T317/T445, "NA")</f>
        <v>0</v>
      </c>
      <c r="V317" s="9"/>
      <c r="W317" s="10">
        <f t="shared" si="78"/>
        <v>-292.39</v>
      </c>
      <c r="X317" s="8">
        <f>IFERROR(W317/W445, "NA")</f>
        <v>-9.5572557709135194E-3</v>
      </c>
      <c r="Y317" s="9"/>
      <c r="Z317" s="7">
        <v>0</v>
      </c>
      <c r="AA317" s="8">
        <f>IFERROR(Z317/Z445, "NA")</f>
        <v>0</v>
      </c>
      <c r="AB317" s="9"/>
      <c r="AC317" s="10">
        <f t="shared" si="79"/>
        <v>-292.39</v>
      </c>
      <c r="AD317" s="8">
        <f>IFERROR(AC317/AC445, "NA")</f>
        <v>-4.6497522697737329E-3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IFERROR(B318/B445, "NA")</f>
        <v>0</v>
      </c>
      <c r="D318" s="9"/>
      <c r="E318" s="7">
        <v>0</v>
      </c>
      <c r="F318" s="8">
        <f>IFERROR(E318/E445, "NA")</f>
        <v>0</v>
      </c>
      <c r="G318" s="9"/>
      <c r="H318" s="10">
        <f t="shared" si="76"/>
        <v>0</v>
      </c>
      <c r="I318" s="8">
        <f>IFERROR(H318/H445, "NA")</f>
        <v>0</v>
      </c>
      <c r="J318" s="9"/>
      <c r="K318" s="7">
        <v>0</v>
      </c>
      <c r="L318" s="8">
        <f>IFERROR(K318/K445, "NA")</f>
        <v>0</v>
      </c>
      <c r="M318" s="9"/>
      <c r="N318" s="10">
        <f t="shared" si="77"/>
        <v>0</v>
      </c>
      <c r="O318" s="8">
        <f>IFERROR(N318/N445, "NA")</f>
        <v>0</v>
      </c>
      <c r="P318" s="9"/>
      <c r="Q318" s="7">
        <v>0</v>
      </c>
      <c r="R318" s="8">
        <f>IFERROR(Q318/Q445, "NA")</f>
        <v>0</v>
      </c>
      <c r="S318" s="9"/>
      <c r="T318" s="7">
        <v>0</v>
      </c>
      <c r="U318" s="8">
        <f>IFERROR(T318/T445, "NA")</f>
        <v>0</v>
      </c>
      <c r="V318" s="9"/>
      <c r="W318" s="10">
        <f t="shared" si="78"/>
        <v>0</v>
      </c>
      <c r="X318" s="8">
        <f>IFERROR(W318/W445, "NA")</f>
        <v>0</v>
      </c>
      <c r="Y318" s="9"/>
      <c r="Z318" s="7">
        <v>0</v>
      </c>
      <c r="AA318" s="8">
        <f>IFERROR(Z318/Z445, "NA")</f>
        <v>0</v>
      </c>
      <c r="AB318" s="9"/>
      <c r="AC318" s="10">
        <f t="shared" si="79"/>
        <v>0</v>
      </c>
      <c r="AD318" s="8">
        <f>IFERROR(AC318/AC445, "NA")</f>
        <v>0</v>
      </c>
    </row>
    <row r="319" spans="1:30" ht="16.5" customHeight="1" x14ac:dyDescent="0.45">
      <c r="A319" s="6" t="s">
        <v>291</v>
      </c>
      <c r="B319" s="7">
        <v>414.58</v>
      </c>
      <c r="C319" s="8">
        <f>IFERROR(B319/B445, "NA")</f>
        <v>3.79596917480384E-3</v>
      </c>
      <c r="D319" s="9"/>
      <c r="E319" s="7">
        <v>415</v>
      </c>
      <c r="F319" s="8">
        <f>IFERROR(E319/E445, "NA")</f>
        <v>4.381071280663144E-3</v>
      </c>
      <c r="G319" s="9"/>
      <c r="H319" s="10">
        <f t="shared" si="76"/>
        <v>0.42000000000001592</v>
      </c>
      <c r="I319" s="8">
        <f>IFERROR(H319/H445, "NA")</f>
        <v>2.8985187189100454E-5</v>
      </c>
      <c r="J319" s="9"/>
      <c r="K319" s="7">
        <v>414.58</v>
      </c>
      <c r="L319" s="8">
        <f>IFERROR(K319/K445, "NA")</f>
        <v>4.786947468280036E-3</v>
      </c>
      <c r="M319" s="9"/>
      <c r="N319" s="10">
        <f t="shared" si="77"/>
        <v>0</v>
      </c>
      <c r="O319" s="8">
        <f>IFERROR(N319/N445, "NA")</f>
        <v>0</v>
      </c>
      <c r="P319" s="9"/>
      <c r="Q319" s="7">
        <v>2072.9</v>
      </c>
      <c r="R319" s="8">
        <f>IFERROR(Q319/Q445, "NA")</f>
        <v>4.0677332831497749E-3</v>
      </c>
      <c r="S319" s="9"/>
      <c r="T319" s="7">
        <v>2075</v>
      </c>
      <c r="U319" s="8">
        <f>IFERROR(T319/T445, "NA")</f>
        <v>4.331920382685395E-3</v>
      </c>
      <c r="V319" s="9"/>
      <c r="W319" s="10">
        <f t="shared" si="78"/>
        <v>2.0999999999999091</v>
      </c>
      <c r="X319" s="8">
        <f>IFERROR(W319/W445, "NA")</f>
        <v>6.8642009367343352E-5</v>
      </c>
      <c r="Y319" s="9"/>
      <c r="Z319" s="7">
        <v>2072.9</v>
      </c>
      <c r="AA319" s="8">
        <f>IFERROR(Z319/Z445, "NA")</f>
        <v>4.6403402740099776E-3</v>
      </c>
      <c r="AB319" s="9"/>
      <c r="AC319" s="10">
        <f t="shared" si="79"/>
        <v>0</v>
      </c>
      <c r="AD319" s="8">
        <f>IFERROR(AC319/AC445, "NA")</f>
        <v>0</v>
      </c>
    </row>
    <row r="320" spans="1:30" ht="16.5" customHeight="1" x14ac:dyDescent="0.45">
      <c r="A320" s="6" t="s">
        <v>292</v>
      </c>
      <c r="B320" s="7">
        <v>318.45999999999998</v>
      </c>
      <c r="C320" s="8">
        <f>IFERROR(B320/B445, "NA")</f>
        <v>2.9158771368807731E-3</v>
      </c>
      <c r="D320" s="9"/>
      <c r="E320" s="7">
        <v>309</v>
      </c>
      <c r="F320" s="8">
        <f>IFERROR(E320/E445, "NA")</f>
        <v>3.2620506643973772E-3</v>
      </c>
      <c r="G320" s="9"/>
      <c r="H320" s="10">
        <f t="shared" si="76"/>
        <v>-9.4599999999999795</v>
      </c>
      <c r="I320" s="8">
        <f>IFERROR(H320/H445, "NA")</f>
        <v>-6.5285683525923639E-4</v>
      </c>
      <c r="J320" s="9"/>
      <c r="K320" s="7">
        <v>267.91000000000003</v>
      </c>
      <c r="L320" s="8">
        <f>IFERROR(K320/K445, "NA")</f>
        <v>3.093422490778389E-3</v>
      </c>
      <c r="M320" s="9"/>
      <c r="N320" s="10">
        <f t="shared" si="77"/>
        <v>-50.549999999999955</v>
      </c>
      <c r="O320" s="8">
        <f>IFERROR(N320/N445, "NA")</f>
        <v>-2.2357848533647979E-3</v>
      </c>
      <c r="P320" s="9"/>
      <c r="Q320" s="7">
        <v>1592.55</v>
      </c>
      <c r="R320" s="8">
        <f>IFERROR(Q320/Q445, "NA")</f>
        <v>3.1251235660572983E-3</v>
      </c>
      <c r="S320" s="9"/>
      <c r="T320" s="7">
        <v>1545</v>
      </c>
      <c r="U320" s="8">
        <f>IFERROR(T320/T445, "NA")</f>
        <v>3.2254539716862342E-3</v>
      </c>
      <c r="V320" s="9"/>
      <c r="W320" s="10">
        <f t="shared" si="78"/>
        <v>-47.549999999999955</v>
      </c>
      <c r="X320" s="8">
        <f>IFERROR(W320/W445, "NA")</f>
        <v>-1.554251212103483E-3</v>
      </c>
      <c r="Y320" s="9"/>
      <c r="Z320" s="7">
        <v>1321.07</v>
      </c>
      <c r="AA320" s="8">
        <f>IFERROR(Z320/Z445, "NA")</f>
        <v>2.9573131003841771E-3</v>
      </c>
      <c r="AB320" s="9"/>
      <c r="AC320" s="10">
        <f t="shared" si="79"/>
        <v>-271.48</v>
      </c>
      <c r="AD320" s="8">
        <f>IFERROR(AC320/AC445, "NA")</f>
        <v>-4.3172295434117892E-3</v>
      </c>
    </row>
    <row r="321" spans="1:30" ht="16.5" customHeight="1" x14ac:dyDescent="0.45">
      <c r="A321" s="6" t="s">
        <v>293</v>
      </c>
      <c r="B321" s="7">
        <v>1010.77</v>
      </c>
      <c r="C321" s="8">
        <f>IFERROR(B321/B445, "NA")</f>
        <v>9.2547922302486305E-3</v>
      </c>
      <c r="D321" s="9"/>
      <c r="E321" s="7">
        <v>1133</v>
      </c>
      <c r="F321" s="8">
        <f>IFERROR(E321/E445, "NA")</f>
        <v>1.1960852436123716E-2</v>
      </c>
      <c r="G321" s="9"/>
      <c r="H321" s="10">
        <f t="shared" si="76"/>
        <v>122.23000000000002</v>
      </c>
      <c r="I321" s="8">
        <f>IFERROR(H321/H445, "NA")</f>
        <v>8.4353795955324148E-3</v>
      </c>
      <c r="J321" s="9"/>
      <c r="K321" s="7">
        <v>1138.71</v>
      </c>
      <c r="L321" s="8">
        <f>IFERROR(K321/K445, "NA")</f>
        <v>1.3148113636946211E-2</v>
      </c>
      <c r="M321" s="9"/>
      <c r="N321" s="10">
        <f t="shared" si="77"/>
        <v>127.94000000000005</v>
      </c>
      <c r="O321" s="8">
        <f>IFERROR(N321/N445, "NA")</f>
        <v>5.6586807940552453E-3</v>
      </c>
      <c r="P321" s="9"/>
      <c r="Q321" s="7">
        <v>5361.12</v>
      </c>
      <c r="R321" s="8">
        <f>IFERROR(Q321/Q445, "NA")</f>
        <v>1.0520336851251831E-2</v>
      </c>
      <c r="S321" s="9"/>
      <c r="T321" s="7">
        <v>5665</v>
      </c>
      <c r="U321" s="8">
        <f>IFERROR(T321/T445, "NA")</f>
        <v>1.1826664562849525E-2</v>
      </c>
      <c r="V321" s="9"/>
      <c r="W321" s="10">
        <f t="shared" si="78"/>
        <v>303.88000000000011</v>
      </c>
      <c r="X321" s="8">
        <f>IFERROR(W321/W445, "NA")</f>
        <v>9.93282562216629E-3</v>
      </c>
      <c r="Y321" s="9"/>
      <c r="Z321" s="7">
        <v>5909.96</v>
      </c>
      <c r="AA321" s="8">
        <f>IFERROR(Z321/Z445, "NA")</f>
        <v>1.3229883451101359E-2</v>
      </c>
      <c r="AB321" s="9"/>
      <c r="AC321" s="10">
        <f t="shared" si="79"/>
        <v>548.84000000000015</v>
      </c>
      <c r="AD321" s="8">
        <f>IFERROR(AC321/AC445, "NA")</f>
        <v>8.7279661949540548E-3</v>
      </c>
    </row>
    <row r="322" spans="1:30" ht="16.5" customHeight="1" x14ac:dyDescent="0.45">
      <c r="A322" s="6" t="s">
        <v>294</v>
      </c>
      <c r="B322" s="7">
        <v>1069.5899999999999</v>
      </c>
      <c r="C322" s="8">
        <f>IFERROR(B322/B445, "NA")</f>
        <v>9.7933587478374242E-3</v>
      </c>
      <c r="D322" s="9"/>
      <c r="E322" s="7">
        <v>1136.71</v>
      </c>
      <c r="F322" s="8">
        <f>IFERROR(E322/E445, "NA")</f>
        <v>1.200001815769302E-2</v>
      </c>
      <c r="G322" s="9"/>
      <c r="H322" s="10">
        <f t="shared" si="76"/>
        <v>67.120000000000118</v>
      </c>
      <c r="I322" s="8">
        <f>IFERROR(H322/H445, "NA")</f>
        <v>4.6321089622198856E-3</v>
      </c>
      <c r="J322" s="9"/>
      <c r="K322" s="7">
        <v>1267.8499999999999</v>
      </c>
      <c r="L322" s="8">
        <f>IFERROR(K322/K445, "NA")</f>
        <v>1.4639228490662461E-2</v>
      </c>
      <c r="M322" s="9"/>
      <c r="N322" s="10">
        <f t="shared" si="77"/>
        <v>198.26</v>
      </c>
      <c r="O322" s="8">
        <f>IFERROR(N322/N445, "NA")</f>
        <v>8.7688764595075224E-3</v>
      </c>
      <c r="P322" s="9"/>
      <c r="Q322" s="7">
        <v>4575.29</v>
      </c>
      <c r="R322" s="8">
        <f>IFERROR(Q322/Q445, "NA")</f>
        <v>8.9782717029583351E-3</v>
      </c>
      <c r="S322" s="9"/>
      <c r="T322" s="7">
        <v>5679.84</v>
      </c>
      <c r="U322" s="8">
        <f>IFERROR(T322/T445, "NA")</f>
        <v>1.1857645622357502E-2</v>
      </c>
      <c r="V322" s="9"/>
      <c r="W322" s="10">
        <f t="shared" si="78"/>
        <v>1104.5500000000002</v>
      </c>
      <c r="X322" s="8">
        <f>IFERROR(W322/W445, "NA")</f>
        <v>3.6104062593667809E-2</v>
      </c>
      <c r="Y322" s="9"/>
      <c r="Z322" s="7">
        <v>8528.85</v>
      </c>
      <c r="AA322" s="8">
        <f>IFERROR(Z322/Z445, "NA")</f>
        <v>1.9092462803796614E-2</v>
      </c>
      <c r="AB322" s="9"/>
      <c r="AC322" s="10">
        <f t="shared" si="79"/>
        <v>3953.5600000000004</v>
      </c>
      <c r="AD322" s="8">
        <f>IFERROR(AC322/AC445, "NA")</f>
        <v>6.2871762316381002E-2</v>
      </c>
    </row>
    <row r="323" spans="1:30" ht="16.5" customHeight="1" x14ac:dyDescent="0.45">
      <c r="A323" s="6" t="s">
        <v>295</v>
      </c>
      <c r="B323" s="7">
        <v>401.61</v>
      </c>
      <c r="C323" s="8">
        <f>IFERROR(B323/B445, "NA")</f>
        <v>3.6772135180012789E-3</v>
      </c>
      <c r="D323" s="9"/>
      <c r="E323" s="7">
        <v>354</v>
      </c>
      <c r="F323" s="8">
        <f>IFERROR(E323/E445, "NA")</f>
        <v>3.7371065863969952E-3</v>
      </c>
      <c r="G323" s="9"/>
      <c r="H323" s="10">
        <f t="shared" si="76"/>
        <v>-47.610000000000014</v>
      </c>
      <c r="I323" s="8">
        <f>IFERROR(H323/H445, "NA")</f>
        <v>-3.2856780049357634E-3</v>
      </c>
      <c r="J323" s="9"/>
      <c r="K323" s="7">
        <v>331.29</v>
      </c>
      <c r="L323" s="8">
        <f>IFERROR(K323/K445, "NA")</f>
        <v>3.8252395840766397E-3</v>
      </c>
      <c r="M323" s="9"/>
      <c r="N323" s="10">
        <f t="shared" si="77"/>
        <v>-70.319999999999993</v>
      </c>
      <c r="O323" s="8">
        <f>IFERROR(N323/N445, "NA")</f>
        <v>-3.1101956654522793E-3</v>
      </c>
      <c r="P323" s="9"/>
      <c r="Q323" s="7">
        <v>1977.57</v>
      </c>
      <c r="R323" s="8">
        <f>IFERROR(Q323/Q445, "NA")</f>
        <v>3.8806634708661776E-3</v>
      </c>
      <c r="S323" s="9"/>
      <c r="T323" s="7">
        <v>1770</v>
      </c>
      <c r="U323" s="8">
        <f>IFERROR(T323/T445, "NA")</f>
        <v>3.6951802782424817E-3</v>
      </c>
      <c r="V323" s="9"/>
      <c r="W323" s="10">
        <f t="shared" si="78"/>
        <v>-207.56999999999994</v>
      </c>
      <c r="X323" s="8">
        <f>IFERROR(W323/W445, "NA")</f>
        <v>-6.7847723258952723E-3</v>
      </c>
      <c r="Y323" s="9"/>
      <c r="Z323" s="7">
        <v>1830.59</v>
      </c>
      <c r="AA323" s="8">
        <f>IFERROR(Z323/Z445, "NA")</f>
        <v>4.0979113812532808E-3</v>
      </c>
      <c r="AB323" s="9"/>
      <c r="AC323" s="10">
        <f t="shared" si="79"/>
        <v>-146.98000000000002</v>
      </c>
      <c r="AD323" s="8">
        <f>IFERROR(AC323/AC445, "NA")</f>
        <v>-2.3373596518736733E-3</v>
      </c>
    </row>
    <row r="324" spans="1:30" ht="16.5" hidden="1" customHeight="1" x14ac:dyDescent="0.45">
      <c r="A324" s="6" t="s">
        <v>296</v>
      </c>
      <c r="B324" s="7">
        <v>0</v>
      </c>
      <c r="C324" s="8">
        <f>IFERROR(B324/B445, "NA")</f>
        <v>0</v>
      </c>
      <c r="D324" s="9"/>
      <c r="E324" s="7">
        <v>0</v>
      </c>
      <c r="F324" s="8">
        <f>IFERROR(E324/E445, "NA")</f>
        <v>0</v>
      </c>
      <c r="G324" s="9"/>
      <c r="H324" s="10">
        <f t="shared" si="76"/>
        <v>0</v>
      </c>
      <c r="I324" s="8">
        <f>IFERROR(H324/H445, "NA")</f>
        <v>0</v>
      </c>
      <c r="J324" s="9"/>
      <c r="K324" s="7">
        <v>0</v>
      </c>
      <c r="L324" s="8">
        <f>IFERROR(K324/K445, "NA")</f>
        <v>0</v>
      </c>
      <c r="M324" s="9"/>
      <c r="N324" s="10">
        <f t="shared" si="77"/>
        <v>0</v>
      </c>
      <c r="O324" s="8">
        <f>IFERROR(N324/N445, "NA")</f>
        <v>0</v>
      </c>
      <c r="P324" s="9"/>
      <c r="Q324" s="7">
        <v>0</v>
      </c>
      <c r="R324" s="8">
        <f>IFERROR(Q324/Q445, "NA")</f>
        <v>0</v>
      </c>
      <c r="S324" s="9"/>
      <c r="T324" s="7">
        <v>0</v>
      </c>
      <c r="U324" s="8">
        <f>IFERROR(T324/T445, "NA")</f>
        <v>0</v>
      </c>
      <c r="V324" s="9"/>
      <c r="W324" s="10">
        <f t="shared" si="78"/>
        <v>0</v>
      </c>
      <c r="X324" s="8">
        <f>IFERROR(W324/W445, "NA")</f>
        <v>0</v>
      </c>
      <c r="Y324" s="9"/>
      <c r="Z324" s="7">
        <v>0</v>
      </c>
      <c r="AA324" s="8">
        <f>IFERROR(Z324/Z445, "NA")</f>
        <v>0</v>
      </c>
      <c r="AB324" s="9"/>
      <c r="AC324" s="10">
        <f t="shared" si="79"/>
        <v>0</v>
      </c>
      <c r="AD324" s="8">
        <f>IFERROR(AC324/AC445, "NA")</f>
        <v>0</v>
      </c>
    </row>
    <row r="325" spans="1:30" ht="16.5" customHeight="1" x14ac:dyDescent="0.45">
      <c r="A325" s="19" t="s">
        <v>297</v>
      </c>
      <c r="B325" s="14">
        <f>IFERROR(B298+B299+B300+B301+B302+B303+B304+B305+B306+B307+B308+B309+B310+B311+B312+B313+B314+B315+B316+B317+B318+B319+B320+B321+B322+B323+B324, "NA")</f>
        <v>4488.8099999999995</v>
      </c>
      <c r="C325" s="15">
        <f>IFERROR(B325/B445, "NA")</f>
        <v>4.1100353108088239E-2</v>
      </c>
      <c r="D325" s="2"/>
      <c r="E325" s="14">
        <f>IFERROR(E298+E299+E300+E301+E302+E303+E304+E305+E306+E307+E308+E309+E310+E311+E312+E313+E314+E315+E316+E317+E318+E319+E320+E321+E322+E323+E324, "NA")</f>
        <v>3990.61</v>
      </c>
      <c r="F325" s="15">
        <f>IFERROR(E325/E445, "NA")</f>
        <v>4.2128064730908799E-2</v>
      </c>
      <c r="G325" s="2"/>
      <c r="H325" s="14">
        <f t="shared" si="76"/>
        <v>-498.19999999999936</v>
      </c>
      <c r="I325" s="15">
        <f>IFERROR(H325/H445, "NA")</f>
        <v>-3.438195299430781E-2</v>
      </c>
      <c r="J325" s="2"/>
      <c r="K325" s="14">
        <f>IFERROR(K298+K299+K300+K301+K302+K303+K304+K305+K306+K307+K308+K309+K310+K311+K312+K313+K314+K315+K316+K317+K318+K319+K320+K321+K322+K323+K324, "NA")</f>
        <v>3928.61</v>
      </c>
      <c r="L325" s="15">
        <f>IFERROR(K325/K445, "NA")</f>
        <v>4.5361690610641207E-2</v>
      </c>
      <c r="M325" s="2"/>
      <c r="N325" s="14">
        <f t="shared" si="77"/>
        <v>-560.19999999999936</v>
      </c>
      <c r="O325" s="15">
        <f>IFERROR(N325/N445, "NA")</f>
        <v>-2.4777184467951723E-2</v>
      </c>
      <c r="P325" s="2"/>
      <c r="Q325" s="14">
        <f>IFERROR(Q298+Q299+Q300+Q301+Q302+Q303+Q304+Q305+Q306+Q307+Q308+Q309+Q310+Q311+Q312+Q313+Q314+Q315+Q316+Q317+Q318+Q319+Q320+Q321+Q322+Q323+Q324, "NA")</f>
        <v>20346.39</v>
      </c>
      <c r="R325" s="15">
        <f>IFERROR(Q325/Q445, "NA")</f>
        <v>3.9926522164574145E-2</v>
      </c>
      <c r="S325" s="2"/>
      <c r="T325" s="14">
        <f>IFERROR(T298+T299+T300+T301+T302+T303+T304+T305+T306+T307+T308+T309+T310+T311+T312+T313+T314+T315+T316+T317+T318+T319+T320+T321+T322+T323+T324, "NA")</f>
        <v>19970.849999999999</v>
      </c>
      <c r="U325" s="15">
        <f>IFERROR(T325/T445, "NA")</f>
        <v>4.1692593819061506E-2</v>
      </c>
      <c r="V325" s="2"/>
      <c r="W325" s="14">
        <f t="shared" si="78"/>
        <v>-375.54000000000087</v>
      </c>
      <c r="X325" s="15">
        <f>IFERROR(W325/W445, "NA")</f>
        <v>-1.227515247514919E-2</v>
      </c>
      <c r="Y325" s="2"/>
      <c r="Z325" s="14">
        <f>IFERROR(Z298+Z299+Z300+Z301+Z302+Z303+Z304+Z305+Z306+Z307+Z308+Z309+Z310+Z311+Z312+Z313+Z314+Z315+Z316+Z317+Z318+Z319+Z320+Z321+Z322+Z323+Z324, "NA")</f>
        <v>22855.000000000004</v>
      </c>
      <c r="AA325" s="15">
        <f>IFERROR(Z325/Z445, "NA")</f>
        <v>5.1162611299386394E-2</v>
      </c>
      <c r="AB325" s="2"/>
      <c r="AC325" s="14">
        <f t="shared" si="79"/>
        <v>2508.6100000000042</v>
      </c>
      <c r="AD325" s="15">
        <f>IFERROR(AC325/AC445, "NA")</f>
        <v>3.9893344647481462E-2</v>
      </c>
    </row>
    <row r="326" spans="1:30" ht="16.5" customHeight="1" x14ac:dyDescent="0.45">
      <c r="A326" s="21" t="s">
        <v>298</v>
      </c>
      <c r="B326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29597.61</v>
      </c>
      <c r="C326" s="15">
        <f>IFERROR(B326/B445, "NA")</f>
        <v>0.27100104975605643</v>
      </c>
      <c r="D326" s="2"/>
      <c r="E326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24000.86</v>
      </c>
      <c r="F326" s="15">
        <f>IFERROR(E326/E445, "NA")</f>
        <v>0.25337223724630564</v>
      </c>
      <c r="G326" s="2"/>
      <c r="H326" s="14">
        <f t="shared" si="76"/>
        <v>-5596.75</v>
      </c>
      <c r="I326" s="15">
        <f>IFERROR(H326/H445, "NA")</f>
        <v>-0.38624487238236144</v>
      </c>
      <c r="J326" s="2"/>
      <c r="K326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24158.920000000006</v>
      </c>
      <c r="L326" s="15">
        <f>IFERROR(K326/K445, "NA")</f>
        <v>0.278950940543152</v>
      </c>
      <c r="M326" s="2"/>
      <c r="N326" s="14">
        <f t="shared" si="77"/>
        <v>-5438.6899999999951</v>
      </c>
      <c r="O326" s="15">
        <f>IFERROR(N326/N445, "NA")</f>
        <v>-0.24054877792574864</v>
      </c>
      <c r="P326" s="2"/>
      <c r="Q326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144096.68</v>
      </c>
      <c r="R326" s="15">
        <f>IFERROR(Q326/Q445, "NA")</f>
        <v>0.28276658846417213</v>
      </c>
      <c r="S326" s="2"/>
      <c r="T326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120898.31999999998</v>
      </c>
      <c r="U326" s="15">
        <f>IFERROR(T326/T445, "NA")</f>
        <v>0.25239609476646807</v>
      </c>
      <c r="V326" s="2"/>
      <c r="W326" s="14">
        <f t="shared" si="78"/>
        <v>-23198.360000000015</v>
      </c>
      <c r="X326" s="15">
        <f>IFERROR(W326/W445, "NA")</f>
        <v>-0.75827716401289202</v>
      </c>
      <c r="Y326" s="2"/>
      <c r="Z326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135197.60999999996</v>
      </c>
      <c r="AA326" s="15">
        <f>IFERROR(Z326/Z445, "NA")</f>
        <v>0.30264986957059864</v>
      </c>
      <c r="AB326" s="2"/>
      <c r="AC326" s="14">
        <f t="shared" si="79"/>
        <v>-8899.0700000000361</v>
      </c>
      <c r="AD326" s="15">
        <f>IFERROR(AC326/AC445, "NA")</f>
        <v>-0.14151807835895722</v>
      </c>
    </row>
    <row r="327" spans="1:30" ht="16.5" customHeight="1" x14ac:dyDescent="0.45">
      <c r="A327" s="1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customHeight="1" x14ac:dyDescent="0.45">
      <c r="A328" s="5" t="s">
        <v>300</v>
      </c>
      <c r="B328" s="2"/>
      <c r="C328" s="3"/>
      <c r="D328" s="4"/>
      <c r="E328" s="2"/>
      <c r="F328" s="3"/>
      <c r="G328" s="4"/>
      <c r="H328" s="2"/>
      <c r="I328" s="3"/>
      <c r="J328" s="4"/>
      <c r="K328" s="2"/>
      <c r="L328" s="3"/>
      <c r="M328" s="4"/>
      <c r="N328" s="2"/>
      <c r="O328" s="3"/>
      <c r="P328" s="4"/>
      <c r="Q328" s="2"/>
      <c r="R328" s="3"/>
      <c r="S328" s="4"/>
      <c r="T328" s="2"/>
      <c r="U328" s="3"/>
      <c r="V328" s="4"/>
      <c r="W328" s="2"/>
      <c r="X328" s="3"/>
      <c r="Y328" s="4"/>
      <c r="Z328" s="2"/>
      <c r="AA328" s="3"/>
      <c r="AB328" s="4"/>
      <c r="AC328" s="2"/>
      <c r="AD328" s="3"/>
    </row>
    <row r="329" spans="1:30" ht="16.5" hidden="1" customHeight="1" x14ac:dyDescent="0.45">
      <c r="A329" s="6" t="s">
        <v>300</v>
      </c>
      <c r="B329" s="7">
        <v>0</v>
      </c>
      <c r="C329" s="8">
        <f>IFERROR(B329/B445, "NA")</f>
        <v>0</v>
      </c>
      <c r="D329" s="9"/>
      <c r="E329" s="7">
        <v>0</v>
      </c>
      <c r="F329" s="8">
        <f>IFERROR(E329/E445, "NA")</f>
        <v>0</v>
      </c>
      <c r="G329" s="9"/>
      <c r="H329" s="10">
        <f t="shared" ref="H329:H336" si="80">IFERROR(-(B329-E329), "NA")</f>
        <v>0</v>
      </c>
      <c r="I329" s="8">
        <f>IFERROR(H329/H445, "NA")</f>
        <v>0</v>
      </c>
      <c r="J329" s="9"/>
      <c r="K329" s="7">
        <v>0</v>
      </c>
      <c r="L329" s="8">
        <f>IFERROR(K329/K445, "NA")</f>
        <v>0</v>
      </c>
      <c r="M329" s="9"/>
      <c r="N329" s="10">
        <f t="shared" ref="N329:N336" si="81">IFERROR(-(B329-K329), "NA")</f>
        <v>0</v>
      </c>
      <c r="O329" s="8">
        <f>IFERROR(N329/N445, "NA")</f>
        <v>0</v>
      </c>
      <c r="P329" s="9"/>
      <c r="Q329" s="7">
        <v>0</v>
      </c>
      <c r="R329" s="8">
        <f>IFERROR(Q329/Q445, "NA")</f>
        <v>0</v>
      </c>
      <c r="S329" s="9"/>
      <c r="T329" s="7">
        <v>0</v>
      </c>
      <c r="U329" s="8">
        <f>IFERROR(T329/T445, "NA")</f>
        <v>0</v>
      </c>
      <c r="V329" s="9"/>
      <c r="W329" s="10">
        <f t="shared" ref="W329:W336" si="82">IFERROR(-(Q329-T329), "NA")</f>
        <v>0</v>
      </c>
      <c r="X329" s="8">
        <f>IFERROR(W329/W445, "NA")</f>
        <v>0</v>
      </c>
      <c r="Y329" s="9"/>
      <c r="Z329" s="7">
        <v>0</v>
      </c>
      <c r="AA329" s="8">
        <f>IFERROR(Z329/Z445, "NA")</f>
        <v>0</v>
      </c>
      <c r="AB329" s="9"/>
      <c r="AC329" s="10">
        <f t="shared" ref="AC329:AC336" si="83">IFERROR(-(Q329-Z329), "NA")</f>
        <v>0</v>
      </c>
      <c r="AD329" s="8">
        <f>IFERROR(AC329/AC445, "NA")</f>
        <v>0</v>
      </c>
    </row>
    <row r="330" spans="1:30" ht="16.5" customHeight="1" x14ac:dyDescent="0.45">
      <c r="A330" s="6" t="s">
        <v>301</v>
      </c>
      <c r="B330" s="7">
        <v>11441.92</v>
      </c>
      <c r="C330" s="8">
        <f>IFERROR(B330/B445, "NA")</f>
        <v>0.10476428100866311</v>
      </c>
      <c r="D330" s="9"/>
      <c r="E330" s="7">
        <v>11441.92</v>
      </c>
      <c r="F330" s="8">
        <f>IFERROR(E330/E445, "NA")</f>
        <v>0.12079004122324155</v>
      </c>
      <c r="G330" s="9"/>
      <c r="H330" s="10">
        <f t="shared" si="80"/>
        <v>0</v>
      </c>
      <c r="I330" s="8">
        <f>IFERROR(H330/H445, "NA")</f>
        <v>0</v>
      </c>
      <c r="J330" s="9"/>
      <c r="K330" s="7">
        <v>11108.66</v>
      </c>
      <c r="L330" s="8">
        <f>IFERROR(K330/K445, "NA")</f>
        <v>0.128266129246427</v>
      </c>
      <c r="M330" s="9"/>
      <c r="N330" s="10">
        <f t="shared" si="81"/>
        <v>-333.26000000000022</v>
      </c>
      <c r="O330" s="8">
        <f>IFERROR(N330/N445, "NA")</f>
        <v>-1.473981523703964E-2</v>
      </c>
      <c r="P330" s="9"/>
      <c r="Q330" s="7">
        <v>57209.599999999999</v>
      </c>
      <c r="R330" s="8">
        <f>IFERROR(Q330/Q445, "NA")</f>
        <v>0.11226465050686736</v>
      </c>
      <c r="S330" s="9"/>
      <c r="T330" s="7">
        <v>57209.599999999999</v>
      </c>
      <c r="U330" s="8">
        <f>IFERROR(T330/T445, "NA")</f>
        <v>0.11943490714471247</v>
      </c>
      <c r="V330" s="9"/>
      <c r="W330" s="10">
        <f t="shared" si="82"/>
        <v>0</v>
      </c>
      <c r="X330" s="8">
        <f>IFERROR(W330/W445, "NA")</f>
        <v>0</v>
      </c>
      <c r="Y330" s="9"/>
      <c r="Z330" s="7">
        <v>38396.71</v>
      </c>
      <c r="AA330" s="8">
        <f>IFERROR(Z330/Z445, "NA")</f>
        <v>8.5953880940943431E-2</v>
      </c>
      <c r="AB330" s="9"/>
      <c r="AC330" s="10">
        <f t="shared" si="83"/>
        <v>-18812.89</v>
      </c>
      <c r="AD330" s="8">
        <f>IFERROR(AC330/AC445, "NA")</f>
        <v>-0.29917328902665469</v>
      </c>
    </row>
    <row r="331" spans="1:30" ht="16.5" customHeight="1" x14ac:dyDescent="0.45">
      <c r="A331" s="6" t="s">
        <v>302</v>
      </c>
      <c r="B331" s="7">
        <v>1183.3699999999999</v>
      </c>
      <c r="C331" s="8">
        <f>IFERROR(B331/B445, "NA")</f>
        <v>1.0835148927559506E-2</v>
      </c>
      <c r="D331" s="9"/>
      <c r="E331" s="7">
        <v>1183.3699999999999</v>
      </c>
      <c r="F331" s="8">
        <f>IFERROR(E331/E445, "NA")</f>
        <v>1.2492598364815288E-2</v>
      </c>
      <c r="G331" s="9"/>
      <c r="H331" s="10">
        <f t="shared" si="80"/>
        <v>0</v>
      </c>
      <c r="I331" s="8">
        <f>IFERROR(H331/H445, "NA")</f>
        <v>0</v>
      </c>
      <c r="J331" s="9"/>
      <c r="K331" s="7">
        <v>1026.43</v>
      </c>
      <c r="L331" s="8">
        <f>IFERROR(K331/K445, "NA")</f>
        <v>1.185167275282618E-2</v>
      </c>
      <c r="M331" s="9"/>
      <c r="N331" s="10">
        <f t="shared" si="81"/>
        <v>-156.93999999999983</v>
      </c>
      <c r="O331" s="8">
        <f>IFERROR(N331/N445, "NA")</f>
        <v>-6.9413269018213913E-3</v>
      </c>
      <c r="P331" s="9"/>
      <c r="Q331" s="7">
        <v>5797.74</v>
      </c>
      <c r="R331" s="8">
        <f>IFERROR(Q331/Q445, "NA")</f>
        <v>1.1377133467629299E-2</v>
      </c>
      <c r="S331" s="9"/>
      <c r="T331" s="7">
        <v>5916.85</v>
      </c>
      <c r="U331" s="8">
        <f>IFERROR(T331/T445, "NA")</f>
        <v>1.2352444875321486E-2</v>
      </c>
      <c r="V331" s="9"/>
      <c r="W331" s="10">
        <f t="shared" si="82"/>
        <v>119.11000000000058</v>
      </c>
      <c r="X331" s="8">
        <f>IFERROR(W331/W445, "NA")</f>
        <v>3.8933093979736477E-3</v>
      </c>
      <c r="Y331" s="9"/>
      <c r="Z331" s="7">
        <v>2922.45</v>
      </c>
      <c r="AA331" s="8">
        <f>IFERROR(Z331/Z445, "NA")</f>
        <v>6.5421209097305507E-3</v>
      </c>
      <c r="AB331" s="9"/>
      <c r="AC331" s="10">
        <f t="shared" si="83"/>
        <v>-2875.29</v>
      </c>
      <c r="AD331" s="8">
        <f>IFERROR(AC331/AC445, "NA")</f>
        <v>-4.5724498798719919E-2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IFERROR(B332/B445, "NA")</f>
        <v>0</v>
      </c>
      <c r="D332" s="9"/>
      <c r="E332" s="7">
        <v>0</v>
      </c>
      <c r="F332" s="8">
        <f>IFERROR(E332/E445, "NA")</f>
        <v>0</v>
      </c>
      <c r="G332" s="9"/>
      <c r="H332" s="10">
        <f t="shared" si="80"/>
        <v>0</v>
      </c>
      <c r="I332" s="8">
        <f>IFERROR(H332/H445, "NA")</f>
        <v>0</v>
      </c>
      <c r="J332" s="9"/>
      <c r="K332" s="7">
        <v>0</v>
      </c>
      <c r="L332" s="8">
        <f>IFERROR(K332/K445, "NA")</f>
        <v>0</v>
      </c>
      <c r="M332" s="9"/>
      <c r="N332" s="10">
        <f t="shared" si="81"/>
        <v>0</v>
      </c>
      <c r="O332" s="8">
        <f>IFERROR(N332/N445, "NA")</f>
        <v>0</v>
      </c>
      <c r="P332" s="9"/>
      <c r="Q332" s="7">
        <v>0</v>
      </c>
      <c r="R332" s="8">
        <f>IFERROR(Q332/Q445, "NA")</f>
        <v>0</v>
      </c>
      <c r="S332" s="9"/>
      <c r="T332" s="7">
        <v>0</v>
      </c>
      <c r="U332" s="8">
        <f>IFERROR(T332/T445, "NA")</f>
        <v>0</v>
      </c>
      <c r="V332" s="9"/>
      <c r="W332" s="10">
        <f t="shared" si="82"/>
        <v>0</v>
      </c>
      <c r="X332" s="8">
        <f>IFERROR(W332/W445, "NA")</f>
        <v>0</v>
      </c>
      <c r="Y332" s="9"/>
      <c r="Z332" s="7">
        <v>0</v>
      </c>
      <c r="AA332" s="8">
        <f>IFERROR(Z332/Z445, "NA")</f>
        <v>0</v>
      </c>
      <c r="AB332" s="9"/>
      <c r="AC332" s="10">
        <f t="shared" si="83"/>
        <v>0</v>
      </c>
      <c r="AD332" s="8">
        <f>IFERROR(AC332/AC445, "NA")</f>
        <v>0</v>
      </c>
    </row>
    <row r="333" spans="1:30" ht="16.5" hidden="1" customHeight="1" x14ac:dyDescent="0.45">
      <c r="A333" s="6" t="s">
        <v>304</v>
      </c>
      <c r="B333" s="7">
        <v>0</v>
      </c>
      <c r="C333" s="8">
        <f>IFERROR(B333/B445, "NA")</f>
        <v>0</v>
      </c>
      <c r="D333" s="9"/>
      <c r="E333" s="7">
        <v>0</v>
      </c>
      <c r="F333" s="8">
        <f>IFERROR(E333/E445, "NA")</f>
        <v>0</v>
      </c>
      <c r="G333" s="9"/>
      <c r="H333" s="10">
        <f t="shared" si="80"/>
        <v>0</v>
      </c>
      <c r="I333" s="8">
        <f>IFERROR(H333/H445, "NA")</f>
        <v>0</v>
      </c>
      <c r="J333" s="9"/>
      <c r="K333" s="7">
        <v>0</v>
      </c>
      <c r="L333" s="8">
        <f>IFERROR(K333/K445, "NA")</f>
        <v>0</v>
      </c>
      <c r="M333" s="9"/>
      <c r="N333" s="10">
        <f t="shared" si="81"/>
        <v>0</v>
      </c>
      <c r="O333" s="8">
        <f>IFERROR(N333/N445, "NA")</f>
        <v>0</v>
      </c>
      <c r="P333" s="9"/>
      <c r="Q333" s="7">
        <v>0</v>
      </c>
      <c r="R333" s="8">
        <f>IFERROR(Q333/Q445, "NA")</f>
        <v>0</v>
      </c>
      <c r="S333" s="9"/>
      <c r="T333" s="7">
        <v>0</v>
      </c>
      <c r="U333" s="8">
        <f>IFERROR(T333/T445, "NA")</f>
        <v>0</v>
      </c>
      <c r="V333" s="9"/>
      <c r="W333" s="10">
        <f t="shared" si="82"/>
        <v>0</v>
      </c>
      <c r="X333" s="8">
        <f>IFERROR(W333/W445, "NA")</f>
        <v>0</v>
      </c>
      <c r="Y333" s="9"/>
      <c r="Z333" s="7">
        <v>0</v>
      </c>
      <c r="AA333" s="8">
        <f>IFERROR(Z333/Z445, "NA")</f>
        <v>0</v>
      </c>
      <c r="AB333" s="9"/>
      <c r="AC333" s="10">
        <f t="shared" si="83"/>
        <v>0</v>
      </c>
      <c r="AD333" s="8">
        <f>IFERROR(AC333/AC445, "NA")</f>
        <v>0</v>
      </c>
    </row>
    <row r="334" spans="1:30" ht="16.5" customHeight="1" x14ac:dyDescent="0.45">
      <c r="A334" s="6" t="s">
        <v>305</v>
      </c>
      <c r="B334" s="7">
        <v>781.76</v>
      </c>
      <c r="C334" s="8">
        <f>IFERROR(B334/B445, "NA")</f>
        <v>7.1579354095582274E-3</v>
      </c>
      <c r="D334" s="9"/>
      <c r="E334" s="7">
        <v>860</v>
      </c>
      <c r="F334" s="8">
        <f>IFERROR(E334/E445, "NA")</f>
        <v>9.0788465093260343E-3</v>
      </c>
      <c r="G334" s="9"/>
      <c r="H334" s="10">
        <f t="shared" si="80"/>
        <v>78.240000000000009</v>
      </c>
      <c r="I334" s="8">
        <f>IFERROR(H334/H445, "NA")</f>
        <v>5.399526299226509E-3</v>
      </c>
      <c r="J334" s="9"/>
      <c r="K334" s="7">
        <v>860.16</v>
      </c>
      <c r="L334" s="8">
        <f>IFERROR(K334/K445, "NA")</f>
        <v>9.9318363990442277E-3</v>
      </c>
      <c r="M334" s="9"/>
      <c r="N334" s="10">
        <f t="shared" si="81"/>
        <v>78.399999999999977</v>
      </c>
      <c r="O334" s="8">
        <f>IFERROR(N334/N445, "NA")</f>
        <v>3.4675674085816077E-3</v>
      </c>
      <c r="P334" s="9"/>
      <c r="Q334" s="7">
        <v>2976.02</v>
      </c>
      <c r="R334" s="8">
        <f>IFERROR(Q334/Q445, "NA")</f>
        <v>5.8399612163246625E-3</v>
      </c>
      <c r="S334" s="9"/>
      <c r="T334" s="7">
        <v>4300</v>
      </c>
      <c r="U334" s="8">
        <f>IFERROR(T334/T445, "NA")</f>
        <v>8.9769916364082891E-3</v>
      </c>
      <c r="V334" s="9"/>
      <c r="W334" s="10">
        <f t="shared" si="82"/>
        <v>1323.98</v>
      </c>
      <c r="X334" s="8">
        <f>IFERROR(W334/W445, "NA")</f>
        <v>4.3276498839132947E-2</v>
      </c>
      <c r="Y334" s="9"/>
      <c r="Z334" s="7">
        <v>5589.83</v>
      </c>
      <c r="AA334" s="8">
        <f>IFERROR(Z334/Z445, "NA")</f>
        <v>1.2513248721052243E-2</v>
      </c>
      <c r="AB334" s="9"/>
      <c r="AC334" s="10">
        <f t="shared" si="83"/>
        <v>2613.81</v>
      </c>
      <c r="AD334" s="8">
        <f>IFERROR(AC334/AC445, "NA")</f>
        <v>4.1566294949407577E-2</v>
      </c>
    </row>
    <row r="335" spans="1:30" ht="16.5" customHeight="1" x14ac:dyDescent="0.45">
      <c r="A335" s="6" t="s">
        <v>306</v>
      </c>
      <c r="B335" s="7">
        <v>-881.03</v>
      </c>
      <c r="C335" s="8">
        <f>IFERROR(B335/B445, "NA")</f>
        <v>-8.0668694150162271E-3</v>
      </c>
      <c r="D335" s="9"/>
      <c r="E335" s="7">
        <v>-881.03</v>
      </c>
      <c r="F335" s="8">
        <f>IFERROR(E335/E445, "NA")</f>
        <v>-9.3008559768738546E-3</v>
      </c>
      <c r="G335" s="9"/>
      <c r="H335" s="10">
        <f t="shared" si="80"/>
        <v>0</v>
      </c>
      <c r="I335" s="8">
        <f>IFERROR(H335/H445, "NA")</f>
        <v>0</v>
      </c>
      <c r="J335" s="9"/>
      <c r="K335" s="7">
        <v>-855.37</v>
      </c>
      <c r="L335" s="8">
        <f>IFERROR(K335/K445, "NA")</f>
        <v>-9.8765286698410306E-3</v>
      </c>
      <c r="M335" s="9"/>
      <c r="N335" s="10">
        <f t="shared" si="81"/>
        <v>25.659999999999968</v>
      </c>
      <c r="O335" s="8">
        <f>IFERROR(N335/N445, "NA")</f>
        <v>1.1349206594923975E-3</v>
      </c>
      <c r="P335" s="9"/>
      <c r="Q335" s="7">
        <v>-1762.06</v>
      </c>
      <c r="R335" s="8">
        <f>IFERROR(Q335/Q445, "NA")</f>
        <v>-3.4577597129175994E-3</v>
      </c>
      <c r="S335" s="9"/>
      <c r="T335" s="7">
        <v>-1762.06</v>
      </c>
      <c r="U335" s="8">
        <f>IFERROR(T335/T445, "NA")</f>
        <v>-3.6786041588022303E-3</v>
      </c>
      <c r="V335" s="9"/>
      <c r="W335" s="10">
        <f t="shared" si="82"/>
        <v>0</v>
      </c>
      <c r="X335" s="8">
        <f>IFERROR(W335/W445, "NA")</f>
        <v>0</v>
      </c>
      <c r="Y335" s="9"/>
      <c r="Z335" s="7">
        <v>-1710.74</v>
      </c>
      <c r="AA335" s="8">
        <f>IFERROR(Z335/Z445, "NA")</f>
        <v>-3.8296182740893575E-3</v>
      </c>
      <c r="AB335" s="9"/>
      <c r="AC335" s="10">
        <f t="shared" si="83"/>
        <v>51.319999999999936</v>
      </c>
      <c r="AD335" s="8">
        <f>IFERROR(AC335/AC445, "NA")</f>
        <v>8.1611986211836142E-4</v>
      </c>
    </row>
    <row r="336" spans="1:30" ht="16.5" hidden="1" customHeight="1" x14ac:dyDescent="0.45">
      <c r="A336" s="6" t="s">
        <v>307</v>
      </c>
      <c r="B336" s="7">
        <v>0</v>
      </c>
      <c r="C336" s="8">
        <f>IFERROR(B336/B445, "NA")</f>
        <v>0</v>
      </c>
      <c r="D336" s="9"/>
      <c r="E336" s="7">
        <v>0</v>
      </c>
      <c r="F336" s="8">
        <f>IFERROR(E336/E445, "NA")</f>
        <v>0</v>
      </c>
      <c r="G336" s="9"/>
      <c r="H336" s="10">
        <f t="shared" si="80"/>
        <v>0</v>
      </c>
      <c r="I336" s="8">
        <f>IFERROR(H336/H445, "NA")</f>
        <v>0</v>
      </c>
      <c r="J336" s="9"/>
      <c r="K336" s="7">
        <v>0</v>
      </c>
      <c r="L336" s="8">
        <f>IFERROR(K336/K445, "NA")</f>
        <v>0</v>
      </c>
      <c r="M336" s="9"/>
      <c r="N336" s="10">
        <f t="shared" si="81"/>
        <v>0</v>
      </c>
      <c r="O336" s="8">
        <f>IFERROR(N336/N445, "NA")</f>
        <v>0</v>
      </c>
      <c r="P336" s="9"/>
      <c r="Q336" s="7">
        <v>0</v>
      </c>
      <c r="R336" s="8">
        <f>IFERROR(Q336/Q445, "NA")</f>
        <v>0</v>
      </c>
      <c r="S336" s="9"/>
      <c r="T336" s="7">
        <v>0</v>
      </c>
      <c r="U336" s="8">
        <f>IFERROR(T336/T445, "NA")</f>
        <v>0</v>
      </c>
      <c r="V336" s="9"/>
      <c r="W336" s="10">
        <f t="shared" si="82"/>
        <v>0</v>
      </c>
      <c r="X336" s="8">
        <f>IFERROR(W336/W445, "NA")</f>
        <v>0</v>
      </c>
      <c r="Y336" s="9"/>
      <c r="Z336" s="7">
        <v>0</v>
      </c>
      <c r="AA336" s="8">
        <f>IFERROR(Z336/Z445, "NA")</f>
        <v>0</v>
      </c>
      <c r="AB336" s="9"/>
      <c r="AC336" s="10">
        <f t="shared" si="83"/>
        <v>0</v>
      </c>
      <c r="AD336" s="8">
        <f>IFERROR(AC336/AC445, "NA")</f>
        <v>0</v>
      </c>
    </row>
    <row r="337" spans="1:30" ht="16.5" customHeight="1" x14ac:dyDescent="0.45">
      <c r="A337" s="11" t="s">
        <v>308</v>
      </c>
      <c r="B337" s="2"/>
      <c r="C337" s="3"/>
      <c r="D337" s="4"/>
      <c r="E337" s="2"/>
      <c r="F337" s="3"/>
      <c r="G337" s="4"/>
      <c r="H337" s="2"/>
      <c r="I337" s="3"/>
      <c r="J337" s="4"/>
      <c r="K337" s="2"/>
      <c r="L337" s="3"/>
      <c r="M337" s="4"/>
      <c r="N337" s="2"/>
      <c r="O337" s="3"/>
      <c r="P337" s="4"/>
      <c r="Q337" s="2"/>
      <c r="R337" s="3"/>
      <c r="S337" s="4"/>
      <c r="T337" s="2"/>
      <c r="U337" s="3"/>
      <c r="V337" s="4"/>
      <c r="W337" s="2"/>
      <c r="X337" s="3"/>
      <c r="Y337" s="4"/>
      <c r="Z337" s="2"/>
      <c r="AA337" s="3"/>
      <c r="AB337" s="4"/>
      <c r="AC337" s="2"/>
      <c r="AD337" s="3"/>
    </row>
    <row r="338" spans="1:30" ht="16.5" hidden="1" customHeight="1" x14ac:dyDescent="0.45">
      <c r="A338" s="12" t="s">
        <v>308</v>
      </c>
      <c r="B338" s="7">
        <v>0</v>
      </c>
      <c r="C338" s="8">
        <f>IFERROR(B338/B445, "NA")</f>
        <v>0</v>
      </c>
      <c r="D338" s="9"/>
      <c r="E338" s="7">
        <v>0</v>
      </c>
      <c r="F338" s="8">
        <f>IFERROR(E338/E445, "NA")</f>
        <v>0</v>
      </c>
      <c r="G338" s="9"/>
      <c r="H338" s="10">
        <f t="shared" ref="H338:H345" si="84">IFERROR(-(B338-E338), "NA")</f>
        <v>0</v>
      </c>
      <c r="I338" s="8">
        <f>IFERROR(H338/H445, "NA")</f>
        <v>0</v>
      </c>
      <c r="J338" s="9"/>
      <c r="K338" s="7">
        <v>0</v>
      </c>
      <c r="L338" s="8">
        <f>IFERROR(K338/K445, "NA")</f>
        <v>0</v>
      </c>
      <c r="M338" s="9"/>
      <c r="N338" s="10">
        <f t="shared" ref="N338:N345" si="85">IFERROR(-(B338-K338), "NA")</f>
        <v>0</v>
      </c>
      <c r="O338" s="8">
        <f>IFERROR(N338/N445, "NA")</f>
        <v>0</v>
      </c>
      <c r="P338" s="9"/>
      <c r="Q338" s="7">
        <v>0</v>
      </c>
      <c r="R338" s="8">
        <f>IFERROR(Q338/Q445, "NA")</f>
        <v>0</v>
      </c>
      <c r="S338" s="9"/>
      <c r="T338" s="7">
        <v>0</v>
      </c>
      <c r="U338" s="8">
        <f>IFERROR(T338/T445, "NA")</f>
        <v>0</v>
      </c>
      <c r="V338" s="9"/>
      <c r="W338" s="10">
        <f t="shared" ref="W338:W345" si="86">IFERROR(-(Q338-T338), "NA")</f>
        <v>0</v>
      </c>
      <c r="X338" s="8">
        <f>IFERROR(W338/W445, "NA")</f>
        <v>0</v>
      </c>
      <c r="Y338" s="9"/>
      <c r="Z338" s="7">
        <v>0</v>
      </c>
      <c r="AA338" s="8">
        <f>IFERROR(Z338/Z445, "NA")</f>
        <v>0</v>
      </c>
      <c r="AB338" s="9"/>
      <c r="AC338" s="10">
        <f t="shared" ref="AC338:AC345" si="87">IFERROR(-(Q338-Z338), "NA")</f>
        <v>0</v>
      </c>
      <c r="AD338" s="8">
        <f>IFERROR(AC338/AC445, "NA")</f>
        <v>0</v>
      </c>
    </row>
    <row r="339" spans="1:30" ht="16.5" customHeight="1" x14ac:dyDescent="0.45">
      <c r="A339" s="12" t="s">
        <v>309</v>
      </c>
      <c r="B339" s="7">
        <v>1418.4</v>
      </c>
      <c r="C339" s="8">
        <f>IFERROR(B339/B445, "NA")</f>
        <v>1.2987125952872226E-2</v>
      </c>
      <c r="D339" s="9"/>
      <c r="E339" s="7">
        <v>1136.71</v>
      </c>
      <c r="F339" s="8">
        <f>IFERROR(E339/E445, "NA")</f>
        <v>1.200001815769302E-2</v>
      </c>
      <c r="G339" s="9"/>
      <c r="H339" s="10">
        <f t="shared" si="84"/>
        <v>-281.69000000000005</v>
      </c>
      <c r="I339" s="8">
        <f>IFERROR(H339/H445, "NA")</f>
        <v>-1.9440088998327141E-2</v>
      </c>
      <c r="J339" s="9"/>
      <c r="K339" s="7">
        <v>1160.55</v>
      </c>
      <c r="L339" s="8">
        <f>IFERROR(K339/K445, "NA")</f>
        <v>1.3400289170515693E-2</v>
      </c>
      <c r="M339" s="9"/>
      <c r="N339" s="10">
        <f t="shared" si="85"/>
        <v>-257.85000000000014</v>
      </c>
      <c r="O339" s="8">
        <f>IFERROR(N339/N445, "NA")</f>
        <v>-1.140449306508633E-2</v>
      </c>
      <c r="P339" s="9"/>
      <c r="Q339" s="7">
        <v>5764.2</v>
      </c>
      <c r="R339" s="8">
        <f>IFERROR(Q339/Q445, "NA")</f>
        <v>1.1311316605109716E-2</v>
      </c>
      <c r="S339" s="9"/>
      <c r="T339" s="7">
        <v>5748.03</v>
      </c>
      <c r="U339" s="8">
        <f>IFERROR(T339/T445, "NA")</f>
        <v>1.2000004008331148E-2</v>
      </c>
      <c r="V339" s="9"/>
      <c r="W339" s="10">
        <f t="shared" si="86"/>
        <v>-16.170000000000073</v>
      </c>
      <c r="X339" s="8">
        <f>IFERROR(W339/W445, "NA")</f>
        <v>-5.2854347212856901E-4</v>
      </c>
      <c r="Y339" s="9"/>
      <c r="Z339" s="7">
        <v>4848.93</v>
      </c>
      <c r="AA339" s="8">
        <f>IFERROR(Z339/Z445, "NA")</f>
        <v>1.0854689162456077E-2</v>
      </c>
      <c r="AB339" s="9"/>
      <c r="AC339" s="10">
        <f t="shared" si="87"/>
        <v>-915.26999999999953</v>
      </c>
      <c r="AD339" s="8">
        <f>IFERROR(AC339/AC445, "NA")</f>
        <v>-1.4555144703840086E-2</v>
      </c>
    </row>
    <row r="340" spans="1:30" ht="16.5" customHeight="1" x14ac:dyDescent="0.45">
      <c r="A340" s="12" t="s">
        <v>310</v>
      </c>
      <c r="B340" s="7">
        <v>343.06</v>
      </c>
      <c r="C340" s="8">
        <f>IFERROR(B340/B445, "NA")</f>
        <v>3.1411191690583372E-3</v>
      </c>
      <c r="D340" s="9"/>
      <c r="E340" s="7">
        <v>473.63</v>
      </c>
      <c r="F340" s="8">
        <f>IFERROR(E340/E445, "NA")</f>
        <v>5.0000163630373132E-3</v>
      </c>
      <c r="G340" s="9"/>
      <c r="H340" s="10">
        <f t="shared" si="84"/>
        <v>130.57</v>
      </c>
      <c r="I340" s="8">
        <f>IFERROR(H340/H445, "NA")</f>
        <v>9.0109425982873876E-3</v>
      </c>
      <c r="J340" s="9"/>
      <c r="K340" s="7">
        <v>358.54</v>
      </c>
      <c r="L340" s="8">
        <f>IFERROR(K340/K445, "NA")</f>
        <v>4.1398816760990021E-3</v>
      </c>
      <c r="M340" s="9"/>
      <c r="N340" s="10">
        <f t="shared" si="85"/>
        <v>15.480000000000018</v>
      </c>
      <c r="O340" s="8">
        <f>IFERROR(N340/N445, "NA")</f>
        <v>6.8466764649034902E-4</v>
      </c>
      <c r="P340" s="9"/>
      <c r="Q340" s="7">
        <v>2561.38</v>
      </c>
      <c r="R340" s="8">
        <f>IFERROR(Q340/Q445, "NA")</f>
        <v>5.0262968193324183E-3</v>
      </c>
      <c r="S340" s="9"/>
      <c r="T340" s="7">
        <v>2395.0100000000002</v>
      </c>
      <c r="U340" s="8">
        <f>IFERROR(T340/T445, "NA")</f>
        <v>4.999996450956795E-3</v>
      </c>
      <c r="V340" s="9"/>
      <c r="W340" s="10">
        <f t="shared" si="86"/>
        <v>-166.36999999999989</v>
      </c>
      <c r="X340" s="8">
        <f>IFERROR(W340/W445, "NA")</f>
        <v>-5.4380814754501905E-3</v>
      </c>
      <c r="Y340" s="9"/>
      <c r="Z340" s="7">
        <v>2795.05</v>
      </c>
      <c r="AA340" s="8">
        <f>IFERROR(Z340/Z445, "NA")</f>
        <v>6.2569265680310626E-3</v>
      </c>
      <c r="AB340" s="9"/>
      <c r="AC340" s="10">
        <f t="shared" si="87"/>
        <v>233.67000000000007</v>
      </c>
      <c r="AD340" s="8">
        <f>IFERROR(AC340/AC445, "NA")</f>
        <v>3.7159533940217811E-3</v>
      </c>
    </row>
    <row r="341" spans="1:30" ht="16.5" customHeight="1" x14ac:dyDescent="0.45">
      <c r="A341" s="12" t="s">
        <v>311</v>
      </c>
      <c r="B341" s="7">
        <v>418.33</v>
      </c>
      <c r="C341" s="8">
        <f>IFERROR(B341/B445, "NA")</f>
        <v>3.8303048504406637E-3</v>
      </c>
      <c r="D341" s="9"/>
      <c r="E341" s="7">
        <v>378.9</v>
      </c>
      <c r="F341" s="8">
        <f>IFERROR(E341/E445, "NA")</f>
        <v>3.9999708632367835E-3</v>
      </c>
      <c r="G341" s="9"/>
      <c r="H341" s="10">
        <f t="shared" si="84"/>
        <v>-39.430000000000007</v>
      </c>
      <c r="I341" s="8">
        <f>IFERROR(H341/H445, "NA")</f>
        <v>-2.7211569782528279E-3</v>
      </c>
      <c r="J341" s="9"/>
      <c r="K341" s="7">
        <v>376.75</v>
      </c>
      <c r="L341" s="8">
        <f>IFERROR(K341/K445, "NA")</f>
        <v>4.3501434190614686E-3</v>
      </c>
      <c r="M341" s="9"/>
      <c r="N341" s="10">
        <f t="shared" si="85"/>
        <v>-41.579999999999984</v>
      </c>
      <c r="O341" s="8">
        <f>IFERROR(N341/N445, "NA")</f>
        <v>-1.8390491434798883E-3</v>
      </c>
      <c r="P341" s="9"/>
      <c r="Q341" s="7">
        <v>2178.79</v>
      </c>
      <c r="R341" s="8">
        <f>IFERROR(Q341/Q445, "NA")</f>
        <v>4.2755253991962451E-3</v>
      </c>
      <c r="S341" s="9"/>
      <c r="T341" s="7">
        <v>1916.01</v>
      </c>
      <c r="U341" s="8">
        <f>IFERROR(T341/T445, "NA")</f>
        <v>4.000001336110383E-3</v>
      </c>
      <c r="V341" s="9"/>
      <c r="W341" s="10">
        <f t="shared" si="86"/>
        <v>-262.77999999999997</v>
      </c>
      <c r="X341" s="8">
        <f>IFERROR(W341/W445, "NA")</f>
        <v>-8.5894034388339351E-3</v>
      </c>
      <c r="Y341" s="9"/>
      <c r="Z341" s="7">
        <v>1813.55</v>
      </c>
      <c r="AA341" s="8">
        <f>IFERROR(Z341/Z445, "NA")</f>
        <v>4.0597660784074457E-3</v>
      </c>
      <c r="AB341" s="9"/>
      <c r="AC341" s="10">
        <f t="shared" si="87"/>
        <v>-365.24</v>
      </c>
      <c r="AD341" s="8">
        <f>IFERROR(AC341/AC445, "NA")</f>
        <v>-5.8082544512882053E-3</v>
      </c>
    </row>
    <row r="342" spans="1:30" ht="16.5" hidden="1" customHeight="1" x14ac:dyDescent="0.45">
      <c r="A342" s="12" t="s">
        <v>312</v>
      </c>
      <c r="B342" s="7">
        <v>0</v>
      </c>
      <c r="C342" s="8">
        <f>IFERROR(B342/B445, "NA")</f>
        <v>0</v>
      </c>
      <c r="D342" s="9"/>
      <c r="E342" s="7">
        <v>0</v>
      </c>
      <c r="F342" s="8">
        <f>IFERROR(E342/E445, "NA")</f>
        <v>0</v>
      </c>
      <c r="G342" s="9"/>
      <c r="H342" s="10">
        <f t="shared" si="84"/>
        <v>0</v>
      </c>
      <c r="I342" s="8">
        <f>IFERROR(H342/H445, "NA")</f>
        <v>0</v>
      </c>
      <c r="J342" s="9"/>
      <c r="K342" s="7">
        <v>0</v>
      </c>
      <c r="L342" s="8">
        <f>IFERROR(K342/K445, "NA")</f>
        <v>0</v>
      </c>
      <c r="M342" s="9"/>
      <c r="N342" s="10">
        <f t="shared" si="85"/>
        <v>0</v>
      </c>
      <c r="O342" s="8">
        <f>IFERROR(N342/N445, "NA")</f>
        <v>0</v>
      </c>
      <c r="P342" s="9"/>
      <c r="Q342" s="7">
        <v>0</v>
      </c>
      <c r="R342" s="8">
        <f>IFERROR(Q342/Q445, "NA")</f>
        <v>0</v>
      </c>
      <c r="S342" s="9"/>
      <c r="T342" s="7">
        <v>0</v>
      </c>
      <c r="U342" s="8">
        <f>IFERROR(T342/T445, "NA")</f>
        <v>0</v>
      </c>
      <c r="V342" s="9"/>
      <c r="W342" s="10">
        <f t="shared" si="86"/>
        <v>0</v>
      </c>
      <c r="X342" s="8">
        <f>IFERROR(W342/W445, "NA")</f>
        <v>0</v>
      </c>
      <c r="Y342" s="9"/>
      <c r="Z342" s="7">
        <v>0</v>
      </c>
      <c r="AA342" s="8">
        <f>IFERROR(Z342/Z445, "NA")</f>
        <v>0</v>
      </c>
      <c r="AB342" s="9"/>
      <c r="AC342" s="10">
        <f t="shared" si="87"/>
        <v>0</v>
      </c>
      <c r="AD342" s="8">
        <f>IFERROR(AC342/AC445, "NA")</f>
        <v>0</v>
      </c>
    </row>
    <row r="343" spans="1:30" ht="16.5" customHeight="1" x14ac:dyDescent="0.45">
      <c r="A343" s="13" t="s">
        <v>313</v>
      </c>
      <c r="B343" s="14">
        <f>IFERROR(B338+B339+B340+B341+B342, "NA")</f>
        <v>2179.79</v>
      </c>
      <c r="C343" s="15">
        <f>IFERROR(B343/B445, "NA")</f>
        <v>1.9958549972371224E-2</v>
      </c>
      <c r="D343" s="2"/>
      <c r="E343" s="14">
        <f>IFERROR(E338+E339+E340+E341+E342, "NA")</f>
        <v>1989.2400000000002</v>
      </c>
      <c r="F343" s="15">
        <f>IFERROR(E343/E445, "NA")</f>
        <v>2.1000005383967117E-2</v>
      </c>
      <c r="G343" s="2"/>
      <c r="H343" s="14">
        <f t="shared" si="84"/>
        <v>-190.54999999999973</v>
      </c>
      <c r="I343" s="15">
        <f>IFERROR(H343/H445, "NA")</f>
        <v>-1.3150303378292557E-2</v>
      </c>
      <c r="J343" s="2"/>
      <c r="K343" s="14">
        <f>IFERROR(K338+K339+K340+K341+K342, "NA")</f>
        <v>1895.84</v>
      </c>
      <c r="L343" s="15">
        <f>IFERROR(K343/K445, "NA")</f>
        <v>2.1890314265676163E-2</v>
      </c>
      <c r="M343" s="2"/>
      <c r="N343" s="14">
        <f t="shared" si="85"/>
        <v>-283.95000000000005</v>
      </c>
      <c r="O343" s="15">
        <f>IFERROR(N343/N445, "NA")</f>
        <v>-1.2558874562075866E-2</v>
      </c>
      <c r="P343" s="2"/>
      <c r="Q343" s="14">
        <f>IFERROR(Q338+Q339+Q340+Q341+Q342, "NA")</f>
        <v>10504.369999999999</v>
      </c>
      <c r="R343" s="15">
        <f>IFERROR(Q343/Q445, "NA")</f>
        <v>2.0613138823638379E-2</v>
      </c>
      <c r="S343" s="2"/>
      <c r="T343" s="14">
        <f>IFERROR(T338+T339+T340+T341+T342, "NA")</f>
        <v>10059.049999999999</v>
      </c>
      <c r="U343" s="15">
        <f>IFERROR(T343/T445, "NA")</f>
        <v>2.1000001795398324E-2</v>
      </c>
      <c r="V343" s="2"/>
      <c r="W343" s="14">
        <f t="shared" si="86"/>
        <v>-445.31999999999971</v>
      </c>
      <c r="X343" s="15">
        <f>IFERROR(W343/W445, "NA")</f>
        <v>-1.4556028386412687E-2</v>
      </c>
      <c r="Y343" s="2"/>
      <c r="Z343" s="14">
        <f>IFERROR(Z338+Z339+Z340+Z341+Z342, "NA")</f>
        <v>9457.5300000000007</v>
      </c>
      <c r="AA343" s="15">
        <f>IFERROR(Z343/Z445, "NA")</f>
        <v>2.1171381808894586E-2</v>
      </c>
      <c r="AB343" s="2"/>
      <c r="AC343" s="14">
        <f t="shared" si="87"/>
        <v>-1046.8399999999983</v>
      </c>
      <c r="AD343" s="15">
        <f>IFERROR(AC343/AC445, "NA")</f>
        <v>-1.6647445761106491E-2</v>
      </c>
    </row>
    <row r="344" spans="1:30" ht="16.5" customHeight="1" x14ac:dyDescent="0.45">
      <c r="A344" s="19" t="s">
        <v>314</v>
      </c>
      <c r="B344" s="14">
        <f>IFERROR(B329+B330+B331+B332+B333+B334+B335+B336+B338+B339+B340+B341+B342, "NA")</f>
        <v>14705.81</v>
      </c>
      <c r="C344" s="15">
        <f>IFERROR(B344/B445, "NA")</f>
        <v>0.13464904590313584</v>
      </c>
      <c r="D344" s="2"/>
      <c r="E344" s="14">
        <f>IFERROR(E329+E330+E331+E332+E333+E334+E335+E336+E338+E339+E340+E341+E342, "NA")</f>
        <v>14593.5</v>
      </c>
      <c r="F344" s="15">
        <f>IFERROR(E344/E445, "NA")</f>
        <v>0.15406063550447613</v>
      </c>
      <c r="G344" s="2"/>
      <c r="H344" s="14">
        <f t="shared" si="84"/>
        <v>-112.30999999999949</v>
      </c>
      <c r="I344" s="15">
        <f>IFERROR(H344/H445, "NA")</f>
        <v>-7.7507770790660327E-3</v>
      </c>
      <c r="J344" s="2"/>
      <c r="K344" s="14">
        <f>IFERROR(K329+K330+K331+K332+K333+K334+K335+K336+K338+K339+K340+K341+K342, "NA")</f>
        <v>14035.72</v>
      </c>
      <c r="L344" s="15">
        <f>IFERROR(K344/K445, "NA")</f>
        <v>0.16206342399413254</v>
      </c>
      <c r="M344" s="2"/>
      <c r="N344" s="14">
        <f t="shared" si="85"/>
        <v>-670.09000000000015</v>
      </c>
      <c r="O344" s="15">
        <f>IFERROR(N344/N445, "NA")</f>
        <v>-2.963752863286289E-2</v>
      </c>
      <c r="P344" s="2"/>
      <c r="Q344" s="14">
        <f>IFERROR(Q329+Q330+Q331+Q332+Q333+Q334+Q335+Q336+Q338+Q339+Q340+Q341+Q342, "NA")</f>
        <v>74725.67</v>
      </c>
      <c r="R344" s="15">
        <f>IFERROR(Q344/Q445, "NA")</f>
        <v>0.1466371243015421</v>
      </c>
      <c r="S344" s="2"/>
      <c r="T344" s="14">
        <f>IFERROR(T329+T330+T331+T332+T333+T334+T335+T336+T338+T339+T340+T341+T342, "NA")</f>
        <v>75723.439999999988</v>
      </c>
      <c r="U344" s="15">
        <f>IFERROR(T344/T445, "NA")</f>
        <v>0.15808574129303832</v>
      </c>
      <c r="V344" s="2"/>
      <c r="W344" s="14">
        <f t="shared" si="86"/>
        <v>997.76999999998952</v>
      </c>
      <c r="X344" s="15">
        <f>IFERROR(W344/W445, "NA")</f>
        <v>3.2613779850693532E-2</v>
      </c>
      <c r="Y344" s="2"/>
      <c r="Z344" s="14">
        <f>IFERROR(Z329+Z330+Z331+Z332+Z333+Z334+Z335+Z336+Z338+Z339+Z340+Z341+Z342, "NA")</f>
        <v>54655.780000000006</v>
      </c>
      <c r="AA344" s="15">
        <f>IFERROR(Z344/Z445, "NA")</f>
        <v>0.12235101410653147</v>
      </c>
      <c r="AB344" s="2"/>
      <c r="AC344" s="14">
        <f t="shared" si="87"/>
        <v>-20069.889999999992</v>
      </c>
      <c r="AD344" s="15">
        <f>IFERROR(AC344/AC445, "NA")</f>
        <v>-0.31916281877495506</v>
      </c>
    </row>
    <row r="345" spans="1:30" ht="16.5" customHeight="1" x14ac:dyDescent="0.45">
      <c r="A345" s="21" t="s">
        <v>315</v>
      </c>
      <c r="B345" s="14">
        <f>IFERROR(B329+B330+B331+B332+B333+B334+B335+B336+B338+B339+B340+B341+B342, "NA")</f>
        <v>14705.81</v>
      </c>
      <c r="C345" s="15">
        <f>IFERROR(B345/B445, "NA")</f>
        <v>0.13464904590313584</v>
      </c>
      <c r="D345" s="2"/>
      <c r="E345" s="14">
        <f>IFERROR(E329+E330+E331+E332+E333+E334+E335+E336+E338+E339+E340+E341+E342, "NA")</f>
        <v>14593.5</v>
      </c>
      <c r="F345" s="15">
        <f>IFERROR(E345/E445, "NA")</f>
        <v>0.15406063550447613</v>
      </c>
      <c r="G345" s="2"/>
      <c r="H345" s="14">
        <f t="shared" si="84"/>
        <v>-112.30999999999949</v>
      </c>
      <c r="I345" s="15">
        <f>IFERROR(H345/H445, "NA")</f>
        <v>-7.7507770790660327E-3</v>
      </c>
      <c r="J345" s="2"/>
      <c r="K345" s="14">
        <f>IFERROR(K329+K330+K331+K332+K333+K334+K335+K336+K338+K339+K340+K341+K342, "NA")</f>
        <v>14035.72</v>
      </c>
      <c r="L345" s="15">
        <f>IFERROR(K345/K445, "NA")</f>
        <v>0.16206342399413254</v>
      </c>
      <c r="M345" s="2"/>
      <c r="N345" s="14">
        <f t="shared" si="85"/>
        <v>-670.09000000000015</v>
      </c>
      <c r="O345" s="15">
        <f>IFERROR(N345/N445, "NA")</f>
        <v>-2.963752863286289E-2</v>
      </c>
      <c r="P345" s="2"/>
      <c r="Q345" s="14">
        <f>IFERROR(Q329+Q330+Q331+Q332+Q333+Q334+Q335+Q336+Q338+Q339+Q340+Q341+Q342, "NA")</f>
        <v>74725.67</v>
      </c>
      <c r="R345" s="15">
        <f>IFERROR(Q345/Q445, "NA")</f>
        <v>0.1466371243015421</v>
      </c>
      <c r="S345" s="2"/>
      <c r="T345" s="14">
        <f>IFERROR(T329+T330+T331+T332+T333+T334+T335+T336+T338+T339+T340+T341+T342, "NA")</f>
        <v>75723.439999999988</v>
      </c>
      <c r="U345" s="15">
        <f>IFERROR(T345/T445, "NA")</f>
        <v>0.15808574129303832</v>
      </c>
      <c r="V345" s="2"/>
      <c r="W345" s="14">
        <f t="shared" si="86"/>
        <v>997.76999999998952</v>
      </c>
      <c r="X345" s="15">
        <f>IFERROR(W345/W445, "NA")</f>
        <v>3.2613779850693532E-2</v>
      </c>
      <c r="Y345" s="2"/>
      <c r="Z345" s="14">
        <f>IFERROR(Z329+Z330+Z331+Z332+Z333+Z334+Z335+Z336+Z338+Z339+Z340+Z341+Z342, "NA")</f>
        <v>54655.780000000006</v>
      </c>
      <c r="AA345" s="15">
        <f>IFERROR(Z345/Z445, "NA")</f>
        <v>0.12235101410653147</v>
      </c>
      <c r="AB345" s="2"/>
      <c r="AC345" s="14">
        <f t="shared" si="87"/>
        <v>-20069.889999999992</v>
      </c>
      <c r="AD345" s="15">
        <f>IFERROR(AC345/AC445, "NA")</f>
        <v>-0.31916281877495506</v>
      </c>
    </row>
    <row r="346" spans="1:30" ht="16.5" customHeight="1" x14ac:dyDescent="0.45">
      <c r="A346" s="22" t="s">
        <v>316</v>
      </c>
      <c r="B346" s="23">
        <f>IFERROR(B198-B326-B345, "NA")</f>
        <v>5704.2299999999723</v>
      </c>
      <c r="C346" s="24">
        <f>IFERROR(B346/B445, "NA")</f>
        <v>5.2228957610090221E-2</v>
      </c>
      <c r="D346" s="25"/>
      <c r="E346" s="23">
        <f>IFERROR(E198-E326-E345, "NA")</f>
        <v>2490.7200000000012</v>
      </c>
      <c r="F346" s="24">
        <f>IFERROR(E346/E445, "NA")</f>
        <v>2.6294028578730873E-2</v>
      </c>
      <c r="G346" s="25"/>
      <c r="H346" s="23">
        <f>IFERROR(B346-E346, "NA")</f>
        <v>3213.5099999999711</v>
      </c>
      <c r="I346" s="24">
        <f>IFERROR(H346/H445, "NA")</f>
        <v>0.22177187829533768</v>
      </c>
      <c r="J346" s="25"/>
      <c r="K346" s="23">
        <f>IFERROR(K198-K326-K345, "NA")</f>
        <v>-6201.9300000000021</v>
      </c>
      <c r="L346" s="24">
        <f>IFERROR(K346/K445, "NA")</f>
        <v>-7.1610577239495432E-2</v>
      </c>
      <c r="M346" s="25"/>
      <c r="N346" s="23">
        <f>IFERROR(B346-K346, "NA")</f>
        <v>11906.159999999974</v>
      </c>
      <c r="O346" s="24">
        <f>IFERROR(N346/N445, "NA")</f>
        <v>0.52659964767038159</v>
      </c>
      <c r="P346" s="25"/>
      <c r="Q346" s="23">
        <f>IFERROR(Q198-Q326-Q345, "NA")</f>
        <v>18569.570000000022</v>
      </c>
      <c r="R346" s="24">
        <f>IFERROR(Q346/Q445, "NA")</f>
        <v>3.6439798322533482E-2</v>
      </c>
      <c r="S346" s="25"/>
      <c r="T346" s="23">
        <f>IFERROR(T198-T326-T345, "NA")</f>
        <v>13934.719999999958</v>
      </c>
      <c r="U346" s="24">
        <f>IFERROR(T346/T445, "NA")</f>
        <v>2.9091131371090914E-2</v>
      </c>
      <c r="V346" s="25"/>
      <c r="W346" s="23">
        <f>IFERROR(Q346-T346, "NA")</f>
        <v>4634.850000000064</v>
      </c>
      <c r="X346" s="24">
        <f>IFERROR(W346/W445, "NA")</f>
        <v>0.15149781767440451</v>
      </c>
      <c r="Y346" s="25"/>
      <c r="Z346" s="23">
        <f>IFERROR(Z198-Z326-Z345, "NA")</f>
        <v>-9149.6799999998839</v>
      </c>
      <c r="AA346" s="24">
        <f>IFERROR(Z346/Z445, "NA")</f>
        <v>-2.0482236768924248E-2</v>
      </c>
      <c r="AB346" s="25"/>
      <c r="AC346" s="23">
        <f>IFERROR(Q346-Z346, "NA")</f>
        <v>27719.249999999905</v>
      </c>
      <c r="AD346" s="24">
        <f>IFERROR(AC346/AC445, "NA")</f>
        <v>0.44080729711660832</v>
      </c>
    </row>
    <row r="347" spans="1:30" ht="16.5" customHeight="1" x14ac:dyDescent="0.45">
      <c r="A347" s="1" t="s">
        <v>317</v>
      </c>
      <c r="B347" s="2"/>
      <c r="C347" s="3"/>
      <c r="D347" s="4"/>
      <c r="E347" s="2"/>
      <c r="F347" s="3"/>
      <c r="G347" s="4"/>
      <c r="H347" s="2"/>
      <c r="I347" s="3"/>
      <c r="J347" s="4"/>
      <c r="K347" s="2"/>
      <c r="L347" s="3"/>
      <c r="M347" s="4"/>
      <c r="N347" s="2"/>
      <c r="O347" s="3"/>
      <c r="P347" s="4"/>
      <c r="Q347" s="2"/>
      <c r="R347" s="3"/>
      <c r="S347" s="4"/>
      <c r="T347" s="2"/>
      <c r="U347" s="3"/>
      <c r="V347" s="4"/>
      <c r="W347" s="2"/>
      <c r="X347" s="3"/>
      <c r="Y347" s="4"/>
      <c r="Z347" s="2"/>
      <c r="AA347" s="3"/>
      <c r="AB347" s="4"/>
      <c r="AC347" s="2"/>
      <c r="AD347" s="3"/>
    </row>
    <row r="348" spans="1:30" ht="16.5" hidden="1" customHeight="1" x14ac:dyDescent="0.45">
      <c r="A348" s="20" t="s">
        <v>318</v>
      </c>
      <c r="B348" s="7">
        <v>0</v>
      </c>
      <c r="C348" s="8">
        <f>IFERROR(B348/B445, "NA")</f>
        <v>0</v>
      </c>
      <c r="D348" s="9"/>
      <c r="E348" s="7">
        <v>0</v>
      </c>
      <c r="F348" s="8">
        <f>IFERROR(E348/E445, "NA")</f>
        <v>0</v>
      </c>
      <c r="G348" s="9"/>
      <c r="H348" s="10">
        <f>IFERROR(-(B348-E348), "NA")</f>
        <v>0</v>
      </c>
      <c r="I348" s="8">
        <f>IFERROR(H348/H445, "NA")</f>
        <v>0</v>
      </c>
      <c r="J348" s="9"/>
      <c r="K348" s="7">
        <v>0</v>
      </c>
      <c r="L348" s="8">
        <f>IFERROR(K348/K445, "NA")</f>
        <v>0</v>
      </c>
      <c r="M348" s="9"/>
      <c r="N348" s="10">
        <f>IFERROR(-(B348-K348), "NA")</f>
        <v>0</v>
      </c>
      <c r="O348" s="8">
        <f>IFERROR(N348/N445, "NA")</f>
        <v>0</v>
      </c>
      <c r="P348" s="9"/>
      <c r="Q348" s="7">
        <v>0</v>
      </c>
      <c r="R348" s="8">
        <f>IFERROR(Q348/Q445, "NA")</f>
        <v>0</v>
      </c>
      <c r="S348" s="9"/>
      <c r="T348" s="7">
        <v>0</v>
      </c>
      <c r="U348" s="8">
        <f>IFERROR(T348/T445, "NA")</f>
        <v>0</v>
      </c>
      <c r="V348" s="9"/>
      <c r="W348" s="10">
        <f>IFERROR(-(Q348-T348), "NA")</f>
        <v>0</v>
      </c>
      <c r="X348" s="8">
        <f>IFERROR(W348/W445, "NA")</f>
        <v>0</v>
      </c>
      <c r="Y348" s="9"/>
      <c r="Z348" s="7">
        <v>0</v>
      </c>
      <c r="AA348" s="8">
        <f>IFERROR(Z348/Z445, "NA")</f>
        <v>0</v>
      </c>
      <c r="AB348" s="9"/>
      <c r="AC348" s="10">
        <f>IFERROR(-(Q348-Z348), "NA")</f>
        <v>0</v>
      </c>
      <c r="AD348" s="8">
        <f>IFERROR(AC348/AC445, "NA")</f>
        <v>0</v>
      </c>
    </row>
    <row r="349" spans="1:30" ht="16.5" customHeight="1" x14ac:dyDescent="0.45">
      <c r="A349" s="5" t="s">
        <v>319</v>
      </c>
      <c r="B349" s="2"/>
      <c r="C349" s="3"/>
      <c r="D349" s="4"/>
      <c r="E349" s="2"/>
      <c r="F349" s="3"/>
      <c r="G349" s="4"/>
      <c r="H349" s="2"/>
      <c r="I349" s="3"/>
      <c r="J349" s="4"/>
      <c r="K349" s="2"/>
      <c r="L349" s="3"/>
      <c r="M349" s="4"/>
      <c r="N349" s="2"/>
      <c r="O349" s="3"/>
      <c r="P349" s="4"/>
      <c r="Q349" s="2"/>
      <c r="R349" s="3"/>
      <c r="S349" s="4"/>
      <c r="T349" s="2"/>
      <c r="U349" s="3"/>
      <c r="V349" s="4"/>
      <c r="W349" s="2"/>
      <c r="X349" s="3"/>
      <c r="Y349" s="4"/>
      <c r="Z349" s="2"/>
      <c r="AA349" s="3"/>
      <c r="AB349" s="4"/>
      <c r="AC349" s="2"/>
      <c r="AD349" s="3"/>
    </row>
    <row r="350" spans="1:30" ht="16.5" hidden="1" customHeight="1" x14ac:dyDescent="0.45">
      <c r="A350" s="6" t="s">
        <v>319</v>
      </c>
      <c r="B350" s="7">
        <v>0</v>
      </c>
      <c r="C350" s="8">
        <f>IFERROR(B350/B445, "NA")</f>
        <v>0</v>
      </c>
      <c r="D350" s="9"/>
      <c r="E350" s="7">
        <v>0</v>
      </c>
      <c r="F350" s="8">
        <f>IFERROR(E350/E445, "NA")</f>
        <v>0</v>
      </c>
      <c r="G350" s="9"/>
      <c r="H350" s="10">
        <f t="shared" ref="H350:H359" si="88">IFERROR(-(B350-E350), "NA")</f>
        <v>0</v>
      </c>
      <c r="I350" s="8">
        <f>IFERROR(H350/H445, "NA")</f>
        <v>0</v>
      </c>
      <c r="J350" s="9"/>
      <c r="K350" s="7">
        <v>0</v>
      </c>
      <c r="L350" s="8">
        <f>IFERROR(K350/K445, "NA")</f>
        <v>0</v>
      </c>
      <c r="M350" s="9"/>
      <c r="N350" s="10">
        <f t="shared" ref="N350:N359" si="89">IFERROR(-(B350-K350), "NA")</f>
        <v>0</v>
      </c>
      <c r="O350" s="8">
        <f>IFERROR(N350/N445, "NA")</f>
        <v>0</v>
      </c>
      <c r="P350" s="9"/>
      <c r="Q350" s="7">
        <v>0</v>
      </c>
      <c r="R350" s="8">
        <f>IFERROR(Q350/Q445, "NA")</f>
        <v>0</v>
      </c>
      <c r="S350" s="9"/>
      <c r="T350" s="7">
        <v>0</v>
      </c>
      <c r="U350" s="8">
        <f>IFERROR(T350/T445, "NA")</f>
        <v>0</v>
      </c>
      <c r="V350" s="9"/>
      <c r="W350" s="10">
        <f t="shared" ref="W350:W359" si="90">IFERROR(-(Q350-T350), "NA")</f>
        <v>0</v>
      </c>
      <c r="X350" s="8">
        <f>IFERROR(W350/W445, "NA")</f>
        <v>0</v>
      </c>
      <c r="Y350" s="9"/>
      <c r="Z350" s="7">
        <v>0</v>
      </c>
      <c r="AA350" s="8">
        <f>IFERROR(Z350/Z445, "NA")</f>
        <v>0</v>
      </c>
      <c r="AB350" s="9"/>
      <c r="AC350" s="10">
        <f t="shared" ref="AC350:AC359" si="91">IFERROR(-(Q350-Z350), "NA")</f>
        <v>0</v>
      </c>
      <c r="AD350" s="8">
        <f>IFERROR(AC350/AC445,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IFERROR(B351/B445, "NA")</f>
        <v>0</v>
      </c>
      <c r="D351" s="9"/>
      <c r="E351" s="7">
        <v>0</v>
      </c>
      <c r="F351" s="8">
        <f>IFERROR(E351/E445, "NA")</f>
        <v>0</v>
      </c>
      <c r="G351" s="9"/>
      <c r="H351" s="10">
        <f t="shared" si="88"/>
        <v>0</v>
      </c>
      <c r="I351" s="8">
        <f>IFERROR(H351/H445, "NA")</f>
        <v>0</v>
      </c>
      <c r="J351" s="9"/>
      <c r="K351" s="7">
        <v>0</v>
      </c>
      <c r="L351" s="8">
        <f>IFERROR(K351/K445, "NA")</f>
        <v>0</v>
      </c>
      <c r="M351" s="9"/>
      <c r="N351" s="10">
        <f t="shared" si="89"/>
        <v>0</v>
      </c>
      <c r="O351" s="8">
        <f>IFERROR(N351/N445, "NA")</f>
        <v>0</v>
      </c>
      <c r="P351" s="9"/>
      <c r="Q351" s="7">
        <v>0</v>
      </c>
      <c r="R351" s="8">
        <f>IFERROR(Q351/Q445, "NA")</f>
        <v>0</v>
      </c>
      <c r="S351" s="9"/>
      <c r="T351" s="7">
        <v>0</v>
      </c>
      <c r="U351" s="8">
        <f>IFERROR(T351/T445, "NA")</f>
        <v>0</v>
      </c>
      <c r="V351" s="9"/>
      <c r="W351" s="10">
        <f t="shared" si="90"/>
        <v>0</v>
      </c>
      <c r="X351" s="8">
        <f>IFERROR(W351/W445, "NA")</f>
        <v>0</v>
      </c>
      <c r="Y351" s="9"/>
      <c r="Z351" s="7">
        <v>0</v>
      </c>
      <c r="AA351" s="8">
        <f>IFERROR(Z351/Z445, "NA")</f>
        <v>0</v>
      </c>
      <c r="AB351" s="9"/>
      <c r="AC351" s="10">
        <f t="shared" si="91"/>
        <v>0</v>
      </c>
      <c r="AD351" s="8">
        <f>IFERROR(AC351/AC445,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IFERROR(B352/B445, "NA")</f>
        <v>0</v>
      </c>
      <c r="D352" s="9"/>
      <c r="E352" s="7">
        <v>0</v>
      </c>
      <c r="F352" s="8">
        <f>IFERROR(E352/E445, "NA")</f>
        <v>0</v>
      </c>
      <c r="G352" s="9"/>
      <c r="H352" s="10">
        <f t="shared" si="88"/>
        <v>0</v>
      </c>
      <c r="I352" s="8">
        <f>IFERROR(H352/H445, "NA")</f>
        <v>0</v>
      </c>
      <c r="J352" s="9"/>
      <c r="K352" s="7">
        <v>0</v>
      </c>
      <c r="L352" s="8">
        <f>IFERROR(K352/K445, "NA")</f>
        <v>0</v>
      </c>
      <c r="M352" s="9"/>
      <c r="N352" s="10">
        <f t="shared" si="89"/>
        <v>0</v>
      </c>
      <c r="O352" s="8">
        <f>IFERROR(N352/N445, "NA")</f>
        <v>0</v>
      </c>
      <c r="P352" s="9"/>
      <c r="Q352" s="7">
        <v>0</v>
      </c>
      <c r="R352" s="8">
        <f>IFERROR(Q352/Q445, "NA")</f>
        <v>0</v>
      </c>
      <c r="S352" s="9"/>
      <c r="T352" s="7">
        <v>0</v>
      </c>
      <c r="U352" s="8">
        <f>IFERROR(T352/T445, "NA")</f>
        <v>0</v>
      </c>
      <c r="V352" s="9"/>
      <c r="W352" s="10">
        <f t="shared" si="90"/>
        <v>0</v>
      </c>
      <c r="X352" s="8">
        <f>IFERROR(W352/W445, "NA")</f>
        <v>0</v>
      </c>
      <c r="Y352" s="9"/>
      <c r="Z352" s="7">
        <v>0</v>
      </c>
      <c r="AA352" s="8">
        <f>IFERROR(Z352/Z445, "NA")</f>
        <v>0</v>
      </c>
      <c r="AB352" s="9"/>
      <c r="AC352" s="10">
        <f t="shared" si="91"/>
        <v>0</v>
      </c>
      <c r="AD352" s="8">
        <f>IFERROR(AC352/AC445,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IFERROR(B353/B445, "NA")</f>
        <v>0</v>
      </c>
      <c r="D353" s="9"/>
      <c r="E353" s="7">
        <v>0</v>
      </c>
      <c r="F353" s="8">
        <f>IFERROR(E353/E445, "NA")</f>
        <v>0</v>
      </c>
      <c r="G353" s="9"/>
      <c r="H353" s="10">
        <f t="shared" si="88"/>
        <v>0</v>
      </c>
      <c r="I353" s="8">
        <f>IFERROR(H353/H445, "NA")</f>
        <v>0</v>
      </c>
      <c r="J353" s="9"/>
      <c r="K353" s="7">
        <v>0</v>
      </c>
      <c r="L353" s="8">
        <f>IFERROR(K353/K445, "NA")</f>
        <v>0</v>
      </c>
      <c r="M353" s="9"/>
      <c r="N353" s="10">
        <f t="shared" si="89"/>
        <v>0</v>
      </c>
      <c r="O353" s="8">
        <f>IFERROR(N353/N445, "NA")</f>
        <v>0</v>
      </c>
      <c r="P353" s="9"/>
      <c r="Q353" s="7">
        <v>0</v>
      </c>
      <c r="R353" s="8">
        <f>IFERROR(Q353/Q445, "NA")</f>
        <v>0</v>
      </c>
      <c r="S353" s="9"/>
      <c r="T353" s="7">
        <v>0</v>
      </c>
      <c r="U353" s="8">
        <f>IFERROR(T353/T445, "NA")</f>
        <v>0</v>
      </c>
      <c r="V353" s="9"/>
      <c r="W353" s="10">
        <f t="shared" si="90"/>
        <v>0</v>
      </c>
      <c r="X353" s="8">
        <f>IFERROR(W353/W445, "NA")</f>
        <v>0</v>
      </c>
      <c r="Y353" s="9"/>
      <c r="Z353" s="7">
        <v>0</v>
      </c>
      <c r="AA353" s="8">
        <f>IFERROR(Z353/Z445, "NA")</f>
        <v>0</v>
      </c>
      <c r="AB353" s="9"/>
      <c r="AC353" s="10">
        <f t="shared" si="91"/>
        <v>0</v>
      </c>
      <c r="AD353" s="8">
        <f>IFERROR(AC353/AC445,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IFERROR(B354/B445, "NA")</f>
        <v>0</v>
      </c>
      <c r="D354" s="9"/>
      <c r="E354" s="7">
        <v>0</v>
      </c>
      <c r="F354" s="8">
        <f>IFERROR(E354/E445, "NA")</f>
        <v>0</v>
      </c>
      <c r="G354" s="9"/>
      <c r="H354" s="10">
        <f t="shared" si="88"/>
        <v>0</v>
      </c>
      <c r="I354" s="8">
        <f>IFERROR(H354/H445, "NA")</f>
        <v>0</v>
      </c>
      <c r="J354" s="9"/>
      <c r="K354" s="7">
        <v>0</v>
      </c>
      <c r="L354" s="8">
        <f>IFERROR(K354/K445, "NA")</f>
        <v>0</v>
      </c>
      <c r="M354" s="9"/>
      <c r="N354" s="10">
        <f t="shared" si="89"/>
        <v>0</v>
      </c>
      <c r="O354" s="8">
        <f>IFERROR(N354/N445, "NA")</f>
        <v>0</v>
      </c>
      <c r="P354" s="9"/>
      <c r="Q354" s="7">
        <v>0</v>
      </c>
      <c r="R354" s="8">
        <f>IFERROR(Q354/Q445, "NA")</f>
        <v>0</v>
      </c>
      <c r="S354" s="9"/>
      <c r="T354" s="7">
        <v>0</v>
      </c>
      <c r="U354" s="8">
        <f>IFERROR(T354/T445, "NA")</f>
        <v>0</v>
      </c>
      <c r="V354" s="9"/>
      <c r="W354" s="10">
        <f t="shared" si="90"/>
        <v>0</v>
      </c>
      <c r="X354" s="8">
        <f>IFERROR(W354/W445, "NA")</f>
        <v>0</v>
      </c>
      <c r="Y354" s="9"/>
      <c r="Z354" s="7">
        <v>0</v>
      </c>
      <c r="AA354" s="8">
        <f>IFERROR(Z354/Z445, "NA")</f>
        <v>0</v>
      </c>
      <c r="AB354" s="9"/>
      <c r="AC354" s="10">
        <f t="shared" si="91"/>
        <v>0</v>
      </c>
      <c r="AD354" s="8">
        <f>IFERROR(AC354/AC445,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IFERROR(B355/B445, "NA")</f>
        <v>0</v>
      </c>
      <c r="D355" s="9"/>
      <c r="E355" s="7">
        <v>0</v>
      </c>
      <c r="F355" s="8">
        <f>IFERROR(E355/E445, "NA")</f>
        <v>0</v>
      </c>
      <c r="G355" s="9"/>
      <c r="H355" s="10">
        <f t="shared" si="88"/>
        <v>0</v>
      </c>
      <c r="I355" s="8">
        <f>IFERROR(H355/H445, "NA")</f>
        <v>0</v>
      </c>
      <c r="J355" s="9"/>
      <c r="K355" s="7">
        <v>0</v>
      </c>
      <c r="L355" s="8">
        <f>IFERROR(K355/K445, "NA")</f>
        <v>0</v>
      </c>
      <c r="M355" s="9"/>
      <c r="N355" s="10">
        <f t="shared" si="89"/>
        <v>0</v>
      </c>
      <c r="O355" s="8">
        <f>IFERROR(N355/N445, "NA")</f>
        <v>0</v>
      </c>
      <c r="P355" s="9"/>
      <c r="Q355" s="7">
        <v>0</v>
      </c>
      <c r="R355" s="8">
        <f>IFERROR(Q355/Q445, "NA")</f>
        <v>0</v>
      </c>
      <c r="S355" s="9"/>
      <c r="T355" s="7">
        <v>0</v>
      </c>
      <c r="U355" s="8">
        <f>IFERROR(T355/T445, "NA")</f>
        <v>0</v>
      </c>
      <c r="V355" s="9"/>
      <c r="W355" s="10">
        <f t="shared" si="90"/>
        <v>0</v>
      </c>
      <c r="X355" s="8">
        <f>IFERROR(W355/W445, "NA")</f>
        <v>0</v>
      </c>
      <c r="Y355" s="9"/>
      <c r="Z355" s="7">
        <v>0</v>
      </c>
      <c r="AA355" s="8">
        <f>IFERROR(Z355/Z445, "NA")</f>
        <v>0</v>
      </c>
      <c r="AB355" s="9"/>
      <c r="AC355" s="10">
        <f t="shared" si="91"/>
        <v>0</v>
      </c>
      <c r="AD355" s="8">
        <f>IFERROR(AC355/AC445,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IFERROR(B356/B445, "NA")</f>
        <v>0</v>
      </c>
      <c r="D356" s="9"/>
      <c r="E356" s="7">
        <v>0</v>
      </c>
      <c r="F356" s="8">
        <f>IFERROR(E356/E445, "NA")</f>
        <v>0</v>
      </c>
      <c r="G356" s="9"/>
      <c r="H356" s="10">
        <f t="shared" si="88"/>
        <v>0</v>
      </c>
      <c r="I356" s="8">
        <f>IFERROR(H356/H445, "NA")</f>
        <v>0</v>
      </c>
      <c r="J356" s="9"/>
      <c r="K356" s="7">
        <v>0</v>
      </c>
      <c r="L356" s="8">
        <f>IFERROR(K356/K445, "NA")</f>
        <v>0</v>
      </c>
      <c r="M356" s="9"/>
      <c r="N356" s="10">
        <f t="shared" si="89"/>
        <v>0</v>
      </c>
      <c r="O356" s="8">
        <f>IFERROR(N356/N445, "NA")</f>
        <v>0</v>
      </c>
      <c r="P356" s="9"/>
      <c r="Q356" s="7">
        <v>0</v>
      </c>
      <c r="R356" s="8">
        <f>IFERROR(Q356/Q445, "NA")</f>
        <v>0</v>
      </c>
      <c r="S356" s="9"/>
      <c r="T356" s="7">
        <v>0</v>
      </c>
      <c r="U356" s="8">
        <f>IFERROR(T356/T445, "NA")</f>
        <v>0</v>
      </c>
      <c r="V356" s="9"/>
      <c r="W356" s="10">
        <f t="shared" si="90"/>
        <v>0</v>
      </c>
      <c r="X356" s="8">
        <f>IFERROR(W356/W445, "NA")</f>
        <v>0</v>
      </c>
      <c r="Y356" s="9"/>
      <c r="Z356" s="7">
        <v>0</v>
      </c>
      <c r="AA356" s="8">
        <f>IFERROR(Z356/Z445, "NA")</f>
        <v>0</v>
      </c>
      <c r="AB356" s="9"/>
      <c r="AC356" s="10">
        <f t="shared" si="91"/>
        <v>0</v>
      </c>
      <c r="AD356" s="8">
        <f>IFERROR(AC356/AC445,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IFERROR(B357/B445, "NA")</f>
        <v>0</v>
      </c>
      <c r="D357" s="9"/>
      <c r="E357" s="7">
        <v>0</v>
      </c>
      <c r="F357" s="8">
        <f>IFERROR(E357/E445, "NA")</f>
        <v>0</v>
      </c>
      <c r="G357" s="9"/>
      <c r="H357" s="10">
        <f t="shared" si="88"/>
        <v>0</v>
      </c>
      <c r="I357" s="8">
        <f>IFERROR(H357/H445, "NA")</f>
        <v>0</v>
      </c>
      <c r="J357" s="9"/>
      <c r="K357" s="7">
        <v>0</v>
      </c>
      <c r="L357" s="8">
        <f>IFERROR(K357/K445, "NA")</f>
        <v>0</v>
      </c>
      <c r="M357" s="9"/>
      <c r="N357" s="10">
        <f t="shared" si="89"/>
        <v>0</v>
      </c>
      <c r="O357" s="8">
        <f>IFERROR(N357/N445, "NA")</f>
        <v>0</v>
      </c>
      <c r="P357" s="9"/>
      <c r="Q357" s="7">
        <v>0</v>
      </c>
      <c r="R357" s="8">
        <f>IFERROR(Q357/Q445, "NA")</f>
        <v>0</v>
      </c>
      <c r="S357" s="9"/>
      <c r="T357" s="7">
        <v>0</v>
      </c>
      <c r="U357" s="8">
        <f>IFERROR(T357/T445, "NA")</f>
        <v>0</v>
      </c>
      <c r="V357" s="9"/>
      <c r="W357" s="10">
        <f t="shared" si="90"/>
        <v>0</v>
      </c>
      <c r="X357" s="8">
        <f>IFERROR(W357/W445, "NA")</f>
        <v>0</v>
      </c>
      <c r="Y357" s="9"/>
      <c r="Z357" s="7">
        <v>0</v>
      </c>
      <c r="AA357" s="8">
        <f>IFERROR(Z357/Z445, "NA")</f>
        <v>0</v>
      </c>
      <c r="AB357" s="9"/>
      <c r="AC357" s="10">
        <f t="shared" si="91"/>
        <v>0</v>
      </c>
      <c r="AD357" s="8">
        <f>IFERROR(AC357/AC445, "NA")</f>
        <v>0</v>
      </c>
    </row>
    <row r="358" spans="1:30" ht="16.5" hidden="1" customHeight="1" x14ac:dyDescent="0.45">
      <c r="A358" s="6" t="s">
        <v>327</v>
      </c>
      <c r="B358" s="7">
        <v>0</v>
      </c>
      <c r="C358" s="8">
        <f>IFERROR(B358/B445, "NA")</f>
        <v>0</v>
      </c>
      <c r="D358" s="9"/>
      <c r="E358" s="7">
        <v>0</v>
      </c>
      <c r="F358" s="8">
        <f>IFERROR(E358/E445, "NA")</f>
        <v>0</v>
      </c>
      <c r="G358" s="9"/>
      <c r="H358" s="10">
        <f t="shared" si="88"/>
        <v>0</v>
      </c>
      <c r="I358" s="8">
        <f>IFERROR(H358/H445, "NA")</f>
        <v>0</v>
      </c>
      <c r="J358" s="9"/>
      <c r="K358" s="7">
        <v>0</v>
      </c>
      <c r="L358" s="8">
        <f>IFERROR(K358/K445, "NA")</f>
        <v>0</v>
      </c>
      <c r="M358" s="9"/>
      <c r="N358" s="10">
        <f t="shared" si="89"/>
        <v>0</v>
      </c>
      <c r="O358" s="8">
        <f>IFERROR(N358/N445, "NA")</f>
        <v>0</v>
      </c>
      <c r="P358" s="9"/>
      <c r="Q358" s="7">
        <v>0</v>
      </c>
      <c r="R358" s="8">
        <f>IFERROR(Q358/Q445, "NA")</f>
        <v>0</v>
      </c>
      <c r="S358" s="9"/>
      <c r="T358" s="7">
        <v>0</v>
      </c>
      <c r="U358" s="8">
        <f>IFERROR(T358/T445, "NA")</f>
        <v>0</v>
      </c>
      <c r="V358" s="9"/>
      <c r="W358" s="10">
        <f t="shared" si="90"/>
        <v>0</v>
      </c>
      <c r="X358" s="8">
        <f>IFERROR(W358/W445, "NA")</f>
        <v>0</v>
      </c>
      <c r="Y358" s="9"/>
      <c r="Z358" s="7">
        <v>0</v>
      </c>
      <c r="AA358" s="8">
        <f>IFERROR(Z358/Z445, "NA")</f>
        <v>0</v>
      </c>
      <c r="AB358" s="9"/>
      <c r="AC358" s="10">
        <f t="shared" si="91"/>
        <v>0</v>
      </c>
      <c r="AD358" s="8">
        <f>IFERROR(AC358/AC445, "NA")</f>
        <v>0</v>
      </c>
    </row>
    <row r="359" spans="1:30" ht="16.5" customHeight="1" x14ac:dyDescent="0.45">
      <c r="A359" s="19" t="s">
        <v>328</v>
      </c>
      <c r="B359" s="14">
        <f>IFERROR(B350+B351+B352+B353+B354+B355+B356+B357+B358, "NA")</f>
        <v>0</v>
      </c>
      <c r="C359" s="15">
        <f>IFERROR(B359/B445, "NA")</f>
        <v>0</v>
      </c>
      <c r="D359" s="2"/>
      <c r="E359" s="14">
        <f>IFERROR(E350+E351+E352+E353+E354+E355+E356+E357+E358, "NA")</f>
        <v>0</v>
      </c>
      <c r="F359" s="15">
        <f>IFERROR(E359/E445, "NA")</f>
        <v>0</v>
      </c>
      <c r="G359" s="2"/>
      <c r="H359" s="14">
        <f t="shared" si="88"/>
        <v>0</v>
      </c>
      <c r="I359" s="15">
        <f>IFERROR(H359/H445, "NA")</f>
        <v>0</v>
      </c>
      <c r="J359" s="2"/>
      <c r="K359" s="14">
        <f>IFERROR(K350+K351+K352+K353+K354+K355+K356+K357+K358, "NA")</f>
        <v>0</v>
      </c>
      <c r="L359" s="15">
        <f>IFERROR(K359/K445, "NA")</f>
        <v>0</v>
      </c>
      <c r="M359" s="2"/>
      <c r="N359" s="14">
        <f t="shared" si="89"/>
        <v>0</v>
      </c>
      <c r="O359" s="15">
        <f>IFERROR(N359/N445, "NA")</f>
        <v>0</v>
      </c>
      <c r="P359" s="2"/>
      <c r="Q359" s="14">
        <f>IFERROR(Q350+Q351+Q352+Q353+Q354+Q355+Q356+Q357+Q358, "NA")</f>
        <v>0</v>
      </c>
      <c r="R359" s="15">
        <f>IFERROR(Q359/Q445, "NA")</f>
        <v>0</v>
      </c>
      <c r="S359" s="2"/>
      <c r="T359" s="14">
        <f>IFERROR(T350+T351+T352+T353+T354+T355+T356+T357+T358, "NA")</f>
        <v>0</v>
      </c>
      <c r="U359" s="15">
        <f>IFERROR(T359/T445, "NA")</f>
        <v>0</v>
      </c>
      <c r="V359" s="2"/>
      <c r="W359" s="14">
        <f t="shared" si="90"/>
        <v>0</v>
      </c>
      <c r="X359" s="15">
        <f>IFERROR(W359/W445, "NA")</f>
        <v>0</v>
      </c>
      <c r="Y359" s="2"/>
      <c r="Z359" s="14">
        <f>IFERROR(Z350+Z351+Z352+Z353+Z354+Z355+Z356+Z357+Z358, "NA")</f>
        <v>0</v>
      </c>
      <c r="AA359" s="15">
        <f>IFERROR(Z359/Z445, "NA")</f>
        <v>0</v>
      </c>
      <c r="AB359" s="2"/>
      <c r="AC359" s="14">
        <f t="shared" si="91"/>
        <v>0</v>
      </c>
      <c r="AD359" s="15">
        <f>IFERROR(AC359/AC445, "NA")</f>
        <v>0</v>
      </c>
    </row>
    <row r="360" spans="1:30" ht="16.5" customHeight="1" x14ac:dyDescent="0.45">
      <c r="A360" s="5" t="s">
        <v>329</v>
      </c>
      <c r="B360" s="2"/>
      <c r="C360" s="3"/>
      <c r="D360" s="4"/>
      <c r="E360" s="2"/>
      <c r="F360" s="3"/>
      <c r="G360" s="4"/>
      <c r="H360" s="2"/>
      <c r="I360" s="3"/>
      <c r="J360" s="4"/>
      <c r="K360" s="2"/>
      <c r="L360" s="3"/>
      <c r="M360" s="4"/>
      <c r="N360" s="2"/>
      <c r="O360" s="3"/>
      <c r="P360" s="4"/>
      <c r="Q360" s="2"/>
      <c r="R360" s="3"/>
      <c r="S360" s="4"/>
      <c r="T360" s="2"/>
      <c r="U360" s="3"/>
      <c r="V360" s="4"/>
      <c r="W360" s="2"/>
      <c r="X360" s="3"/>
      <c r="Y360" s="4"/>
      <c r="Z360" s="2"/>
      <c r="AA360" s="3"/>
      <c r="AB360" s="4"/>
      <c r="AC360" s="2"/>
      <c r="AD360" s="3"/>
    </row>
    <row r="361" spans="1:30" ht="16.5" hidden="1" customHeight="1" x14ac:dyDescent="0.45">
      <c r="A361" s="6" t="s">
        <v>329</v>
      </c>
      <c r="B361" s="7">
        <v>0</v>
      </c>
      <c r="C361" s="8">
        <f>IFERROR(B361/B445, "NA")</f>
        <v>0</v>
      </c>
      <c r="D361" s="9"/>
      <c r="E361" s="7">
        <v>0</v>
      </c>
      <c r="F361" s="8">
        <f>IFERROR(E361/E445, "NA")</f>
        <v>0</v>
      </c>
      <c r="G361" s="9"/>
      <c r="H361" s="10">
        <f t="shared" ref="H361:H384" si="92">IFERROR(-(B361-E361), "NA")</f>
        <v>0</v>
      </c>
      <c r="I361" s="8">
        <f>IFERROR(H361/H445, "NA")</f>
        <v>0</v>
      </c>
      <c r="J361" s="9"/>
      <c r="K361" s="7">
        <v>0</v>
      </c>
      <c r="L361" s="8">
        <f>IFERROR(K361/K445, "NA")</f>
        <v>0</v>
      </c>
      <c r="M361" s="9"/>
      <c r="N361" s="10">
        <f t="shared" ref="N361:N384" si="93">IFERROR(-(B361-K361), "NA")</f>
        <v>0</v>
      </c>
      <c r="O361" s="8">
        <f>IFERROR(N361/N445, "NA")</f>
        <v>0</v>
      </c>
      <c r="P361" s="9"/>
      <c r="Q361" s="7">
        <v>0</v>
      </c>
      <c r="R361" s="8">
        <f>IFERROR(Q361/Q445, "NA")</f>
        <v>0</v>
      </c>
      <c r="S361" s="9"/>
      <c r="T361" s="7">
        <v>0</v>
      </c>
      <c r="U361" s="8">
        <f>IFERROR(T361/T445, "NA")</f>
        <v>0</v>
      </c>
      <c r="V361" s="9"/>
      <c r="W361" s="10">
        <f t="shared" ref="W361:W384" si="94">IFERROR(-(Q361-T361), "NA")</f>
        <v>0</v>
      </c>
      <c r="X361" s="8">
        <f>IFERROR(W361/W445, "NA")</f>
        <v>0</v>
      </c>
      <c r="Y361" s="9"/>
      <c r="Z361" s="7">
        <v>0</v>
      </c>
      <c r="AA361" s="8">
        <f>IFERROR(Z361/Z445, "NA")</f>
        <v>0</v>
      </c>
      <c r="AB361" s="9"/>
      <c r="AC361" s="10">
        <f t="shared" ref="AC361:AC384" si="95">IFERROR(-(Q361-Z361), "NA")</f>
        <v>0</v>
      </c>
      <c r="AD361" s="8">
        <f>IFERROR(AC361/AC445,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IFERROR(B362/B445, "NA")</f>
        <v>0</v>
      </c>
      <c r="D362" s="9"/>
      <c r="E362" s="7">
        <v>0</v>
      </c>
      <c r="F362" s="8">
        <f>IFERROR(E362/E445, "NA")</f>
        <v>0</v>
      </c>
      <c r="G362" s="9"/>
      <c r="H362" s="10">
        <f t="shared" si="92"/>
        <v>0</v>
      </c>
      <c r="I362" s="8">
        <f>IFERROR(H362/H445, "NA")</f>
        <v>0</v>
      </c>
      <c r="J362" s="9"/>
      <c r="K362" s="7">
        <v>0</v>
      </c>
      <c r="L362" s="8">
        <f>IFERROR(K362/K445, "NA")</f>
        <v>0</v>
      </c>
      <c r="M362" s="9"/>
      <c r="N362" s="10">
        <f t="shared" si="93"/>
        <v>0</v>
      </c>
      <c r="O362" s="8">
        <f>IFERROR(N362/N445, "NA")</f>
        <v>0</v>
      </c>
      <c r="P362" s="9"/>
      <c r="Q362" s="7">
        <v>0</v>
      </c>
      <c r="R362" s="8">
        <f>IFERROR(Q362/Q445, "NA")</f>
        <v>0</v>
      </c>
      <c r="S362" s="9"/>
      <c r="T362" s="7">
        <v>0</v>
      </c>
      <c r="U362" s="8">
        <f>IFERROR(T362/T445, "NA")</f>
        <v>0</v>
      </c>
      <c r="V362" s="9"/>
      <c r="W362" s="10">
        <f t="shared" si="94"/>
        <v>0</v>
      </c>
      <c r="X362" s="8">
        <f>IFERROR(W362/W445, "NA")</f>
        <v>0</v>
      </c>
      <c r="Y362" s="9"/>
      <c r="Z362" s="7">
        <v>0</v>
      </c>
      <c r="AA362" s="8">
        <f>IFERROR(Z362/Z445, "NA")</f>
        <v>0</v>
      </c>
      <c r="AB362" s="9"/>
      <c r="AC362" s="10">
        <f t="shared" si="95"/>
        <v>0</v>
      </c>
      <c r="AD362" s="8">
        <f>IFERROR(AC362/AC445,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IFERROR(B363/B445, "NA")</f>
        <v>0</v>
      </c>
      <c r="D363" s="9"/>
      <c r="E363" s="7">
        <v>0</v>
      </c>
      <c r="F363" s="8">
        <f>IFERROR(E363/E445, "NA")</f>
        <v>0</v>
      </c>
      <c r="G363" s="9"/>
      <c r="H363" s="10">
        <f t="shared" si="92"/>
        <v>0</v>
      </c>
      <c r="I363" s="8">
        <f>IFERROR(H363/H445, "NA")</f>
        <v>0</v>
      </c>
      <c r="J363" s="9"/>
      <c r="K363" s="7">
        <v>0</v>
      </c>
      <c r="L363" s="8">
        <f>IFERROR(K363/K445, "NA")</f>
        <v>0</v>
      </c>
      <c r="M363" s="9"/>
      <c r="N363" s="10">
        <f t="shared" si="93"/>
        <v>0</v>
      </c>
      <c r="O363" s="8">
        <f>IFERROR(N363/N445, "NA")</f>
        <v>0</v>
      </c>
      <c r="P363" s="9"/>
      <c r="Q363" s="7">
        <v>0</v>
      </c>
      <c r="R363" s="8">
        <f>IFERROR(Q363/Q445, "NA")</f>
        <v>0</v>
      </c>
      <c r="S363" s="9"/>
      <c r="T363" s="7">
        <v>0</v>
      </c>
      <c r="U363" s="8">
        <f>IFERROR(T363/T445, "NA")</f>
        <v>0</v>
      </c>
      <c r="V363" s="9"/>
      <c r="W363" s="10">
        <f t="shared" si="94"/>
        <v>0</v>
      </c>
      <c r="X363" s="8">
        <f>IFERROR(W363/W445, "NA")</f>
        <v>0</v>
      </c>
      <c r="Y363" s="9"/>
      <c r="Z363" s="7">
        <v>0</v>
      </c>
      <c r="AA363" s="8">
        <f>IFERROR(Z363/Z445, "NA")</f>
        <v>0</v>
      </c>
      <c r="AB363" s="9"/>
      <c r="AC363" s="10">
        <f t="shared" si="95"/>
        <v>0</v>
      </c>
      <c r="AD363" s="8">
        <f>IFERROR(AC363/AC445,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IFERROR(B364/B445, "NA")</f>
        <v>0</v>
      </c>
      <c r="D364" s="9"/>
      <c r="E364" s="7">
        <v>0</v>
      </c>
      <c r="F364" s="8">
        <f>IFERROR(E364/E445, "NA")</f>
        <v>0</v>
      </c>
      <c r="G364" s="9"/>
      <c r="H364" s="10">
        <f t="shared" si="92"/>
        <v>0</v>
      </c>
      <c r="I364" s="8">
        <f>IFERROR(H364/H445, "NA")</f>
        <v>0</v>
      </c>
      <c r="J364" s="9"/>
      <c r="K364" s="7">
        <v>0</v>
      </c>
      <c r="L364" s="8">
        <f>IFERROR(K364/K445, "NA")</f>
        <v>0</v>
      </c>
      <c r="M364" s="9"/>
      <c r="N364" s="10">
        <f t="shared" si="93"/>
        <v>0</v>
      </c>
      <c r="O364" s="8">
        <f>IFERROR(N364/N445, "NA")</f>
        <v>0</v>
      </c>
      <c r="P364" s="9"/>
      <c r="Q364" s="7">
        <v>0</v>
      </c>
      <c r="R364" s="8">
        <f>IFERROR(Q364/Q445, "NA")</f>
        <v>0</v>
      </c>
      <c r="S364" s="9"/>
      <c r="T364" s="7">
        <v>0</v>
      </c>
      <c r="U364" s="8">
        <f>IFERROR(T364/T445, "NA")</f>
        <v>0</v>
      </c>
      <c r="V364" s="9"/>
      <c r="W364" s="10">
        <f t="shared" si="94"/>
        <v>0</v>
      </c>
      <c r="X364" s="8">
        <f>IFERROR(W364/W445, "NA")</f>
        <v>0</v>
      </c>
      <c r="Y364" s="9"/>
      <c r="Z364" s="7">
        <v>0</v>
      </c>
      <c r="AA364" s="8">
        <f>IFERROR(Z364/Z445, "NA")</f>
        <v>0</v>
      </c>
      <c r="AB364" s="9"/>
      <c r="AC364" s="10">
        <f t="shared" si="95"/>
        <v>0</v>
      </c>
      <c r="AD364" s="8">
        <f>IFERROR(AC364/AC445,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IFERROR(B365/B445, "NA")</f>
        <v>0</v>
      </c>
      <c r="D365" s="9"/>
      <c r="E365" s="7">
        <v>0</v>
      </c>
      <c r="F365" s="8">
        <f>IFERROR(E365/E445, "NA")</f>
        <v>0</v>
      </c>
      <c r="G365" s="9"/>
      <c r="H365" s="10">
        <f t="shared" si="92"/>
        <v>0</v>
      </c>
      <c r="I365" s="8">
        <f>IFERROR(H365/H445, "NA")</f>
        <v>0</v>
      </c>
      <c r="J365" s="9"/>
      <c r="K365" s="7">
        <v>0</v>
      </c>
      <c r="L365" s="8">
        <f>IFERROR(K365/K445, "NA")</f>
        <v>0</v>
      </c>
      <c r="M365" s="9"/>
      <c r="N365" s="10">
        <f t="shared" si="93"/>
        <v>0</v>
      </c>
      <c r="O365" s="8">
        <f>IFERROR(N365/N445, "NA")</f>
        <v>0</v>
      </c>
      <c r="P365" s="9"/>
      <c r="Q365" s="7">
        <v>0</v>
      </c>
      <c r="R365" s="8">
        <f>IFERROR(Q365/Q445, "NA")</f>
        <v>0</v>
      </c>
      <c r="S365" s="9"/>
      <c r="T365" s="7">
        <v>0</v>
      </c>
      <c r="U365" s="8">
        <f>IFERROR(T365/T445, "NA")</f>
        <v>0</v>
      </c>
      <c r="V365" s="9"/>
      <c r="W365" s="10">
        <f t="shared" si="94"/>
        <v>0</v>
      </c>
      <c r="X365" s="8">
        <f>IFERROR(W365/W445, "NA")</f>
        <v>0</v>
      </c>
      <c r="Y365" s="9"/>
      <c r="Z365" s="7">
        <v>0</v>
      </c>
      <c r="AA365" s="8">
        <f>IFERROR(Z365/Z445, "NA")</f>
        <v>0</v>
      </c>
      <c r="AB365" s="9"/>
      <c r="AC365" s="10">
        <f t="shared" si="95"/>
        <v>0</v>
      </c>
      <c r="AD365" s="8">
        <f>IFERROR(AC365/AC445,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IFERROR(B366/B445, "NA")</f>
        <v>0</v>
      </c>
      <c r="D366" s="9"/>
      <c r="E366" s="7">
        <v>0</v>
      </c>
      <c r="F366" s="8">
        <f>IFERROR(E366/E445, "NA")</f>
        <v>0</v>
      </c>
      <c r="G366" s="9"/>
      <c r="H366" s="10">
        <f t="shared" si="92"/>
        <v>0</v>
      </c>
      <c r="I366" s="8">
        <f>IFERROR(H366/H445, "NA")</f>
        <v>0</v>
      </c>
      <c r="J366" s="9"/>
      <c r="K366" s="7">
        <v>0</v>
      </c>
      <c r="L366" s="8">
        <f>IFERROR(K366/K445, "NA")</f>
        <v>0</v>
      </c>
      <c r="M366" s="9"/>
      <c r="N366" s="10">
        <f t="shared" si="93"/>
        <v>0</v>
      </c>
      <c r="O366" s="8">
        <f>IFERROR(N366/N445, "NA")</f>
        <v>0</v>
      </c>
      <c r="P366" s="9"/>
      <c r="Q366" s="7">
        <v>0</v>
      </c>
      <c r="R366" s="8">
        <f>IFERROR(Q366/Q445, "NA")</f>
        <v>0</v>
      </c>
      <c r="S366" s="9"/>
      <c r="T366" s="7">
        <v>0</v>
      </c>
      <c r="U366" s="8">
        <f>IFERROR(T366/T445, "NA")</f>
        <v>0</v>
      </c>
      <c r="V366" s="9"/>
      <c r="W366" s="10">
        <f t="shared" si="94"/>
        <v>0</v>
      </c>
      <c r="X366" s="8">
        <f>IFERROR(W366/W445, "NA")</f>
        <v>0</v>
      </c>
      <c r="Y366" s="9"/>
      <c r="Z366" s="7">
        <v>0</v>
      </c>
      <c r="AA366" s="8">
        <f>IFERROR(Z366/Z445, "NA")</f>
        <v>0</v>
      </c>
      <c r="AB366" s="9"/>
      <c r="AC366" s="10">
        <f t="shared" si="95"/>
        <v>0</v>
      </c>
      <c r="AD366" s="8">
        <f>IFERROR(AC366/AC445,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IFERROR(B367/B445, "NA")</f>
        <v>0</v>
      </c>
      <c r="D367" s="9"/>
      <c r="E367" s="7">
        <v>0</v>
      </c>
      <c r="F367" s="8">
        <f>IFERROR(E367/E445, "NA")</f>
        <v>0</v>
      </c>
      <c r="G367" s="9"/>
      <c r="H367" s="10">
        <f t="shared" si="92"/>
        <v>0</v>
      </c>
      <c r="I367" s="8">
        <f>IFERROR(H367/H445, "NA")</f>
        <v>0</v>
      </c>
      <c r="J367" s="9"/>
      <c r="K367" s="7">
        <v>0</v>
      </c>
      <c r="L367" s="8">
        <f>IFERROR(K367/K445, "NA")</f>
        <v>0</v>
      </c>
      <c r="M367" s="9"/>
      <c r="N367" s="10">
        <f t="shared" si="93"/>
        <v>0</v>
      </c>
      <c r="O367" s="8">
        <f>IFERROR(N367/N445, "NA")</f>
        <v>0</v>
      </c>
      <c r="P367" s="9"/>
      <c r="Q367" s="7">
        <v>0</v>
      </c>
      <c r="R367" s="8">
        <f>IFERROR(Q367/Q445, "NA")</f>
        <v>0</v>
      </c>
      <c r="S367" s="9"/>
      <c r="T367" s="7">
        <v>0</v>
      </c>
      <c r="U367" s="8">
        <f>IFERROR(T367/T445, "NA")</f>
        <v>0</v>
      </c>
      <c r="V367" s="9"/>
      <c r="W367" s="10">
        <f t="shared" si="94"/>
        <v>0</v>
      </c>
      <c r="X367" s="8">
        <f>IFERROR(W367/W445, "NA")</f>
        <v>0</v>
      </c>
      <c r="Y367" s="9"/>
      <c r="Z367" s="7">
        <v>0</v>
      </c>
      <c r="AA367" s="8">
        <f>IFERROR(Z367/Z445, "NA")</f>
        <v>0</v>
      </c>
      <c r="AB367" s="9"/>
      <c r="AC367" s="10">
        <f t="shared" si="95"/>
        <v>0</v>
      </c>
      <c r="AD367" s="8">
        <f>IFERROR(AC367/AC445, "NA")</f>
        <v>0</v>
      </c>
    </row>
    <row r="368" spans="1:30" ht="16.5" hidden="1" customHeight="1" x14ac:dyDescent="0.45">
      <c r="A368" s="6" t="s">
        <v>336</v>
      </c>
      <c r="B368" s="7">
        <v>0</v>
      </c>
      <c r="C368" s="8">
        <f>IFERROR(B368/B445, "NA")</f>
        <v>0</v>
      </c>
      <c r="D368" s="9"/>
      <c r="E368" s="7">
        <v>0</v>
      </c>
      <c r="F368" s="8">
        <f>IFERROR(E368/E445, "NA")</f>
        <v>0</v>
      </c>
      <c r="G368" s="9"/>
      <c r="H368" s="10">
        <f t="shared" si="92"/>
        <v>0</v>
      </c>
      <c r="I368" s="8">
        <f>IFERROR(H368/H445, "NA")</f>
        <v>0</v>
      </c>
      <c r="J368" s="9"/>
      <c r="K368" s="7">
        <v>0</v>
      </c>
      <c r="L368" s="8">
        <f>IFERROR(K368/K445, "NA")</f>
        <v>0</v>
      </c>
      <c r="M368" s="9"/>
      <c r="N368" s="10">
        <f t="shared" si="93"/>
        <v>0</v>
      </c>
      <c r="O368" s="8">
        <f>IFERROR(N368/N445, "NA")</f>
        <v>0</v>
      </c>
      <c r="P368" s="9"/>
      <c r="Q368" s="7">
        <v>0</v>
      </c>
      <c r="R368" s="8">
        <f>IFERROR(Q368/Q445, "NA")</f>
        <v>0</v>
      </c>
      <c r="S368" s="9"/>
      <c r="T368" s="7">
        <v>0</v>
      </c>
      <c r="U368" s="8">
        <f>IFERROR(T368/T445, "NA")</f>
        <v>0</v>
      </c>
      <c r="V368" s="9"/>
      <c r="W368" s="10">
        <f t="shared" si="94"/>
        <v>0</v>
      </c>
      <c r="X368" s="8">
        <f>IFERROR(W368/W445, "NA")</f>
        <v>0</v>
      </c>
      <c r="Y368" s="9"/>
      <c r="Z368" s="7">
        <v>0</v>
      </c>
      <c r="AA368" s="8">
        <f>IFERROR(Z368/Z445, "NA")</f>
        <v>0</v>
      </c>
      <c r="AB368" s="9"/>
      <c r="AC368" s="10">
        <f t="shared" si="95"/>
        <v>0</v>
      </c>
      <c r="AD368" s="8">
        <f>IFERROR(AC368/AC445, "NA")</f>
        <v>0</v>
      </c>
    </row>
    <row r="369" spans="1:30" ht="16.5" customHeight="1" x14ac:dyDescent="0.45">
      <c r="A369" s="19" t="s">
        <v>337</v>
      </c>
      <c r="B369" s="14">
        <f>IFERROR(B361+B362+B363+B364+B365+B366+B367+B368, "NA")</f>
        <v>0</v>
      </c>
      <c r="C369" s="15">
        <f>IFERROR(B369/B445, "NA")</f>
        <v>0</v>
      </c>
      <c r="D369" s="2"/>
      <c r="E369" s="14">
        <f>IFERROR(E361+E362+E363+E364+E365+E366+E367+E368, "NA")</f>
        <v>0</v>
      </c>
      <c r="F369" s="15">
        <f>IFERROR(E369/E445, "NA")</f>
        <v>0</v>
      </c>
      <c r="G369" s="2"/>
      <c r="H369" s="14">
        <f t="shared" si="92"/>
        <v>0</v>
      </c>
      <c r="I369" s="15">
        <f>IFERROR(H369/H445, "NA")</f>
        <v>0</v>
      </c>
      <c r="J369" s="2"/>
      <c r="K369" s="14">
        <f>IFERROR(K361+K362+K363+K364+K365+K366+K367+K368, "NA")</f>
        <v>0</v>
      </c>
      <c r="L369" s="15">
        <f>IFERROR(K369/K445, "NA")</f>
        <v>0</v>
      </c>
      <c r="M369" s="2"/>
      <c r="N369" s="14">
        <f t="shared" si="93"/>
        <v>0</v>
      </c>
      <c r="O369" s="15">
        <f>IFERROR(N369/N445, "NA")</f>
        <v>0</v>
      </c>
      <c r="P369" s="2"/>
      <c r="Q369" s="14">
        <f>IFERROR(Q361+Q362+Q363+Q364+Q365+Q366+Q367+Q368, "NA")</f>
        <v>0</v>
      </c>
      <c r="R369" s="15">
        <f>IFERROR(Q369/Q445, "NA")</f>
        <v>0</v>
      </c>
      <c r="S369" s="2"/>
      <c r="T369" s="14">
        <f>IFERROR(T361+T362+T363+T364+T365+T366+T367+T368, "NA")</f>
        <v>0</v>
      </c>
      <c r="U369" s="15">
        <f>IFERROR(T369/T445, "NA")</f>
        <v>0</v>
      </c>
      <c r="V369" s="2"/>
      <c r="W369" s="14">
        <f t="shared" si="94"/>
        <v>0</v>
      </c>
      <c r="X369" s="15">
        <f>IFERROR(W369/W445, "NA")</f>
        <v>0</v>
      </c>
      <c r="Y369" s="2"/>
      <c r="Z369" s="14">
        <f>IFERROR(Z361+Z362+Z363+Z364+Z365+Z366+Z367+Z368, "NA")</f>
        <v>0</v>
      </c>
      <c r="AA369" s="15">
        <f>IFERROR(Z369/Z445, "NA")</f>
        <v>0</v>
      </c>
      <c r="AB369" s="2"/>
      <c r="AC369" s="14">
        <f t="shared" si="95"/>
        <v>0</v>
      </c>
      <c r="AD369" s="15">
        <f>IFERROR(AC369/AC445,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IFERROR(B370/B445, "NA")</f>
        <v>0</v>
      </c>
      <c r="D370" s="9"/>
      <c r="E370" s="7">
        <v>0</v>
      </c>
      <c r="F370" s="8">
        <f>IFERROR(E370/E445, "NA")</f>
        <v>0</v>
      </c>
      <c r="G370" s="9"/>
      <c r="H370" s="10">
        <f t="shared" si="92"/>
        <v>0</v>
      </c>
      <c r="I370" s="8">
        <f>IFERROR(H370/H445, "NA")</f>
        <v>0</v>
      </c>
      <c r="J370" s="9"/>
      <c r="K370" s="7">
        <v>0</v>
      </c>
      <c r="L370" s="8">
        <f>IFERROR(K370/K445, "NA")</f>
        <v>0</v>
      </c>
      <c r="M370" s="9"/>
      <c r="N370" s="10">
        <f t="shared" si="93"/>
        <v>0</v>
      </c>
      <c r="O370" s="8">
        <f>IFERROR(N370/N445, "NA")</f>
        <v>0</v>
      </c>
      <c r="P370" s="9"/>
      <c r="Q370" s="7">
        <v>0</v>
      </c>
      <c r="R370" s="8">
        <f>IFERROR(Q370/Q445, "NA")</f>
        <v>0</v>
      </c>
      <c r="S370" s="9"/>
      <c r="T370" s="7">
        <v>0</v>
      </c>
      <c r="U370" s="8">
        <f>IFERROR(T370/T445, "NA")</f>
        <v>0</v>
      </c>
      <c r="V370" s="9"/>
      <c r="W370" s="10">
        <f t="shared" si="94"/>
        <v>0</v>
      </c>
      <c r="X370" s="8">
        <f>IFERROR(W370/W445, "NA")</f>
        <v>0</v>
      </c>
      <c r="Y370" s="9"/>
      <c r="Z370" s="7">
        <v>0</v>
      </c>
      <c r="AA370" s="8">
        <f>IFERROR(Z370/Z445, "NA")</f>
        <v>0</v>
      </c>
      <c r="AB370" s="9"/>
      <c r="AC370" s="10">
        <f t="shared" si="95"/>
        <v>0</v>
      </c>
      <c r="AD370" s="8">
        <f>IFERROR(AC370/AC445,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IFERROR(B371/B445, "NA")</f>
        <v>0</v>
      </c>
      <c r="D371" s="9"/>
      <c r="E371" s="7">
        <v>0</v>
      </c>
      <c r="F371" s="8">
        <f>IFERROR(E371/E445, "NA")</f>
        <v>0</v>
      </c>
      <c r="G371" s="9"/>
      <c r="H371" s="10">
        <f t="shared" si="92"/>
        <v>0</v>
      </c>
      <c r="I371" s="8">
        <f>IFERROR(H371/H445, "NA")</f>
        <v>0</v>
      </c>
      <c r="J371" s="9"/>
      <c r="K371" s="7">
        <v>0</v>
      </c>
      <c r="L371" s="8">
        <f>IFERROR(K371/K445, "NA")</f>
        <v>0</v>
      </c>
      <c r="M371" s="9"/>
      <c r="N371" s="10">
        <f t="shared" si="93"/>
        <v>0</v>
      </c>
      <c r="O371" s="8">
        <f>IFERROR(N371/N445, "NA")</f>
        <v>0</v>
      </c>
      <c r="P371" s="9"/>
      <c r="Q371" s="7">
        <v>0</v>
      </c>
      <c r="R371" s="8">
        <f>IFERROR(Q371/Q445, "NA")</f>
        <v>0</v>
      </c>
      <c r="S371" s="9"/>
      <c r="T371" s="7">
        <v>0</v>
      </c>
      <c r="U371" s="8">
        <f>IFERROR(T371/T445, "NA")</f>
        <v>0</v>
      </c>
      <c r="V371" s="9"/>
      <c r="W371" s="10">
        <f t="shared" si="94"/>
        <v>0</v>
      </c>
      <c r="X371" s="8">
        <f>IFERROR(W371/W445, "NA")</f>
        <v>0</v>
      </c>
      <c r="Y371" s="9"/>
      <c r="Z371" s="7">
        <v>0</v>
      </c>
      <c r="AA371" s="8">
        <f>IFERROR(Z371/Z445, "NA")</f>
        <v>0</v>
      </c>
      <c r="AB371" s="9"/>
      <c r="AC371" s="10">
        <f t="shared" si="95"/>
        <v>0</v>
      </c>
      <c r="AD371" s="8">
        <f>IFERROR(AC371/AC445,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IFERROR(B372/B445, "NA")</f>
        <v>0</v>
      </c>
      <c r="D372" s="9"/>
      <c r="E372" s="7">
        <v>0</v>
      </c>
      <c r="F372" s="8">
        <f>IFERROR(E372/E445, "NA")</f>
        <v>0</v>
      </c>
      <c r="G372" s="9"/>
      <c r="H372" s="10">
        <f t="shared" si="92"/>
        <v>0</v>
      </c>
      <c r="I372" s="8">
        <f>IFERROR(H372/H445, "NA")</f>
        <v>0</v>
      </c>
      <c r="J372" s="9"/>
      <c r="K372" s="7">
        <v>0</v>
      </c>
      <c r="L372" s="8">
        <f>IFERROR(K372/K445, "NA")</f>
        <v>0</v>
      </c>
      <c r="M372" s="9"/>
      <c r="N372" s="10">
        <f t="shared" si="93"/>
        <v>0</v>
      </c>
      <c r="O372" s="8">
        <f>IFERROR(N372/N445, "NA")</f>
        <v>0</v>
      </c>
      <c r="P372" s="9"/>
      <c r="Q372" s="7">
        <v>0</v>
      </c>
      <c r="R372" s="8">
        <f>IFERROR(Q372/Q445, "NA")</f>
        <v>0</v>
      </c>
      <c r="S372" s="9"/>
      <c r="T372" s="7">
        <v>0</v>
      </c>
      <c r="U372" s="8">
        <f>IFERROR(T372/T445, "NA")</f>
        <v>0</v>
      </c>
      <c r="V372" s="9"/>
      <c r="W372" s="10">
        <f t="shared" si="94"/>
        <v>0</v>
      </c>
      <c r="X372" s="8">
        <f>IFERROR(W372/W445, "NA")</f>
        <v>0</v>
      </c>
      <c r="Y372" s="9"/>
      <c r="Z372" s="7">
        <v>0</v>
      </c>
      <c r="AA372" s="8">
        <f>IFERROR(Z372/Z445, "NA")</f>
        <v>0</v>
      </c>
      <c r="AB372" s="9"/>
      <c r="AC372" s="10">
        <f t="shared" si="95"/>
        <v>0</v>
      </c>
      <c r="AD372" s="8">
        <f>IFERROR(AC372/AC445,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IFERROR(B373/B445, "NA")</f>
        <v>0</v>
      </c>
      <c r="D373" s="9"/>
      <c r="E373" s="7">
        <v>0</v>
      </c>
      <c r="F373" s="8">
        <f>IFERROR(E373/E445, "NA")</f>
        <v>0</v>
      </c>
      <c r="G373" s="9"/>
      <c r="H373" s="10">
        <f t="shared" si="92"/>
        <v>0</v>
      </c>
      <c r="I373" s="8">
        <f>IFERROR(H373/H445, "NA")</f>
        <v>0</v>
      </c>
      <c r="J373" s="9"/>
      <c r="K373" s="7">
        <v>0</v>
      </c>
      <c r="L373" s="8">
        <f>IFERROR(K373/K445, "NA")</f>
        <v>0</v>
      </c>
      <c r="M373" s="9"/>
      <c r="N373" s="10">
        <f t="shared" si="93"/>
        <v>0</v>
      </c>
      <c r="O373" s="8">
        <f>IFERROR(N373/N445, "NA")</f>
        <v>0</v>
      </c>
      <c r="P373" s="9"/>
      <c r="Q373" s="7">
        <v>0</v>
      </c>
      <c r="R373" s="8">
        <f>IFERROR(Q373/Q445, "NA")</f>
        <v>0</v>
      </c>
      <c r="S373" s="9"/>
      <c r="T373" s="7">
        <v>0</v>
      </c>
      <c r="U373" s="8">
        <f>IFERROR(T373/T445, "NA")</f>
        <v>0</v>
      </c>
      <c r="V373" s="9"/>
      <c r="W373" s="10">
        <f t="shared" si="94"/>
        <v>0</v>
      </c>
      <c r="X373" s="8">
        <f>IFERROR(W373/W445, "NA")</f>
        <v>0</v>
      </c>
      <c r="Y373" s="9"/>
      <c r="Z373" s="7">
        <v>0</v>
      </c>
      <c r="AA373" s="8">
        <f>IFERROR(Z373/Z445, "NA")</f>
        <v>0</v>
      </c>
      <c r="AB373" s="9"/>
      <c r="AC373" s="10">
        <f t="shared" si="95"/>
        <v>0</v>
      </c>
      <c r="AD373" s="8">
        <f>IFERROR(AC373/AC445,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IFERROR(B374/B445, "NA")</f>
        <v>0</v>
      </c>
      <c r="D374" s="9"/>
      <c r="E374" s="7">
        <v>0</v>
      </c>
      <c r="F374" s="8">
        <f>IFERROR(E374/E445, "NA")</f>
        <v>0</v>
      </c>
      <c r="G374" s="9"/>
      <c r="H374" s="10">
        <f t="shared" si="92"/>
        <v>0</v>
      </c>
      <c r="I374" s="8">
        <f>IFERROR(H374/H445, "NA")</f>
        <v>0</v>
      </c>
      <c r="J374" s="9"/>
      <c r="K374" s="7">
        <v>0</v>
      </c>
      <c r="L374" s="8">
        <f>IFERROR(K374/K445, "NA")</f>
        <v>0</v>
      </c>
      <c r="M374" s="9"/>
      <c r="N374" s="10">
        <f t="shared" si="93"/>
        <v>0</v>
      </c>
      <c r="O374" s="8">
        <f>IFERROR(N374/N445, "NA")</f>
        <v>0</v>
      </c>
      <c r="P374" s="9"/>
      <c r="Q374" s="7">
        <v>0</v>
      </c>
      <c r="R374" s="8">
        <f>IFERROR(Q374/Q445, "NA")</f>
        <v>0</v>
      </c>
      <c r="S374" s="9"/>
      <c r="T374" s="7">
        <v>0</v>
      </c>
      <c r="U374" s="8">
        <f>IFERROR(T374/T445, "NA")</f>
        <v>0</v>
      </c>
      <c r="V374" s="9"/>
      <c r="W374" s="10">
        <f t="shared" si="94"/>
        <v>0</v>
      </c>
      <c r="X374" s="8">
        <f>IFERROR(W374/W445, "NA")</f>
        <v>0</v>
      </c>
      <c r="Y374" s="9"/>
      <c r="Z374" s="7">
        <v>0</v>
      </c>
      <c r="AA374" s="8">
        <f>IFERROR(Z374/Z445, "NA")</f>
        <v>0</v>
      </c>
      <c r="AB374" s="9"/>
      <c r="AC374" s="10">
        <f t="shared" si="95"/>
        <v>0</v>
      </c>
      <c r="AD374" s="8">
        <f>IFERROR(AC374/AC445,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IFERROR(B375/B445, "NA")</f>
        <v>0</v>
      </c>
      <c r="D375" s="9"/>
      <c r="E375" s="7">
        <v>0</v>
      </c>
      <c r="F375" s="8">
        <f>IFERROR(E375/E445, "NA")</f>
        <v>0</v>
      </c>
      <c r="G375" s="9"/>
      <c r="H375" s="10">
        <f t="shared" si="92"/>
        <v>0</v>
      </c>
      <c r="I375" s="8">
        <f>IFERROR(H375/H445, "NA")</f>
        <v>0</v>
      </c>
      <c r="J375" s="9"/>
      <c r="K375" s="7">
        <v>0</v>
      </c>
      <c r="L375" s="8">
        <f>IFERROR(K375/K445, "NA")</f>
        <v>0</v>
      </c>
      <c r="M375" s="9"/>
      <c r="N375" s="10">
        <f t="shared" si="93"/>
        <v>0</v>
      </c>
      <c r="O375" s="8">
        <f>IFERROR(N375/N445, "NA")</f>
        <v>0</v>
      </c>
      <c r="P375" s="9"/>
      <c r="Q375" s="7">
        <v>0</v>
      </c>
      <c r="R375" s="8">
        <f>IFERROR(Q375/Q445, "NA")</f>
        <v>0</v>
      </c>
      <c r="S375" s="9"/>
      <c r="T375" s="7">
        <v>0</v>
      </c>
      <c r="U375" s="8">
        <f>IFERROR(T375/T445, "NA")</f>
        <v>0</v>
      </c>
      <c r="V375" s="9"/>
      <c r="W375" s="10">
        <f t="shared" si="94"/>
        <v>0</v>
      </c>
      <c r="X375" s="8">
        <f>IFERROR(W375/W445, "NA")</f>
        <v>0</v>
      </c>
      <c r="Y375" s="9"/>
      <c r="Z375" s="7">
        <v>0</v>
      </c>
      <c r="AA375" s="8">
        <f>IFERROR(Z375/Z445, "NA")</f>
        <v>0</v>
      </c>
      <c r="AB375" s="9"/>
      <c r="AC375" s="10">
        <f t="shared" si="95"/>
        <v>0</v>
      </c>
      <c r="AD375" s="8">
        <f>IFERROR(AC375/AC445,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IFERROR(B376/B445, "NA")</f>
        <v>0</v>
      </c>
      <c r="D376" s="9"/>
      <c r="E376" s="7">
        <v>0</v>
      </c>
      <c r="F376" s="8">
        <f>IFERROR(E376/E445, "NA")</f>
        <v>0</v>
      </c>
      <c r="G376" s="9"/>
      <c r="H376" s="10">
        <f t="shared" si="92"/>
        <v>0</v>
      </c>
      <c r="I376" s="8">
        <f>IFERROR(H376/H445, "NA")</f>
        <v>0</v>
      </c>
      <c r="J376" s="9"/>
      <c r="K376" s="7">
        <v>0</v>
      </c>
      <c r="L376" s="8">
        <f>IFERROR(K376/K445, "NA")</f>
        <v>0</v>
      </c>
      <c r="M376" s="9"/>
      <c r="N376" s="10">
        <f t="shared" si="93"/>
        <v>0</v>
      </c>
      <c r="O376" s="8">
        <f>IFERROR(N376/N445, "NA")</f>
        <v>0</v>
      </c>
      <c r="P376" s="9"/>
      <c r="Q376" s="7">
        <v>0</v>
      </c>
      <c r="R376" s="8">
        <f>IFERROR(Q376/Q445, "NA")</f>
        <v>0</v>
      </c>
      <c r="S376" s="9"/>
      <c r="T376" s="7">
        <v>0</v>
      </c>
      <c r="U376" s="8">
        <f>IFERROR(T376/T445, "NA")</f>
        <v>0</v>
      </c>
      <c r="V376" s="9"/>
      <c r="W376" s="10">
        <f t="shared" si="94"/>
        <v>0</v>
      </c>
      <c r="X376" s="8">
        <f>IFERROR(W376/W445, "NA")</f>
        <v>0</v>
      </c>
      <c r="Y376" s="9"/>
      <c r="Z376" s="7">
        <v>0</v>
      </c>
      <c r="AA376" s="8">
        <f>IFERROR(Z376/Z445, "NA")</f>
        <v>0</v>
      </c>
      <c r="AB376" s="9"/>
      <c r="AC376" s="10">
        <f t="shared" si="95"/>
        <v>0</v>
      </c>
      <c r="AD376" s="8">
        <f>IFERROR(AC376/AC445,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IFERROR(B377/B445, "NA")</f>
        <v>0</v>
      </c>
      <c r="D377" s="9"/>
      <c r="E377" s="7">
        <v>0</v>
      </c>
      <c r="F377" s="8">
        <f>IFERROR(E377/E445, "NA")</f>
        <v>0</v>
      </c>
      <c r="G377" s="9"/>
      <c r="H377" s="10">
        <f t="shared" si="92"/>
        <v>0</v>
      </c>
      <c r="I377" s="8">
        <f>IFERROR(H377/H445, "NA")</f>
        <v>0</v>
      </c>
      <c r="J377" s="9"/>
      <c r="K377" s="7">
        <v>0</v>
      </c>
      <c r="L377" s="8">
        <f>IFERROR(K377/K445, "NA")</f>
        <v>0</v>
      </c>
      <c r="M377" s="9"/>
      <c r="N377" s="10">
        <f t="shared" si="93"/>
        <v>0</v>
      </c>
      <c r="O377" s="8">
        <f>IFERROR(N377/N445, "NA")</f>
        <v>0</v>
      </c>
      <c r="P377" s="9"/>
      <c r="Q377" s="7">
        <v>0</v>
      </c>
      <c r="R377" s="8">
        <f>IFERROR(Q377/Q445, "NA")</f>
        <v>0</v>
      </c>
      <c r="S377" s="9"/>
      <c r="T377" s="7">
        <v>0</v>
      </c>
      <c r="U377" s="8">
        <f>IFERROR(T377/T445, "NA")</f>
        <v>0</v>
      </c>
      <c r="V377" s="9"/>
      <c r="W377" s="10">
        <f t="shared" si="94"/>
        <v>0</v>
      </c>
      <c r="X377" s="8">
        <f>IFERROR(W377/W445, "NA")</f>
        <v>0</v>
      </c>
      <c r="Y377" s="9"/>
      <c r="Z377" s="7">
        <v>0</v>
      </c>
      <c r="AA377" s="8">
        <f>IFERROR(Z377/Z445, "NA")</f>
        <v>0</v>
      </c>
      <c r="AB377" s="9"/>
      <c r="AC377" s="10">
        <f t="shared" si="95"/>
        <v>0</v>
      </c>
      <c r="AD377" s="8">
        <f>IFERROR(AC377/AC445,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IFERROR(B378/B445, "NA")</f>
        <v>0</v>
      </c>
      <c r="D378" s="9"/>
      <c r="E378" s="7">
        <v>0</v>
      </c>
      <c r="F378" s="8">
        <f>IFERROR(E378/E445, "NA")</f>
        <v>0</v>
      </c>
      <c r="G378" s="9"/>
      <c r="H378" s="10">
        <f t="shared" si="92"/>
        <v>0</v>
      </c>
      <c r="I378" s="8">
        <f>IFERROR(H378/H445, "NA")</f>
        <v>0</v>
      </c>
      <c r="J378" s="9"/>
      <c r="K378" s="7">
        <v>0</v>
      </c>
      <c r="L378" s="8">
        <f>IFERROR(K378/K445, "NA")</f>
        <v>0</v>
      </c>
      <c r="M378" s="9"/>
      <c r="N378" s="10">
        <f t="shared" si="93"/>
        <v>0</v>
      </c>
      <c r="O378" s="8">
        <f>IFERROR(N378/N445, "NA")</f>
        <v>0</v>
      </c>
      <c r="P378" s="9"/>
      <c r="Q378" s="7">
        <v>0</v>
      </c>
      <c r="R378" s="8">
        <f>IFERROR(Q378/Q445, "NA")</f>
        <v>0</v>
      </c>
      <c r="S378" s="9"/>
      <c r="T378" s="7">
        <v>0</v>
      </c>
      <c r="U378" s="8">
        <f>IFERROR(T378/T445, "NA")</f>
        <v>0</v>
      </c>
      <c r="V378" s="9"/>
      <c r="W378" s="10">
        <f t="shared" si="94"/>
        <v>0</v>
      </c>
      <c r="X378" s="8">
        <f>IFERROR(W378/W445, "NA")</f>
        <v>0</v>
      </c>
      <c r="Y378" s="9"/>
      <c r="Z378" s="7">
        <v>0</v>
      </c>
      <c r="AA378" s="8">
        <f>IFERROR(Z378/Z445, "NA")</f>
        <v>0</v>
      </c>
      <c r="AB378" s="9"/>
      <c r="AC378" s="10">
        <f t="shared" si="95"/>
        <v>0</v>
      </c>
      <c r="AD378" s="8">
        <f>IFERROR(AC378/AC445,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IFERROR(B379/B445, "NA")</f>
        <v>0</v>
      </c>
      <c r="D379" s="9"/>
      <c r="E379" s="7">
        <v>0</v>
      </c>
      <c r="F379" s="8">
        <f>IFERROR(E379/E445, "NA")</f>
        <v>0</v>
      </c>
      <c r="G379" s="9"/>
      <c r="H379" s="10">
        <f t="shared" si="92"/>
        <v>0</v>
      </c>
      <c r="I379" s="8">
        <f>IFERROR(H379/H445, "NA")</f>
        <v>0</v>
      </c>
      <c r="J379" s="9"/>
      <c r="K379" s="7">
        <v>0</v>
      </c>
      <c r="L379" s="8">
        <f>IFERROR(K379/K445, "NA")</f>
        <v>0</v>
      </c>
      <c r="M379" s="9"/>
      <c r="N379" s="10">
        <f t="shared" si="93"/>
        <v>0</v>
      </c>
      <c r="O379" s="8">
        <f>IFERROR(N379/N445, "NA")</f>
        <v>0</v>
      </c>
      <c r="P379" s="9"/>
      <c r="Q379" s="7">
        <v>0</v>
      </c>
      <c r="R379" s="8">
        <f>IFERROR(Q379/Q445, "NA")</f>
        <v>0</v>
      </c>
      <c r="S379" s="9"/>
      <c r="T379" s="7">
        <v>0</v>
      </c>
      <c r="U379" s="8">
        <f>IFERROR(T379/T445, "NA")</f>
        <v>0</v>
      </c>
      <c r="V379" s="9"/>
      <c r="W379" s="10">
        <f t="shared" si="94"/>
        <v>0</v>
      </c>
      <c r="X379" s="8">
        <f>IFERROR(W379/W445, "NA")</f>
        <v>0</v>
      </c>
      <c r="Y379" s="9"/>
      <c r="Z379" s="7">
        <v>0</v>
      </c>
      <c r="AA379" s="8">
        <f>IFERROR(Z379/Z445, "NA")</f>
        <v>0</v>
      </c>
      <c r="AB379" s="9"/>
      <c r="AC379" s="10">
        <f t="shared" si="95"/>
        <v>0</v>
      </c>
      <c r="AD379" s="8">
        <f>IFERROR(AC379/AC445,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IFERROR(B380/B445, "NA")</f>
        <v>0</v>
      </c>
      <c r="D380" s="9"/>
      <c r="E380" s="7">
        <v>0</v>
      </c>
      <c r="F380" s="8">
        <f>IFERROR(E380/E445, "NA")</f>
        <v>0</v>
      </c>
      <c r="G380" s="9"/>
      <c r="H380" s="10">
        <f t="shared" si="92"/>
        <v>0</v>
      </c>
      <c r="I380" s="8">
        <f>IFERROR(H380/H445, "NA")</f>
        <v>0</v>
      </c>
      <c r="J380" s="9"/>
      <c r="K380" s="7">
        <v>0</v>
      </c>
      <c r="L380" s="8">
        <f>IFERROR(K380/K445, "NA")</f>
        <v>0</v>
      </c>
      <c r="M380" s="9"/>
      <c r="N380" s="10">
        <f t="shared" si="93"/>
        <v>0</v>
      </c>
      <c r="O380" s="8">
        <f>IFERROR(N380/N445, "NA")</f>
        <v>0</v>
      </c>
      <c r="P380" s="9"/>
      <c r="Q380" s="7">
        <v>0</v>
      </c>
      <c r="R380" s="8">
        <f>IFERROR(Q380/Q445, "NA")</f>
        <v>0</v>
      </c>
      <c r="S380" s="9"/>
      <c r="T380" s="7">
        <v>0</v>
      </c>
      <c r="U380" s="8">
        <f>IFERROR(T380/T445, "NA")</f>
        <v>0</v>
      </c>
      <c r="V380" s="9"/>
      <c r="W380" s="10">
        <f t="shared" si="94"/>
        <v>0</v>
      </c>
      <c r="X380" s="8">
        <f>IFERROR(W380/W445, "NA")</f>
        <v>0</v>
      </c>
      <c r="Y380" s="9"/>
      <c r="Z380" s="7">
        <v>0</v>
      </c>
      <c r="AA380" s="8">
        <f>IFERROR(Z380/Z445, "NA")</f>
        <v>0</v>
      </c>
      <c r="AB380" s="9"/>
      <c r="AC380" s="10">
        <f t="shared" si="95"/>
        <v>0</v>
      </c>
      <c r="AD380" s="8">
        <f>IFERROR(AC380/AC445,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IFERROR(B381/B445, "NA")</f>
        <v>0</v>
      </c>
      <c r="D381" s="9"/>
      <c r="E381" s="7">
        <v>0</v>
      </c>
      <c r="F381" s="8">
        <f>IFERROR(E381/E445, "NA")</f>
        <v>0</v>
      </c>
      <c r="G381" s="9"/>
      <c r="H381" s="10">
        <f t="shared" si="92"/>
        <v>0</v>
      </c>
      <c r="I381" s="8">
        <f>IFERROR(H381/H445, "NA")</f>
        <v>0</v>
      </c>
      <c r="J381" s="9"/>
      <c r="K381" s="7">
        <v>0</v>
      </c>
      <c r="L381" s="8">
        <f>IFERROR(K381/K445, "NA")</f>
        <v>0</v>
      </c>
      <c r="M381" s="9"/>
      <c r="N381" s="10">
        <f t="shared" si="93"/>
        <v>0</v>
      </c>
      <c r="O381" s="8">
        <f>IFERROR(N381/N445, "NA")</f>
        <v>0</v>
      </c>
      <c r="P381" s="9"/>
      <c r="Q381" s="7">
        <v>0</v>
      </c>
      <c r="R381" s="8">
        <f>IFERROR(Q381/Q445, "NA")</f>
        <v>0</v>
      </c>
      <c r="S381" s="9"/>
      <c r="T381" s="7">
        <v>0</v>
      </c>
      <c r="U381" s="8">
        <f>IFERROR(T381/T445, "NA")</f>
        <v>0</v>
      </c>
      <c r="V381" s="9"/>
      <c r="W381" s="10">
        <f t="shared" si="94"/>
        <v>0</v>
      </c>
      <c r="X381" s="8">
        <f>IFERROR(W381/W445, "NA")</f>
        <v>0</v>
      </c>
      <c r="Y381" s="9"/>
      <c r="Z381" s="7">
        <v>0</v>
      </c>
      <c r="AA381" s="8">
        <f>IFERROR(Z381/Z445, "NA")</f>
        <v>0</v>
      </c>
      <c r="AB381" s="9"/>
      <c r="AC381" s="10">
        <f t="shared" si="95"/>
        <v>0</v>
      </c>
      <c r="AD381" s="8">
        <f>IFERROR(AC381/AC445,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IFERROR(B382/B445, "NA")</f>
        <v>0</v>
      </c>
      <c r="D382" s="9"/>
      <c r="E382" s="7">
        <v>0</v>
      </c>
      <c r="F382" s="8">
        <f>IFERROR(E382/E445, "NA")</f>
        <v>0</v>
      </c>
      <c r="G382" s="9"/>
      <c r="H382" s="10">
        <f t="shared" si="92"/>
        <v>0</v>
      </c>
      <c r="I382" s="8">
        <f>IFERROR(H382/H445, "NA")</f>
        <v>0</v>
      </c>
      <c r="J382" s="9"/>
      <c r="K382" s="7">
        <v>0</v>
      </c>
      <c r="L382" s="8">
        <f>IFERROR(K382/K445, "NA")</f>
        <v>0</v>
      </c>
      <c r="M382" s="9"/>
      <c r="N382" s="10">
        <f t="shared" si="93"/>
        <v>0</v>
      </c>
      <c r="O382" s="8">
        <f>IFERROR(N382/N445, "NA")</f>
        <v>0</v>
      </c>
      <c r="P382" s="9"/>
      <c r="Q382" s="7">
        <v>0</v>
      </c>
      <c r="R382" s="8">
        <f>IFERROR(Q382/Q445, "NA")</f>
        <v>0</v>
      </c>
      <c r="S382" s="9"/>
      <c r="T382" s="7">
        <v>0</v>
      </c>
      <c r="U382" s="8">
        <f>IFERROR(T382/T445, "NA")</f>
        <v>0</v>
      </c>
      <c r="V382" s="9"/>
      <c r="W382" s="10">
        <f t="shared" si="94"/>
        <v>0</v>
      </c>
      <c r="X382" s="8">
        <f>IFERROR(W382/W445, "NA")</f>
        <v>0</v>
      </c>
      <c r="Y382" s="9"/>
      <c r="Z382" s="7">
        <v>0</v>
      </c>
      <c r="AA382" s="8">
        <f>IFERROR(Z382/Z445, "NA")</f>
        <v>0</v>
      </c>
      <c r="AB382" s="9"/>
      <c r="AC382" s="10">
        <f t="shared" si="95"/>
        <v>0</v>
      </c>
      <c r="AD382" s="8">
        <f>IFERROR(AC382/AC445,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IFERROR(B383/B445, "NA")</f>
        <v>0</v>
      </c>
      <c r="D383" s="9"/>
      <c r="E383" s="7">
        <v>0</v>
      </c>
      <c r="F383" s="8">
        <f>IFERROR(E383/E445, "NA")</f>
        <v>0</v>
      </c>
      <c r="G383" s="9"/>
      <c r="H383" s="10">
        <f t="shared" si="92"/>
        <v>0</v>
      </c>
      <c r="I383" s="8">
        <f>IFERROR(H383/H445, "NA")</f>
        <v>0</v>
      </c>
      <c r="J383" s="9"/>
      <c r="K383" s="7">
        <v>0</v>
      </c>
      <c r="L383" s="8">
        <f>IFERROR(K383/K445, "NA")</f>
        <v>0</v>
      </c>
      <c r="M383" s="9"/>
      <c r="N383" s="10">
        <f t="shared" si="93"/>
        <v>0</v>
      </c>
      <c r="O383" s="8">
        <f>IFERROR(N383/N445, "NA")</f>
        <v>0</v>
      </c>
      <c r="P383" s="9"/>
      <c r="Q383" s="7">
        <v>0</v>
      </c>
      <c r="R383" s="8">
        <f>IFERROR(Q383/Q445, "NA")</f>
        <v>0</v>
      </c>
      <c r="S383" s="9"/>
      <c r="T383" s="7">
        <v>0</v>
      </c>
      <c r="U383" s="8">
        <f>IFERROR(T383/T445, "NA")</f>
        <v>0</v>
      </c>
      <c r="V383" s="9"/>
      <c r="W383" s="10">
        <f t="shared" si="94"/>
        <v>0</v>
      </c>
      <c r="X383" s="8">
        <f>IFERROR(W383/W445, "NA")</f>
        <v>0</v>
      </c>
      <c r="Y383" s="9"/>
      <c r="Z383" s="7">
        <v>0</v>
      </c>
      <c r="AA383" s="8">
        <f>IFERROR(Z383/Z445, "NA")</f>
        <v>0</v>
      </c>
      <c r="AB383" s="9"/>
      <c r="AC383" s="10">
        <f t="shared" si="95"/>
        <v>0</v>
      </c>
      <c r="AD383" s="8">
        <f>IFERROR(AC383/AC445, "NA")</f>
        <v>0</v>
      </c>
    </row>
    <row r="384" spans="1:30" ht="16.5" hidden="1" customHeight="1" x14ac:dyDescent="0.45">
      <c r="A384" s="20" t="s">
        <v>352</v>
      </c>
      <c r="B384" s="7">
        <v>0</v>
      </c>
      <c r="C384" s="8">
        <f>IFERROR(B384/B445, "NA")</f>
        <v>0</v>
      </c>
      <c r="D384" s="9"/>
      <c r="E384" s="7">
        <v>0</v>
      </c>
      <c r="F384" s="8">
        <f>IFERROR(E384/E445, "NA")</f>
        <v>0</v>
      </c>
      <c r="G384" s="9"/>
      <c r="H384" s="10">
        <f t="shared" si="92"/>
        <v>0</v>
      </c>
      <c r="I384" s="8">
        <f>IFERROR(H384/H445, "NA")</f>
        <v>0</v>
      </c>
      <c r="J384" s="9"/>
      <c r="K384" s="7">
        <v>0</v>
      </c>
      <c r="L384" s="8">
        <f>IFERROR(K384/K445, "NA")</f>
        <v>0</v>
      </c>
      <c r="M384" s="9"/>
      <c r="N384" s="10">
        <f t="shared" si="93"/>
        <v>0</v>
      </c>
      <c r="O384" s="8">
        <f>IFERROR(N384/N445, "NA")</f>
        <v>0</v>
      </c>
      <c r="P384" s="9"/>
      <c r="Q384" s="7">
        <v>0</v>
      </c>
      <c r="R384" s="8">
        <f>IFERROR(Q384/Q445, "NA")</f>
        <v>0</v>
      </c>
      <c r="S384" s="9"/>
      <c r="T384" s="7">
        <v>0</v>
      </c>
      <c r="U384" s="8">
        <f>IFERROR(T384/T445, "NA")</f>
        <v>0</v>
      </c>
      <c r="V384" s="9"/>
      <c r="W384" s="10">
        <f t="shared" si="94"/>
        <v>0</v>
      </c>
      <c r="X384" s="8">
        <f>IFERROR(W384/W445, "NA")</f>
        <v>0</v>
      </c>
      <c r="Y384" s="9"/>
      <c r="Z384" s="7">
        <v>0</v>
      </c>
      <c r="AA384" s="8">
        <f>IFERROR(Z384/Z445, "NA")</f>
        <v>0</v>
      </c>
      <c r="AB384" s="9"/>
      <c r="AC384" s="10">
        <f t="shared" si="95"/>
        <v>0</v>
      </c>
      <c r="AD384" s="8">
        <f>IFERROR(AC384/AC445, "NA")</f>
        <v>0</v>
      </c>
    </row>
    <row r="385" spans="1:30" ht="16.5" customHeight="1" x14ac:dyDescent="0.45">
      <c r="A385" s="5" t="s">
        <v>353</v>
      </c>
      <c r="B385" s="2"/>
      <c r="C385" s="3"/>
      <c r="D385" s="4"/>
      <c r="E385" s="2"/>
      <c r="F385" s="3"/>
      <c r="G385" s="4"/>
      <c r="H385" s="2"/>
      <c r="I385" s="3"/>
      <c r="J385" s="4"/>
      <c r="K385" s="2"/>
      <c r="L385" s="3"/>
      <c r="M385" s="4"/>
      <c r="N385" s="2"/>
      <c r="O385" s="3"/>
      <c r="P385" s="4"/>
      <c r="Q385" s="2"/>
      <c r="R385" s="3"/>
      <c r="S385" s="4"/>
      <c r="T385" s="2"/>
      <c r="U385" s="3"/>
      <c r="V385" s="4"/>
      <c r="W385" s="2"/>
      <c r="X385" s="3"/>
      <c r="Y385" s="4"/>
      <c r="Z385" s="2"/>
      <c r="AA385" s="3"/>
      <c r="AB385" s="4"/>
      <c r="AC385" s="2"/>
      <c r="AD385" s="3"/>
    </row>
    <row r="386" spans="1:30" ht="16.5" hidden="1" customHeight="1" x14ac:dyDescent="0.45">
      <c r="A386" s="6" t="s">
        <v>353</v>
      </c>
      <c r="B386" s="7">
        <v>0</v>
      </c>
      <c r="C386" s="8">
        <f>IFERROR(B386/B445, "NA")</f>
        <v>0</v>
      </c>
      <c r="D386" s="9"/>
      <c r="E386" s="7">
        <v>0</v>
      </c>
      <c r="F386" s="8">
        <f>IFERROR(E386/E445, "NA")</f>
        <v>0</v>
      </c>
      <c r="G386" s="9"/>
      <c r="H386" s="10">
        <f>IFERROR(-(B386-E386), "NA")</f>
        <v>0</v>
      </c>
      <c r="I386" s="8">
        <f>IFERROR(H386/H445, "NA")</f>
        <v>0</v>
      </c>
      <c r="J386" s="9"/>
      <c r="K386" s="7">
        <v>0</v>
      </c>
      <c r="L386" s="8">
        <f>IFERROR(K386/K445, "NA")</f>
        <v>0</v>
      </c>
      <c r="M386" s="9"/>
      <c r="N386" s="10">
        <f>IFERROR(-(B386-K386), "NA")</f>
        <v>0</v>
      </c>
      <c r="O386" s="8">
        <f>IFERROR(N386/N445, "NA")</f>
        <v>0</v>
      </c>
      <c r="P386" s="9"/>
      <c r="Q386" s="7">
        <v>0</v>
      </c>
      <c r="R386" s="8">
        <f>IFERROR(Q386/Q445, "NA")</f>
        <v>0</v>
      </c>
      <c r="S386" s="9"/>
      <c r="T386" s="7">
        <v>0</v>
      </c>
      <c r="U386" s="8">
        <f>IFERROR(T386/T445, "NA")</f>
        <v>0</v>
      </c>
      <c r="V386" s="9"/>
      <c r="W386" s="10">
        <f>IFERROR(-(Q386-T386), "NA")</f>
        <v>0</v>
      </c>
      <c r="X386" s="8">
        <f>IFERROR(W386/W445, "NA")</f>
        <v>0</v>
      </c>
      <c r="Y386" s="9"/>
      <c r="Z386" s="7">
        <v>0</v>
      </c>
      <c r="AA386" s="8">
        <f>IFERROR(Z386/Z445, "NA")</f>
        <v>0</v>
      </c>
      <c r="AB386" s="9"/>
      <c r="AC386" s="10">
        <f>IFERROR(-(Q386-Z386), "NA")</f>
        <v>0</v>
      </c>
      <c r="AD386" s="8">
        <f>IFERROR(AC386/AC445, "NA")</f>
        <v>0</v>
      </c>
    </row>
    <row r="387" spans="1:30" ht="16.5" hidden="1" customHeight="1" x14ac:dyDescent="0.45">
      <c r="A387" s="6" t="s">
        <v>354</v>
      </c>
      <c r="B387" s="7">
        <v>0</v>
      </c>
      <c r="C387" s="8">
        <f>IFERROR(B387/B445, "NA")</f>
        <v>0</v>
      </c>
      <c r="D387" s="9"/>
      <c r="E387" s="7">
        <v>0</v>
      </c>
      <c r="F387" s="8">
        <f>IFERROR(E387/E445, "NA")</f>
        <v>0</v>
      </c>
      <c r="G387" s="9"/>
      <c r="H387" s="10">
        <f>IFERROR(-(B387-E387), "NA")</f>
        <v>0</v>
      </c>
      <c r="I387" s="8">
        <f>IFERROR(H387/H445, "NA")</f>
        <v>0</v>
      </c>
      <c r="J387" s="9"/>
      <c r="K387" s="7">
        <v>0</v>
      </c>
      <c r="L387" s="8">
        <f>IFERROR(K387/K445, "NA")</f>
        <v>0</v>
      </c>
      <c r="M387" s="9"/>
      <c r="N387" s="10">
        <f>IFERROR(-(B387-K387), "NA")</f>
        <v>0</v>
      </c>
      <c r="O387" s="8">
        <f>IFERROR(N387/N445, "NA")</f>
        <v>0</v>
      </c>
      <c r="P387" s="9"/>
      <c r="Q387" s="7">
        <v>0</v>
      </c>
      <c r="R387" s="8">
        <f>IFERROR(Q387/Q445, "NA")</f>
        <v>0</v>
      </c>
      <c r="S387" s="9"/>
      <c r="T387" s="7">
        <v>0</v>
      </c>
      <c r="U387" s="8">
        <f>IFERROR(T387/T445, "NA")</f>
        <v>0</v>
      </c>
      <c r="V387" s="9"/>
      <c r="W387" s="10">
        <f>IFERROR(-(Q387-T387), "NA")</f>
        <v>0</v>
      </c>
      <c r="X387" s="8">
        <f>IFERROR(W387/W445, "NA")</f>
        <v>0</v>
      </c>
      <c r="Y387" s="9"/>
      <c r="Z387" s="7">
        <v>0</v>
      </c>
      <c r="AA387" s="8">
        <f>IFERROR(Z387/Z445, "NA")</f>
        <v>0</v>
      </c>
      <c r="AB387" s="9"/>
      <c r="AC387" s="10">
        <f>IFERROR(-(Q387-Z387), "NA")</f>
        <v>0</v>
      </c>
      <c r="AD387" s="8">
        <f>IFERROR(AC387/AC445, "NA")</f>
        <v>0</v>
      </c>
    </row>
    <row r="388" spans="1:30" ht="16.5" customHeight="1" x14ac:dyDescent="0.45">
      <c r="A388" s="11" t="s">
        <v>355</v>
      </c>
      <c r="B388" s="2"/>
      <c r="C388" s="3"/>
      <c r="D388" s="4"/>
      <c r="E388" s="2"/>
      <c r="F388" s="3"/>
      <c r="G388" s="4"/>
      <c r="H388" s="2"/>
      <c r="I388" s="3"/>
      <c r="J388" s="4"/>
      <c r="K388" s="2"/>
      <c r="L388" s="3"/>
      <c r="M388" s="4"/>
      <c r="N388" s="2"/>
      <c r="O388" s="3"/>
      <c r="P388" s="4"/>
      <c r="Q388" s="2"/>
      <c r="R388" s="3"/>
      <c r="S388" s="4"/>
      <c r="T388" s="2"/>
      <c r="U388" s="3"/>
      <c r="V388" s="4"/>
      <c r="W388" s="2"/>
      <c r="X388" s="3"/>
      <c r="Y388" s="4"/>
      <c r="Z388" s="2"/>
      <c r="AA388" s="3"/>
      <c r="AB388" s="4"/>
      <c r="AC388" s="2"/>
      <c r="AD388" s="3"/>
    </row>
    <row r="389" spans="1:30" ht="16.5" hidden="1" customHeight="1" x14ac:dyDescent="0.45">
      <c r="A389" s="12" t="s">
        <v>355</v>
      </c>
      <c r="B389" s="7">
        <v>0</v>
      </c>
      <c r="C389" s="8">
        <f>IFERROR(B389/B445, "NA")</f>
        <v>0</v>
      </c>
      <c r="D389" s="9"/>
      <c r="E389" s="7">
        <v>0</v>
      </c>
      <c r="F389" s="8">
        <f>IFERROR(E389/E445, "NA")</f>
        <v>0</v>
      </c>
      <c r="G389" s="9"/>
      <c r="H389" s="10">
        <f t="shared" ref="H389:H404" si="96">IFERROR(-(B389-E389), "NA")</f>
        <v>0</v>
      </c>
      <c r="I389" s="8">
        <f>IFERROR(H389/H445, "NA")</f>
        <v>0</v>
      </c>
      <c r="J389" s="9"/>
      <c r="K389" s="7">
        <v>0</v>
      </c>
      <c r="L389" s="8">
        <f>IFERROR(K389/K445, "NA")</f>
        <v>0</v>
      </c>
      <c r="M389" s="9"/>
      <c r="N389" s="10">
        <f t="shared" ref="N389:N404" si="97">IFERROR(-(B389-K389), "NA")</f>
        <v>0</v>
      </c>
      <c r="O389" s="8">
        <f>IFERROR(N389/N445, "NA")</f>
        <v>0</v>
      </c>
      <c r="P389" s="9"/>
      <c r="Q389" s="7">
        <v>0</v>
      </c>
      <c r="R389" s="8">
        <f>IFERROR(Q389/Q445, "NA")</f>
        <v>0</v>
      </c>
      <c r="S389" s="9"/>
      <c r="T389" s="7">
        <v>0</v>
      </c>
      <c r="U389" s="8">
        <f>IFERROR(T389/T445, "NA")</f>
        <v>0</v>
      </c>
      <c r="V389" s="9"/>
      <c r="W389" s="10">
        <f t="shared" ref="W389:W404" si="98">IFERROR(-(Q389-T389), "NA")</f>
        <v>0</v>
      </c>
      <c r="X389" s="8">
        <f>IFERROR(W389/W445, "NA")</f>
        <v>0</v>
      </c>
      <c r="Y389" s="9"/>
      <c r="Z389" s="7">
        <v>0</v>
      </c>
      <c r="AA389" s="8">
        <f>IFERROR(Z389/Z445, "NA")</f>
        <v>0</v>
      </c>
      <c r="AB389" s="9"/>
      <c r="AC389" s="10">
        <f t="shared" ref="AC389:AC404" si="99">IFERROR(-(Q389-Z389), "NA")</f>
        <v>0</v>
      </c>
      <c r="AD389" s="8">
        <f>IFERROR(AC389/AC445,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IFERROR(B390/B445, "NA")</f>
        <v>0</v>
      </c>
      <c r="D390" s="9"/>
      <c r="E390" s="7">
        <v>0</v>
      </c>
      <c r="F390" s="8">
        <f>IFERROR(E390/E445, "NA")</f>
        <v>0</v>
      </c>
      <c r="G390" s="9"/>
      <c r="H390" s="10">
        <f t="shared" si="96"/>
        <v>0</v>
      </c>
      <c r="I390" s="8">
        <f>IFERROR(H390/H445, "NA")</f>
        <v>0</v>
      </c>
      <c r="J390" s="9"/>
      <c r="K390" s="7">
        <v>0</v>
      </c>
      <c r="L390" s="8">
        <f>IFERROR(K390/K445, "NA")</f>
        <v>0</v>
      </c>
      <c r="M390" s="9"/>
      <c r="N390" s="10">
        <f t="shared" si="97"/>
        <v>0</v>
      </c>
      <c r="O390" s="8">
        <f>IFERROR(N390/N445, "NA")</f>
        <v>0</v>
      </c>
      <c r="P390" s="9"/>
      <c r="Q390" s="7">
        <v>0</v>
      </c>
      <c r="R390" s="8">
        <f>IFERROR(Q390/Q445, "NA")</f>
        <v>0</v>
      </c>
      <c r="S390" s="9"/>
      <c r="T390" s="7">
        <v>0</v>
      </c>
      <c r="U390" s="8">
        <f>IFERROR(T390/T445, "NA")</f>
        <v>0</v>
      </c>
      <c r="V390" s="9"/>
      <c r="W390" s="10">
        <f t="shared" si="98"/>
        <v>0</v>
      </c>
      <c r="X390" s="8">
        <f>IFERROR(W390/W445, "NA")</f>
        <v>0</v>
      </c>
      <c r="Y390" s="9"/>
      <c r="Z390" s="7">
        <v>0</v>
      </c>
      <c r="AA390" s="8">
        <f>IFERROR(Z390/Z445, "NA")</f>
        <v>0</v>
      </c>
      <c r="AB390" s="9"/>
      <c r="AC390" s="10">
        <f t="shared" si="99"/>
        <v>0</v>
      </c>
      <c r="AD390" s="8">
        <f>IFERROR(AC390/AC445,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IFERROR(B391/B445, "NA")</f>
        <v>0</v>
      </c>
      <c r="D391" s="9"/>
      <c r="E391" s="7">
        <v>0</v>
      </c>
      <c r="F391" s="8">
        <f>IFERROR(E391/E445, "NA")</f>
        <v>0</v>
      </c>
      <c r="G391" s="9"/>
      <c r="H391" s="10">
        <f t="shared" si="96"/>
        <v>0</v>
      </c>
      <c r="I391" s="8">
        <f>IFERROR(H391/H445, "NA")</f>
        <v>0</v>
      </c>
      <c r="J391" s="9"/>
      <c r="K391" s="7">
        <v>0</v>
      </c>
      <c r="L391" s="8">
        <f>IFERROR(K391/K445, "NA")</f>
        <v>0</v>
      </c>
      <c r="M391" s="9"/>
      <c r="N391" s="10">
        <f t="shared" si="97"/>
        <v>0</v>
      </c>
      <c r="O391" s="8">
        <f>IFERROR(N391/N445, "NA")</f>
        <v>0</v>
      </c>
      <c r="P391" s="9"/>
      <c r="Q391" s="7">
        <v>0</v>
      </c>
      <c r="R391" s="8">
        <f>IFERROR(Q391/Q445, "NA")</f>
        <v>0</v>
      </c>
      <c r="S391" s="9"/>
      <c r="T391" s="7">
        <v>0</v>
      </c>
      <c r="U391" s="8">
        <f>IFERROR(T391/T445, "NA")</f>
        <v>0</v>
      </c>
      <c r="V391" s="9"/>
      <c r="W391" s="10">
        <f t="shared" si="98"/>
        <v>0</v>
      </c>
      <c r="X391" s="8">
        <f>IFERROR(W391/W445, "NA")</f>
        <v>0</v>
      </c>
      <c r="Y391" s="9"/>
      <c r="Z391" s="7">
        <v>0</v>
      </c>
      <c r="AA391" s="8">
        <f>IFERROR(Z391/Z445, "NA")</f>
        <v>0</v>
      </c>
      <c r="AB391" s="9"/>
      <c r="AC391" s="10">
        <f t="shared" si="99"/>
        <v>0</v>
      </c>
      <c r="AD391" s="8">
        <f>IFERROR(AC391/AC445,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IFERROR(B392/B445, "NA")</f>
        <v>0</v>
      </c>
      <c r="D392" s="9"/>
      <c r="E392" s="7">
        <v>0</v>
      </c>
      <c r="F392" s="8">
        <f>IFERROR(E392/E445, "NA")</f>
        <v>0</v>
      </c>
      <c r="G392" s="9"/>
      <c r="H392" s="10">
        <f t="shared" si="96"/>
        <v>0</v>
      </c>
      <c r="I392" s="8">
        <f>IFERROR(H392/H445, "NA")</f>
        <v>0</v>
      </c>
      <c r="J392" s="9"/>
      <c r="K392" s="7">
        <v>0</v>
      </c>
      <c r="L392" s="8">
        <f>IFERROR(K392/K445, "NA")</f>
        <v>0</v>
      </c>
      <c r="M392" s="9"/>
      <c r="N392" s="10">
        <f t="shared" si="97"/>
        <v>0</v>
      </c>
      <c r="O392" s="8">
        <f>IFERROR(N392/N445, "NA")</f>
        <v>0</v>
      </c>
      <c r="P392" s="9"/>
      <c r="Q392" s="7">
        <v>0</v>
      </c>
      <c r="R392" s="8">
        <f>IFERROR(Q392/Q445, "NA")</f>
        <v>0</v>
      </c>
      <c r="S392" s="9"/>
      <c r="T392" s="7">
        <v>0</v>
      </c>
      <c r="U392" s="8">
        <f>IFERROR(T392/T445, "NA")</f>
        <v>0</v>
      </c>
      <c r="V392" s="9"/>
      <c r="W392" s="10">
        <f t="shared" si="98"/>
        <v>0</v>
      </c>
      <c r="X392" s="8">
        <f>IFERROR(W392/W445, "NA")</f>
        <v>0</v>
      </c>
      <c r="Y392" s="9"/>
      <c r="Z392" s="7">
        <v>0</v>
      </c>
      <c r="AA392" s="8">
        <f>IFERROR(Z392/Z445, "NA")</f>
        <v>0</v>
      </c>
      <c r="AB392" s="9"/>
      <c r="AC392" s="10">
        <f t="shared" si="99"/>
        <v>0</v>
      </c>
      <c r="AD392" s="8">
        <f>IFERROR(AC392/AC445, "NA")</f>
        <v>0</v>
      </c>
    </row>
    <row r="393" spans="1:30" ht="16.5" hidden="1" customHeight="1" x14ac:dyDescent="0.45">
      <c r="A393" s="12" t="s">
        <v>359</v>
      </c>
      <c r="B393" s="7">
        <v>0</v>
      </c>
      <c r="C393" s="8">
        <f>IFERROR(B393/B445, "NA")</f>
        <v>0</v>
      </c>
      <c r="D393" s="9"/>
      <c r="E393" s="7">
        <v>0</v>
      </c>
      <c r="F393" s="8">
        <f>IFERROR(E393/E445, "NA")</f>
        <v>0</v>
      </c>
      <c r="G393" s="9"/>
      <c r="H393" s="10">
        <f t="shared" si="96"/>
        <v>0</v>
      </c>
      <c r="I393" s="8">
        <f>IFERROR(H393/H445, "NA")</f>
        <v>0</v>
      </c>
      <c r="J393" s="9"/>
      <c r="K393" s="7">
        <v>0</v>
      </c>
      <c r="L393" s="8">
        <f>IFERROR(K393/K445, "NA")</f>
        <v>0</v>
      </c>
      <c r="M393" s="9"/>
      <c r="N393" s="10">
        <f t="shared" si="97"/>
        <v>0</v>
      </c>
      <c r="O393" s="8">
        <f>IFERROR(N393/N445, "NA")</f>
        <v>0</v>
      </c>
      <c r="P393" s="9"/>
      <c r="Q393" s="7">
        <v>0</v>
      </c>
      <c r="R393" s="8">
        <f>IFERROR(Q393/Q445, "NA")</f>
        <v>0</v>
      </c>
      <c r="S393" s="9"/>
      <c r="T393" s="7">
        <v>0</v>
      </c>
      <c r="U393" s="8">
        <f>IFERROR(T393/T445, "NA")</f>
        <v>0</v>
      </c>
      <c r="V393" s="9"/>
      <c r="W393" s="10">
        <f t="shared" si="98"/>
        <v>0</v>
      </c>
      <c r="X393" s="8">
        <f>IFERROR(W393/W445, "NA")</f>
        <v>0</v>
      </c>
      <c r="Y393" s="9"/>
      <c r="Z393" s="7">
        <v>0</v>
      </c>
      <c r="AA393" s="8">
        <f>IFERROR(Z393/Z445, "NA")</f>
        <v>0</v>
      </c>
      <c r="AB393" s="9"/>
      <c r="AC393" s="10">
        <f t="shared" si="99"/>
        <v>0</v>
      </c>
      <c r="AD393" s="8">
        <f>IFERROR(AC393/AC445, "NA")</f>
        <v>0</v>
      </c>
    </row>
    <row r="394" spans="1:30" ht="16.5" customHeight="1" x14ac:dyDescent="0.45">
      <c r="A394" s="13" t="s">
        <v>360</v>
      </c>
      <c r="B394" s="14">
        <f>IFERROR(B389+B390+B391+B392+B393, "NA")</f>
        <v>0</v>
      </c>
      <c r="C394" s="15">
        <f>IFERROR(B394/B445, "NA")</f>
        <v>0</v>
      </c>
      <c r="D394" s="2"/>
      <c r="E394" s="14">
        <f>IFERROR(E389+E390+E391+E392+E393, "NA")</f>
        <v>0</v>
      </c>
      <c r="F394" s="15">
        <f>IFERROR(E394/E445, "NA")</f>
        <v>0</v>
      </c>
      <c r="G394" s="2"/>
      <c r="H394" s="14">
        <f t="shared" si="96"/>
        <v>0</v>
      </c>
      <c r="I394" s="15">
        <f>IFERROR(H394/H445, "NA")</f>
        <v>0</v>
      </c>
      <c r="J394" s="2"/>
      <c r="K394" s="14">
        <f>IFERROR(K389+K390+K391+K392+K393, "NA")</f>
        <v>0</v>
      </c>
      <c r="L394" s="15">
        <f>IFERROR(K394/K445, "NA")</f>
        <v>0</v>
      </c>
      <c r="M394" s="2"/>
      <c r="N394" s="14">
        <f t="shared" si="97"/>
        <v>0</v>
      </c>
      <c r="O394" s="15">
        <f>IFERROR(N394/N445, "NA")</f>
        <v>0</v>
      </c>
      <c r="P394" s="2"/>
      <c r="Q394" s="14">
        <f>IFERROR(Q389+Q390+Q391+Q392+Q393, "NA")</f>
        <v>0</v>
      </c>
      <c r="R394" s="15">
        <f>IFERROR(Q394/Q445, "NA")</f>
        <v>0</v>
      </c>
      <c r="S394" s="2"/>
      <c r="T394" s="14">
        <f>IFERROR(T389+T390+T391+T392+T393, "NA")</f>
        <v>0</v>
      </c>
      <c r="U394" s="15">
        <f>IFERROR(T394/T445, "NA")</f>
        <v>0</v>
      </c>
      <c r="V394" s="2"/>
      <c r="W394" s="14">
        <f t="shared" si="98"/>
        <v>0</v>
      </c>
      <c r="X394" s="15">
        <f>IFERROR(W394/W445, "NA")</f>
        <v>0</v>
      </c>
      <c r="Y394" s="2"/>
      <c r="Z394" s="14">
        <f>IFERROR(Z389+Z390+Z391+Z392+Z393, "NA")</f>
        <v>0</v>
      </c>
      <c r="AA394" s="15">
        <f>IFERROR(Z394/Z445, "NA")</f>
        <v>0</v>
      </c>
      <c r="AB394" s="2"/>
      <c r="AC394" s="14">
        <f t="shared" si="99"/>
        <v>0</v>
      </c>
      <c r="AD394" s="15">
        <f>IFERROR(AC394/AC445,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IFERROR(B395/B445, "NA")</f>
        <v>0</v>
      </c>
      <c r="D395" s="9"/>
      <c r="E395" s="7">
        <v>0</v>
      </c>
      <c r="F395" s="8">
        <f>IFERROR(E395/E445, "NA")</f>
        <v>0</v>
      </c>
      <c r="G395" s="9"/>
      <c r="H395" s="10">
        <f t="shared" si="96"/>
        <v>0</v>
      </c>
      <c r="I395" s="8">
        <f>IFERROR(H395/H445, "NA")</f>
        <v>0</v>
      </c>
      <c r="J395" s="9"/>
      <c r="K395" s="7">
        <v>0</v>
      </c>
      <c r="L395" s="8">
        <f>IFERROR(K395/K445, "NA")</f>
        <v>0</v>
      </c>
      <c r="M395" s="9"/>
      <c r="N395" s="10">
        <f t="shared" si="97"/>
        <v>0</v>
      </c>
      <c r="O395" s="8">
        <f>IFERROR(N395/N445, "NA")</f>
        <v>0</v>
      </c>
      <c r="P395" s="9"/>
      <c r="Q395" s="7">
        <v>0</v>
      </c>
      <c r="R395" s="8">
        <f>IFERROR(Q395/Q445, "NA")</f>
        <v>0</v>
      </c>
      <c r="S395" s="9"/>
      <c r="T395" s="7">
        <v>0</v>
      </c>
      <c r="U395" s="8">
        <f>IFERROR(T395/T445, "NA")</f>
        <v>0</v>
      </c>
      <c r="V395" s="9"/>
      <c r="W395" s="10">
        <f t="shared" si="98"/>
        <v>0</v>
      </c>
      <c r="X395" s="8">
        <f>IFERROR(W395/W445, "NA")</f>
        <v>0</v>
      </c>
      <c r="Y395" s="9"/>
      <c r="Z395" s="7">
        <v>0</v>
      </c>
      <c r="AA395" s="8">
        <f>IFERROR(Z395/Z445, "NA")</f>
        <v>0</v>
      </c>
      <c r="AB395" s="9"/>
      <c r="AC395" s="10">
        <f t="shared" si="99"/>
        <v>0</v>
      </c>
      <c r="AD395" s="8">
        <f>IFERROR(AC395/AC445, "NA")</f>
        <v>0</v>
      </c>
    </row>
    <row r="396" spans="1:30" ht="16.5" hidden="1" customHeight="1" x14ac:dyDescent="0.45">
      <c r="A396" s="6" t="s">
        <v>362</v>
      </c>
      <c r="B396" s="7">
        <v>0</v>
      </c>
      <c r="C396" s="8">
        <f>IFERROR(B396/B445, "NA")</f>
        <v>0</v>
      </c>
      <c r="D396" s="9"/>
      <c r="E396" s="7">
        <v>0</v>
      </c>
      <c r="F396" s="8">
        <f>IFERROR(E396/E445, "NA")</f>
        <v>0</v>
      </c>
      <c r="G396" s="9"/>
      <c r="H396" s="10">
        <f t="shared" si="96"/>
        <v>0</v>
      </c>
      <c r="I396" s="8">
        <f>IFERROR(H396/H445, "NA")</f>
        <v>0</v>
      </c>
      <c r="J396" s="9"/>
      <c r="K396" s="7">
        <v>0</v>
      </c>
      <c r="L396" s="8">
        <f>IFERROR(K396/K445, "NA")</f>
        <v>0</v>
      </c>
      <c r="M396" s="9"/>
      <c r="N396" s="10">
        <f t="shared" si="97"/>
        <v>0</v>
      </c>
      <c r="O396" s="8">
        <f>IFERROR(N396/N445, "NA")</f>
        <v>0</v>
      </c>
      <c r="P396" s="9"/>
      <c r="Q396" s="7">
        <v>0</v>
      </c>
      <c r="R396" s="8">
        <f>IFERROR(Q396/Q445, "NA")</f>
        <v>0</v>
      </c>
      <c r="S396" s="9"/>
      <c r="T396" s="7">
        <v>0</v>
      </c>
      <c r="U396" s="8">
        <f>IFERROR(T396/T445, "NA")</f>
        <v>0</v>
      </c>
      <c r="V396" s="9"/>
      <c r="W396" s="10">
        <f t="shared" si="98"/>
        <v>0</v>
      </c>
      <c r="X396" s="8">
        <f>IFERROR(W396/W445, "NA")</f>
        <v>0</v>
      </c>
      <c r="Y396" s="9"/>
      <c r="Z396" s="7">
        <v>0</v>
      </c>
      <c r="AA396" s="8">
        <f>IFERROR(Z396/Z445, "NA")</f>
        <v>0</v>
      </c>
      <c r="AB396" s="9"/>
      <c r="AC396" s="10">
        <f t="shared" si="99"/>
        <v>0</v>
      </c>
      <c r="AD396" s="8">
        <f>IFERROR(AC396/AC445, "NA")</f>
        <v>0</v>
      </c>
    </row>
    <row r="397" spans="1:30" ht="16.5" customHeight="1" x14ac:dyDescent="0.45">
      <c r="A397" s="19" t="s">
        <v>363</v>
      </c>
      <c r="B397" s="14">
        <f>IFERROR(B386+B387+B389+B390+B391+B392+B393+B395+B396, "NA")</f>
        <v>0</v>
      </c>
      <c r="C397" s="15">
        <f>IFERROR(B397/B445, "NA")</f>
        <v>0</v>
      </c>
      <c r="D397" s="2"/>
      <c r="E397" s="14">
        <f>IFERROR(E386+E387+E389+E390+E391+E392+E393+E395+E396, "NA")</f>
        <v>0</v>
      </c>
      <c r="F397" s="15">
        <f>IFERROR(E397/E445, "NA")</f>
        <v>0</v>
      </c>
      <c r="G397" s="2"/>
      <c r="H397" s="14">
        <f t="shared" si="96"/>
        <v>0</v>
      </c>
      <c r="I397" s="15">
        <f>IFERROR(H397/H445, "NA")</f>
        <v>0</v>
      </c>
      <c r="J397" s="2"/>
      <c r="K397" s="14">
        <f>IFERROR(K386+K387+K389+K390+K391+K392+K393+K395+K396, "NA")</f>
        <v>0</v>
      </c>
      <c r="L397" s="15">
        <f>IFERROR(K397/K445, "NA")</f>
        <v>0</v>
      </c>
      <c r="M397" s="2"/>
      <c r="N397" s="14">
        <f t="shared" si="97"/>
        <v>0</v>
      </c>
      <c r="O397" s="15">
        <f>IFERROR(N397/N445, "NA")</f>
        <v>0</v>
      </c>
      <c r="P397" s="2"/>
      <c r="Q397" s="14">
        <f>IFERROR(Q386+Q387+Q389+Q390+Q391+Q392+Q393+Q395+Q396, "NA")</f>
        <v>0</v>
      </c>
      <c r="R397" s="15">
        <f>IFERROR(Q397/Q445, "NA")</f>
        <v>0</v>
      </c>
      <c r="S397" s="2"/>
      <c r="T397" s="14">
        <f>IFERROR(T386+T387+T389+T390+T391+T392+T393+T395+T396, "NA")</f>
        <v>0</v>
      </c>
      <c r="U397" s="15">
        <f>IFERROR(T397/T445, "NA")</f>
        <v>0</v>
      </c>
      <c r="V397" s="2"/>
      <c r="W397" s="14">
        <f t="shared" si="98"/>
        <v>0</v>
      </c>
      <c r="X397" s="15">
        <f>IFERROR(W397/W445, "NA")</f>
        <v>0</v>
      </c>
      <c r="Y397" s="2"/>
      <c r="Z397" s="14">
        <f>IFERROR(Z386+Z387+Z389+Z390+Z391+Z392+Z393+Z395+Z396, "NA")</f>
        <v>0</v>
      </c>
      <c r="AA397" s="15">
        <f>IFERROR(Z397/Z445, "NA")</f>
        <v>0</v>
      </c>
      <c r="AB397" s="2"/>
      <c r="AC397" s="14">
        <f t="shared" si="99"/>
        <v>0</v>
      </c>
      <c r="AD397" s="15">
        <f>IFERROR(AC397/AC445,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IFERROR(B398/B445, "NA")</f>
        <v>0</v>
      </c>
      <c r="D398" s="9"/>
      <c r="E398" s="7">
        <v>0</v>
      </c>
      <c r="F398" s="8">
        <f>IFERROR(E398/E445, "NA")</f>
        <v>0</v>
      </c>
      <c r="G398" s="9"/>
      <c r="H398" s="10">
        <f t="shared" si="96"/>
        <v>0</v>
      </c>
      <c r="I398" s="8">
        <f>IFERROR(H398/H445, "NA")</f>
        <v>0</v>
      </c>
      <c r="J398" s="9"/>
      <c r="K398" s="7">
        <v>0</v>
      </c>
      <c r="L398" s="8">
        <f>IFERROR(K398/K445, "NA")</f>
        <v>0</v>
      </c>
      <c r="M398" s="9"/>
      <c r="N398" s="10">
        <f t="shared" si="97"/>
        <v>0</v>
      </c>
      <c r="O398" s="8">
        <f>IFERROR(N398/N445, "NA")</f>
        <v>0</v>
      </c>
      <c r="P398" s="9"/>
      <c r="Q398" s="7">
        <v>0</v>
      </c>
      <c r="R398" s="8">
        <f>IFERROR(Q398/Q445, "NA")</f>
        <v>0</v>
      </c>
      <c r="S398" s="9"/>
      <c r="T398" s="7">
        <v>0</v>
      </c>
      <c r="U398" s="8">
        <f>IFERROR(T398/T445, "NA")</f>
        <v>0</v>
      </c>
      <c r="V398" s="9"/>
      <c r="W398" s="10">
        <f t="shared" si="98"/>
        <v>0</v>
      </c>
      <c r="X398" s="8">
        <f>IFERROR(W398/W445, "NA")</f>
        <v>0</v>
      </c>
      <c r="Y398" s="9"/>
      <c r="Z398" s="7">
        <v>0</v>
      </c>
      <c r="AA398" s="8">
        <f>IFERROR(Z398/Z445, "NA")</f>
        <v>0</v>
      </c>
      <c r="AB398" s="9"/>
      <c r="AC398" s="10">
        <f t="shared" si="99"/>
        <v>0</v>
      </c>
      <c r="AD398" s="8">
        <f>IFERROR(AC398/AC445,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IFERROR(B399/B445, "NA")</f>
        <v>0</v>
      </c>
      <c r="D399" s="9"/>
      <c r="E399" s="7">
        <v>0</v>
      </c>
      <c r="F399" s="8">
        <f>IFERROR(E399/E445, "NA")</f>
        <v>0</v>
      </c>
      <c r="G399" s="9"/>
      <c r="H399" s="10">
        <f t="shared" si="96"/>
        <v>0</v>
      </c>
      <c r="I399" s="8">
        <f>IFERROR(H399/H445, "NA")</f>
        <v>0</v>
      </c>
      <c r="J399" s="9"/>
      <c r="K399" s="7">
        <v>0</v>
      </c>
      <c r="L399" s="8">
        <f>IFERROR(K399/K445, "NA")</f>
        <v>0</v>
      </c>
      <c r="M399" s="9"/>
      <c r="N399" s="10">
        <f t="shared" si="97"/>
        <v>0</v>
      </c>
      <c r="O399" s="8">
        <f>IFERROR(N399/N445, "NA")</f>
        <v>0</v>
      </c>
      <c r="P399" s="9"/>
      <c r="Q399" s="7">
        <v>0</v>
      </c>
      <c r="R399" s="8">
        <f>IFERROR(Q399/Q445, "NA")</f>
        <v>0</v>
      </c>
      <c r="S399" s="9"/>
      <c r="T399" s="7">
        <v>0</v>
      </c>
      <c r="U399" s="8">
        <f>IFERROR(T399/T445, "NA")</f>
        <v>0</v>
      </c>
      <c r="V399" s="9"/>
      <c r="W399" s="10">
        <f t="shared" si="98"/>
        <v>0</v>
      </c>
      <c r="X399" s="8">
        <f>IFERROR(W399/W445, "NA")</f>
        <v>0</v>
      </c>
      <c r="Y399" s="9"/>
      <c r="Z399" s="7">
        <v>0</v>
      </c>
      <c r="AA399" s="8">
        <f>IFERROR(Z399/Z445, "NA")</f>
        <v>0</v>
      </c>
      <c r="AB399" s="9"/>
      <c r="AC399" s="10">
        <f t="shared" si="99"/>
        <v>0</v>
      </c>
      <c r="AD399" s="8">
        <f>IFERROR(AC399/AC445,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IFERROR(B400/B445, "NA")</f>
        <v>0</v>
      </c>
      <c r="D400" s="9"/>
      <c r="E400" s="7">
        <v>0</v>
      </c>
      <c r="F400" s="8">
        <f>IFERROR(E400/E445, "NA")</f>
        <v>0</v>
      </c>
      <c r="G400" s="9"/>
      <c r="H400" s="10">
        <f t="shared" si="96"/>
        <v>0</v>
      </c>
      <c r="I400" s="8">
        <f>IFERROR(H400/H445, "NA")</f>
        <v>0</v>
      </c>
      <c r="J400" s="9"/>
      <c r="K400" s="7">
        <v>0</v>
      </c>
      <c r="L400" s="8">
        <f>IFERROR(K400/K445, "NA")</f>
        <v>0</v>
      </c>
      <c r="M400" s="9"/>
      <c r="N400" s="10">
        <f t="shared" si="97"/>
        <v>0</v>
      </c>
      <c r="O400" s="8">
        <f>IFERROR(N400/N445, "NA")</f>
        <v>0</v>
      </c>
      <c r="P400" s="9"/>
      <c r="Q400" s="7">
        <v>0</v>
      </c>
      <c r="R400" s="8">
        <f>IFERROR(Q400/Q445, "NA")</f>
        <v>0</v>
      </c>
      <c r="S400" s="9"/>
      <c r="T400" s="7">
        <v>0</v>
      </c>
      <c r="U400" s="8">
        <f>IFERROR(T400/T445, "NA")</f>
        <v>0</v>
      </c>
      <c r="V400" s="9"/>
      <c r="W400" s="10">
        <f t="shared" si="98"/>
        <v>0</v>
      </c>
      <c r="X400" s="8">
        <f>IFERROR(W400/W445, "NA")</f>
        <v>0</v>
      </c>
      <c r="Y400" s="9"/>
      <c r="Z400" s="7">
        <v>0</v>
      </c>
      <c r="AA400" s="8">
        <f>IFERROR(Z400/Z445, "NA")</f>
        <v>0</v>
      </c>
      <c r="AB400" s="9"/>
      <c r="AC400" s="10">
        <f t="shared" si="99"/>
        <v>0</v>
      </c>
      <c r="AD400" s="8">
        <f>IFERROR(AC400/AC445,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IFERROR(B401/B445, "NA")</f>
        <v>0</v>
      </c>
      <c r="D401" s="9"/>
      <c r="E401" s="7">
        <v>0</v>
      </c>
      <c r="F401" s="8">
        <f>IFERROR(E401/E445, "NA")</f>
        <v>0</v>
      </c>
      <c r="G401" s="9"/>
      <c r="H401" s="10">
        <f t="shared" si="96"/>
        <v>0</v>
      </c>
      <c r="I401" s="8">
        <f>IFERROR(H401/H445, "NA")</f>
        <v>0</v>
      </c>
      <c r="J401" s="9"/>
      <c r="K401" s="7">
        <v>0</v>
      </c>
      <c r="L401" s="8">
        <f>IFERROR(K401/K445, "NA")</f>
        <v>0</v>
      </c>
      <c r="M401" s="9"/>
      <c r="N401" s="10">
        <f t="shared" si="97"/>
        <v>0</v>
      </c>
      <c r="O401" s="8">
        <f>IFERROR(N401/N445, "NA")</f>
        <v>0</v>
      </c>
      <c r="P401" s="9"/>
      <c r="Q401" s="7">
        <v>0</v>
      </c>
      <c r="R401" s="8">
        <f>IFERROR(Q401/Q445, "NA")</f>
        <v>0</v>
      </c>
      <c r="S401" s="9"/>
      <c r="T401" s="7">
        <v>0</v>
      </c>
      <c r="U401" s="8">
        <f>IFERROR(T401/T445, "NA")</f>
        <v>0</v>
      </c>
      <c r="V401" s="9"/>
      <c r="W401" s="10">
        <f t="shared" si="98"/>
        <v>0</v>
      </c>
      <c r="X401" s="8">
        <f>IFERROR(W401/W445, "NA")</f>
        <v>0</v>
      </c>
      <c r="Y401" s="9"/>
      <c r="Z401" s="7">
        <v>0</v>
      </c>
      <c r="AA401" s="8">
        <f>IFERROR(Z401/Z445, "NA")</f>
        <v>0</v>
      </c>
      <c r="AB401" s="9"/>
      <c r="AC401" s="10">
        <f t="shared" si="99"/>
        <v>0</v>
      </c>
      <c r="AD401" s="8">
        <f>IFERROR(AC401/AC445,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IFERROR(B402/B445, "NA")</f>
        <v>0</v>
      </c>
      <c r="D402" s="9"/>
      <c r="E402" s="7">
        <v>0</v>
      </c>
      <c r="F402" s="8">
        <f>IFERROR(E402/E445, "NA")</f>
        <v>0</v>
      </c>
      <c r="G402" s="9"/>
      <c r="H402" s="10">
        <f t="shared" si="96"/>
        <v>0</v>
      </c>
      <c r="I402" s="8">
        <f>IFERROR(H402/H445, "NA")</f>
        <v>0</v>
      </c>
      <c r="J402" s="9"/>
      <c r="K402" s="7">
        <v>0</v>
      </c>
      <c r="L402" s="8">
        <f>IFERROR(K402/K445, "NA")</f>
        <v>0</v>
      </c>
      <c r="M402" s="9"/>
      <c r="N402" s="10">
        <f t="shared" si="97"/>
        <v>0</v>
      </c>
      <c r="O402" s="8">
        <f>IFERROR(N402/N445, "NA")</f>
        <v>0</v>
      </c>
      <c r="P402" s="9"/>
      <c r="Q402" s="7">
        <v>0</v>
      </c>
      <c r="R402" s="8">
        <f>IFERROR(Q402/Q445, "NA")</f>
        <v>0</v>
      </c>
      <c r="S402" s="9"/>
      <c r="T402" s="7">
        <v>0</v>
      </c>
      <c r="U402" s="8">
        <f>IFERROR(T402/T445, "NA")</f>
        <v>0</v>
      </c>
      <c r="V402" s="9"/>
      <c r="W402" s="10">
        <f t="shared" si="98"/>
        <v>0</v>
      </c>
      <c r="X402" s="8">
        <f>IFERROR(W402/W445, "NA")</f>
        <v>0</v>
      </c>
      <c r="Y402" s="9"/>
      <c r="Z402" s="7">
        <v>0</v>
      </c>
      <c r="AA402" s="8">
        <f>IFERROR(Z402/Z445, "NA")</f>
        <v>0</v>
      </c>
      <c r="AB402" s="9"/>
      <c r="AC402" s="10">
        <f t="shared" si="99"/>
        <v>0</v>
      </c>
      <c r="AD402" s="8">
        <f>IFERROR(AC402/AC445, "NA")</f>
        <v>0</v>
      </c>
    </row>
    <row r="403" spans="1:30" ht="16.5" hidden="1" customHeight="1" x14ac:dyDescent="0.45">
      <c r="A403" s="20" t="s">
        <v>369</v>
      </c>
      <c r="B403" s="7">
        <v>0</v>
      </c>
      <c r="C403" s="8">
        <f>IFERROR(B403/B445, "NA")</f>
        <v>0</v>
      </c>
      <c r="D403" s="9"/>
      <c r="E403" s="7">
        <v>0</v>
      </c>
      <c r="F403" s="8">
        <f>IFERROR(E403/E445, "NA")</f>
        <v>0</v>
      </c>
      <c r="G403" s="9"/>
      <c r="H403" s="10">
        <f t="shared" si="96"/>
        <v>0</v>
      </c>
      <c r="I403" s="8">
        <f>IFERROR(H403/H445, "NA")</f>
        <v>0</v>
      </c>
      <c r="J403" s="9"/>
      <c r="K403" s="7">
        <v>0</v>
      </c>
      <c r="L403" s="8">
        <f>IFERROR(K403/K445, "NA")</f>
        <v>0</v>
      </c>
      <c r="M403" s="9"/>
      <c r="N403" s="10">
        <f t="shared" si="97"/>
        <v>0</v>
      </c>
      <c r="O403" s="8">
        <f>IFERROR(N403/N445, "NA")</f>
        <v>0</v>
      </c>
      <c r="P403" s="9"/>
      <c r="Q403" s="7">
        <v>0</v>
      </c>
      <c r="R403" s="8">
        <f>IFERROR(Q403/Q445, "NA")</f>
        <v>0</v>
      </c>
      <c r="S403" s="9"/>
      <c r="T403" s="7">
        <v>0</v>
      </c>
      <c r="U403" s="8">
        <f>IFERROR(T403/T445, "NA")</f>
        <v>0</v>
      </c>
      <c r="V403" s="9"/>
      <c r="W403" s="10">
        <f t="shared" si="98"/>
        <v>0</v>
      </c>
      <c r="X403" s="8">
        <f>IFERROR(W403/W445, "NA")</f>
        <v>0</v>
      </c>
      <c r="Y403" s="9"/>
      <c r="Z403" s="7">
        <v>0</v>
      </c>
      <c r="AA403" s="8">
        <f>IFERROR(Z403/Z445, "NA")</f>
        <v>0</v>
      </c>
      <c r="AB403" s="9"/>
      <c r="AC403" s="10">
        <f t="shared" si="99"/>
        <v>0</v>
      </c>
      <c r="AD403" s="8">
        <f>IFERROR(AC403/AC445, "NA")</f>
        <v>0</v>
      </c>
    </row>
    <row r="404" spans="1:30" ht="16.5" customHeight="1" x14ac:dyDescent="0.45">
      <c r="A404" s="21" t="s">
        <v>370</v>
      </c>
      <c r="B404" s="14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5">
        <f>IFERROR(B404/B445, "NA")</f>
        <v>0</v>
      </c>
      <c r="D404" s="2"/>
      <c r="E404" s="14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5">
        <f>IFERROR(E404/E445, "NA")</f>
        <v>0</v>
      </c>
      <c r="G404" s="2"/>
      <c r="H404" s="14">
        <f t="shared" si="96"/>
        <v>0</v>
      </c>
      <c r="I404" s="15">
        <f>IFERROR(H404/H445, "NA")</f>
        <v>0</v>
      </c>
      <c r="J404" s="2"/>
      <c r="K404" s="14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5">
        <f>IFERROR(K404/K445, "NA")</f>
        <v>0</v>
      </c>
      <c r="M404" s="2"/>
      <c r="N404" s="14">
        <f t="shared" si="97"/>
        <v>0</v>
      </c>
      <c r="O404" s="15">
        <f>IFERROR(N404/N445, "NA")</f>
        <v>0</v>
      </c>
      <c r="P404" s="2"/>
      <c r="Q404" s="14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5">
        <f>IFERROR(Q404/Q445, "NA")</f>
        <v>0</v>
      </c>
      <c r="S404" s="2"/>
      <c r="T404" s="14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5">
        <f>IFERROR(T404/T445, "NA")</f>
        <v>0</v>
      </c>
      <c r="V404" s="2"/>
      <c r="W404" s="14">
        <f t="shared" si="98"/>
        <v>0</v>
      </c>
      <c r="X404" s="15">
        <f>IFERROR(W404/W445, "NA")</f>
        <v>0</v>
      </c>
      <c r="Y404" s="2"/>
      <c r="Z404" s="14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5">
        <f>IFERROR(Z404/Z445, "NA")</f>
        <v>0</v>
      </c>
      <c r="AB404" s="2"/>
      <c r="AC404" s="14">
        <f t="shared" si="99"/>
        <v>0</v>
      </c>
      <c r="AD404" s="15">
        <f>IFERROR(AC404/AC445, "NA")</f>
        <v>0</v>
      </c>
    </row>
    <row r="405" spans="1:30" ht="16.5" customHeight="1" x14ac:dyDescent="0.45">
      <c r="A405" s="22" t="s">
        <v>371</v>
      </c>
      <c r="B405" s="23">
        <f>IFERROR(B346-B404, "NA")</f>
        <v>5704.2299999999723</v>
      </c>
      <c r="C405" s="24">
        <f>IFERROR(B405/B445, "NA")</f>
        <v>5.2228957610090221E-2</v>
      </c>
      <c r="D405" s="25"/>
      <c r="E405" s="23">
        <f>IFERROR(E346-E404, "NA")</f>
        <v>2490.7200000000012</v>
      </c>
      <c r="F405" s="24">
        <f>IFERROR(E405/E445, "NA")</f>
        <v>2.6294028578730873E-2</v>
      </c>
      <c r="G405" s="25"/>
      <c r="H405" s="23">
        <f>IFERROR(B405-E405, "NA")</f>
        <v>3213.5099999999711</v>
      </c>
      <c r="I405" s="24">
        <f>IFERROR(H405/H445, "NA")</f>
        <v>0.22177187829533768</v>
      </c>
      <c r="J405" s="25"/>
      <c r="K405" s="23">
        <f>IFERROR(K346-K404, "NA")</f>
        <v>-6201.9300000000021</v>
      </c>
      <c r="L405" s="24">
        <f>IFERROR(K405/K445, "NA")</f>
        <v>-7.1610577239495432E-2</v>
      </c>
      <c r="M405" s="25"/>
      <c r="N405" s="23">
        <f>IFERROR(B405-K405, "NA")</f>
        <v>11906.159999999974</v>
      </c>
      <c r="O405" s="24">
        <f>IFERROR(N405/N445, "NA")</f>
        <v>0.52659964767038159</v>
      </c>
      <c r="P405" s="25"/>
      <c r="Q405" s="23">
        <f>IFERROR(Q346-Q404, "NA")</f>
        <v>18569.570000000022</v>
      </c>
      <c r="R405" s="24">
        <f>IFERROR(Q405/Q445, "NA")</f>
        <v>3.6439798322533482E-2</v>
      </c>
      <c r="S405" s="25"/>
      <c r="T405" s="23">
        <f>IFERROR(T346-T404, "NA")</f>
        <v>13934.719999999958</v>
      </c>
      <c r="U405" s="24">
        <f>IFERROR(T405/T445, "NA")</f>
        <v>2.9091131371090914E-2</v>
      </c>
      <c r="V405" s="25"/>
      <c r="W405" s="23">
        <f>IFERROR(Q405-T405, "NA")</f>
        <v>4634.850000000064</v>
      </c>
      <c r="X405" s="24">
        <f>IFERROR(W405/W445, "NA")</f>
        <v>0.15149781767440451</v>
      </c>
      <c r="Y405" s="25"/>
      <c r="Z405" s="23">
        <f>IFERROR(Z346-Z404, "NA")</f>
        <v>-9149.6799999998839</v>
      </c>
      <c r="AA405" s="24">
        <f>IFERROR(Z405/Z445, "NA")</f>
        <v>-2.0482236768924248E-2</v>
      </c>
      <c r="AB405" s="25"/>
      <c r="AC405" s="23">
        <f>IFERROR(Q405-Z405, "NA")</f>
        <v>27719.249999999905</v>
      </c>
      <c r="AD405" s="24">
        <f>IFERROR(AC405/AC445, "NA")</f>
        <v>0.44080729711660832</v>
      </c>
    </row>
    <row r="406" spans="1:30" ht="16.5" customHeight="1" x14ac:dyDescent="0.45">
      <c r="A406" s="1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5" t="s">
        <v>373</v>
      </c>
      <c r="B407" s="2"/>
      <c r="C407" s="3"/>
      <c r="D407" s="4"/>
      <c r="E407" s="2"/>
      <c r="F407" s="3"/>
      <c r="G407" s="4"/>
      <c r="H407" s="2"/>
      <c r="I407" s="3"/>
      <c r="J407" s="4"/>
      <c r="K407" s="2"/>
      <c r="L407" s="3"/>
      <c r="M407" s="4"/>
      <c r="N407" s="2"/>
      <c r="O407" s="3"/>
      <c r="P407" s="4"/>
      <c r="Q407" s="2"/>
      <c r="R407" s="3"/>
      <c r="S407" s="4"/>
      <c r="T407" s="2"/>
      <c r="U407" s="3"/>
      <c r="V407" s="4"/>
      <c r="W407" s="2"/>
      <c r="X407" s="3"/>
      <c r="Y407" s="4"/>
      <c r="Z407" s="2"/>
      <c r="AA407" s="3"/>
      <c r="AB407" s="4"/>
      <c r="AC407" s="2"/>
      <c r="AD407" s="3"/>
    </row>
    <row r="408" spans="1:30" ht="16.5" customHeight="1" x14ac:dyDescent="0.45">
      <c r="A408" s="6" t="s">
        <v>373</v>
      </c>
      <c r="B408" s="7">
        <v>0</v>
      </c>
      <c r="C408" s="8">
        <f>IFERROR(B408/B445, "NA")</f>
        <v>0</v>
      </c>
      <c r="D408" s="9"/>
      <c r="E408" s="7">
        <v>3137.16</v>
      </c>
      <c r="F408" s="8">
        <f>IFERROR(E408/E445, "NA")</f>
        <v>3.3118365250229369E-2</v>
      </c>
      <c r="G408" s="9"/>
      <c r="H408" s="10">
        <f t="shared" ref="H408:H430" si="100">IFERROR(-(B408-E408), "NA")</f>
        <v>3137.16</v>
      </c>
      <c r="I408" s="8">
        <f>IFERROR(H408/H445, "NA")</f>
        <v>0.21650278533846412</v>
      </c>
      <c r="J408" s="9"/>
      <c r="K408" s="7">
        <v>0</v>
      </c>
      <c r="L408" s="8">
        <f>IFERROR(K408/K445, "NA")</f>
        <v>0</v>
      </c>
      <c r="M408" s="9"/>
      <c r="N408" s="10">
        <f t="shared" ref="N408:N430" si="101">IFERROR(-(B408-K408), "NA")</f>
        <v>0</v>
      </c>
      <c r="O408" s="8">
        <f>IFERROR(N408/N445, "NA")</f>
        <v>0</v>
      </c>
      <c r="P408" s="9"/>
      <c r="Q408" s="7">
        <v>0</v>
      </c>
      <c r="R408" s="8">
        <f>IFERROR(Q408/Q445, "NA")</f>
        <v>0</v>
      </c>
      <c r="S408" s="9"/>
      <c r="T408" s="7">
        <v>15867.56</v>
      </c>
      <c r="U408" s="8">
        <f>IFERROR(T408/T445, "NA")</f>
        <v>3.312626823493179E-2</v>
      </c>
      <c r="V408" s="9"/>
      <c r="W408" s="10">
        <f t="shared" ref="W408:W430" si="102">IFERROR(-(Q408-T408), "NA")</f>
        <v>15867.56</v>
      </c>
      <c r="X408" s="8">
        <f>IFERROR(W408/W445, "NA")</f>
        <v>0.51865771531282368</v>
      </c>
      <c r="Y408" s="9"/>
      <c r="Z408" s="7">
        <v>0</v>
      </c>
      <c r="AA408" s="8">
        <f>IFERROR(Z408/Z445, "NA")</f>
        <v>0</v>
      </c>
      <c r="AB408" s="9"/>
      <c r="AC408" s="10">
        <f t="shared" ref="AC408:AC430" si="103">IFERROR(-(Q408-Z408), "NA")</f>
        <v>0</v>
      </c>
      <c r="AD408" s="8">
        <f>IFERROR(AC408/AC445,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IFERROR(B409/B445, "NA")</f>
        <v>0</v>
      </c>
      <c r="D409" s="9"/>
      <c r="E409" s="7">
        <v>0</v>
      </c>
      <c r="F409" s="8">
        <f>IFERROR(E409/E445, "NA")</f>
        <v>0</v>
      </c>
      <c r="G409" s="9"/>
      <c r="H409" s="10">
        <f t="shared" si="100"/>
        <v>0</v>
      </c>
      <c r="I409" s="8">
        <f>IFERROR(H409/H445, "NA")</f>
        <v>0</v>
      </c>
      <c r="J409" s="9"/>
      <c r="K409" s="7">
        <v>0</v>
      </c>
      <c r="L409" s="8">
        <f>IFERROR(K409/K445, "NA")</f>
        <v>0</v>
      </c>
      <c r="M409" s="9"/>
      <c r="N409" s="10">
        <f t="shared" si="101"/>
        <v>0</v>
      </c>
      <c r="O409" s="8">
        <f>IFERROR(N409/N445, "NA")</f>
        <v>0</v>
      </c>
      <c r="P409" s="9"/>
      <c r="Q409" s="7">
        <v>0</v>
      </c>
      <c r="R409" s="8">
        <f>IFERROR(Q409/Q445, "NA")</f>
        <v>0</v>
      </c>
      <c r="S409" s="9"/>
      <c r="T409" s="7">
        <v>0</v>
      </c>
      <c r="U409" s="8">
        <f>IFERROR(T409/T445, "NA")</f>
        <v>0</v>
      </c>
      <c r="V409" s="9"/>
      <c r="W409" s="10">
        <f t="shared" si="102"/>
        <v>0</v>
      </c>
      <c r="X409" s="8">
        <f>IFERROR(W409/W445, "NA")</f>
        <v>0</v>
      </c>
      <c r="Y409" s="9"/>
      <c r="Z409" s="7">
        <v>0</v>
      </c>
      <c r="AA409" s="8">
        <f>IFERROR(Z409/Z445, "NA")</f>
        <v>0</v>
      </c>
      <c r="AB409" s="9"/>
      <c r="AC409" s="10">
        <f t="shared" si="103"/>
        <v>0</v>
      </c>
      <c r="AD409" s="8">
        <f>IFERROR(AC409/AC445, "NA")</f>
        <v>0</v>
      </c>
    </row>
    <row r="410" spans="1:30" ht="16.5" hidden="1" customHeight="1" x14ac:dyDescent="0.45">
      <c r="A410" s="6" t="s">
        <v>375</v>
      </c>
      <c r="B410" s="7">
        <v>0</v>
      </c>
      <c r="C410" s="8">
        <f>IFERROR(B410/B445, "NA")</f>
        <v>0</v>
      </c>
      <c r="D410" s="9"/>
      <c r="E410" s="7">
        <v>0</v>
      </c>
      <c r="F410" s="8">
        <f>IFERROR(E410/E445, "NA")</f>
        <v>0</v>
      </c>
      <c r="G410" s="9"/>
      <c r="H410" s="10">
        <f t="shared" si="100"/>
        <v>0</v>
      </c>
      <c r="I410" s="8">
        <f>IFERROR(H410/H445, "NA")</f>
        <v>0</v>
      </c>
      <c r="J410" s="9"/>
      <c r="K410" s="7">
        <v>0</v>
      </c>
      <c r="L410" s="8">
        <f>IFERROR(K410/K445, "NA")</f>
        <v>0</v>
      </c>
      <c r="M410" s="9"/>
      <c r="N410" s="10">
        <f t="shared" si="101"/>
        <v>0</v>
      </c>
      <c r="O410" s="8">
        <f>IFERROR(N410/N445, "NA")</f>
        <v>0</v>
      </c>
      <c r="P410" s="9"/>
      <c r="Q410" s="7">
        <v>0</v>
      </c>
      <c r="R410" s="8">
        <f>IFERROR(Q410/Q445, "NA")</f>
        <v>0</v>
      </c>
      <c r="S410" s="9"/>
      <c r="T410" s="7">
        <v>0</v>
      </c>
      <c r="U410" s="8">
        <f>IFERROR(T410/T445, "NA")</f>
        <v>0</v>
      </c>
      <c r="V410" s="9"/>
      <c r="W410" s="10">
        <f t="shared" si="102"/>
        <v>0</v>
      </c>
      <c r="X410" s="8">
        <f>IFERROR(W410/W445, "NA")</f>
        <v>0</v>
      </c>
      <c r="Y410" s="9"/>
      <c r="Z410" s="7">
        <v>0</v>
      </c>
      <c r="AA410" s="8">
        <f>IFERROR(Z410/Z445, "NA")</f>
        <v>0</v>
      </c>
      <c r="AB410" s="9"/>
      <c r="AC410" s="10">
        <f t="shared" si="103"/>
        <v>0</v>
      </c>
      <c r="AD410" s="8">
        <f>IFERROR(AC410/AC445, "NA")</f>
        <v>0</v>
      </c>
    </row>
    <row r="411" spans="1:30" ht="16.5" customHeight="1" x14ac:dyDescent="0.45">
      <c r="A411" s="6" t="s">
        <v>376</v>
      </c>
      <c r="B411" s="7">
        <v>3311.04</v>
      </c>
      <c r="C411" s="8">
        <f>IFERROR(B411/B445, "NA")</f>
        <v>3.0316478789479729E-2</v>
      </c>
      <c r="D411" s="9"/>
      <c r="E411" s="7">
        <v>0</v>
      </c>
      <c r="F411" s="8">
        <f>IFERROR(E411/E445, "NA")</f>
        <v>0</v>
      </c>
      <c r="G411" s="9"/>
      <c r="H411" s="10">
        <f t="shared" si="100"/>
        <v>-3311.04</v>
      </c>
      <c r="I411" s="8">
        <f>IFERROR(H411/H445, "NA")</f>
        <v>-0.22850265283475124</v>
      </c>
      <c r="J411" s="9"/>
      <c r="K411" s="7">
        <v>2891.92</v>
      </c>
      <c r="L411" s="8">
        <f>IFERROR(K411/K445, "NA")</f>
        <v>3.3391550780231566E-2</v>
      </c>
      <c r="M411" s="9"/>
      <c r="N411" s="10">
        <f t="shared" si="101"/>
        <v>-419.11999999999989</v>
      </c>
      <c r="O411" s="8">
        <f>IFERROR(N411/N445, "NA")</f>
        <v>-1.8537332299550045E-2</v>
      </c>
      <c r="P411" s="9"/>
      <c r="Q411" s="7">
        <v>16598.41</v>
      </c>
      <c r="R411" s="8">
        <f>IFERROR(Q411/Q445, "NA")</f>
        <v>3.2571713447038471E-2</v>
      </c>
      <c r="S411" s="9"/>
      <c r="T411" s="7">
        <v>0</v>
      </c>
      <c r="U411" s="8">
        <f>IFERROR(T411/T445, "NA")</f>
        <v>0</v>
      </c>
      <c r="V411" s="9"/>
      <c r="W411" s="10">
        <f t="shared" si="102"/>
        <v>-16598.41</v>
      </c>
      <c r="X411" s="8">
        <f>IFERROR(W411/W445, "NA")</f>
        <v>-0.54254676890621656</v>
      </c>
      <c r="Y411" s="9"/>
      <c r="Z411" s="7">
        <v>14902.18</v>
      </c>
      <c r="AA411" s="8">
        <f>IFERROR(Z411/Z445, "NA")</f>
        <v>3.3359634340559607E-2</v>
      </c>
      <c r="AB411" s="9"/>
      <c r="AC411" s="10">
        <f t="shared" si="103"/>
        <v>-1696.2299999999996</v>
      </c>
      <c r="AD411" s="8">
        <f>IFERROR(AC411/AC445, "NA")</f>
        <v>-2.6974415310230506E-2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IFERROR(B412/B445, "NA")</f>
        <v>0</v>
      </c>
      <c r="D412" s="9"/>
      <c r="E412" s="7">
        <v>0</v>
      </c>
      <c r="F412" s="8">
        <f>IFERROR(E412/E445, "NA")</f>
        <v>0</v>
      </c>
      <c r="G412" s="9"/>
      <c r="H412" s="10">
        <f t="shared" si="100"/>
        <v>0</v>
      </c>
      <c r="I412" s="8">
        <f>IFERROR(H412/H445, "NA")</f>
        <v>0</v>
      </c>
      <c r="J412" s="9"/>
      <c r="K412" s="7">
        <v>0</v>
      </c>
      <c r="L412" s="8">
        <f>IFERROR(K412/K445, "NA")</f>
        <v>0</v>
      </c>
      <c r="M412" s="9"/>
      <c r="N412" s="10">
        <f t="shared" si="101"/>
        <v>0</v>
      </c>
      <c r="O412" s="8">
        <f>IFERROR(N412/N445, "NA")</f>
        <v>0</v>
      </c>
      <c r="P412" s="9"/>
      <c r="Q412" s="7">
        <v>0</v>
      </c>
      <c r="R412" s="8">
        <f>IFERROR(Q412/Q445, "NA")</f>
        <v>0</v>
      </c>
      <c r="S412" s="9"/>
      <c r="T412" s="7">
        <v>0</v>
      </c>
      <c r="U412" s="8">
        <f>IFERROR(T412/T445, "NA")</f>
        <v>0</v>
      </c>
      <c r="V412" s="9"/>
      <c r="W412" s="10">
        <f t="shared" si="102"/>
        <v>0</v>
      </c>
      <c r="X412" s="8">
        <f>IFERROR(W412/W445, "NA")</f>
        <v>0</v>
      </c>
      <c r="Y412" s="9"/>
      <c r="Z412" s="7">
        <v>0</v>
      </c>
      <c r="AA412" s="8">
        <f>IFERROR(Z412/Z445, "NA")</f>
        <v>0</v>
      </c>
      <c r="AB412" s="9"/>
      <c r="AC412" s="10">
        <f t="shared" si="103"/>
        <v>0</v>
      </c>
      <c r="AD412" s="8">
        <f>IFERROR(AC412/AC445,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IFERROR(B413/B445, "NA")</f>
        <v>0</v>
      </c>
      <c r="D413" s="9"/>
      <c r="E413" s="7">
        <v>0</v>
      </c>
      <c r="F413" s="8">
        <f>IFERROR(E413/E445, "NA")</f>
        <v>0</v>
      </c>
      <c r="G413" s="9"/>
      <c r="H413" s="10">
        <f t="shared" si="100"/>
        <v>0</v>
      </c>
      <c r="I413" s="8">
        <f>IFERROR(H413/H445, "NA")</f>
        <v>0</v>
      </c>
      <c r="J413" s="9"/>
      <c r="K413" s="7">
        <v>0</v>
      </c>
      <c r="L413" s="8">
        <f>IFERROR(K413/K445, "NA")</f>
        <v>0</v>
      </c>
      <c r="M413" s="9"/>
      <c r="N413" s="10">
        <f t="shared" si="101"/>
        <v>0</v>
      </c>
      <c r="O413" s="8">
        <f>IFERROR(N413/N445, "NA")</f>
        <v>0</v>
      </c>
      <c r="P413" s="9"/>
      <c r="Q413" s="7">
        <v>0</v>
      </c>
      <c r="R413" s="8">
        <f>IFERROR(Q413/Q445, "NA")</f>
        <v>0</v>
      </c>
      <c r="S413" s="9"/>
      <c r="T413" s="7">
        <v>0</v>
      </c>
      <c r="U413" s="8">
        <f>IFERROR(T413/T445, "NA")</f>
        <v>0</v>
      </c>
      <c r="V413" s="9"/>
      <c r="W413" s="10">
        <f t="shared" si="102"/>
        <v>0</v>
      </c>
      <c r="X413" s="8">
        <f>IFERROR(W413/W445, "NA")</f>
        <v>0</v>
      </c>
      <c r="Y413" s="9"/>
      <c r="Z413" s="7">
        <v>0</v>
      </c>
      <c r="AA413" s="8">
        <f>IFERROR(Z413/Z445, "NA")</f>
        <v>0</v>
      </c>
      <c r="AB413" s="9"/>
      <c r="AC413" s="10">
        <f t="shared" si="103"/>
        <v>0</v>
      </c>
      <c r="AD413" s="8">
        <f>IFERROR(AC413/AC445,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IFERROR(B414/B445, "NA")</f>
        <v>0</v>
      </c>
      <c r="D414" s="9"/>
      <c r="E414" s="7">
        <v>0</v>
      </c>
      <c r="F414" s="8">
        <f>IFERROR(E414/E445, "NA")</f>
        <v>0</v>
      </c>
      <c r="G414" s="9"/>
      <c r="H414" s="10">
        <f t="shared" si="100"/>
        <v>0</v>
      </c>
      <c r="I414" s="8">
        <f>IFERROR(H414/H445, "NA")</f>
        <v>0</v>
      </c>
      <c r="J414" s="9"/>
      <c r="K414" s="7">
        <v>0</v>
      </c>
      <c r="L414" s="8">
        <f>IFERROR(K414/K445, "NA")</f>
        <v>0</v>
      </c>
      <c r="M414" s="9"/>
      <c r="N414" s="10">
        <f t="shared" si="101"/>
        <v>0</v>
      </c>
      <c r="O414" s="8">
        <f>IFERROR(N414/N445, "NA")</f>
        <v>0</v>
      </c>
      <c r="P414" s="9"/>
      <c r="Q414" s="7">
        <v>0</v>
      </c>
      <c r="R414" s="8">
        <f>IFERROR(Q414/Q445, "NA")</f>
        <v>0</v>
      </c>
      <c r="S414" s="9"/>
      <c r="T414" s="7">
        <v>0</v>
      </c>
      <c r="U414" s="8">
        <f>IFERROR(T414/T445, "NA")</f>
        <v>0</v>
      </c>
      <c r="V414" s="9"/>
      <c r="W414" s="10">
        <f t="shared" si="102"/>
        <v>0</v>
      </c>
      <c r="X414" s="8">
        <f>IFERROR(W414/W445, "NA")</f>
        <v>0</v>
      </c>
      <c r="Y414" s="9"/>
      <c r="Z414" s="7">
        <v>0</v>
      </c>
      <c r="AA414" s="8">
        <f>IFERROR(Z414/Z445, "NA")</f>
        <v>0</v>
      </c>
      <c r="AB414" s="9"/>
      <c r="AC414" s="10">
        <f t="shared" si="103"/>
        <v>0</v>
      </c>
      <c r="AD414" s="8">
        <f>IFERROR(AC414/AC445,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IFERROR(B415/B445, "NA")</f>
        <v>0</v>
      </c>
      <c r="D415" s="9"/>
      <c r="E415" s="7">
        <v>0</v>
      </c>
      <c r="F415" s="8">
        <f>IFERROR(E415/E445, "NA")</f>
        <v>0</v>
      </c>
      <c r="G415" s="9"/>
      <c r="H415" s="10">
        <f t="shared" si="100"/>
        <v>0</v>
      </c>
      <c r="I415" s="8">
        <f>IFERROR(H415/H445, "NA")</f>
        <v>0</v>
      </c>
      <c r="J415" s="9"/>
      <c r="K415" s="7">
        <v>0</v>
      </c>
      <c r="L415" s="8">
        <f>IFERROR(K415/K445, "NA")</f>
        <v>0</v>
      </c>
      <c r="M415" s="9"/>
      <c r="N415" s="10">
        <f t="shared" si="101"/>
        <v>0</v>
      </c>
      <c r="O415" s="8">
        <f>IFERROR(N415/N445, "NA")</f>
        <v>0</v>
      </c>
      <c r="P415" s="9"/>
      <c r="Q415" s="7">
        <v>0</v>
      </c>
      <c r="R415" s="8">
        <f>IFERROR(Q415/Q445, "NA")</f>
        <v>0</v>
      </c>
      <c r="S415" s="9"/>
      <c r="T415" s="7">
        <v>0</v>
      </c>
      <c r="U415" s="8">
        <f>IFERROR(T415/T445, "NA")</f>
        <v>0</v>
      </c>
      <c r="V415" s="9"/>
      <c r="W415" s="10">
        <f t="shared" si="102"/>
        <v>0</v>
      </c>
      <c r="X415" s="8">
        <f>IFERROR(W415/W445, "NA")</f>
        <v>0</v>
      </c>
      <c r="Y415" s="9"/>
      <c r="Z415" s="7">
        <v>0</v>
      </c>
      <c r="AA415" s="8">
        <f>IFERROR(Z415/Z445, "NA")</f>
        <v>0</v>
      </c>
      <c r="AB415" s="9"/>
      <c r="AC415" s="10">
        <f t="shared" si="103"/>
        <v>0</v>
      </c>
      <c r="AD415" s="8">
        <f>IFERROR(AC415/AC445,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IFERROR(B416/B445, "NA")</f>
        <v>0</v>
      </c>
      <c r="D416" s="9"/>
      <c r="E416" s="7">
        <v>0</v>
      </c>
      <c r="F416" s="8">
        <f>IFERROR(E416/E445, "NA")</f>
        <v>0</v>
      </c>
      <c r="G416" s="9"/>
      <c r="H416" s="10">
        <f t="shared" si="100"/>
        <v>0</v>
      </c>
      <c r="I416" s="8">
        <f>IFERROR(H416/H445, "NA")</f>
        <v>0</v>
      </c>
      <c r="J416" s="9"/>
      <c r="K416" s="7">
        <v>0</v>
      </c>
      <c r="L416" s="8">
        <f>IFERROR(K416/K445, "NA")</f>
        <v>0</v>
      </c>
      <c r="M416" s="9"/>
      <c r="N416" s="10">
        <f t="shared" si="101"/>
        <v>0</v>
      </c>
      <c r="O416" s="8">
        <f>IFERROR(N416/N445, "NA")</f>
        <v>0</v>
      </c>
      <c r="P416" s="9"/>
      <c r="Q416" s="7">
        <v>0</v>
      </c>
      <c r="R416" s="8">
        <f>IFERROR(Q416/Q445, "NA")</f>
        <v>0</v>
      </c>
      <c r="S416" s="9"/>
      <c r="T416" s="7">
        <v>0</v>
      </c>
      <c r="U416" s="8">
        <f>IFERROR(T416/T445, "NA")</f>
        <v>0</v>
      </c>
      <c r="V416" s="9"/>
      <c r="W416" s="10">
        <f t="shared" si="102"/>
        <v>0</v>
      </c>
      <c r="X416" s="8">
        <f>IFERROR(W416/W445, "NA")</f>
        <v>0</v>
      </c>
      <c r="Y416" s="9"/>
      <c r="Z416" s="7">
        <v>0</v>
      </c>
      <c r="AA416" s="8">
        <f>IFERROR(Z416/Z445, "NA")</f>
        <v>0</v>
      </c>
      <c r="AB416" s="9"/>
      <c r="AC416" s="10">
        <f t="shared" si="103"/>
        <v>0</v>
      </c>
      <c r="AD416" s="8">
        <f>IFERROR(AC416/AC445, "NA")</f>
        <v>0</v>
      </c>
    </row>
    <row r="417" spans="1:30" ht="16.5" customHeight="1" x14ac:dyDescent="0.45">
      <c r="A417" s="6" t="s">
        <v>382</v>
      </c>
      <c r="B417" s="7">
        <v>-32.29</v>
      </c>
      <c r="C417" s="8">
        <f>IFERROR(B417/B445, "NA")</f>
        <v>-2.9565305768347724E-4</v>
      </c>
      <c r="D417" s="9"/>
      <c r="E417" s="7">
        <v>0</v>
      </c>
      <c r="F417" s="8">
        <f>IFERROR(E417/E445, "NA")</f>
        <v>0</v>
      </c>
      <c r="G417" s="9"/>
      <c r="H417" s="10">
        <f t="shared" si="100"/>
        <v>32.29</v>
      </c>
      <c r="I417" s="8">
        <f>IFERROR(H417/H445, "NA")</f>
        <v>2.2284087960381385E-3</v>
      </c>
      <c r="J417" s="9"/>
      <c r="K417" s="7">
        <v>0</v>
      </c>
      <c r="L417" s="8">
        <f>IFERROR(K417/K445, "NA")</f>
        <v>0</v>
      </c>
      <c r="M417" s="9"/>
      <c r="N417" s="10">
        <f t="shared" si="101"/>
        <v>32.29</v>
      </c>
      <c r="O417" s="8">
        <f>IFERROR(N417/N445, "NA")</f>
        <v>1.4281600972334203E-3</v>
      </c>
      <c r="P417" s="9"/>
      <c r="Q417" s="7">
        <v>-145.44999999999999</v>
      </c>
      <c r="R417" s="8">
        <f>IFERROR(Q417/Q445, "NA")</f>
        <v>-2.8542226158238923E-4</v>
      </c>
      <c r="S417" s="9"/>
      <c r="T417" s="7">
        <v>0</v>
      </c>
      <c r="U417" s="8">
        <f>IFERROR(T417/T445, "NA")</f>
        <v>0</v>
      </c>
      <c r="V417" s="9"/>
      <c r="W417" s="10">
        <f t="shared" si="102"/>
        <v>145.44999999999999</v>
      </c>
      <c r="X417" s="8">
        <f>IFERROR(W417/W445, "NA")</f>
        <v>4.7542763154669147E-3</v>
      </c>
      <c r="Y417" s="9"/>
      <c r="Z417" s="7">
        <v>-112.63</v>
      </c>
      <c r="AA417" s="8">
        <f>IFERROR(Z417/Z445, "NA")</f>
        <v>-2.5213060208487809E-4</v>
      </c>
      <c r="AB417" s="9"/>
      <c r="AC417" s="10">
        <f t="shared" si="103"/>
        <v>32.819999999999993</v>
      </c>
      <c r="AD417" s="8">
        <f>IFERROR(AC417/AC445, "NA")</f>
        <v>5.2192232803438521E-4</v>
      </c>
    </row>
    <row r="418" spans="1:30" ht="16.5" customHeight="1" x14ac:dyDescent="0.45">
      <c r="A418" s="6" t="s">
        <v>383</v>
      </c>
      <c r="B418" s="7">
        <v>190.6</v>
      </c>
      <c r="C418" s="8">
        <f>IFERROR(B418/B445, "NA")</f>
        <v>1.7451679403676296E-3</v>
      </c>
      <c r="D418" s="9"/>
      <c r="E418" s="7">
        <v>0</v>
      </c>
      <c r="F418" s="8">
        <f>IFERROR(E418/E445, "NA")</f>
        <v>0</v>
      </c>
      <c r="G418" s="9"/>
      <c r="H418" s="10">
        <f t="shared" si="100"/>
        <v>-190.6</v>
      </c>
      <c r="I418" s="8">
        <f>IFERROR(H418/H445, "NA")</f>
        <v>-1.3153753995815087E-2</v>
      </c>
      <c r="J418" s="9"/>
      <c r="K418" s="7">
        <v>-23.66</v>
      </c>
      <c r="L418" s="8">
        <f>IFERROR(K418/K445, "NA")</f>
        <v>-2.7319016136693921E-4</v>
      </c>
      <c r="M418" s="9"/>
      <c r="N418" s="10">
        <f t="shared" si="101"/>
        <v>-214.26</v>
      </c>
      <c r="O418" s="8">
        <f>IFERROR(N418/N445, "NA")</f>
        <v>-9.4765432775854013E-3</v>
      </c>
      <c r="P418" s="9"/>
      <c r="Q418" s="7">
        <v>252.61</v>
      </c>
      <c r="R418" s="8">
        <f>IFERROR(Q418/Q445, "NA")</f>
        <v>4.9570654863064531E-4</v>
      </c>
      <c r="S418" s="9"/>
      <c r="T418" s="7">
        <v>0</v>
      </c>
      <c r="U418" s="8">
        <f>IFERROR(T418/T445, "NA")</f>
        <v>0</v>
      </c>
      <c r="V418" s="9"/>
      <c r="W418" s="10">
        <f t="shared" si="102"/>
        <v>-252.61</v>
      </c>
      <c r="X418" s="8">
        <f>IFERROR(W418/W445, "NA")</f>
        <v>-8.256979993469216E-3</v>
      </c>
      <c r="Y418" s="9"/>
      <c r="Z418" s="7">
        <v>48.27</v>
      </c>
      <c r="AA418" s="8">
        <f>IFERROR(Z418/Z445, "NA")</f>
        <v>1.0805597232209062E-4</v>
      </c>
      <c r="AB418" s="9"/>
      <c r="AC418" s="10">
        <f t="shared" si="103"/>
        <v>-204.34</v>
      </c>
      <c r="AD418" s="8">
        <f>IFERROR(AC418/AC445, "NA")</f>
        <v>-3.2495310332281016E-3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IFERROR(B419/B445, "NA")</f>
        <v>0</v>
      </c>
      <c r="D419" s="9"/>
      <c r="E419" s="7">
        <v>0</v>
      </c>
      <c r="F419" s="8">
        <f>IFERROR(E419/E445, "NA")</f>
        <v>0</v>
      </c>
      <c r="G419" s="9"/>
      <c r="H419" s="10">
        <f t="shared" si="100"/>
        <v>0</v>
      </c>
      <c r="I419" s="8">
        <f>IFERROR(H419/H445, "NA")</f>
        <v>0</v>
      </c>
      <c r="J419" s="9"/>
      <c r="K419" s="7">
        <v>0</v>
      </c>
      <c r="L419" s="8">
        <f>IFERROR(K419/K445, "NA")</f>
        <v>0</v>
      </c>
      <c r="M419" s="9"/>
      <c r="N419" s="10">
        <f t="shared" si="101"/>
        <v>0</v>
      </c>
      <c r="O419" s="8">
        <f>IFERROR(N419/N445, "NA")</f>
        <v>0</v>
      </c>
      <c r="P419" s="9"/>
      <c r="Q419" s="7">
        <v>0</v>
      </c>
      <c r="R419" s="8">
        <f>IFERROR(Q419/Q445, "NA")</f>
        <v>0</v>
      </c>
      <c r="S419" s="9"/>
      <c r="T419" s="7">
        <v>0</v>
      </c>
      <c r="U419" s="8">
        <f>IFERROR(T419/T445, "NA")</f>
        <v>0</v>
      </c>
      <c r="V419" s="9"/>
      <c r="W419" s="10">
        <f t="shared" si="102"/>
        <v>0</v>
      </c>
      <c r="X419" s="8">
        <f>IFERROR(W419/W445, "NA")</f>
        <v>0</v>
      </c>
      <c r="Y419" s="9"/>
      <c r="Z419" s="7">
        <v>0</v>
      </c>
      <c r="AA419" s="8">
        <f>IFERROR(Z419/Z445, "NA")</f>
        <v>0</v>
      </c>
      <c r="AB419" s="9"/>
      <c r="AC419" s="10">
        <f t="shared" si="103"/>
        <v>0</v>
      </c>
      <c r="AD419" s="8">
        <f>IFERROR(AC419/AC445,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IFERROR(B420/B445, "NA")</f>
        <v>0</v>
      </c>
      <c r="D420" s="9"/>
      <c r="E420" s="7">
        <v>0</v>
      </c>
      <c r="F420" s="8">
        <f>IFERROR(E420/E445, "NA")</f>
        <v>0</v>
      </c>
      <c r="G420" s="9"/>
      <c r="H420" s="10">
        <f t="shared" si="100"/>
        <v>0</v>
      </c>
      <c r="I420" s="8">
        <f>IFERROR(H420/H445, "NA")</f>
        <v>0</v>
      </c>
      <c r="J420" s="9"/>
      <c r="K420" s="7">
        <v>0</v>
      </c>
      <c r="L420" s="8">
        <f>IFERROR(K420/K445, "NA")</f>
        <v>0</v>
      </c>
      <c r="M420" s="9"/>
      <c r="N420" s="10">
        <f t="shared" si="101"/>
        <v>0</v>
      </c>
      <c r="O420" s="8">
        <f>IFERROR(N420/N445, "NA")</f>
        <v>0</v>
      </c>
      <c r="P420" s="9"/>
      <c r="Q420" s="7">
        <v>0</v>
      </c>
      <c r="R420" s="8">
        <f>IFERROR(Q420/Q445, "NA")</f>
        <v>0</v>
      </c>
      <c r="S420" s="9"/>
      <c r="T420" s="7">
        <v>0</v>
      </c>
      <c r="U420" s="8">
        <f>IFERROR(T420/T445, "NA")</f>
        <v>0</v>
      </c>
      <c r="V420" s="9"/>
      <c r="W420" s="10">
        <f t="shared" si="102"/>
        <v>0</v>
      </c>
      <c r="X420" s="8">
        <f>IFERROR(W420/W445, "NA")</f>
        <v>0</v>
      </c>
      <c r="Y420" s="9"/>
      <c r="Z420" s="7">
        <v>0</v>
      </c>
      <c r="AA420" s="8">
        <f>IFERROR(Z420/Z445, "NA")</f>
        <v>0</v>
      </c>
      <c r="AB420" s="9"/>
      <c r="AC420" s="10">
        <f t="shared" si="103"/>
        <v>0</v>
      </c>
      <c r="AD420" s="8">
        <f>IFERROR(AC420/AC445,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IFERROR(B421/B445, "NA")</f>
        <v>0</v>
      </c>
      <c r="D421" s="9"/>
      <c r="E421" s="7">
        <v>0</v>
      </c>
      <c r="F421" s="8">
        <f>IFERROR(E421/E445, "NA")</f>
        <v>0</v>
      </c>
      <c r="G421" s="9"/>
      <c r="H421" s="10">
        <f t="shared" si="100"/>
        <v>0</v>
      </c>
      <c r="I421" s="8">
        <f>IFERROR(H421/H445, "NA")</f>
        <v>0</v>
      </c>
      <c r="J421" s="9"/>
      <c r="K421" s="7">
        <v>0</v>
      </c>
      <c r="L421" s="8">
        <f>IFERROR(K421/K445, "NA")</f>
        <v>0</v>
      </c>
      <c r="M421" s="9"/>
      <c r="N421" s="10">
        <f t="shared" si="101"/>
        <v>0</v>
      </c>
      <c r="O421" s="8">
        <f>IFERROR(N421/N445, "NA")</f>
        <v>0</v>
      </c>
      <c r="P421" s="9"/>
      <c r="Q421" s="7">
        <v>0</v>
      </c>
      <c r="R421" s="8">
        <f>IFERROR(Q421/Q445, "NA")</f>
        <v>0</v>
      </c>
      <c r="S421" s="9"/>
      <c r="T421" s="7">
        <v>0</v>
      </c>
      <c r="U421" s="8">
        <f>IFERROR(T421/T445, "NA")</f>
        <v>0</v>
      </c>
      <c r="V421" s="9"/>
      <c r="W421" s="10">
        <f t="shared" si="102"/>
        <v>0</v>
      </c>
      <c r="X421" s="8">
        <f>IFERROR(W421/W445, "NA")</f>
        <v>0</v>
      </c>
      <c r="Y421" s="9"/>
      <c r="Z421" s="7">
        <v>0</v>
      </c>
      <c r="AA421" s="8">
        <f>IFERROR(Z421/Z445, "NA")</f>
        <v>0</v>
      </c>
      <c r="AB421" s="9"/>
      <c r="AC421" s="10">
        <f t="shared" si="103"/>
        <v>0</v>
      </c>
      <c r="AD421" s="8">
        <f>IFERROR(AC421/AC445,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IFERROR(B422/B445, "NA")</f>
        <v>0</v>
      </c>
      <c r="D422" s="9"/>
      <c r="E422" s="7">
        <v>0</v>
      </c>
      <c r="F422" s="8">
        <f>IFERROR(E422/E445, "NA")</f>
        <v>0</v>
      </c>
      <c r="G422" s="9"/>
      <c r="H422" s="10">
        <f t="shared" si="100"/>
        <v>0</v>
      </c>
      <c r="I422" s="8">
        <f>IFERROR(H422/H445, "NA")</f>
        <v>0</v>
      </c>
      <c r="J422" s="9"/>
      <c r="K422" s="7">
        <v>0</v>
      </c>
      <c r="L422" s="8">
        <f>IFERROR(K422/K445, "NA")</f>
        <v>0</v>
      </c>
      <c r="M422" s="9"/>
      <c r="N422" s="10">
        <f t="shared" si="101"/>
        <v>0</v>
      </c>
      <c r="O422" s="8">
        <f>IFERROR(N422/N445, "NA")</f>
        <v>0</v>
      </c>
      <c r="P422" s="9"/>
      <c r="Q422" s="7">
        <v>0</v>
      </c>
      <c r="R422" s="8">
        <f>IFERROR(Q422/Q445, "NA")</f>
        <v>0</v>
      </c>
      <c r="S422" s="9"/>
      <c r="T422" s="7">
        <v>0</v>
      </c>
      <c r="U422" s="8">
        <f>IFERROR(T422/T445, "NA")</f>
        <v>0</v>
      </c>
      <c r="V422" s="9"/>
      <c r="W422" s="10">
        <f t="shared" si="102"/>
        <v>0</v>
      </c>
      <c r="X422" s="8">
        <f>IFERROR(W422/W445, "NA")</f>
        <v>0</v>
      </c>
      <c r="Y422" s="9"/>
      <c r="Z422" s="7">
        <v>0</v>
      </c>
      <c r="AA422" s="8">
        <f>IFERROR(Z422/Z445, "NA")</f>
        <v>0</v>
      </c>
      <c r="AB422" s="9"/>
      <c r="AC422" s="10">
        <f t="shared" si="103"/>
        <v>0</v>
      </c>
      <c r="AD422" s="8">
        <f>IFERROR(AC422/AC445,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IFERROR(B423/B445, "NA")</f>
        <v>0</v>
      </c>
      <c r="D423" s="9"/>
      <c r="E423" s="7">
        <v>0</v>
      </c>
      <c r="F423" s="8">
        <f>IFERROR(E423/E445, "NA")</f>
        <v>0</v>
      </c>
      <c r="G423" s="9"/>
      <c r="H423" s="10">
        <f t="shared" si="100"/>
        <v>0</v>
      </c>
      <c r="I423" s="8">
        <f>IFERROR(H423/H445, "NA")</f>
        <v>0</v>
      </c>
      <c r="J423" s="9"/>
      <c r="K423" s="7">
        <v>0</v>
      </c>
      <c r="L423" s="8">
        <f>IFERROR(K423/K445, "NA")</f>
        <v>0</v>
      </c>
      <c r="M423" s="9"/>
      <c r="N423" s="10">
        <f t="shared" si="101"/>
        <v>0</v>
      </c>
      <c r="O423" s="8">
        <f>IFERROR(N423/N445, "NA")</f>
        <v>0</v>
      </c>
      <c r="P423" s="9"/>
      <c r="Q423" s="7">
        <v>0</v>
      </c>
      <c r="R423" s="8">
        <f>IFERROR(Q423/Q445, "NA")</f>
        <v>0</v>
      </c>
      <c r="S423" s="9"/>
      <c r="T423" s="7">
        <v>0</v>
      </c>
      <c r="U423" s="8">
        <f>IFERROR(T423/T445, "NA")</f>
        <v>0</v>
      </c>
      <c r="V423" s="9"/>
      <c r="W423" s="10">
        <f t="shared" si="102"/>
        <v>0</v>
      </c>
      <c r="X423" s="8">
        <f>IFERROR(W423/W445, "NA")</f>
        <v>0</v>
      </c>
      <c r="Y423" s="9"/>
      <c r="Z423" s="7">
        <v>0</v>
      </c>
      <c r="AA423" s="8">
        <f>IFERROR(Z423/Z445, "NA")</f>
        <v>0</v>
      </c>
      <c r="AB423" s="9"/>
      <c r="AC423" s="10">
        <f t="shared" si="103"/>
        <v>0</v>
      </c>
      <c r="AD423" s="8">
        <f>IFERROR(AC423/AC445,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IFERROR(B424/B445, "NA")</f>
        <v>0</v>
      </c>
      <c r="D424" s="9"/>
      <c r="E424" s="7">
        <v>0</v>
      </c>
      <c r="F424" s="8">
        <f>IFERROR(E424/E445, "NA")</f>
        <v>0</v>
      </c>
      <c r="G424" s="9"/>
      <c r="H424" s="10">
        <f t="shared" si="100"/>
        <v>0</v>
      </c>
      <c r="I424" s="8">
        <f>IFERROR(H424/H445, "NA")</f>
        <v>0</v>
      </c>
      <c r="J424" s="9"/>
      <c r="K424" s="7">
        <v>0</v>
      </c>
      <c r="L424" s="8">
        <f>IFERROR(K424/K445, "NA")</f>
        <v>0</v>
      </c>
      <c r="M424" s="9"/>
      <c r="N424" s="10">
        <f t="shared" si="101"/>
        <v>0</v>
      </c>
      <c r="O424" s="8">
        <f>IFERROR(N424/N445, "NA")</f>
        <v>0</v>
      </c>
      <c r="P424" s="9"/>
      <c r="Q424" s="7">
        <v>0</v>
      </c>
      <c r="R424" s="8">
        <f>IFERROR(Q424/Q445, "NA")</f>
        <v>0</v>
      </c>
      <c r="S424" s="9"/>
      <c r="T424" s="7">
        <v>0</v>
      </c>
      <c r="U424" s="8">
        <f>IFERROR(T424/T445, "NA")</f>
        <v>0</v>
      </c>
      <c r="V424" s="9"/>
      <c r="W424" s="10">
        <f t="shared" si="102"/>
        <v>0</v>
      </c>
      <c r="X424" s="8">
        <f>IFERROR(W424/W445, "NA")</f>
        <v>0</v>
      </c>
      <c r="Y424" s="9"/>
      <c r="Z424" s="7">
        <v>0</v>
      </c>
      <c r="AA424" s="8">
        <f>IFERROR(Z424/Z445, "NA")</f>
        <v>0</v>
      </c>
      <c r="AB424" s="9"/>
      <c r="AC424" s="10">
        <f t="shared" si="103"/>
        <v>0</v>
      </c>
      <c r="AD424" s="8">
        <f>IFERROR(AC424/AC445,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IFERROR(B425/B445, "NA")</f>
        <v>0</v>
      </c>
      <c r="D425" s="9"/>
      <c r="E425" s="7">
        <v>0</v>
      </c>
      <c r="F425" s="8">
        <f>IFERROR(E425/E445, "NA")</f>
        <v>0</v>
      </c>
      <c r="G425" s="9"/>
      <c r="H425" s="10">
        <f t="shared" si="100"/>
        <v>0</v>
      </c>
      <c r="I425" s="8">
        <f>IFERROR(H425/H445, "NA")</f>
        <v>0</v>
      </c>
      <c r="J425" s="9"/>
      <c r="K425" s="7">
        <v>0</v>
      </c>
      <c r="L425" s="8">
        <f>IFERROR(K425/K445, "NA")</f>
        <v>0</v>
      </c>
      <c r="M425" s="9"/>
      <c r="N425" s="10">
        <f t="shared" si="101"/>
        <v>0</v>
      </c>
      <c r="O425" s="8">
        <f>IFERROR(N425/N445, "NA")</f>
        <v>0</v>
      </c>
      <c r="P425" s="9"/>
      <c r="Q425" s="7">
        <v>0</v>
      </c>
      <c r="R425" s="8">
        <f>IFERROR(Q425/Q445, "NA")</f>
        <v>0</v>
      </c>
      <c r="S425" s="9"/>
      <c r="T425" s="7">
        <v>0</v>
      </c>
      <c r="U425" s="8">
        <f>IFERROR(T425/T445, "NA")</f>
        <v>0</v>
      </c>
      <c r="V425" s="9"/>
      <c r="W425" s="10">
        <f t="shared" si="102"/>
        <v>0</v>
      </c>
      <c r="X425" s="8">
        <f>IFERROR(W425/W445, "NA")</f>
        <v>0</v>
      </c>
      <c r="Y425" s="9"/>
      <c r="Z425" s="7">
        <v>0</v>
      </c>
      <c r="AA425" s="8">
        <f>IFERROR(Z425/Z445, "NA")</f>
        <v>0</v>
      </c>
      <c r="AB425" s="9"/>
      <c r="AC425" s="10">
        <f t="shared" si="103"/>
        <v>0</v>
      </c>
      <c r="AD425" s="8">
        <f>IFERROR(AC425/AC445,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IFERROR(B426/B445, "NA")</f>
        <v>0</v>
      </c>
      <c r="D426" s="9"/>
      <c r="E426" s="7">
        <v>0</v>
      </c>
      <c r="F426" s="8">
        <f>IFERROR(E426/E445, "NA")</f>
        <v>0</v>
      </c>
      <c r="G426" s="9"/>
      <c r="H426" s="10">
        <f t="shared" si="100"/>
        <v>0</v>
      </c>
      <c r="I426" s="8">
        <f>IFERROR(H426/H445, "NA")</f>
        <v>0</v>
      </c>
      <c r="J426" s="9"/>
      <c r="K426" s="7">
        <v>0</v>
      </c>
      <c r="L426" s="8">
        <f>IFERROR(K426/K445, "NA")</f>
        <v>0</v>
      </c>
      <c r="M426" s="9"/>
      <c r="N426" s="10">
        <f t="shared" si="101"/>
        <v>0</v>
      </c>
      <c r="O426" s="8">
        <f>IFERROR(N426/N445, "NA")</f>
        <v>0</v>
      </c>
      <c r="P426" s="9"/>
      <c r="Q426" s="7">
        <v>0</v>
      </c>
      <c r="R426" s="8">
        <f>IFERROR(Q426/Q445, "NA")</f>
        <v>0</v>
      </c>
      <c r="S426" s="9"/>
      <c r="T426" s="7">
        <v>0</v>
      </c>
      <c r="U426" s="8">
        <f>IFERROR(T426/T445, "NA")</f>
        <v>0</v>
      </c>
      <c r="V426" s="9"/>
      <c r="W426" s="10">
        <f t="shared" si="102"/>
        <v>0</v>
      </c>
      <c r="X426" s="8">
        <f>IFERROR(W426/W445, "NA")</f>
        <v>0</v>
      </c>
      <c r="Y426" s="9"/>
      <c r="Z426" s="7">
        <v>0</v>
      </c>
      <c r="AA426" s="8">
        <f>IFERROR(Z426/Z445, "NA")</f>
        <v>0</v>
      </c>
      <c r="AB426" s="9"/>
      <c r="AC426" s="10">
        <f t="shared" si="103"/>
        <v>0</v>
      </c>
      <c r="AD426" s="8">
        <f>IFERROR(AC426/AC445,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IFERROR(B427/B445, "NA")</f>
        <v>0</v>
      </c>
      <c r="D427" s="9"/>
      <c r="E427" s="7">
        <v>0</v>
      </c>
      <c r="F427" s="8">
        <f>IFERROR(E427/E445, "NA")</f>
        <v>0</v>
      </c>
      <c r="G427" s="9"/>
      <c r="H427" s="10">
        <f t="shared" si="100"/>
        <v>0</v>
      </c>
      <c r="I427" s="8">
        <f>IFERROR(H427/H445, "NA")</f>
        <v>0</v>
      </c>
      <c r="J427" s="9"/>
      <c r="K427" s="7">
        <v>0</v>
      </c>
      <c r="L427" s="8">
        <f>IFERROR(K427/K445, "NA")</f>
        <v>0</v>
      </c>
      <c r="M427" s="9"/>
      <c r="N427" s="10">
        <f t="shared" si="101"/>
        <v>0</v>
      </c>
      <c r="O427" s="8">
        <f>IFERROR(N427/N445, "NA")</f>
        <v>0</v>
      </c>
      <c r="P427" s="9"/>
      <c r="Q427" s="7">
        <v>0</v>
      </c>
      <c r="R427" s="8">
        <f>IFERROR(Q427/Q445, "NA")</f>
        <v>0</v>
      </c>
      <c r="S427" s="9"/>
      <c r="T427" s="7">
        <v>0</v>
      </c>
      <c r="U427" s="8">
        <f>IFERROR(T427/T445, "NA")</f>
        <v>0</v>
      </c>
      <c r="V427" s="9"/>
      <c r="W427" s="10">
        <f t="shared" si="102"/>
        <v>0</v>
      </c>
      <c r="X427" s="8">
        <f>IFERROR(W427/W445, "NA")</f>
        <v>0</v>
      </c>
      <c r="Y427" s="9"/>
      <c r="Z427" s="7">
        <v>0</v>
      </c>
      <c r="AA427" s="8">
        <f>IFERROR(Z427/Z445, "NA")</f>
        <v>0</v>
      </c>
      <c r="AB427" s="9"/>
      <c r="AC427" s="10">
        <f t="shared" si="103"/>
        <v>0</v>
      </c>
      <c r="AD427" s="8">
        <f>IFERROR(AC427/AC445, "NA")</f>
        <v>0</v>
      </c>
    </row>
    <row r="428" spans="1:30" ht="16.5" hidden="1" customHeight="1" x14ac:dyDescent="0.45">
      <c r="A428" s="6" t="s">
        <v>393</v>
      </c>
      <c r="B428" s="7">
        <v>0</v>
      </c>
      <c r="C428" s="8">
        <f>IFERROR(B428/B445, "NA")</f>
        <v>0</v>
      </c>
      <c r="D428" s="9"/>
      <c r="E428" s="7">
        <v>0</v>
      </c>
      <c r="F428" s="8">
        <f>IFERROR(E428/E445, "NA")</f>
        <v>0</v>
      </c>
      <c r="G428" s="9"/>
      <c r="H428" s="10">
        <f t="shared" si="100"/>
        <v>0</v>
      </c>
      <c r="I428" s="8">
        <f>IFERROR(H428/H445, "NA")</f>
        <v>0</v>
      </c>
      <c r="J428" s="9"/>
      <c r="K428" s="7">
        <v>0</v>
      </c>
      <c r="L428" s="8">
        <f>IFERROR(K428/K445, "NA")</f>
        <v>0</v>
      </c>
      <c r="M428" s="9"/>
      <c r="N428" s="10">
        <f t="shared" si="101"/>
        <v>0</v>
      </c>
      <c r="O428" s="8">
        <f>IFERROR(N428/N445, "NA")</f>
        <v>0</v>
      </c>
      <c r="P428" s="9"/>
      <c r="Q428" s="7">
        <v>0</v>
      </c>
      <c r="R428" s="8">
        <f>IFERROR(Q428/Q445, "NA")</f>
        <v>0</v>
      </c>
      <c r="S428" s="9"/>
      <c r="T428" s="7">
        <v>0</v>
      </c>
      <c r="U428" s="8">
        <f>IFERROR(T428/T445, "NA")</f>
        <v>0</v>
      </c>
      <c r="V428" s="9"/>
      <c r="W428" s="10">
        <f t="shared" si="102"/>
        <v>0</v>
      </c>
      <c r="X428" s="8">
        <f>IFERROR(W428/W445, "NA")</f>
        <v>0</v>
      </c>
      <c r="Y428" s="9"/>
      <c r="Z428" s="7">
        <v>0</v>
      </c>
      <c r="AA428" s="8">
        <f>IFERROR(Z428/Z445, "NA")</f>
        <v>0</v>
      </c>
      <c r="AB428" s="9"/>
      <c r="AC428" s="10">
        <f t="shared" si="103"/>
        <v>0</v>
      </c>
      <c r="AD428" s="8">
        <f>IFERROR(AC428/AC445, "NA")</f>
        <v>0</v>
      </c>
    </row>
    <row r="429" spans="1:30" ht="16.5" customHeight="1" x14ac:dyDescent="0.45">
      <c r="A429" s="19" t="s">
        <v>394</v>
      </c>
      <c r="B429" s="14">
        <f>IFERROR(B408+B409+B410+B411+B412+B413+B414+B415+B416+B417+B418+B419+B420+B421+B422+B423+B424+B425+B426+B427+B428, "NA")</f>
        <v>3469.35</v>
      </c>
      <c r="C429" s="15">
        <f>IFERROR(B429/B445, "NA")</f>
        <v>3.1765993672163879E-2</v>
      </c>
      <c r="D429" s="2"/>
      <c r="E429" s="14">
        <f>IFERROR(E408+E409+E410+E411+E412+E413+E414+E415+E416+E417+E418+E419+E420+E421+E422+E423+E424+E425+E426+E427+E428, "NA")</f>
        <v>3137.16</v>
      </c>
      <c r="F429" s="15">
        <f>IFERROR(E429/E445, "NA")</f>
        <v>3.3118365250229369E-2</v>
      </c>
      <c r="G429" s="2"/>
      <c r="H429" s="14">
        <f t="shared" si="100"/>
        <v>-332.19000000000005</v>
      </c>
      <c r="I429" s="15">
        <f>IFERROR(H429/H445, "NA")</f>
        <v>-2.2925212696064085E-2</v>
      </c>
      <c r="J429" s="2"/>
      <c r="K429" s="14">
        <f>IFERROR(K408+K409+K410+K411+K412+K413+K414+K415+K416+K417+K418+K419+K420+K421+K422+K423+K424+K425+K426+K427+K428, "NA")</f>
        <v>2868.26</v>
      </c>
      <c r="L429" s="15">
        <f>IFERROR(K429/K445, "NA")</f>
        <v>3.3118360618864626E-2</v>
      </c>
      <c r="M429" s="2"/>
      <c r="N429" s="14">
        <f t="shared" si="101"/>
        <v>-601.08999999999969</v>
      </c>
      <c r="O429" s="15">
        <f>IFERROR(N429/N445, "NA")</f>
        <v>-2.6585715479902017E-2</v>
      </c>
      <c r="P429" s="2"/>
      <c r="Q429" s="14">
        <f>IFERROR(Q408+Q409+Q410+Q411+Q412+Q413+Q414+Q415+Q416+Q417+Q418+Q419+Q420+Q421+Q422+Q423+Q424+Q425+Q426+Q427+Q428, "NA")</f>
        <v>16705.57</v>
      </c>
      <c r="R429" s="15">
        <f>IFERROR(Q429/Q445, "NA")</f>
        <v>3.2781997734086729E-2</v>
      </c>
      <c r="S429" s="2"/>
      <c r="T429" s="14">
        <f>IFERROR(T408+T409+T410+T411+T412+T413+T414+T415+T416+T417+T418+T419+T420+T421+T422+T423+T424+T425+T426+T427+T428, "NA")</f>
        <v>15867.56</v>
      </c>
      <c r="U429" s="15">
        <f>IFERROR(T429/T445, "NA")</f>
        <v>3.312626823493179E-2</v>
      </c>
      <c r="V429" s="2"/>
      <c r="W429" s="14">
        <f t="shared" si="102"/>
        <v>-838.01000000000022</v>
      </c>
      <c r="X429" s="15">
        <f>IFERROR(W429/W445, "NA")</f>
        <v>-2.7391757271395194E-2</v>
      </c>
      <c r="Y429" s="2"/>
      <c r="Z429" s="14">
        <f>IFERROR(Z408+Z409+Z410+Z411+Z412+Z413+Z414+Z415+Z416+Z417+Z418+Z419+Z420+Z421+Z422+Z423+Z424+Z425+Z426+Z427+Z428, "NA")</f>
        <v>14837.820000000002</v>
      </c>
      <c r="AA429" s="15">
        <f>IFERROR(Z429/Z445, "NA")</f>
        <v>3.3215559710796823E-2</v>
      </c>
      <c r="AB429" s="2"/>
      <c r="AC429" s="14">
        <f t="shared" si="103"/>
        <v>-1867.7499999999982</v>
      </c>
      <c r="AD429" s="15">
        <f>IFERROR(AC429/AC445, "NA")</f>
        <v>-2.9702024015424201E-2</v>
      </c>
    </row>
    <row r="430" spans="1:30" ht="16.5" customHeight="1" x14ac:dyDescent="0.45">
      <c r="A430" s="21" t="s">
        <v>395</v>
      </c>
      <c r="B430" s="14">
        <f>IFERROR(B408+B409+B410+B411+B412+B413+B414+B415+B416+B417+B418+B419+B420+B421+B422+B423+B424+B425+B426+B427+B428, "NA")</f>
        <v>3469.35</v>
      </c>
      <c r="C430" s="15">
        <f>IFERROR(B430/B445, "NA")</f>
        <v>3.1765993672163879E-2</v>
      </c>
      <c r="D430" s="2"/>
      <c r="E430" s="14">
        <f>IFERROR(E408+E409+E410+E411+E412+E413+E414+E415+E416+E417+E418+E419+E420+E421+E422+E423+E424+E425+E426+E427+E428, "NA")</f>
        <v>3137.16</v>
      </c>
      <c r="F430" s="15">
        <f>IFERROR(E430/E445, "NA")</f>
        <v>3.3118365250229369E-2</v>
      </c>
      <c r="G430" s="2"/>
      <c r="H430" s="14">
        <f t="shared" si="100"/>
        <v>-332.19000000000005</v>
      </c>
      <c r="I430" s="15">
        <f>IFERROR(H430/H445, "NA")</f>
        <v>-2.2925212696064085E-2</v>
      </c>
      <c r="J430" s="2"/>
      <c r="K430" s="14">
        <f>IFERROR(K408+K409+K410+K411+K412+K413+K414+K415+K416+K417+K418+K419+K420+K421+K422+K423+K424+K425+K426+K427+K428, "NA")</f>
        <v>2868.26</v>
      </c>
      <c r="L430" s="15">
        <f>IFERROR(K430/K445, "NA")</f>
        <v>3.3118360618864626E-2</v>
      </c>
      <c r="M430" s="2"/>
      <c r="N430" s="14">
        <f t="shared" si="101"/>
        <v>-601.08999999999969</v>
      </c>
      <c r="O430" s="15">
        <f>IFERROR(N430/N445, "NA")</f>
        <v>-2.6585715479902017E-2</v>
      </c>
      <c r="P430" s="2"/>
      <c r="Q430" s="14">
        <f>IFERROR(Q408+Q409+Q410+Q411+Q412+Q413+Q414+Q415+Q416+Q417+Q418+Q419+Q420+Q421+Q422+Q423+Q424+Q425+Q426+Q427+Q428, "NA")</f>
        <v>16705.57</v>
      </c>
      <c r="R430" s="15">
        <f>IFERROR(Q430/Q445, "NA")</f>
        <v>3.2781997734086729E-2</v>
      </c>
      <c r="S430" s="2"/>
      <c r="T430" s="14">
        <f>IFERROR(T408+T409+T410+T411+T412+T413+T414+T415+T416+T417+T418+T419+T420+T421+T422+T423+T424+T425+T426+T427+T428, "NA")</f>
        <v>15867.56</v>
      </c>
      <c r="U430" s="15">
        <f>IFERROR(T430/T445, "NA")</f>
        <v>3.312626823493179E-2</v>
      </c>
      <c r="V430" s="2"/>
      <c r="W430" s="14">
        <f t="shared" si="102"/>
        <v>-838.01000000000022</v>
      </c>
      <c r="X430" s="15">
        <f>IFERROR(W430/W445, "NA")</f>
        <v>-2.7391757271395194E-2</v>
      </c>
      <c r="Y430" s="2"/>
      <c r="Z430" s="14">
        <f>IFERROR(Z408+Z409+Z410+Z411+Z412+Z413+Z414+Z415+Z416+Z417+Z418+Z419+Z420+Z421+Z422+Z423+Z424+Z425+Z426+Z427+Z428, "NA")</f>
        <v>14837.820000000002</v>
      </c>
      <c r="AA430" s="15">
        <f>IFERROR(Z430/Z445, "NA")</f>
        <v>3.3215559710796823E-2</v>
      </c>
      <c r="AB430" s="2"/>
      <c r="AC430" s="14">
        <f t="shared" si="103"/>
        <v>-1867.7499999999982</v>
      </c>
      <c r="AD430" s="15">
        <f>IFERROR(AC430/AC445, "NA")</f>
        <v>-2.9702024015424201E-2</v>
      </c>
    </row>
    <row r="431" spans="1:30" ht="16.5" customHeight="1" x14ac:dyDescent="0.45">
      <c r="A431" s="1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customHeight="1" x14ac:dyDescent="0.45">
      <c r="A432" s="5" t="s">
        <v>397</v>
      </c>
      <c r="B432" s="2"/>
      <c r="C432" s="3"/>
      <c r="D432" s="4"/>
      <c r="E432" s="2"/>
      <c r="F432" s="3"/>
      <c r="G432" s="4"/>
      <c r="H432" s="2"/>
      <c r="I432" s="3"/>
      <c r="J432" s="4"/>
      <c r="K432" s="2"/>
      <c r="L432" s="3"/>
      <c r="M432" s="4"/>
      <c r="N432" s="2"/>
      <c r="O432" s="3"/>
      <c r="P432" s="4"/>
      <c r="Q432" s="2"/>
      <c r="R432" s="3"/>
      <c r="S432" s="4"/>
      <c r="T432" s="2"/>
      <c r="U432" s="3"/>
      <c r="V432" s="4"/>
      <c r="W432" s="2"/>
      <c r="X432" s="3"/>
      <c r="Y432" s="4"/>
      <c r="Z432" s="2"/>
      <c r="AA432" s="3"/>
      <c r="AB432" s="4"/>
      <c r="AC432" s="2"/>
      <c r="AD432" s="3"/>
    </row>
    <row r="433" spans="1:30" ht="16.5" hidden="1" customHeight="1" x14ac:dyDescent="0.45">
      <c r="A433" s="6" t="s">
        <v>397</v>
      </c>
      <c r="B433" s="7">
        <v>0</v>
      </c>
      <c r="C433" s="8">
        <f>IFERROR(B433/B445, "NA")</f>
        <v>0</v>
      </c>
      <c r="D433" s="9"/>
      <c r="E433" s="7">
        <v>0</v>
      </c>
      <c r="F433" s="8">
        <f>IFERROR(E433/E445, "NA")</f>
        <v>0</v>
      </c>
      <c r="G433" s="9"/>
      <c r="H433" s="10">
        <f t="shared" ref="H433:H443" si="104">IFERROR(-(B433-E433), "NA")</f>
        <v>0</v>
      </c>
      <c r="I433" s="8">
        <f>IFERROR(H433/H445, "NA")</f>
        <v>0</v>
      </c>
      <c r="J433" s="9"/>
      <c r="K433" s="7">
        <v>0</v>
      </c>
      <c r="L433" s="8">
        <f>IFERROR(K433/K445, "NA")</f>
        <v>0</v>
      </c>
      <c r="M433" s="9"/>
      <c r="N433" s="10">
        <f t="shared" ref="N433:N443" si="105">IFERROR(-(B433-K433), "NA")</f>
        <v>0</v>
      </c>
      <c r="O433" s="8">
        <f>IFERROR(N433/N445, "NA")</f>
        <v>0</v>
      </c>
      <c r="P433" s="9"/>
      <c r="Q433" s="7">
        <v>0</v>
      </c>
      <c r="R433" s="8">
        <f>IFERROR(Q433/Q445, "NA")</f>
        <v>0</v>
      </c>
      <c r="S433" s="9"/>
      <c r="T433" s="7">
        <v>0</v>
      </c>
      <c r="U433" s="8">
        <f>IFERROR(T433/T445, "NA")</f>
        <v>0</v>
      </c>
      <c r="V433" s="9"/>
      <c r="W433" s="10">
        <f t="shared" ref="W433:W443" si="106">IFERROR(-(Q433-T433), "NA")</f>
        <v>0</v>
      </c>
      <c r="X433" s="8">
        <f>IFERROR(W433/W445, "NA")</f>
        <v>0</v>
      </c>
      <c r="Y433" s="9"/>
      <c r="Z433" s="7">
        <v>0</v>
      </c>
      <c r="AA433" s="8">
        <f>IFERROR(Z433/Z445, "NA")</f>
        <v>0</v>
      </c>
      <c r="AB433" s="9"/>
      <c r="AC433" s="10">
        <f t="shared" ref="AC433:AC443" si="107">IFERROR(-(Q433-Z433), "NA")</f>
        <v>0</v>
      </c>
      <c r="AD433" s="8">
        <f>IFERROR(AC433/AC445,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IFERROR(B434/B445, "NA")</f>
        <v>0</v>
      </c>
      <c r="D434" s="9"/>
      <c r="E434" s="7">
        <v>0</v>
      </c>
      <c r="F434" s="8">
        <f>IFERROR(E434/E445, "NA")</f>
        <v>0</v>
      </c>
      <c r="G434" s="9"/>
      <c r="H434" s="10">
        <f t="shared" si="104"/>
        <v>0</v>
      </c>
      <c r="I434" s="8">
        <f>IFERROR(H434/H445, "NA")</f>
        <v>0</v>
      </c>
      <c r="J434" s="9"/>
      <c r="K434" s="7">
        <v>0</v>
      </c>
      <c r="L434" s="8">
        <f>IFERROR(K434/K445, "NA")</f>
        <v>0</v>
      </c>
      <c r="M434" s="9"/>
      <c r="N434" s="10">
        <f t="shared" si="105"/>
        <v>0</v>
      </c>
      <c r="O434" s="8">
        <f>IFERROR(N434/N445, "NA")</f>
        <v>0</v>
      </c>
      <c r="P434" s="9"/>
      <c r="Q434" s="7">
        <v>0</v>
      </c>
      <c r="R434" s="8">
        <f>IFERROR(Q434/Q445, "NA")</f>
        <v>0</v>
      </c>
      <c r="S434" s="9"/>
      <c r="T434" s="7">
        <v>0</v>
      </c>
      <c r="U434" s="8">
        <f>IFERROR(T434/T445, "NA")</f>
        <v>0</v>
      </c>
      <c r="V434" s="9"/>
      <c r="W434" s="10">
        <f t="shared" si="106"/>
        <v>0</v>
      </c>
      <c r="X434" s="8">
        <f>IFERROR(W434/W445, "NA")</f>
        <v>0</v>
      </c>
      <c r="Y434" s="9"/>
      <c r="Z434" s="7">
        <v>0</v>
      </c>
      <c r="AA434" s="8">
        <f>IFERROR(Z434/Z445, "NA")</f>
        <v>0</v>
      </c>
      <c r="AB434" s="9"/>
      <c r="AC434" s="10">
        <f t="shared" si="107"/>
        <v>0</v>
      </c>
      <c r="AD434" s="8">
        <f>IFERROR(AC434/AC445,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IFERROR(B435/B445, "NA")</f>
        <v>0</v>
      </c>
      <c r="D435" s="9"/>
      <c r="E435" s="7">
        <v>0</v>
      </c>
      <c r="F435" s="8">
        <f>IFERROR(E435/E445, "NA")</f>
        <v>0</v>
      </c>
      <c r="G435" s="9"/>
      <c r="H435" s="10">
        <f t="shared" si="104"/>
        <v>0</v>
      </c>
      <c r="I435" s="8">
        <f>IFERROR(H435/H445, "NA")</f>
        <v>0</v>
      </c>
      <c r="J435" s="9"/>
      <c r="K435" s="7">
        <v>0</v>
      </c>
      <c r="L435" s="8">
        <f>IFERROR(K435/K445, "NA")</f>
        <v>0</v>
      </c>
      <c r="M435" s="9"/>
      <c r="N435" s="10">
        <f t="shared" si="105"/>
        <v>0</v>
      </c>
      <c r="O435" s="8">
        <f>IFERROR(N435/N445, "NA")</f>
        <v>0</v>
      </c>
      <c r="P435" s="9"/>
      <c r="Q435" s="7">
        <v>0</v>
      </c>
      <c r="R435" s="8">
        <f>IFERROR(Q435/Q445, "NA")</f>
        <v>0</v>
      </c>
      <c r="S435" s="9"/>
      <c r="T435" s="7">
        <v>0</v>
      </c>
      <c r="U435" s="8">
        <f>IFERROR(T435/T445, "NA")</f>
        <v>0</v>
      </c>
      <c r="V435" s="9"/>
      <c r="W435" s="10">
        <f t="shared" si="106"/>
        <v>0</v>
      </c>
      <c r="X435" s="8">
        <f>IFERROR(W435/W445, "NA")</f>
        <v>0</v>
      </c>
      <c r="Y435" s="9"/>
      <c r="Z435" s="7">
        <v>0</v>
      </c>
      <c r="AA435" s="8">
        <f>IFERROR(Z435/Z445, "NA")</f>
        <v>0</v>
      </c>
      <c r="AB435" s="9"/>
      <c r="AC435" s="10">
        <f t="shared" si="107"/>
        <v>0</v>
      </c>
      <c r="AD435" s="8">
        <f>IFERROR(AC435/AC445,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IFERROR(B436/B445, "NA")</f>
        <v>0</v>
      </c>
      <c r="D436" s="9"/>
      <c r="E436" s="7">
        <v>0</v>
      </c>
      <c r="F436" s="8">
        <f>IFERROR(E436/E445, "NA")</f>
        <v>0</v>
      </c>
      <c r="G436" s="9"/>
      <c r="H436" s="10">
        <f t="shared" si="104"/>
        <v>0</v>
      </c>
      <c r="I436" s="8">
        <f>IFERROR(H436/H445, "NA")</f>
        <v>0</v>
      </c>
      <c r="J436" s="9"/>
      <c r="K436" s="7">
        <v>0</v>
      </c>
      <c r="L436" s="8">
        <f>IFERROR(K436/K445, "NA")</f>
        <v>0</v>
      </c>
      <c r="M436" s="9"/>
      <c r="N436" s="10">
        <f t="shared" si="105"/>
        <v>0</v>
      </c>
      <c r="O436" s="8">
        <f>IFERROR(N436/N445, "NA")</f>
        <v>0</v>
      </c>
      <c r="P436" s="9"/>
      <c r="Q436" s="7">
        <v>0</v>
      </c>
      <c r="R436" s="8">
        <f>IFERROR(Q436/Q445, "NA")</f>
        <v>0</v>
      </c>
      <c r="S436" s="9"/>
      <c r="T436" s="7">
        <v>0</v>
      </c>
      <c r="U436" s="8">
        <f>IFERROR(T436/T445, "NA")</f>
        <v>0</v>
      </c>
      <c r="V436" s="9"/>
      <c r="W436" s="10">
        <f t="shared" si="106"/>
        <v>0</v>
      </c>
      <c r="X436" s="8">
        <f>IFERROR(W436/W445, "NA")</f>
        <v>0</v>
      </c>
      <c r="Y436" s="9"/>
      <c r="Z436" s="7">
        <v>0</v>
      </c>
      <c r="AA436" s="8">
        <f>IFERROR(Z436/Z445, "NA")</f>
        <v>0</v>
      </c>
      <c r="AB436" s="9"/>
      <c r="AC436" s="10">
        <f t="shared" si="107"/>
        <v>0</v>
      </c>
      <c r="AD436" s="8">
        <f>IFERROR(AC436/AC445,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IFERROR(B437/B445, "NA")</f>
        <v>0</v>
      </c>
      <c r="D437" s="9"/>
      <c r="E437" s="7">
        <v>0</v>
      </c>
      <c r="F437" s="8">
        <f>IFERROR(E437/E445, "NA")</f>
        <v>0</v>
      </c>
      <c r="G437" s="9"/>
      <c r="H437" s="10">
        <f t="shared" si="104"/>
        <v>0</v>
      </c>
      <c r="I437" s="8">
        <f>IFERROR(H437/H445, "NA")</f>
        <v>0</v>
      </c>
      <c r="J437" s="9"/>
      <c r="K437" s="7">
        <v>0</v>
      </c>
      <c r="L437" s="8">
        <f>IFERROR(K437/K445, "NA")</f>
        <v>0</v>
      </c>
      <c r="M437" s="9"/>
      <c r="N437" s="10">
        <f t="shared" si="105"/>
        <v>0</v>
      </c>
      <c r="O437" s="8">
        <f>IFERROR(N437/N445, "NA")</f>
        <v>0</v>
      </c>
      <c r="P437" s="9"/>
      <c r="Q437" s="7">
        <v>0</v>
      </c>
      <c r="R437" s="8">
        <f>IFERROR(Q437/Q445, "NA")</f>
        <v>0</v>
      </c>
      <c r="S437" s="9"/>
      <c r="T437" s="7">
        <v>0</v>
      </c>
      <c r="U437" s="8">
        <f>IFERROR(T437/T445, "NA")</f>
        <v>0</v>
      </c>
      <c r="V437" s="9"/>
      <c r="W437" s="10">
        <f t="shared" si="106"/>
        <v>0</v>
      </c>
      <c r="X437" s="8">
        <f>IFERROR(W437/W445, "NA")</f>
        <v>0</v>
      </c>
      <c r="Y437" s="9"/>
      <c r="Z437" s="7">
        <v>0</v>
      </c>
      <c r="AA437" s="8">
        <f>IFERROR(Z437/Z445, "NA")</f>
        <v>0</v>
      </c>
      <c r="AB437" s="9"/>
      <c r="AC437" s="10">
        <f t="shared" si="107"/>
        <v>0</v>
      </c>
      <c r="AD437" s="8">
        <f>IFERROR(AC437/AC445, "NA")</f>
        <v>0</v>
      </c>
    </row>
    <row r="438" spans="1:30" ht="16.5" hidden="1" customHeight="1" x14ac:dyDescent="0.45">
      <c r="A438" s="6" t="s">
        <v>402</v>
      </c>
      <c r="B438" s="7">
        <v>0</v>
      </c>
      <c r="C438" s="8">
        <f>IFERROR(B438/B445, "NA")</f>
        <v>0</v>
      </c>
      <c r="D438" s="9"/>
      <c r="E438" s="7">
        <v>0</v>
      </c>
      <c r="F438" s="8">
        <f>IFERROR(E438/E445, "NA")</f>
        <v>0</v>
      </c>
      <c r="G438" s="9"/>
      <c r="H438" s="10">
        <f t="shared" si="104"/>
        <v>0</v>
      </c>
      <c r="I438" s="8">
        <f>IFERROR(H438/H445, "NA")</f>
        <v>0</v>
      </c>
      <c r="J438" s="9"/>
      <c r="K438" s="7">
        <v>0</v>
      </c>
      <c r="L438" s="8">
        <f>IFERROR(K438/K445, "NA")</f>
        <v>0</v>
      </c>
      <c r="M438" s="9"/>
      <c r="N438" s="10">
        <f t="shared" si="105"/>
        <v>0</v>
      </c>
      <c r="O438" s="8">
        <f>IFERROR(N438/N445, "NA")</f>
        <v>0</v>
      </c>
      <c r="P438" s="9"/>
      <c r="Q438" s="7">
        <v>0</v>
      </c>
      <c r="R438" s="8">
        <f>IFERROR(Q438/Q445, "NA")</f>
        <v>0</v>
      </c>
      <c r="S438" s="9"/>
      <c r="T438" s="7">
        <v>0</v>
      </c>
      <c r="U438" s="8">
        <f>IFERROR(T438/T445, "NA")</f>
        <v>0</v>
      </c>
      <c r="V438" s="9"/>
      <c r="W438" s="10">
        <f t="shared" si="106"/>
        <v>0</v>
      </c>
      <c r="X438" s="8">
        <f>IFERROR(W438/W445, "NA")</f>
        <v>0</v>
      </c>
      <c r="Y438" s="9"/>
      <c r="Z438" s="7">
        <v>0</v>
      </c>
      <c r="AA438" s="8">
        <f>IFERROR(Z438/Z445, "NA")</f>
        <v>0</v>
      </c>
      <c r="AB438" s="9"/>
      <c r="AC438" s="10">
        <f t="shared" si="107"/>
        <v>0</v>
      </c>
      <c r="AD438" s="8">
        <f>IFERROR(AC438/AC445, "NA")</f>
        <v>0</v>
      </c>
    </row>
    <row r="439" spans="1:30" ht="30.75" hidden="1" customHeight="1" x14ac:dyDescent="0.45">
      <c r="A439" s="6" t="s">
        <v>403</v>
      </c>
      <c r="B439" s="7">
        <v>0</v>
      </c>
      <c r="C439" s="8">
        <f>IFERROR(B439/B445, "NA")</f>
        <v>0</v>
      </c>
      <c r="D439" s="9"/>
      <c r="E439" s="7">
        <v>0</v>
      </c>
      <c r="F439" s="8">
        <f>IFERROR(E439/E445, "NA")</f>
        <v>0</v>
      </c>
      <c r="G439" s="9"/>
      <c r="H439" s="10">
        <f t="shared" si="104"/>
        <v>0</v>
      </c>
      <c r="I439" s="8">
        <f>IFERROR(H439/H445, "NA")</f>
        <v>0</v>
      </c>
      <c r="J439" s="9"/>
      <c r="K439" s="7">
        <v>0</v>
      </c>
      <c r="L439" s="8">
        <f>IFERROR(K439/K445, "NA")</f>
        <v>0</v>
      </c>
      <c r="M439" s="9"/>
      <c r="N439" s="10">
        <f t="shared" si="105"/>
        <v>0</v>
      </c>
      <c r="O439" s="8">
        <f>IFERROR(N439/N445, "NA")</f>
        <v>0</v>
      </c>
      <c r="P439" s="9"/>
      <c r="Q439" s="7">
        <v>0</v>
      </c>
      <c r="R439" s="8">
        <f>IFERROR(Q439/Q445, "NA")</f>
        <v>0</v>
      </c>
      <c r="S439" s="9"/>
      <c r="T439" s="7">
        <v>0</v>
      </c>
      <c r="U439" s="8">
        <f>IFERROR(T439/T445, "NA")</f>
        <v>0</v>
      </c>
      <c r="V439" s="9"/>
      <c r="W439" s="10">
        <f t="shared" si="106"/>
        <v>0</v>
      </c>
      <c r="X439" s="8">
        <f>IFERROR(W439/W445, "NA")</f>
        <v>0</v>
      </c>
      <c r="Y439" s="9"/>
      <c r="Z439" s="7">
        <v>0</v>
      </c>
      <c r="AA439" s="8">
        <f>IFERROR(Z439/Z445, "NA")</f>
        <v>0</v>
      </c>
      <c r="AB439" s="9"/>
      <c r="AC439" s="10">
        <f t="shared" si="107"/>
        <v>0</v>
      </c>
      <c r="AD439" s="8">
        <f>IFERROR(AC439/AC445, "NA")</f>
        <v>0</v>
      </c>
    </row>
    <row r="440" spans="1:30" ht="16.5" hidden="1" customHeight="1" x14ac:dyDescent="0.45">
      <c r="A440" s="6" t="s">
        <v>404</v>
      </c>
      <c r="B440" s="7">
        <v>0</v>
      </c>
      <c r="C440" s="8">
        <f>IFERROR(B440/B445, "NA")</f>
        <v>0</v>
      </c>
      <c r="D440" s="9"/>
      <c r="E440" s="7">
        <v>0</v>
      </c>
      <c r="F440" s="8">
        <f>IFERROR(E440/E445, "NA")</f>
        <v>0</v>
      </c>
      <c r="G440" s="9"/>
      <c r="H440" s="10">
        <f t="shared" si="104"/>
        <v>0</v>
      </c>
      <c r="I440" s="8">
        <f>IFERROR(H440/H445, "NA")</f>
        <v>0</v>
      </c>
      <c r="J440" s="9"/>
      <c r="K440" s="7">
        <v>0</v>
      </c>
      <c r="L440" s="8">
        <f>IFERROR(K440/K445, "NA")</f>
        <v>0</v>
      </c>
      <c r="M440" s="9"/>
      <c r="N440" s="10">
        <f t="shared" si="105"/>
        <v>0</v>
      </c>
      <c r="O440" s="8">
        <f>IFERROR(N440/N445, "NA")</f>
        <v>0</v>
      </c>
      <c r="P440" s="9"/>
      <c r="Q440" s="7">
        <v>0</v>
      </c>
      <c r="R440" s="8">
        <f>IFERROR(Q440/Q445, "NA")</f>
        <v>0</v>
      </c>
      <c r="S440" s="9"/>
      <c r="T440" s="7">
        <v>0</v>
      </c>
      <c r="U440" s="8">
        <f>IFERROR(T440/T445, "NA")</f>
        <v>0</v>
      </c>
      <c r="V440" s="9"/>
      <c r="W440" s="10">
        <f t="shared" si="106"/>
        <v>0</v>
      </c>
      <c r="X440" s="8">
        <f>IFERROR(W440/W445, "NA")</f>
        <v>0</v>
      </c>
      <c r="Y440" s="9"/>
      <c r="Z440" s="7">
        <v>0</v>
      </c>
      <c r="AA440" s="8">
        <f>IFERROR(Z440/Z445, "NA")</f>
        <v>0</v>
      </c>
      <c r="AB440" s="9"/>
      <c r="AC440" s="10">
        <f t="shared" si="107"/>
        <v>0</v>
      </c>
      <c r="AD440" s="8">
        <f>IFERROR(AC440/AC445, "NA")</f>
        <v>0</v>
      </c>
    </row>
    <row r="441" spans="1:30" ht="30.75" hidden="1" customHeight="1" x14ac:dyDescent="0.45">
      <c r="A441" s="6" t="s">
        <v>405</v>
      </c>
      <c r="B441" s="7">
        <v>0</v>
      </c>
      <c r="C441" s="8">
        <f>IFERROR(B441/B445, "NA")</f>
        <v>0</v>
      </c>
      <c r="D441" s="9"/>
      <c r="E441" s="7">
        <v>0</v>
      </c>
      <c r="F441" s="8">
        <f>IFERROR(E441/E445, "NA")</f>
        <v>0</v>
      </c>
      <c r="G441" s="9"/>
      <c r="H441" s="10">
        <f t="shared" si="104"/>
        <v>0</v>
      </c>
      <c r="I441" s="8">
        <f>IFERROR(H441/H445, "NA")</f>
        <v>0</v>
      </c>
      <c r="J441" s="9"/>
      <c r="K441" s="7">
        <v>0</v>
      </c>
      <c r="L441" s="8">
        <f>IFERROR(K441/K445, "NA")</f>
        <v>0</v>
      </c>
      <c r="M441" s="9"/>
      <c r="N441" s="10">
        <f t="shared" si="105"/>
        <v>0</v>
      </c>
      <c r="O441" s="8">
        <f>IFERROR(N441/N445, "NA")</f>
        <v>0</v>
      </c>
      <c r="P441" s="9"/>
      <c r="Q441" s="7">
        <v>0</v>
      </c>
      <c r="R441" s="8">
        <f>IFERROR(Q441/Q445, "NA")</f>
        <v>0</v>
      </c>
      <c r="S441" s="9"/>
      <c r="T441" s="7">
        <v>0</v>
      </c>
      <c r="U441" s="8">
        <f>IFERROR(T441/T445, "NA")</f>
        <v>0</v>
      </c>
      <c r="V441" s="9"/>
      <c r="W441" s="10">
        <f t="shared" si="106"/>
        <v>0</v>
      </c>
      <c r="X441" s="8">
        <f>IFERROR(W441/W445, "NA")</f>
        <v>0</v>
      </c>
      <c r="Y441" s="9"/>
      <c r="Z441" s="7">
        <v>0</v>
      </c>
      <c r="AA441" s="8">
        <f>IFERROR(Z441/Z445, "NA")</f>
        <v>0</v>
      </c>
      <c r="AB441" s="9"/>
      <c r="AC441" s="10">
        <f t="shared" si="107"/>
        <v>0</v>
      </c>
      <c r="AD441" s="8">
        <f>IFERROR(AC441/AC445, "NA")</f>
        <v>0</v>
      </c>
    </row>
    <row r="442" spans="1:30" ht="16.5" customHeight="1" x14ac:dyDescent="0.45">
      <c r="A442" s="19" t="s">
        <v>406</v>
      </c>
      <c r="B442" s="14">
        <f>IFERROR(B433+B434+B435+B436+B437+B438+B439+B440+B441, "NA")</f>
        <v>0</v>
      </c>
      <c r="C442" s="15">
        <f>IFERROR(B442/B445, "NA")</f>
        <v>0</v>
      </c>
      <c r="D442" s="2"/>
      <c r="E442" s="14">
        <f>IFERROR(E433+E434+E435+E436+E437+E438+E439+E440+E441, "NA")</f>
        <v>0</v>
      </c>
      <c r="F442" s="15">
        <f>IFERROR(E442/E445, "NA")</f>
        <v>0</v>
      </c>
      <c r="G442" s="2"/>
      <c r="H442" s="14">
        <f t="shared" si="104"/>
        <v>0</v>
      </c>
      <c r="I442" s="15">
        <f>IFERROR(H442/H445, "NA")</f>
        <v>0</v>
      </c>
      <c r="J442" s="2"/>
      <c r="K442" s="14">
        <f>IFERROR(K433+K434+K435+K436+K437+K438+K439+K440+K441, "NA")</f>
        <v>0</v>
      </c>
      <c r="L442" s="15">
        <f>IFERROR(K442/K445, "NA")</f>
        <v>0</v>
      </c>
      <c r="M442" s="2"/>
      <c r="N442" s="14">
        <f t="shared" si="105"/>
        <v>0</v>
      </c>
      <c r="O442" s="15">
        <f>IFERROR(N442/N445, "NA")</f>
        <v>0</v>
      </c>
      <c r="P442" s="2"/>
      <c r="Q442" s="14">
        <f>IFERROR(Q433+Q434+Q435+Q436+Q437+Q438+Q439+Q440+Q441, "NA")</f>
        <v>0</v>
      </c>
      <c r="R442" s="15">
        <f>IFERROR(Q442/Q445, "NA")</f>
        <v>0</v>
      </c>
      <c r="S442" s="2"/>
      <c r="T442" s="14">
        <f>IFERROR(T433+T434+T435+T436+T437+T438+T439+T440+T441, "NA")</f>
        <v>0</v>
      </c>
      <c r="U442" s="15">
        <f>IFERROR(T442/T445, "NA")</f>
        <v>0</v>
      </c>
      <c r="V442" s="2"/>
      <c r="W442" s="14">
        <f t="shared" si="106"/>
        <v>0</v>
      </c>
      <c r="X442" s="15">
        <f>IFERROR(W442/W445, "NA")</f>
        <v>0</v>
      </c>
      <c r="Y442" s="2"/>
      <c r="Z442" s="14">
        <f>IFERROR(Z433+Z434+Z435+Z436+Z437+Z438+Z439+Z440+Z441, "NA")</f>
        <v>0</v>
      </c>
      <c r="AA442" s="15">
        <f>IFERROR(Z442/Z445, "NA")</f>
        <v>0</v>
      </c>
      <c r="AB442" s="2"/>
      <c r="AC442" s="14">
        <f t="shared" si="107"/>
        <v>0</v>
      </c>
      <c r="AD442" s="15">
        <f>IFERROR(AC442/AC445, "NA")</f>
        <v>0</v>
      </c>
    </row>
    <row r="443" spans="1:30" ht="16.5" customHeight="1" x14ac:dyDescent="0.45">
      <c r="A443" s="21" t="s">
        <v>407</v>
      </c>
      <c r="B443" s="14">
        <f>IFERROR(B433+B434+B435+B436+B437+B438+B439+B440+B441, "NA")</f>
        <v>0</v>
      </c>
      <c r="C443" s="15">
        <f>IFERROR(B443/B445, "NA")</f>
        <v>0</v>
      </c>
      <c r="D443" s="2"/>
      <c r="E443" s="14">
        <f>IFERROR(E433+E434+E435+E436+E437+E438+E439+E440+E441, "NA")</f>
        <v>0</v>
      </c>
      <c r="F443" s="15">
        <f>IFERROR(E443/E445, "NA")</f>
        <v>0</v>
      </c>
      <c r="G443" s="2"/>
      <c r="H443" s="14">
        <f t="shared" si="104"/>
        <v>0</v>
      </c>
      <c r="I443" s="15">
        <f>IFERROR(H443/H445, "NA")</f>
        <v>0</v>
      </c>
      <c r="J443" s="2"/>
      <c r="K443" s="14">
        <f>IFERROR(K433+K434+K435+K436+K437+K438+K439+K440+K441, "NA")</f>
        <v>0</v>
      </c>
      <c r="L443" s="15">
        <f>IFERROR(K443/K445, "NA")</f>
        <v>0</v>
      </c>
      <c r="M443" s="2"/>
      <c r="N443" s="14">
        <f t="shared" si="105"/>
        <v>0</v>
      </c>
      <c r="O443" s="15">
        <f>IFERROR(N443/N445, "NA")</f>
        <v>0</v>
      </c>
      <c r="P443" s="2"/>
      <c r="Q443" s="14">
        <f>IFERROR(Q433+Q434+Q435+Q436+Q437+Q438+Q439+Q440+Q441, "NA")</f>
        <v>0</v>
      </c>
      <c r="R443" s="15">
        <f>IFERROR(Q443/Q445, "NA")</f>
        <v>0</v>
      </c>
      <c r="S443" s="2"/>
      <c r="T443" s="14">
        <f>IFERROR(T433+T434+T435+T436+T437+T438+T439+T440+T441, "NA")</f>
        <v>0</v>
      </c>
      <c r="U443" s="15">
        <f>IFERROR(T443/T445, "NA")</f>
        <v>0</v>
      </c>
      <c r="V443" s="2"/>
      <c r="W443" s="14">
        <f t="shared" si="106"/>
        <v>0</v>
      </c>
      <c r="X443" s="15">
        <f>IFERROR(W443/W445, "NA")</f>
        <v>0</v>
      </c>
      <c r="Y443" s="2"/>
      <c r="Z443" s="14">
        <f>IFERROR(Z433+Z434+Z435+Z436+Z437+Z438+Z439+Z440+Z441, "NA")</f>
        <v>0</v>
      </c>
      <c r="AA443" s="15">
        <f>IFERROR(Z443/Z445, "NA")</f>
        <v>0</v>
      </c>
      <c r="AB443" s="2"/>
      <c r="AC443" s="14">
        <f t="shared" si="107"/>
        <v>0</v>
      </c>
      <c r="AD443" s="15">
        <f>IFERROR(AC443/AC445, "NA")</f>
        <v>0</v>
      </c>
    </row>
    <row r="444" spans="1:30" ht="16.5" customHeight="1" x14ac:dyDescent="0.45">
      <c r="A444" s="22" t="s">
        <v>408</v>
      </c>
      <c r="B444" s="23">
        <f>IFERROR(B405-B430-B443, "NA")</f>
        <v>2234.8799999999724</v>
      </c>
      <c r="C444" s="24">
        <f>IFERROR(B444/B445, "NA")</f>
        <v>2.0462963937926338E-2</v>
      </c>
      <c r="D444" s="25"/>
      <c r="E444" s="23">
        <f>IFERROR(E405-E430-E443, "NA")</f>
        <v>-646.43999999999869</v>
      </c>
      <c r="F444" s="24">
        <f>IFERROR(E444/E445, "NA")</f>
        <v>-6.8243366714984995E-3</v>
      </c>
      <c r="G444" s="25"/>
      <c r="H444" s="23">
        <f>IFERROR(B444-E444, "NA")</f>
        <v>2881.3199999999711</v>
      </c>
      <c r="I444" s="24">
        <f>IFERROR(H444/H445, "NA")</f>
        <v>0.19884666559927361</v>
      </c>
      <c r="J444" s="25"/>
      <c r="K444" s="23">
        <f>IFERROR(K405-K430-K443, "NA")</f>
        <v>-9070.1900000000023</v>
      </c>
      <c r="L444" s="24">
        <f>IFERROR(K444/K445, "NA")</f>
        <v>-0.10472893785836006</v>
      </c>
      <c r="M444" s="25"/>
      <c r="N444" s="23">
        <f>IFERROR(B444-K444, "NA")</f>
        <v>11305.069999999974</v>
      </c>
      <c r="O444" s="24">
        <f>IFERROR(N444/N445, "NA")</f>
        <v>0.50001393219047952</v>
      </c>
      <c r="P444" s="25"/>
      <c r="Q444" s="23">
        <f>IFERROR(Q405-Q430-Q443, "NA")</f>
        <v>1864.0000000000218</v>
      </c>
      <c r="R444" s="24">
        <f>IFERROR(Q444/Q445, "NA")</f>
        <v>3.6578005884467502E-3</v>
      </c>
      <c r="S444" s="25"/>
      <c r="T444" s="23">
        <f>IFERROR(T405-T430-T443, "NA")</f>
        <v>-1932.840000000042</v>
      </c>
      <c r="U444" s="24">
        <f>IFERROR(T444/T445, "NA")</f>
        <v>-4.0351368638408781E-3</v>
      </c>
      <c r="V444" s="25"/>
      <c r="W444" s="23">
        <f>IFERROR(Q444-T444, "NA")</f>
        <v>3796.8400000000638</v>
      </c>
      <c r="X444" s="24">
        <f>IFERROR(W444/W445, "NA")</f>
        <v>0.12410606040300932</v>
      </c>
      <c r="Y444" s="25"/>
      <c r="Z444" s="23">
        <f>IFERROR(Z405-Z430-Z443, "NA")</f>
        <v>-23987.499999999884</v>
      </c>
      <c r="AA444" s="24">
        <f>IFERROR(Z444/Z445, "NA")</f>
        <v>-5.3697796479721067E-2</v>
      </c>
      <c r="AB444" s="25"/>
      <c r="AC444" s="23">
        <f>IFERROR(Q444-Z444, "NA")</f>
        <v>25851.499999999905</v>
      </c>
      <c r="AD444" s="24">
        <f>IFERROR(AC444/AC445, "NA")</f>
        <v>0.41110527310118411</v>
      </c>
    </row>
    <row r="445" spans="1:30" ht="15.75" hidden="1" x14ac:dyDescent="0.45">
      <c r="A445" s="26" t="s">
        <v>117</v>
      </c>
      <c r="B445" s="7">
        <v>109215.85</v>
      </c>
      <c r="C445" s="27"/>
      <c r="D445" s="9"/>
      <c r="E445" s="7">
        <v>94725.69</v>
      </c>
      <c r="F445" s="27"/>
      <c r="G445" s="9"/>
      <c r="H445" s="10">
        <f>IFERROR(B445-E445, "NA")</f>
        <v>14490.160000000003</v>
      </c>
      <c r="I445" s="27"/>
      <c r="J445" s="9"/>
      <c r="K445" s="7">
        <v>86606.34</v>
      </c>
      <c r="L445" s="27"/>
      <c r="M445" s="9"/>
      <c r="N445" s="10">
        <f>IFERROR(B445-K445, "NA")</f>
        <v>22609.510000000009</v>
      </c>
      <c r="O445" s="27"/>
      <c r="P445" s="9"/>
      <c r="Q445" s="7">
        <v>509595.85</v>
      </c>
      <c r="R445" s="27"/>
      <c r="S445" s="9"/>
      <c r="T445" s="7">
        <v>479002.34</v>
      </c>
      <c r="U445" s="27"/>
      <c r="V445" s="9"/>
      <c r="W445" s="10">
        <f>IFERROR(Q445-T445, "NA")</f>
        <v>30593.509999999951</v>
      </c>
      <c r="X445" s="27"/>
      <c r="Y445" s="9"/>
      <c r="Z445" s="7">
        <v>446712.93</v>
      </c>
      <c r="AA445" s="27"/>
      <c r="AB445" s="9"/>
      <c r="AC445" s="10">
        <f>IFERROR(Q445-Z445, "NA")</f>
        <v>62882.919999999984</v>
      </c>
      <c r="AD445" s="27"/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  <row r="450" spans="1:1" ht="15.75" x14ac:dyDescent="0.5">
      <c r="A450" s="28" t="s">
        <v>411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5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IFERROR(B8/B445, "NA")</f>
        <v>0</v>
      </c>
      <c r="D8" s="9"/>
      <c r="E8" s="7">
        <v>0</v>
      </c>
      <c r="F8" s="8">
        <f>IFERROR(E8/E445, "NA")</f>
        <v>0</v>
      </c>
      <c r="G8" s="9"/>
      <c r="H8" s="10">
        <f>IFERROR(B8-E8, "NA")</f>
        <v>0</v>
      </c>
      <c r="I8" s="8">
        <f>IFERROR(H8/H445, "NA")</f>
        <v>0</v>
      </c>
      <c r="J8" s="9"/>
      <c r="K8" s="7">
        <v>0</v>
      </c>
      <c r="L8" s="8">
        <f>IFERROR(K8/K445, "NA")</f>
        <v>0</v>
      </c>
      <c r="M8" s="9"/>
      <c r="N8" s="10">
        <f>IFERROR(B8-K8, "NA")</f>
        <v>0</v>
      </c>
      <c r="O8" s="8">
        <f>IFERROR(N8/N445, "NA")</f>
        <v>0</v>
      </c>
      <c r="P8" s="9"/>
      <c r="Q8" s="7">
        <v>0</v>
      </c>
      <c r="R8" s="8">
        <f>IFERROR(Q8/Q445, "NA")</f>
        <v>0</v>
      </c>
      <c r="S8" s="9"/>
      <c r="T8" s="7">
        <v>0</v>
      </c>
      <c r="U8" s="8">
        <f>IFERROR(T8/T445, "NA")</f>
        <v>0</v>
      </c>
      <c r="V8" s="9"/>
      <c r="W8" s="10">
        <f>IFERROR(Q8-T8, "NA")</f>
        <v>0</v>
      </c>
      <c r="X8" s="8">
        <f>IFERROR(W8/W445, "NA")</f>
        <v>0</v>
      </c>
      <c r="Y8" s="9"/>
      <c r="Z8" s="7">
        <v>0</v>
      </c>
      <c r="AA8" s="8">
        <f>IFERROR(Z8/Z445, "NA")</f>
        <v>0</v>
      </c>
      <c r="AB8" s="9"/>
      <c r="AC8" s="10">
        <f>IFERROR(Q8-Z8, "NA")</f>
        <v>0</v>
      </c>
      <c r="AD8" s="8">
        <f>IFERROR(AC8/AC445,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IFERROR(B10/B445, "NA")</f>
        <v>0</v>
      </c>
      <c r="D10" s="9"/>
      <c r="E10" s="7">
        <v>78741.7</v>
      </c>
      <c r="F10" s="8">
        <f>IFERROR(E10/E445, "NA")</f>
        <v>0.55199998934440087</v>
      </c>
      <c r="G10" s="9"/>
      <c r="H10" s="10">
        <f t="shared" ref="H10:H19" si="0">IFERROR(B10-E10, "NA")</f>
        <v>-78741.7</v>
      </c>
      <c r="I10" s="8">
        <f>IFERROR(H10/H445, "NA")</f>
        <v>3.7507031821223822</v>
      </c>
      <c r="J10" s="9"/>
      <c r="K10" s="7">
        <v>0</v>
      </c>
      <c r="L10" s="8">
        <f>IFERROR(K10/K445, "NA")</f>
        <v>0</v>
      </c>
      <c r="M10" s="9"/>
      <c r="N10" s="10">
        <f t="shared" ref="N10:N19" si="1">IFERROR(B10-K10, "NA")</f>
        <v>0</v>
      </c>
      <c r="O10" s="8">
        <f>IFERROR(N10/N445, "NA")</f>
        <v>0</v>
      </c>
      <c r="P10" s="9"/>
      <c r="Q10" s="7">
        <v>0</v>
      </c>
      <c r="R10" s="8">
        <f>IFERROR(Q10/Q445, "NA")</f>
        <v>0</v>
      </c>
      <c r="S10" s="9"/>
      <c r="T10" s="7">
        <v>327492.21999999997</v>
      </c>
      <c r="U10" s="8">
        <f>IFERROR(T10/T445, "NA")</f>
        <v>0.55199999743798489</v>
      </c>
      <c r="V10" s="9"/>
      <c r="W10" s="10">
        <f t="shared" ref="W10:W19" si="2">IFERROR(Q10-T10, "NA")</f>
        <v>-327492.21999999997</v>
      </c>
      <c r="X10" s="8">
        <f>IFERROR(W10/W445, "NA")</f>
        <v>4.5516323027637053</v>
      </c>
      <c r="Y10" s="9"/>
      <c r="Z10" s="7">
        <v>0</v>
      </c>
      <c r="AA10" s="8">
        <f>IFERROR(Z10/Z445, "NA")</f>
        <v>0</v>
      </c>
      <c r="AB10" s="9"/>
      <c r="AC10" s="10">
        <f t="shared" ref="AC10:AC19" si="3">IFERROR(Q10-Z10, "NA")</f>
        <v>0</v>
      </c>
      <c r="AD10" s="8">
        <f>IFERROR(AC10/AC445, "NA")</f>
        <v>0</v>
      </c>
    </row>
    <row r="11" spans="1:30" ht="16.5" customHeight="1" x14ac:dyDescent="0.45">
      <c r="A11" s="12" t="s">
        <v>13</v>
      </c>
      <c r="B11" s="7">
        <v>58395.199999999997</v>
      </c>
      <c r="C11" s="8">
        <f>IFERROR(B11/B445, "NA")</f>
        <v>0.48000989033174035</v>
      </c>
      <c r="D11" s="9"/>
      <c r="E11" s="7">
        <v>0</v>
      </c>
      <c r="F11" s="8">
        <f>IFERROR(E11/E445, "NA")</f>
        <v>0</v>
      </c>
      <c r="G11" s="9"/>
      <c r="H11" s="10">
        <f t="shared" si="0"/>
        <v>58395.199999999997</v>
      </c>
      <c r="I11" s="8">
        <f>IFERROR(H11/H445, "NA")</f>
        <v>-2.7815384029132333</v>
      </c>
      <c r="J11" s="9"/>
      <c r="K11" s="7">
        <v>68242.350000000006</v>
      </c>
      <c r="L11" s="8">
        <f>IFERROR(K11/K445, "NA")</f>
        <v>0.52264849591323481</v>
      </c>
      <c r="M11" s="9"/>
      <c r="N11" s="10">
        <f t="shared" si="1"/>
        <v>-9847.1500000000087</v>
      </c>
      <c r="O11" s="8">
        <f>IFERROR(N11/N445, "NA")</f>
        <v>1.1044234586870962</v>
      </c>
      <c r="P11" s="9"/>
      <c r="Q11" s="7">
        <v>244830.44</v>
      </c>
      <c r="R11" s="8">
        <f>IFERROR(Q11/Q445, "NA")</f>
        <v>0.46962434780827306</v>
      </c>
      <c r="S11" s="9"/>
      <c r="T11" s="7">
        <v>0</v>
      </c>
      <c r="U11" s="8">
        <f>IFERROR(T11/T445, "NA")</f>
        <v>0</v>
      </c>
      <c r="V11" s="9"/>
      <c r="W11" s="10">
        <f t="shared" si="2"/>
        <v>244830.44</v>
      </c>
      <c r="X11" s="8">
        <f>IFERROR(W11/W445, "NA")</f>
        <v>-3.4027621767743104</v>
      </c>
      <c r="Y11" s="9"/>
      <c r="Z11" s="7">
        <v>286857.76</v>
      </c>
      <c r="AA11" s="8">
        <f>IFERROR(Z11/Z445, "NA")</f>
        <v>0.52012114496808415</v>
      </c>
      <c r="AB11" s="9"/>
      <c r="AC11" s="10">
        <f t="shared" si="3"/>
        <v>-42027.320000000007</v>
      </c>
      <c r="AD11" s="8">
        <f>IFERROR(AC11/AC445, "NA")</f>
        <v>1.3921613963444393</v>
      </c>
    </row>
    <row r="12" spans="1:30" ht="16.5" customHeight="1" x14ac:dyDescent="0.45">
      <c r="A12" s="12" t="s">
        <v>14</v>
      </c>
      <c r="B12" s="7">
        <v>6246.1</v>
      </c>
      <c r="C12" s="8">
        <f>IFERROR(B12/B445, "NA")</f>
        <v>5.1343086007087632E-2</v>
      </c>
      <c r="D12" s="9"/>
      <c r="E12" s="7">
        <v>0</v>
      </c>
      <c r="F12" s="8">
        <f>IFERROR(E12/E445, "NA")</f>
        <v>0</v>
      </c>
      <c r="G12" s="9"/>
      <c r="H12" s="10">
        <f t="shared" si="0"/>
        <v>6246.1</v>
      </c>
      <c r="I12" s="8">
        <f>IFERROR(H12/H445, "NA")</f>
        <v>-0.29752046432645746</v>
      </c>
      <c r="J12" s="9"/>
      <c r="K12" s="7">
        <v>7765.1</v>
      </c>
      <c r="L12" s="8">
        <f>IFERROR(K12/K445, "NA")</f>
        <v>5.9470663533947171E-2</v>
      </c>
      <c r="M12" s="9"/>
      <c r="N12" s="10">
        <f t="shared" si="1"/>
        <v>-1519</v>
      </c>
      <c r="O12" s="8">
        <f>IFERROR(N12/N445, "NA")</f>
        <v>0.17036596718296132</v>
      </c>
      <c r="P12" s="9"/>
      <c r="Q12" s="7">
        <v>25708.05</v>
      </c>
      <c r="R12" s="8">
        <f>IFERROR(Q12/Q445, "NA")</f>
        <v>4.9312194246240275E-2</v>
      </c>
      <c r="S12" s="9"/>
      <c r="T12" s="7">
        <v>0</v>
      </c>
      <c r="U12" s="8">
        <f>IFERROR(T12/T445, "NA")</f>
        <v>0</v>
      </c>
      <c r="V12" s="9"/>
      <c r="W12" s="10">
        <f t="shared" si="2"/>
        <v>25708.05</v>
      </c>
      <c r="X12" s="8">
        <f>IFERROR(W12/W445, "NA")</f>
        <v>-0.35730189505284882</v>
      </c>
      <c r="Y12" s="9"/>
      <c r="Z12" s="7">
        <v>32292.7</v>
      </c>
      <c r="AA12" s="8">
        <f>IFERROR(Z12/Z445, "NA")</f>
        <v>5.8552071584575052E-2</v>
      </c>
      <c r="AB12" s="9"/>
      <c r="AC12" s="10">
        <f t="shared" si="3"/>
        <v>-6584.6500000000015</v>
      </c>
      <c r="AD12" s="8">
        <f>IFERROR(AC12/AC445, "NA")</f>
        <v>0.21811753731714065</v>
      </c>
    </row>
    <row r="13" spans="1:30" ht="16.5" customHeight="1" x14ac:dyDescent="0.45">
      <c r="A13" s="12" t="s">
        <v>15</v>
      </c>
      <c r="B13" s="7">
        <v>110</v>
      </c>
      <c r="C13" s="8">
        <f>IFERROR(B13/B445, "NA")</f>
        <v>9.0420253610727327E-4</v>
      </c>
      <c r="D13" s="9"/>
      <c r="E13" s="7">
        <v>0</v>
      </c>
      <c r="F13" s="8">
        <f>IFERROR(E13/E445, "NA")</f>
        <v>0</v>
      </c>
      <c r="G13" s="9"/>
      <c r="H13" s="10">
        <f t="shared" si="0"/>
        <v>110</v>
      </c>
      <c r="I13" s="8">
        <f>IFERROR(H13/H445, "NA")</f>
        <v>-5.2396297010791244E-3</v>
      </c>
      <c r="J13" s="9"/>
      <c r="K13" s="7">
        <v>204</v>
      </c>
      <c r="L13" s="8">
        <f>IFERROR(K13/K445, "NA")</f>
        <v>1.5623772212753502E-3</v>
      </c>
      <c r="M13" s="9"/>
      <c r="N13" s="10">
        <f t="shared" si="1"/>
        <v>-94</v>
      </c>
      <c r="O13" s="8">
        <f>IFERROR(N13/N445, "NA")</f>
        <v>1.0542726079788258E-2</v>
      </c>
      <c r="P13" s="9"/>
      <c r="Q13" s="7">
        <v>515</v>
      </c>
      <c r="R13" s="8">
        <f>IFERROR(Q13/Q445, "NA")</f>
        <v>9.8785322250476951E-4</v>
      </c>
      <c r="S13" s="9"/>
      <c r="T13" s="7">
        <v>0</v>
      </c>
      <c r="U13" s="8">
        <f>IFERROR(T13/T445, "NA")</f>
        <v>0</v>
      </c>
      <c r="V13" s="9"/>
      <c r="W13" s="10">
        <f t="shared" si="2"/>
        <v>515</v>
      </c>
      <c r="X13" s="8">
        <f>IFERROR(W13/W445, "NA")</f>
        <v>-7.1576986956310238E-3</v>
      </c>
      <c r="Y13" s="9"/>
      <c r="Z13" s="7">
        <v>2034</v>
      </c>
      <c r="AA13" s="8">
        <f>IFERROR(Z13/Z445, "NA")</f>
        <v>3.6879825348461312E-3</v>
      </c>
      <c r="AB13" s="9"/>
      <c r="AC13" s="10">
        <f t="shared" si="3"/>
        <v>-1519</v>
      </c>
      <c r="AD13" s="8">
        <f>IFERROR(AC13/AC445, "NA")</f>
        <v>5.0317107087656382E-2</v>
      </c>
    </row>
    <row r="14" spans="1:30" ht="16.5" customHeight="1" x14ac:dyDescent="0.45">
      <c r="A14" s="12" t="s">
        <v>16</v>
      </c>
      <c r="B14" s="7">
        <v>0</v>
      </c>
      <c r="C14" s="8">
        <f>IFERROR(B14/B445, "NA")</f>
        <v>0</v>
      </c>
      <c r="D14" s="9"/>
      <c r="E14" s="7">
        <v>0</v>
      </c>
      <c r="F14" s="8">
        <f>IFERROR(E14/E445, "NA")</f>
        <v>0</v>
      </c>
      <c r="G14" s="9"/>
      <c r="H14" s="10">
        <f t="shared" si="0"/>
        <v>0</v>
      </c>
      <c r="I14" s="8">
        <f>IFERROR(H14/H445, "NA")</f>
        <v>0</v>
      </c>
      <c r="J14" s="9"/>
      <c r="K14" s="7">
        <v>455</v>
      </c>
      <c r="L14" s="8">
        <f>IFERROR(K14/K445, "NA")</f>
        <v>3.4847139003935509E-3</v>
      </c>
      <c r="M14" s="9"/>
      <c r="N14" s="10">
        <f t="shared" si="1"/>
        <v>-455</v>
      </c>
      <c r="O14" s="8">
        <f>IFERROR(N14/N445, "NA")</f>
        <v>5.1031280492592104E-2</v>
      </c>
      <c r="P14" s="9"/>
      <c r="Q14" s="7">
        <v>0</v>
      </c>
      <c r="R14" s="8">
        <f>IFERROR(Q14/Q445, "NA")</f>
        <v>0</v>
      </c>
      <c r="S14" s="9"/>
      <c r="T14" s="7">
        <v>0</v>
      </c>
      <c r="U14" s="8">
        <f>IFERROR(T14/T445, "NA")</f>
        <v>0</v>
      </c>
      <c r="V14" s="9"/>
      <c r="W14" s="10">
        <f t="shared" si="2"/>
        <v>0</v>
      </c>
      <c r="X14" s="8">
        <f>IFERROR(W14/W445, "NA")</f>
        <v>0</v>
      </c>
      <c r="Y14" s="9"/>
      <c r="Z14" s="7">
        <v>2895</v>
      </c>
      <c r="AA14" s="8">
        <f>IFERROR(Z14/Z445, "NA")</f>
        <v>5.2491196845523844E-3</v>
      </c>
      <c r="AB14" s="9"/>
      <c r="AC14" s="10">
        <f t="shared" si="3"/>
        <v>-2895</v>
      </c>
      <c r="AD14" s="8">
        <f>IFERROR(AC14/AC445, "NA")</f>
        <v>9.5897317326376047E-2</v>
      </c>
    </row>
    <row r="15" spans="1:30" ht="16.5" customHeight="1" x14ac:dyDescent="0.45">
      <c r="A15" s="12" t="s">
        <v>17</v>
      </c>
      <c r="B15" s="7">
        <v>33</v>
      </c>
      <c r="C15" s="8">
        <f>IFERROR(B15/B445, "NA")</f>
        <v>2.7126076083218198E-4</v>
      </c>
      <c r="D15" s="9"/>
      <c r="E15" s="7">
        <v>0</v>
      </c>
      <c r="F15" s="8">
        <f>IFERROR(E15/E445, "NA")</f>
        <v>0</v>
      </c>
      <c r="G15" s="9"/>
      <c r="H15" s="10">
        <f t="shared" si="0"/>
        <v>33</v>
      </c>
      <c r="I15" s="8">
        <f>IFERROR(H15/H445, "NA")</f>
        <v>-1.5718889103237372E-3</v>
      </c>
      <c r="J15" s="9"/>
      <c r="K15" s="7">
        <v>42</v>
      </c>
      <c r="L15" s="8">
        <f>IFERROR(K15/K445, "NA")</f>
        <v>3.2166589849786623E-4</v>
      </c>
      <c r="M15" s="9"/>
      <c r="N15" s="10">
        <f t="shared" si="1"/>
        <v>-9</v>
      </c>
      <c r="O15" s="8">
        <f>IFERROR(N15/N445, "NA")</f>
        <v>1.0094099438095142E-3</v>
      </c>
      <c r="P15" s="9"/>
      <c r="Q15" s="7">
        <v>165</v>
      </c>
      <c r="R15" s="8">
        <f>IFERROR(Q15/Q445, "NA")</f>
        <v>3.1649666352094558E-4</v>
      </c>
      <c r="S15" s="9"/>
      <c r="T15" s="7">
        <v>0</v>
      </c>
      <c r="U15" s="8">
        <f>IFERROR(T15/T445, "NA")</f>
        <v>0</v>
      </c>
      <c r="V15" s="9"/>
      <c r="W15" s="10">
        <f t="shared" si="2"/>
        <v>165</v>
      </c>
      <c r="X15" s="8">
        <f>IFERROR(W15/W445, "NA")</f>
        <v>-2.2932432714157648E-3</v>
      </c>
      <c r="Y15" s="9"/>
      <c r="Z15" s="7">
        <v>314</v>
      </c>
      <c r="AA15" s="8">
        <f>IFERROR(Z15/Z445, "NA")</f>
        <v>5.6933457027614803E-4</v>
      </c>
      <c r="AB15" s="9"/>
      <c r="AC15" s="10">
        <f t="shared" si="3"/>
        <v>-149</v>
      </c>
      <c r="AD15" s="8">
        <f>IFERROR(AC15/AC445, "NA")</f>
        <v>4.9356477656753127E-3</v>
      </c>
    </row>
    <row r="16" spans="1:30" ht="16.5" customHeight="1" x14ac:dyDescent="0.45">
      <c r="A16" s="12" t="s">
        <v>18</v>
      </c>
      <c r="B16" s="7">
        <v>0.03</v>
      </c>
      <c r="C16" s="8">
        <f>IFERROR(B16/B445, "NA")</f>
        <v>2.4660069166561995E-7</v>
      </c>
      <c r="D16" s="9"/>
      <c r="E16" s="7">
        <v>0</v>
      </c>
      <c r="F16" s="8">
        <f>IFERROR(E16/E445, "NA")</f>
        <v>0</v>
      </c>
      <c r="G16" s="9"/>
      <c r="H16" s="10">
        <f t="shared" si="0"/>
        <v>0.03</v>
      </c>
      <c r="I16" s="8">
        <f>IFERROR(H16/H445, "NA")</f>
        <v>-1.4289899184761247E-6</v>
      </c>
      <c r="J16" s="9"/>
      <c r="K16" s="7">
        <v>0</v>
      </c>
      <c r="L16" s="8">
        <f>IFERROR(K16/K445, "NA")</f>
        <v>0</v>
      </c>
      <c r="M16" s="9"/>
      <c r="N16" s="10">
        <f t="shared" si="1"/>
        <v>0.03</v>
      </c>
      <c r="O16" s="8">
        <f>IFERROR(N16/N445, "NA")</f>
        <v>-3.3646998126983803E-6</v>
      </c>
      <c r="P16" s="9"/>
      <c r="Q16" s="7">
        <v>0.1</v>
      </c>
      <c r="R16" s="8">
        <f>IFERROR(Q16/Q445, "NA")</f>
        <v>1.91816159709664E-7</v>
      </c>
      <c r="S16" s="9"/>
      <c r="T16" s="7">
        <v>0</v>
      </c>
      <c r="U16" s="8">
        <f>IFERROR(T16/T445, "NA")</f>
        <v>0</v>
      </c>
      <c r="V16" s="9"/>
      <c r="W16" s="10">
        <f t="shared" si="2"/>
        <v>0.1</v>
      </c>
      <c r="X16" s="8">
        <f>IFERROR(W16/W445, "NA")</f>
        <v>-1.3898444069186455E-6</v>
      </c>
      <c r="Y16" s="9"/>
      <c r="Z16" s="7">
        <v>0</v>
      </c>
      <c r="AA16" s="8">
        <f>IFERROR(Z16/Z445, "NA")</f>
        <v>0</v>
      </c>
      <c r="AB16" s="9"/>
      <c r="AC16" s="10">
        <f t="shared" si="3"/>
        <v>0.1</v>
      </c>
      <c r="AD16" s="8">
        <f>IFERROR(AC16/AC445, "NA")</f>
        <v>-3.3125152789767202E-6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IFERROR(B17/B445, "NA")</f>
        <v>0</v>
      </c>
      <c r="D17" s="9"/>
      <c r="E17" s="7">
        <v>0</v>
      </c>
      <c r="F17" s="8">
        <f>IFERROR(E17/E445, "NA")</f>
        <v>0</v>
      </c>
      <c r="G17" s="9"/>
      <c r="H17" s="10">
        <f t="shared" si="0"/>
        <v>0</v>
      </c>
      <c r="I17" s="8">
        <f>IFERROR(H17/H445, "NA")</f>
        <v>0</v>
      </c>
      <c r="J17" s="9"/>
      <c r="K17" s="7">
        <v>0</v>
      </c>
      <c r="L17" s="8">
        <f>IFERROR(K17/K445, "NA")</f>
        <v>0</v>
      </c>
      <c r="M17" s="9"/>
      <c r="N17" s="10">
        <f t="shared" si="1"/>
        <v>0</v>
      </c>
      <c r="O17" s="8">
        <f>IFERROR(N17/N445, "NA")</f>
        <v>0</v>
      </c>
      <c r="P17" s="9"/>
      <c r="Q17" s="7">
        <v>0</v>
      </c>
      <c r="R17" s="8">
        <f>IFERROR(Q17/Q445, "NA")</f>
        <v>0</v>
      </c>
      <c r="S17" s="9"/>
      <c r="T17" s="7">
        <v>0</v>
      </c>
      <c r="U17" s="8">
        <f>IFERROR(T17/T445, "NA")</f>
        <v>0</v>
      </c>
      <c r="V17" s="9"/>
      <c r="W17" s="10">
        <f t="shared" si="2"/>
        <v>0</v>
      </c>
      <c r="X17" s="8">
        <f>IFERROR(W17/W445, "NA")</f>
        <v>0</v>
      </c>
      <c r="Y17" s="9"/>
      <c r="Z17" s="7">
        <v>0</v>
      </c>
      <c r="AA17" s="8">
        <f>IFERROR(Z17/Z445, "NA")</f>
        <v>0</v>
      </c>
      <c r="AB17" s="9"/>
      <c r="AC17" s="10">
        <f t="shared" si="3"/>
        <v>0</v>
      </c>
      <c r="AD17" s="8">
        <f>IFERROR(AC17/AC445,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64784.329999999994</v>
      </c>
      <c r="C18" s="15">
        <f>IFERROR(B18/B445, "NA")</f>
        <v>0.5325286862364591</v>
      </c>
      <c r="D18" s="2"/>
      <c r="E18" s="14">
        <f>IFERROR(E10+E11+E12+E13+E14+E15+E16+E17, "NA")</f>
        <v>78741.7</v>
      </c>
      <c r="F18" s="15">
        <f>IFERROR(E18/E445, "NA")</f>
        <v>0.55199998934440087</v>
      </c>
      <c r="G18" s="2"/>
      <c r="H18" s="14">
        <f t="shared" si="0"/>
        <v>-13957.370000000003</v>
      </c>
      <c r="I18" s="15">
        <f>IFERROR(H18/H445, "NA")</f>
        <v>0.66483136728137049</v>
      </c>
      <c r="J18" s="2"/>
      <c r="K18" s="14">
        <f>IFERROR(K10+K11+K12+K13+K14+K15+K16+K17, "NA")</f>
        <v>76708.450000000012</v>
      </c>
      <c r="L18" s="15">
        <f>IFERROR(K18/K445, "NA")</f>
        <v>0.58748791646734877</v>
      </c>
      <c r="M18" s="2"/>
      <c r="N18" s="14">
        <f t="shared" si="1"/>
        <v>-11924.120000000017</v>
      </c>
      <c r="O18" s="15">
        <f>IFERROR(N18/N445, "NA")</f>
        <v>1.3373694776864355</v>
      </c>
      <c r="P18" s="2"/>
      <c r="Q18" s="14">
        <f>IFERROR(Q10+Q11+Q12+Q13+Q14+Q15+Q16+Q17, "NA")</f>
        <v>271218.58999999997</v>
      </c>
      <c r="R18" s="15">
        <f>IFERROR(Q18/Q445, "NA")</f>
        <v>0.52024108375669875</v>
      </c>
      <c r="S18" s="2"/>
      <c r="T18" s="14">
        <f>IFERROR(T10+T11+T12+T13+T14+T15+T16+T17, "NA")</f>
        <v>327492.21999999997</v>
      </c>
      <c r="U18" s="15">
        <f>IFERROR(T18/T445, "NA")</f>
        <v>0.55199999743798489</v>
      </c>
      <c r="V18" s="2"/>
      <c r="W18" s="14">
        <f t="shared" si="2"/>
        <v>-56273.630000000005</v>
      </c>
      <c r="X18" s="15">
        <f>IFERROR(W18/W445, "NA")</f>
        <v>0.78211589912509305</v>
      </c>
      <c r="Y18" s="2"/>
      <c r="Z18" s="14">
        <f>IFERROR(Z10+Z11+Z12+Z13+Z14+Z15+Z16+Z17, "NA")</f>
        <v>324393.46000000002</v>
      </c>
      <c r="AA18" s="15">
        <f>IFERROR(Z18/Z445, "NA")</f>
        <v>0.58817965334233391</v>
      </c>
      <c r="AB18" s="2"/>
      <c r="AC18" s="14">
        <f t="shared" si="3"/>
        <v>-53174.870000000054</v>
      </c>
      <c r="AD18" s="15">
        <f>IFERROR(AC18/AC445, "NA")</f>
        <v>1.76142569332601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IFERROR(B19/B445, "NA")</f>
        <v>0</v>
      </c>
      <c r="D19" s="9"/>
      <c r="E19" s="7">
        <v>0</v>
      </c>
      <c r="F19" s="8">
        <f>IFERROR(E19/E445, "NA")</f>
        <v>0</v>
      </c>
      <c r="G19" s="9"/>
      <c r="H19" s="10">
        <f t="shared" si="0"/>
        <v>0</v>
      </c>
      <c r="I19" s="8">
        <f>IFERROR(H19/H445, "NA")</f>
        <v>0</v>
      </c>
      <c r="J19" s="9"/>
      <c r="K19" s="7">
        <v>0</v>
      </c>
      <c r="L19" s="8">
        <f>IFERROR(K19/K445, "NA")</f>
        <v>0</v>
      </c>
      <c r="M19" s="9"/>
      <c r="N19" s="10">
        <f t="shared" si="1"/>
        <v>0</v>
      </c>
      <c r="O19" s="8">
        <f>IFERROR(N19/N445, "NA")</f>
        <v>0</v>
      </c>
      <c r="P19" s="9"/>
      <c r="Q19" s="7">
        <v>0</v>
      </c>
      <c r="R19" s="8">
        <f>IFERROR(Q19/Q445, "NA")</f>
        <v>0</v>
      </c>
      <c r="S19" s="9"/>
      <c r="T19" s="7">
        <v>0</v>
      </c>
      <c r="U19" s="8">
        <f>IFERROR(T19/T445, "NA")</f>
        <v>0</v>
      </c>
      <c r="V19" s="9"/>
      <c r="W19" s="10">
        <f t="shared" si="2"/>
        <v>0</v>
      </c>
      <c r="X19" s="8">
        <f>IFERROR(W19/W445, "NA")</f>
        <v>0</v>
      </c>
      <c r="Y19" s="9"/>
      <c r="Z19" s="7">
        <v>0</v>
      </c>
      <c r="AA19" s="8">
        <f>IFERROR(Z19/Z445, "NA")</f>
        <v>0</v>
      </c>
      <c r="AB19" s="9"/>
      <c r="AC19" s="10">
        <f t="shared" si="3"/>
        <v>0</v>
      </c>
      <c r="AD19" s="8">
        <f>IFERROR(AC19/AC445,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IFERROR(B21/B445, "NA")</f>
        <v>0</v>
      </c>
      <c r="D21" s="9"/>
      <c r="E21" s="7">
        <v>13123.62</v>
      </c>
      <c r="F21" s="8">
        <f>IFERROR(E21/E445, "NA")</f>
        <v>9.2000021591608597E-2</v>
      </c>
      <c r="G21" s="9"/>
      <c r="H21" s="10">
        <f t="shared" ref="H21:H29" si="4">IFERROR(B21-E21, "NA")</f>
        <v>-13123.62</v>
      </c>
      <c r="I21" s="8">
        <f>IFERROR(H21/H445, "NA")</f>
        <v>0.62511735579705474</v>
      </c>
      <c r="J21" s="9"/>
      <c r="K21" s="7">
        <v>0</v>
      </c>
      <c r="L21" s="8">
        <f>IFERROR(K21/K445, "NA")</f>
        <v>0</v>
      </c>
      <c r="M21" s="9"/>
      <c r="N21" s="10">
        <f t="shared" ref="N21:N29" si="5">IFERROR(B21-K21, "NA")</f>
        <v>0</v>
      </c>
      <c r="O21" s="8">
        <f>IFERROR(N21/N445, "NA")</f>
        <v>0</v>
      </c>
      <c r="P21" s="9"/>
      <c r="Q21" s="7">
        <v>0</v>
      </c>
      <c r="R21" s="8">
        <f>IFERROR(Q21/Q445, "NA")</f>
        <v>0</v>
      </c>
      <c r="S21" s="9"/>
      <c r="T21" s="7">
        <v>54582.04</v>
      </c>
      <c r="U21" s="8">
        <f>IFERROR(T21/T445, "NA")</f>
        <v>9.2000005191451545E-2</v>
      </c>
      <c r="V21" s="9"/>
      <c r="W21" s="10">
        <f t="shared" ref="W21:W29" si="6">IFERROR(Q21-T21, "NA")</f>
        <v>-54582.04</v>
      </c>
      <c r="X21" s="8">
        <f>IFERROR(W21/W445, "NA")</f>
        <v>0.7586054301220978</v>
      </c>
      <c r="Y21" s="9"/>
      <c r="Z21" s="7">
        <v>0</v>
      </c>
      <c r="AA21" s="8">
        <f>IFERROR(Z21/Z445, "NA")</f>
        <v>0</v>
      </c>
      <c r="AB21" s="9"/>
      <c r="AC21" s="10">
        <f t="shared" ref="AC21:AC29" si="7">IFERROR(Q21-Z21, "NA")</f>
        <v>0</v>
      </c>
      <c r="AD21" s="8">
        <f>IFERROR(AC21/AC445,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IFERROR(B22/B445, "NA")</f>
        <v>0</v>
      </c>
      <c r="D22" s="9"/>
      <c r="E22" s="7">
        <v>0</v>
      </c>
      <c r="F22" s="8">
        <f>IFERROR(E22/E445, "NA")</f>
        <v>0</v>
      </c>
      <c r="G22" s="9"/>
      <c r="H22" s="10">
        <f t="shared" si="4"/>
        <v>0</v>
      </c>
      <c r="I22" s="8">
        <f>IFERROR(H22/H445, "NA")</f>
        <v>0</v>
      </c>
      <c r="J22" s="9"/>
      <c r="K22" s="7">
        <v>8065.2</v>
      </c>
      <c r="L22" s="8">
        <f>IFERROR(K22/K445, "NA")</f>
        <v>6.1769042965833111E-2</v>
      </c>
      <c r="M22" s="9"/>
      <c r="N22" s="10">
        <f t="shared" si="5"/>
        <v>-8065.2</v>
      </c>
      <c r="O22" s="8">
        <f>IFERROR(N22/N445, "NA")</f>
        <v>0.90456589764583262</v>
      </c>
      <c r="P22" s="9"/>
      <c r="Q22" s="7">
        <v>2793.44</v>
      </c>
      <c r="R22" s="8">
        <f>IFERROR(Q22/Q445, "NA")</f>
        <v>5.3582693317936374E-3</v>
      </c>
      <c r="S22" s="9"/>
      <c r="T22" s="7">
        <v>0</v>
      </c>
      <c r="U22" s="8">
        <f>IFERROR(T22/T445, "NA")</f>
        <v>0</v>
      </c>
      <c r="V22" s="9"/>
      <c r="W22" s="10">
        <f t="shared" si="6"/>
        <v>2793.44</v>
      </c>
      <c r="X22" s="8">
        <f>IFERROR(W22/W445, "NA")</f>
        <v>-3.8824469600628207E-2</v>
      </c>
      <c r="Y22" s="9"/>
      <c r="Z22" s="7">
        <v>36379.550000000003</v>
      </c>
      <c r="AA22" s="8">
        <f>IFERROR(Z22/Z445, "NA")</f>
        <v>6.5962214860158103E-2</v>
      </c>
      <c r="AB22" s="9"/>
      <c r="AC22" s="10">
        <f t="shared" si="7"/>
        <v>-33586.11</v>
      </c>
      <c r="AD22" s="8">
        <f>IFERROR(AC22/AC445, "NA")</f>
        <v>1.1125450253639282</v>
      </c>
    </row>
    <row r="23" spans="1:30" ht="16.5" customHeight="1" x14ac:dyDescent="0.45">
      <c r="A23" s="12" t="s">
        <v>24</v>
      </c>
      <c r="B23" s="7">
        <v>7138.85</v>
      </c>
      <c r="C23" s="8">
        <f>IFERROR(B23/B445, "NA")</f>
        <v>5.8681511589903708E-2</v>
      </c>
      <c r="D23" s="9"/>
      <c r="E23" s="7">
        <v>0</v>
      </c>
      <c r="F23" s="8">
        <f>IFERROR(E23/E445, "NA")</f>
        <v>0</v>
      </c>
      <c r="G23" s="9"/>
      <c r="H23" s="10">
        <f t="shared" si="4"/>
        <v>7138.85</v>
      </c>
      <c r="I23" s="8">
        <f>IFERROR(H23/H445, "NA")</f>
        <v>-0.34004482265044278</v>
      </c>
      <c r="J23" s="9"/>
      <c r="K23" s="7">
        <v>0</v>
      </c>
      <c r="L23" s="8">
        <f>IFERROR(K23/K445, "NA")</f>
        <v>0</v>
      </c>
      <c r="M23" s="9"/>
      <c r="N23" s="10">
        <f t="shared" si="5"/>
        <v>7138.85</v>
      </c>
      <c r="O23" s="8">
        <f>IFERROR(N23/N445, "NA")</f>
        <v>-0.80066957526272775</v>
      </c>
      <c r="P23" s="9"/>
      <c r="Q23" s="7">
        <v>27975.25</v>
      </c>
      <c r="R23" s="8">
        <f>IFERROR(Q23/Q445, "NA")</f>
        <v>5.3661050219177775E-2</v>
      </c>
      <c r="S23" s="9"/>
      <c r="T23" s="7">
        <v>0</v>
      </c>
      <c r="U23" s="8">
        <f>IFERROR(T23/T445, "NA")</f>
        <v>0</v>
      </c>
      <c r="V23" s="9"/>
      <c r="W23" s="10">
        <f t="shared" si="6"/>
        <v>27975.25</v>
      </c>
      <c r="X23" s="8">
        <f>IFERROR(W23/W445, "NA")</f>
        <v>-0.38881244744650834</v>
      </c>
      <c r="Y23" s="9"/>
      <c r="Z23" s="7">
        <v>0</v>
      </c>
      <c r="AA23" s="8">
        <f>IFERROR(Z23/Z445, "NA")</f>
        <v>0</v>
      </c>
      <c r="AB23" s="9"/>
      <c r="AC23" s="10">
        <f t="shared" si="7"/>
        <v>27975.25</v>
      </c>
      <c r="AD23" s="8">
        <f>IFERROR(AC23/AC445, "NA")</f>
        <v>-0.92668443058193495</v>
      </c>
    </row>
    <row r="24" spans="1:30" ht="16.5" customHeight="1" x14ac:dyDescent="0.45">
      <c r="A24" s="12" t="s">
        <v>25</v>
      </c>
      <c r="B24" s="7">
        <v>576.24</v>
      </c>
      <c r="C24" s="8">
        <f>IFERROR(B24/B445, "NA")</f>
        <v>4.7367060855132287E-3</v>
      </c>
      <c r="D24" s="9"/>
      <c r="E24" s="7">
        <v>0</v>
      </c>
      <c r="F24" s="8">
        <f>IFERROR(E24/E445, "NA")</f>
        <v>0</v>
      </c>
      <c r="G24" s="9"/>
      <c r="H24" s="10">
        <f t="shared" si="4"/>
        <v>576.24</v>
      </c>
      <c r="I24" s="8">
        <f>IFERROR(H24/H445, "NA")</f>
        <v>-2.7448038354089405E-2</v>
      </c>
      <c r="J24" s="9"/>
      <c r="K24" s="7">
        <v>352.85</v>
      </c>
      <c r="L24" s="8">
        <f>IFERROR(K24/K445, "NA")</f>
        <v>2.7023764829755261E-3</v>
      </c>
      <c r="M24" s="9"/>
      <c r="N24" s="10">
        <f t="shared" si="5"/>
        <v>223.39</v>
      </c>
      <c r="O24" s="8">
        <f>IFERROR(N24/N445, "NA")</f>
        <v>-2.505467637195637E-2</v>
      </c>
      <c r="P24" s="9"/>
      <c r="Q24" s="7">
        <v>3253.04</v>
      </c>
      <c r="R24" s="8">
        <f>IFERROR(Q24/Q445, "NA")</f>
        <v>6.2398564018192534E-3</v>
      </c>
      <c r="S24" s="9"/>
      <c r="T24" s="7">
        <v>0</v>
      </c>
      <c r="U24" s="8">
        <f>IFERROR(T24/T445, "NA")</f>
        <v>0</v>
      </c>
      <c r="V24" s="9"/>
      <c r="W24" s="10">
        <f t="shared" si="6"/>
        <v>3253.04</v>
      </c>
      <c r="X24" s="8">
        <f>IFERROR(W24/W445, "NA")</f>
        <v>-4.5212194494826302E-2</v>
      </c>
      <c r="Y24" s="9"/>
      <c r="Z24" s="7">
        <v>4903.46</v>
      </c>
      <c r="AA24" s="8">
        <f>IFERROR(Z24/Z445, "NA")</f>
        <v>8.8907939234594939E-3</v>
      </c>
      <c r="AB24" s="9"/>
      <c r="AC24" s="10">
        <f t="shared" si="7"/>
        <v>-1650.42</v>
      </c>
      <c r="AD24" s="8">
        <f>IFERROR(AC24/AC445, "NA")</f>
        <v>5.4670414667287587E-2</v>
      </c>
    </row>
    <row r="25" spans="1:30" ht="16.5" customHeight="1" x14ac:dyDescent="0.45">
      <c r="A25" s="12" t="s">
        <v>26</v>
      </c>
      <c r="B25" s="7">
        <v>14.3</v>
      </c>
      <c r="C25" s="8">
        <f>IFERROR(B25/B445, "NA")</f>
        <v>1.1754632969394553E-4</v>
      </c>
      <c r="D25" s="9"/>
      <c r="E25" s="7">
        <v>0</v>
      </c>
      <c r="F25" s="8">
        <f>IFERROR(E25/E445, "NA")</f>
        <v>0</v>
      </c>
      <c r="G25" s="9"/>
      <c r="H25" s="10">
        <f t="shared" si="4"/>
        <v>14.3</v>
      </c>
      <c r="I25" s="8">
        <f>IFERROR(H25/H445, "NA")</f>
        <v>-6.8115186114028621E-4</v>
      </c>
      <c r="J25" s="9"/>
      <c r="K25" s="7">
        <v>0</v>
      </c>
      <c r="L25" s="8">
        <f>IFERROR(K25/K445, "NA")</f>
        <v>0</v>
      </c>
      <c r="M25" s="9"/>
      <c r="N25" s="10">
        <f t="shared" si="5"/>
        <v>14.3</v>
      </c>
      <c r="O25" s="8">
        <f>IFERROR(N25/N445, "NA")</f>
        <v>-1.6038402440528947E-3</v>
      </c>
      <c r="P25" s="9"/>
      <c r="Q25" s="7">
        <v>335.84</v>
      </c>
      <c r="R25" s="8">
        <f>IFERROR(Q25/Q445, "NA")</f>
        <v>6.4419539076893551E-4</v>
      </c>
      <c r="S25" s="9"/>
      <c r="T25" s="7">
        <v>0</v>
      </c>
      <c r="U25" s="8">
        <f>IFERROR(T25/T445, "NA")</f>
        <v>0</v>
      </c>
      <c r="V25" s="9"/>
      <c r="W25" s="10">
        <f t="shared" si="6"/>
        <v>335.84</v>
      </c>
      <c r="X25" s="8">
        <f>IFERROR(W25/W445, "NA")</f>
        <v>-4.6676534561955786E-3</v>
      </c>
      <c r="Y25" s="9"/>
      <c r="Z25" s="7">
        <v>0</v>
      </c>
      <c r="AA25" s="8">
        <f>IFERROR(Z25/Z445, "NA")</f>
        <v>0</v>
      </c>
      <c r="AB25" s="9"/>
      <c r="AC25" s="10">
        <f t="shared" si="7"/>
        <v>335.84</v>
      </c>
      <c r="AD25" s="8">
        <f>IFERROR(AC25/AC445, "NA")</f>
        <v>-1.1124751312915416E-2</v>
      </c>
    </row>
    <row r="26" spans="1:30" ht="16.5" customHeight="1" x14ac:dyDescent="0.45">
      <c r="A26" s="12" t="s">
        <v>27</v>
      </c>
      <c r="B26" s="7">
        <v>1269.95</v>
      </c>
      <c r="C26" s="8">
        <f>IFERROR(B26/B445, "NA")</f>
        <v>1.043901827935847E-2</v>
      </c>
      <c r="D26" s="9"/>
      <c r="E26" s="7">
        <v>0</v>
      </c>
      <c r="F26" s="8">
        <f>IFERROR(E26/E445, "NA")</f>
        <v>0</v>
      </c>
      <c r="G26" s="9"/>
      <c r="H26" s="10">
        <f t="shared" si="4"/>
        <v>1269.95</v>
      </c>
      <c r="I26" s="8">
        <f>IFERROR(H26/H445, "NA")</f>
        <v>-6.0491524898958489E-2</v>
      </c>
      <c r="J26" s="9"/>
      <c r="K26" s="7">
        <v>0</v>
      </c>
      <c r="L26" s="8">
        <f>IFERROR(K26/K445, "NA")</f>
        <v>0</v>
      </c>
      <c r="M26" s="9"/>
      <c r="N26" s="10">
        <f t="shared" si="5"/>
        <v>1269.95</v>
      </c>
      <c r="O26" s="8">
        <f>IFERROR(N26/N445, "NA")</f>
        <v>-0.14243335090454362</v>
      </c>
      <c r="P26" s="9"/>
      <c r="Q26" s="7">
        <v>7001.36</v>
      </c>
      <c r="R26" s="8">
        <f>IFERROR(Q26/Q445, "NA")</f>
        <v>1.3429739879448529E-2</v>
      </c>
      <c r="S26" s="9"/>
      <c r="T26" s="7">
        <v>0</v>
      </c>
      <c r="U26" s="8">
        <f>IFERROR(T26/T445, "NA")</f>
        <v>0</v>
      </c>
      <c r="V26" s="9"/>
      <c r="W26" s="10">
        <f t="shared" si="6"/>
        <v>7001.36</v>
      </c>
      <c r="X26" s="8">
        <f>IFERROR(W26/W445, "NA")</f>
        <v>-9.7308010368239273E-2</v>
      </c>
      <c r="Y26" s="9"/>
      <c r="Z26" s="7">
        <v>0</v>
      </c>
      <c r="AA26" s="8">
        <f>IFERROR(Z26/Z445, "NA")</f>
        <v>0</v>
      </c>
      <c r="AB26" s="9"/>
      <c r="AC26" s="10">
        <f t="shared" si="7"/>
        <v>7001.36</v>
      </c>
      <c r="AD26" s="8">
        <f>IFERROR(AC26/AC445, "NA")</f>
        <v>-0.2319211197361645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IFERROR(B27/B445, "NA")</f>
        <v>0</v>
      </c>
      <c r="D27" s="9"/>
      <c r="E27" s="7">
        <v>0</v>
      </c>
      <c r="F27" s="8">
        <f>IFERROR(E27/E445, "NA")</f>
        <v>0</v>
      </c>
      <c r="G27" s="9"/>
      <c r="H27" s="10">
        <f t="shared" si="4"/>
        <v>0</v>
      </c>
      <c r="I27" s="8">
        <f>IFERROR(H27/H445, "NA")</f>
        <v>0</v>
      </c>
      <c r="J27" s="9"/>
      <c r="K27" s="7">
        <v>0</v>
      </c>
      <c r="L27" s="8">
        <f>IFERROR(K27/K445, "NA")</f>
        <v>0</v>
      </c>
      <c r="M27" s="9"/>
      <c r="N27" s="10">
        <f t="shared" si="5"/>
        <v>0</v>
      </c>
      <c r="O27" s="8">
        <f>IFERROR(N27/N445, "NA")</f>
        <v>0</v>
      </c>
      <c r="P27" s="9"/>
      <c r="Q27" s="7">
        <v>0</v>
      </c>
      <c r="R27" s="8">
        <f>IFERROR(Q27/Q445, "NA")</f>
        <v>0</v>
      </c>
      <c r="S27" s="9"/>
      <c r="T27" s="7">
        <v>0</v>
      </c>
      <c r="U27" s="8">
        <f>IFERROR(T27/T445, "NA")</f>
        <v>0</v>
      </c>
      <c r="V27" s="9"/>
      <c r="W27" s="10">
        <f t="shared" si="6"/>
        <v>0</v>
      </c>
      <c r="X27" s="8">
        <f>IFERROR(W27/W445, "NA")</f>
        <v>0</v>
      </c>
      <c r="Y27" s="9"/>
      <c r="Z27" s="7">
        <v>0</v>
      </c>
      <c r="AA27" s="8">
        <f>IFERROR(Z27/Z445, "NA")</f>
        <v>0</v>
      </c>
      <c r="AB27" s="9"/>
      <c r="AC27" s="10">
        <f t="shared" si="7"/>
        <v>0</v>
      </c>
      <c r="AD27" s="8">
        <f>IFERROR(AC27/AC445, "NA")</f>
        <v>0</v>
      </c>
    </row>
    <row r="28" spans="1:30" ht="16.5" customHeight="1" x14ac:dyDescent="0.45">
      <c r="A28" s="12" t="s">
        <v>29</v>
      </c>
      <c r="B28" s="7">
        <v>766.72</v>
      </c>
      <c r="C28" s="8">
        <f>IFERROR(B28/B445, "NA")</f>
        <v>6.3024560771288048E-3</v>
      </c>
      <c r="D28" s="9"/>
      <c r="E28" s="7">
        <v>0</v>
      </c>
      <c r="F28" s="8">
        <f>IFERROR(E28/E445, "NA")</f>
        <v>0</v>
      </c>
      <c r="G28" s="9"/>
      <c r="H28" s="10">
        <f t="shared" si="4"/>
        <v>766.72</v>
      </c>
      <c r="I28" s="8">
        <f>IFERROR(H28/H445, "NA")</f>
        <v>-3.6521171676467144E-2</v>
      </c>
      <c r="J28" s="9"/>
      <c r="K28" s="7">
        <v>922.46</v>
      </c>
      <c r="L28" s="8">
        <f>IFERROR(K28/K445, "NA")</f>
        <v>7.0648553506748018E-3</v>
      </c>
      <c r="M28" s="9"/>
      <c r="N28" s="10">
        <f t="shared" si="5"/>
        <v>-155.74</v>
      </c>
      <c r="O28" s="8">
        <f>IFERROR(N28/N445, "NA")</f>
        <v>1.7467278294321525E-2</v>
      </c>
      <c r="P28" s="9"/>
      <c r="Q28" s="7">
        <v>3791.67</v>
      </c>
      <c r="R28" s="8">
        <f>IFERROR(Q28/Q445, "NA")</f>
        <v>7.2730357828634171E-3</v>
      </c>
      <c r="S28" s="9"/>
      <c r="T28" s="7">
        <v>0</v>
      </c>
      <c r="U28" s="8">
        <f>IFERROR(T28/T445, "NA")</f>
        <v>0</v>
      </c>
      <c r="V28" s="9"/>
      <c r="W28" s="10">
        <f t="shared" si="6"/>
        <v>3791.67</v>
      </c>
      <c r="X28" s="8">
        <f>IFERROR(W28/W445, "NA")</f>
        <v>-5.2698313423812204E-2</v>
      </c>
      <c r="Y28" s="9"/>
      <c r="Z28" s="7">
        <v>4432.6000000000004</v>
      </c>
      <c r="AA28" s="8">
        <f>IFERROR(Z28/Z445, "NA")</f>
        <v>8.0370459114842488E-3</v>
      </c>
      <c r="AB28" s="9"/>
      <c r="AC28" s="10">
        <f t="shared" si="7"/>
        <v>-640.93000000000029</v>
      </c>
      <c r="AD28" s="8">
        <f>IFERROR(AC28/AC445, "NA")</f>
        <v>2.1230904177545501E-2</v>
      </c>
    </row>
    <row r="29" spans="1:30" ht="16.5" customHeight="1" x14ac:dyDescent="0.45">
      <c r="A29" s="13" t="s">
        <v>30</v>
      </c>
      <c r="B29" s="14">
        <f>IFERROR(B21+B22+B23+B24+B25+B26+B27+B28, "NA")</f>
        <v>9766.06</v>
      </c>
      <c r="C29" s="15">
        <f>IFERROR(B29/B445, "NA")</f>
        <v>8.0277238361598155E-2</v>
      </c>
      <c r="D29" s="2"/>
      <c r="E29" s="14">
        <f>IFERROR(E21+E22+E23+E24+E25+E26+E27+E28, "NA")</f>
        <v>13123.62</v>
      </c>
      <c r="F29" s="15">
        <f>IFERROR(E29/E445, "NA")</f>
        <v>9.2000021591608597E-2</v>
      </c>
      <c r="G29" s="2"/>
      <c r="H29" s="14">
        <f t="shared" si="4"/>
        <v>-3357.5600000000013</v>
      </c>
      <c r="I29" s="15">
        <f>IFERROR(H29/H445, "NA")</f>
        <v>0.15993064635595663</v>
      </c>
      <c r="J29" s="2"/>
      <c r="K29" s="14">
        <f>IFERROR(K21+K22+K23+K24+K25+K26+K27+K28, "NA")</f>
        <v>9340.5099999999984</v>
      </c>
      <c r="L29" s="15">
        <f>IFERROR(K29/K445, "NA")</f>
        <v>7.1536274799483421E-2</v>
      </c>
      <c r="M29" s="2"/>
      <c r="N29" s="14">
        <f t="shared" si="5"/>
        <v>425.55000000000109</v>
      </c>
      <c r="O29" s="15">
        <f>IFERROR(N29/N445, "NA")</f>
        <v>-4.772826684312665E-2</v>
      </c>
      <c r="P29" s="2"/>
      <c r="Q29" s="14">
        <f>IFERROR(Q21+Q22+Q23+Q24+Q25+Q26+Q27+Q28, "NA")</f>
        <v>45150.599999999991</v>
      </c>
      <c r="R29" s="15">
        <f>IFERROR(Q29/Q445, "NA")</f>
        <v>8.6606147005871534E-2</v>
      </c>
      <c r="S29" s="2"/>
      <c r="T29" s="14">
        <f>IFERROR(T21+T22+T23+T24+T25+T26+T27+T28, "NA")</f>
        <v>54582.04</v>
      </c>
      <c r="U29" s="15">
        <f>IFERROR(T29/T445, "NA")</f>
        <v>9.2000005191451545E-2</v>
      </c>
      <c r="V29" s="2"/>
      <c r="W29" s="14">
        <f t="shared" si="6"/>
        <v>-9431.4400000000096</v>
      </c>
      <c r="X29" s="15">
        <f>IFERROR(W29/W445, "NA")</f>
        <v>0.13108234133188804</v>
      </c>
      <c r="Y29" s="2"/>
      <c r="Z29" s="14">
        <f>IFERROR(Z21+Z22+Z23+Z24+Z25+Z26+Z27+Z28, "NA")</f>
        <v>45715.61</v>
      </c>
      <c r="AA29" s="15">
        <f>IFERROR(Z29/Z445, "NA")</f>
        <v>8.2890054695101842E-2</v>
      </c>
      <c r="AB29" s="2"/>
      <c r="AC29" s="14">
        <f t="shared" si="7"/>
        <v>-565.01000000000931</v>
      </c>
      <c r="AD29" s="15">
        <f>IFERROR(AC29/AC445, "NA")</f>
        <v>1.8716042577746676E-2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IFERROR(B31/B445, "NA")</f>
        <v>0</v>
      </c>
      <c r="D31" s="9"/>
      <c r="E31" s="7">
        <v>24678.11</v>
      </c>
      <c r="F31" s="8">
        <f>IFERROR(E31/E445, "NA")</f>
        <v>0.17300002993382102</v>
      </c>
      <c r="G31" s="9"/>
      <c r="H31" s="10">
        <f t="shared" ref="H31:H40" si="8">IFERROR(B31-E31, "NA")</f>
        <v>-24678.11</v>
      </c>
      <c r="I31" s="8">
        <f>IFERROR(H31/H445, "NA")</f>
        <v>1.1754923465681613</v>
      </c>
      <c r="J31" s="9"/>
      <c r="K31" s="7">
        <v>0</v>
      </c>
      <c r="L31" s="8">
        <f>IFERROR(K31/K445, "NA")</f>
        <v>0</v>
      </c>
      <c r="M31" s="9"/>
      <c r="N31" s="10">
        <f t="shared" ref="N31:N40" si="9">IFERROR(B31-K31, "NA")</f>
        <v>0</v>
      </c>
      <c r="O31" s="8">
        <f>IFERROR(N31/N445, "NA")</f>
        <v>0</v>
      </c>
      <c r="P31" s="9"/>
      <c r="Q31" s="7">
        <v>0</v>
      </c>
      <c r="R31" s="8">
        <f>IFERROR(Q31/Q445, "NA")</f>
        <v>0</v>
      </c>
      <c r="S31" s="9"/>
      <c r="T31" s="7">
        <v>102637.97</v>
      </c>
      <c r="U31" s="8">
        <f>IFERROR(T31/T445, "NA")</f>
        <v>0.17300001562492073</v>
      </c>
      <c r="V31" s="9"/>
      <c r="W31" s="10">
        <f t="shared" ref="W31:W40" si="10">IFERROR(Q31-T31, "NA")</f>
        <v>-102637.97</v>
      </c>
      <c r="X31" s="8">
        <f>IFERROR(W31/W445, "NA")</f>
        <v>1.4265080854198373</v>
      </c>
      <c r="Y31" s="9"/>
      <c r="Z31" s="7">
        <v>0</v>
      </c>
      <c r="AA31" s="8">
        <f>IFERROR(Z31/Z445, "NA")</f>
        <v>0</v>
      </c>
      <c r="AB31" s="9"/>
      <c r="AC31" s="10">
        <f t="shared" ref="AC31:AC40" si="11">IFERROR(Q31-Z31, "NA")</f>
        <v>0</v>
      </c>
      <c r="AD31" s="8">
        <f>IFERROR(AC31/AC445,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IFERROR(B32/B445, "NA")</f>
        <v>0</v>
      </c>
      <c r="D32" s="9"/>
      <c r="E32" s="7">
        <v>0</v>
      </c>
      <c r="F32" s="8">
        <f>IFERROR(E32/E445, "NA")</f>
        <v>0</v>
      </c>
      <c r="G32" s="9"/>
      <c r="H32" s="10">
        <f t="shared" si="8"/>
        <v>0</v>
      </c>
      <c r="I32" s="8">
        <f>IFERROR(H32/H445, "NA")</f>
        <v>0</v>
      </c>
      <c r="J32" s="9"/>
      <c r="K32" s="7">
        <v>0</v>
      </c>
      <c r="L32" s="8">
        <f>IFERROR(K32/K445, "NA")</f>
        <v>0</v>
      </c>
      <c r="M32" s="9"/>
      <c r="N32" s="10">
        <f t="shared" si="9"/>
        <v>0</v>
      </c>
      <c r="O32" s="8">
        <f>IFERROR(N32/N445, "NA")</f>
        <v>0</v>
      </c>
      <c r="P32" s="9"/>
      <c r="Q32" s="7">
        <v>0</v>
      </c>
      <c r="R32" s="8">
        <f>IFERROR(Q32/Q445, "NA")</f>
        <v>0</v>
      </c>
      <c r="S32" s="9"/>
      <c r="T32" s="7">
        <v>0</v>
      </c>
      <c r="U32" s="8">
        <f>IFERROR(T32/T445, "NA")</f>
        <v>0</v>
      </c>
      <c r="V32" s="9"/>
      <c r="W32" s="10">
        <f t="shared" si="10"/>
        <v>0</v>
      </c>
      <c r="X32" s="8">
        <f>IFERROR(W32/W445, "NA")</f>
        <v>0</v>
      </c>
      <c r="Y32" s="9"/>
      <c r="Z32" s="7">
        <v>0</v>
      </c>
      <c r="AA32" s="8">
        <f>IFERROR(Z32/Z445, "NA")</f>
        <v>0</v>
      </c>
      <c r="AB32" s="9"/>
      <c r="AC32" s="10">
        <f t="shared" si="11"/>
        <v>0</v>
      </c>
      <c r="AD32" s="8">
        <f>IFERROR(AC32/AC445, "NA")</f>
        <v>0</v>
      </c>
    </row>
    <row r="33" spans="1:30" ht="16.5" customHeight="1" x14ac:dyDescent="0.45">
      <c r="A33" s="12" t="s">
        <v>33</v>
      </c>
      <c r="B33" s="7">
        <v>9283.5499999999993</v>
      </c>
      <c r="C33" s="8">
        <f>IFERROR(B33/B445, "NA")</f>
        <v>7.6310995037078874E-2</v>
      </c>
      <c r="D33" s="9"/>
      <c r="E33" s="7">
        <v>0</v>
      </c>
      <c r="F33" s="8">
        <f>IFERROR(E33/E445, "NA")</f>
        <v>0</v>
      </c>
      <c r="G33" s="9"/>
      <c r="H33" s="10">
        <f t="shared" si="8"/>
        <v>9283.5499999999993</v>
      </c>
      <c r="I33" s="8">
        <f>IFERROR(H33/H445, "NA")</f>
        <v>-0.44220331192230089</v>
      </c>
      <c r="J33" s="9"/>
      <c r="K33" s="7">
        <v>7656.7</v>
      </c>
      <c r="L33" s="8">
        <f>IFERROR(K33/K445, "NA")</f>
        <v>5.8640459167347912E-2</v>
      </c>
      <c r="M33" s="9"/>
      <c r="N33" s="10">
        <f t="shared" si="9"/>
        <v>1626.8499999999995</v>
      </c>
      <c r="O33" s="8">
        <f>IFERROR(N33/N445, "NA")</f>
        <v>-0.18246206300961193</v>
      </c>
      <c r="P33" s="9"/>
      <c r="Q33" s="7">
        <v>47251.47</v>
      </c>
      <c r="R33" s="8">
        <f>IFERROR(Q33/Q445, "NA")</f>
        <v>9.0635955160363962E-2</v>
      </c>
      <c r="S33" s="9"/>
      <c r="T33" s="7">
        <v>0</v>
      </c>
      <c r="U33" s="8">
        <f>IFERROR(T33/T445, "NA")</f>
        <v>0</v>
      </c>
      <c r="V33" s="9"/>
      <c r="W33" s="10">
        <f t="shared" si="10"/>
        <v>47251.47</v>
      </c>
      <c r="X33" s="8">
        <f>IFERROR(W33/W445, "NA")</f>
        <v>-0.65672191298184168</v>
      </c>
      <c r="Y33" s="9"/>
      <c r="Z33" s="7">
        <v>43398.77</v>
      </c>
      <c r="AA33" s="8">
        <f>IFERROR(Z33/Z445, "NA")</f>
        <v>7.8689235886826067E-2</v>
      </c>
      <c r="AB33" s="9"/>
      <c r="AC33" s="10">
        <f t="shared" si="11"/>
        <v>3852.7000000000044</v>
      </c>
      <c r="AD33" s="8">
        <f>IFERROR(AC33/AC445, "NA")</f>
        <v>-0.12762127615313623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IFERROR(B34/B445, "NA")</f>
        <v>0</v>
      </c>
      <c r="D34" s="9"/>
      <c r="E34" s="7">
        <v>0</v>
      </c>
      <c r="F34" s="8">
        <f>IFERROR(E34/E445, "NA")</f>
        <v>0</v>
      </c>
      <c r="G34" s="9"/>
      <c r="H34" s="10">
        <f t="shared" si="8"/>
        <v>0</v>
      </c>
      <c r="I34" s="8">
        <f>IFERROR(H34/H445, "NA")</f>
        <v>0</v>
      </c>
      <c r="J34" s="9"/>
      <c r="K34" s="7">
        <v>0</v>
      </c>
      <c r="L34" s="8">
        <f>IFERROR(K34/K445, "NA")</f>
        <v>0</v>
      </c>
      <c r="M34" s="9"/>
      <c r="N34" s="10">
        <f t="shared" si="9"/>
        <v>0</v>
      </c>
      <c r="O34" s="8">
        <f>IFERROR(N34/N445, "NA")</f>
        <v>0</v>
      </c>
      <c r="P34" s="9"/>
      <c r="Q34" s="7">
        <v>0</v>
      </c>
      <c r="R34" s="8">
        <f>IFERROR(Q34/Q445, "NA")</f>
        <v>0</v>
      </c>
      <c r="S34" s="9"/>
      <c r="T34" s="7">
        <v>0</v>
      </c>
      <c r="U34" s="8">
        <f>IFERROR(T34/T445, "NA")</f>
        <v>0</v>
      </c>
      <c r="V34" s="9"/>
      <c r="W34" s="10">
        <f t="shared" si="10"/>
        <v>0</v>
      </c>
      <c r="X34" s="8">
        <f>IFERROR(W34/W445, "NA")</f>
        <v>0</v>
      </c>
      <c r="Y34" s="9"/>
      <c r="Z34" s="7">
        <v>0</v>
      </c>
      <c r="AA34" s="8">
        <f>IFERROR(Z34/Z445, "NA")</f>
        <v>0</v>
      </c>
      <c r="AB34" s="9"/>
      <c r="AC34" s="10">
        <f t="shared" si="11"/>
        <v>0</v>
      </c>
      <c r="AD34" s="8">
        <f>IFERROR(AC34/AC445, "NA")</f>
        <v>0</v>
      </c>
    </row>
    <row r="35" spans="1:30" ht="16.5" customHeight="1" x14ac:dyDescent="0.45">
      <c r="A35" s="12" t="s">
        <v>35</v>
      </c>
      <c r="B35" s="7">
        <v>605.35</v>
      </c>
      <c r="C35" s="8">
        <f>IFERROR(B35/B445, "NA")</f>
        <v>4.9759909566594353E-3</v>
      </c>
      <c r="D35" s="9"/>
      <c r="E35" s="7">
        <v>0</v>
      </c>
      <c r="F35" s="8">
        <f>IFERROR(E35/E445, "NA")</f>
        <v>0</v>
      </c>
      <c r="G35" s="9"/>
      <c r="H35" s="10">
        <f t="shared" si="8"/>
        <v>605.35</v>
      </c>
      <c r="I35" s="8">
        <f>IFERROR(H35/H445, "NA")</f>
        <v>-2.8834634904984072E-2</v>
      </c>
      <c r="J35" s="9"/>
      <c r="K35" s="7">
        <v>920.24</v>
      </c>
      <c r="L35" s="8">
        <f>IFERROR(K35/K445, "NA")</f>
        <v>7.047853010325629E-3</v>
      </c>
      <c r="M35" s="9"/>
      <c r="N35" s="10">
        <f t="shared" si="9"/>
        <v>-314.89</v>
      </c>
      <c r="O35" s="8">
        <f>IFERROR(N35/N445, "NA")</f>
        <v>3.531701080068643E-2</v>
      </c>
      <c r="P35" s="9"/>
      <c r="Q35" s="7">
        <v>2661.57</v>
      </c>
      <c r="R35" s="8">
        <f>IFERROR(Q35/Q445, "NA")</f>
        <v>5.1053213619845043E-3</v>
      </c>
      <c r="S35" s="9"/>
      <c r="T35" s="7">
        <v>0</v>
      </c>
      <c r="U35" s="8">
        <f>IFERROR(T35/T445, "NA")</f>
        <v>0</v>
      </c>
      <c r="V35" s="9"/>
      <c r="W35" s="10">
        <f t="shared" si="10"/>
        <v>2661.57</v>
      </c>
      <c r="X35" s="8">
        <f>IFERROR(W35/W445, "NA")</f>
        <v>-3.6991681781224597E-2</v>
      </c>
      <c r="Y35" s="9"/>
      <c r="Z35" s="7">
        <v>5336.23</v>
      </c>
      <c r="AA35" s="8">
        <f>IFERROR(Z35/Z445, "NA")</f>
        <v>9.6754783883588828E-3</v>
      </c>
      <c r="AB35" s="9"/>
      <c r="AC35" s="10">
        <f t="shared" si="11"/>
        <v>-2674.6599999999994</v>
      </c>
      <c r="AD35" s="8">
        <f>IFERROR(AC35/AC445, "NA")</f>
        <v>8.859852116067872E-2</v>
      </c>
    </row>
    <row r="36" spans="1:30" ht="16.5" customHeight="1" x14ac:dyDescent="0.45">
      <c r="A36" s="12" t="s">
        <v>36</v>
      </c>
      <c r="B36" s="7">
        <v>6526.09</v>
      </c>
      <c r="C36" s="8">
        <f>IFERROR(B36/B445, "NA")</f>
        <v>5.3644610262402866E-2</v>
      </c>
      <c r="D36" s="9"/>
      <c r="E36" s="7">
        <v>0</v>
      </c>
      <c r="F36" s="8">
        <f>IFERROR(E36/E445, "NA")</f>
        <v>0</v>
      </c>
      <c r="G36" s="9"/>
      <c r="H36" s="10">
        <f t="shared" si="8"/>
        <v>6526.09</v>
      </c>
      <c r="I36" s="8">
        <f>IFERROR(H36/H445, "NA")</f>
        <v>-0.31085722723559511</v>
      </c>
      <c r="J36" s="9"/>
      <c r="K36" s="7">
        <v>6202.67</v>
      </c>
      <c r="L36" s="8">
        <f>IFERROR(K36/K445, "NA")</f>
        <v>4.7504462348470472E-2</v>
      </c>
      <c r="M36" s="9"/>
      <c r="N36" s="10">
        <f t="shared" si="9"/>
        <v>323.42000000000007</v>
      </c>
      <c r="O36" s="8">
        <f>IFERROR(N36/N445, "NA")</f>
        <v>-3.6273707114097012E-2</v>
      </c>
      <c r="P36" s="9"/>
      <c r="Q36" s="7">
        <v>33315.46</v>
      </c>
      <c r="R36" s="8">
        <f>IFERROR(Q36/Q445, "NA")</f>
        <v>6.3904435961609218E-2</v>
      </c>
      <c r="S36" s="9"/>
      <c r="T36" s="7">
        <v>0</v>
      </c>
      <c r="U36" s="8">
        <f>IFERROR(T36/T445, "NA")</f>
        <v>0</v>
      </c>
      <c r="V36" s="9"/>
      <c r="W36" s="10">
        <f t="shared" si="10"/>
        <v>33315.46</v>
      </c>
      <c r="X36" s="8">
        <f>IFERROR(W36/W445, "NA")</f>
        <v>-0.46303305744921852</v>
      </c>
      <c r="Y36" s="9"/>
      <c r="Z36" s="7">
        <v>42871.67</v>
      </c>
      <c r="AA36" s="8">
        <f>IFERROR(Z36/Z445, "NA")</f>
        <v>7.7733515339079073E-2</v>
      </c>
      <c r="AB36" s="9"/>
      <c r="AC36" s="10">
        <f t="shared" si="11"/>
        <v>-9556.2099999999991</v>
      </c>
      <c r="AD36" s="8">
        <f>IFERROR(AC36/AC445, "NA")</f>
        <v>0.31655091634110122</v>
      </c>
    </row>
    <row r="37" spans="1:30" ht="16.5" customHeight="1" x14ac:dyDescent="0.45">
      <c r="A37" s="12" t="s">
        <v>37</v>
      </c>
      <c r="B37" s="7">
        <v>652.29999999999995</v>
      </c>
      <c r="C37" s="8">
        <f>IFERROR(B37/B445, "NA")</f>
        <v>5.36192103911613E-3</v>
      </c>
      <c r="D37" s="9"/>
      <c r="E37" s="7">
        <v>0</v>
      </c>
      <c r="F37" s="8">
        <f>IFERROR(E37/E445, "NA")</f>
        <v>0</v>
      </c>
      <c r="G37" s="9"/>
      <c r="H37" s="10">
        <f t="shared" si="8"/>
        <v>652.29999999999995</v>
      </c>
      <c r="I37" s="8">
        <f>IFERROR(H37/H445, "NA")</f>
        <v>-3.1071004127399205E-2</v>
      </c>
      <c r="J37" s="9"/>
      <c r="K37" s="7">
        <v>0</v>
      </c>
      <c r="L37" s="8">
        <f>IFERROR(K37/K445, "NA")</f>
        <v>0</v>
      </c>
      <c r="M37" s="9"/>
      <c r="N37" s="10">
        <f t="shared" si="9"/>
        <v>652.29999999999995</v>
      </c>
      <c r="O37" s="8">
        <f>IFERROR(N37/N445, "NA")</f>
        <v>-7.3159789594105115E-2</v>
      </c>
      <c r="P37" s="9"/>
      <c r="Q37" s="7">
        <v>4572.79</v>
      </c>
      <c r="R37" s="8">
        <f>IFERROR(Q37/Q445, "NA")</f>
        <v>8.7713501695875443E-3</v>
      </c>
      <c r="S37" s="9"/>
      <c r="T37" s="7">
        <v>0</v>
      </c>
      <c r="U37" s="8">
        <f>IFERROR(T37/T445, "NA")</f>
        <v>0</v>
      </c>
      <c r="V37" s="9"/>
      <c r="W37" s="10">
        <f t="shared" si="10"/>
        <v>4572.79</v>
      </c>
      <c r="X37" s="8">
        <f>IFERROR(W37/W445, "NA")</f>
        <v>-6.3554666055135128E-2</v>
      </c>
      <c r="Y37" s="9"/>
      <c r="Z37" s="7">
        <v>0</v>
      </c>
      <c r="AA37" s="8">
        <f>IFERROR(Z37/Z445, "NA")</f>
        <v>0</v>
      </c>
      <c r="AB37" s="9"/>
      <c r="AC37" s="10">
        <f t="shared" si="11"/>
        <v>4572.79</v>
      </c>
      <c r="AD37" s="8">
        <f>IFERROR(AC37/AC445, "NA")</f>
        <v>-0.15147436742551956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IFERROR(B38/B445, "NA")</f>
        <v>0</v>
      </c>
      <c r="D38" s="9"/>
      <c r="E38" s="7">
        <v>0</v>
      </c>
      <c r="F38" s="8">
        <f>IFERROR(E38/E445, "NA")</f>
        <v>0</v>
      </c>
      <c r="G38" s="9"/>
      <c r="H38" s="10">
        <f t="shared" si="8"/>
        <v>0</v>
      </c>
      <c r="I38" s="8">
        <f>IFERROR(H38/H445, "NA")</f>
        <v>0</v>
      </c>
      <c r="J38" s="9"/>
      <c r="K38" s="7">
        <v>0</v>
      </c>
      <c r="L38" s="8">
        <f>IFERROR(K38/K445, "NA")</f>
        <v>0</v>
      </c>
      <c r="M38" s="9"/>
      <c r="N38" s="10">
        <f t="shared" si="9"/>
        <v>0</v>
      </c>
      <c r="O38" s="8">
        <f>IFERROR(N38/N445, "NA")</f>
        <v>0</v>
      </c>
      <c r="P38" s="9"/>
      <c r="Q38" s="7">
        <v>0</v>
      </c>
      <c r="R38" s="8">
        <f>IFERROR(Q38/Q445, "NA")</f>
        <v>0</v>
      </c>
      <c r="S38" s="9"/>
      <c r="T38" s="7">
        <v>0</v>
      </c>
      <c r="U38" s="8">
        <f>IFERROR(T38/T445, "NA")</f>
        <v>0</v>
      </c>
      <c r="V38" s="9"/>
      <c r="W38" s="10">
        <f t="shared" si="10"/>
        <v>0</v>
      </c>
      <c r="X38" s="8">
        <f>IFERROR(W38/W445, "NA")</f>
        <v>0</v>
      </c>
      <c r="Y38" s="9"/>
      <c r="Z38" s="7">
        <v>0</v>
      </c>
      <c r="AA38" s="8">
        <f>IFERROR(Z38/Z445, "NA")</f>
        <v>0</v>
      </c>
      <c r="AB38" s="9"/>
      <c r="AC38" s="10">
        <f t="shared" si="11"/>
        <v>0</v>
      </c>
      <c r="AD38" s="8">
        <f>IFERROR(AC38/AC445,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IFERROR(B39/B445, "NA")</f>
        <v>0</v>
      </c>
      <c r="D39" s="9"/>
      <c r="E39" s="7">
        <v>0</v>
      </c>
      <c r="F39" s="8">
        <f>IFERROR(E39/E445, "NA")</f>
        <v>0</v>
      </c>
      <c r="G39" s="9"/>
      <c r="H39" s="10">
        <f t="shared" si="8"/>
        <v>0</v>
      </c>
      <c r="I39" s="8">
        <f>IFERROR(H39/H445, "NA")</f>
        <v>0</v>
      </c>
      <c r="J39" s="9"/>
      <c r="K39" s="7">
        <v>753.35</v>
      </c>
      <c r="L39" s="8">
        <f>IFERROR(K39/K445, "NA")</f>
        <v>5.7696905865087505E-3</v>
      </c>
      <c r="M39" s="9"/>
      <c r="N39" s="10">
        <f t="shared" si="9"/>
        <v>-753.35</v>
      </c>
      <c r="O39" s="8">
        <f>IFERROR(N39/N445, "NA")</f>
        <v>8.4493220129877492E-2</v>
      </c>
      <c r="P39" s="9"/>
      <c r="Q39" s="7">
        <v>0</v>
      </c>
      <c r="R39" s="8">
        <f>IFERROR(Q39/Q445, "NA")</f>
        <v>0</v>
      </c>
      <c r="S39" s="9"/>
      <c r="T39" s="7">
        <v>0</v>
      </c>
      <c r="U39" s="8">
        <f>IFERROR(T39/T445, "NA")</f>
        <v>0</v>
      </c>
      <c r="V39" s="9"/>
      <c r="W39" s="10">
        <f t="shared" si="10"/>
        <v>0</v>
      </c>
      <c r="X39" s="8">
        <f>IFERROR(W39/W445, "NA")</f>
        <v>0</v>
      </c>
      <c r="Y39" s="9"/>
      <c r="Z39" s="7">
        <v>4358.45</v>
      </c>
      <c r="AA39" s="8">
        <f>IFERROR(Z39/Z445, "NA")</f>
        <v>7.9025995471976983E-3</v>
      </c>
      <c r="AB39" s="9"/>
      <c r="AC39" s="10">
        <f t="shared" si="11"/>
        <v>-4358.45</v>
      </c>
      <c r="AD39" s="8">
        <f>IFERROR(AC39/AC445, "NA")</f>
        <v>0.14437432217656085</v>
      </c>
    </row>
    <row r="40" spans="1:30" ht="16.5" customHeight="1" x14ac:dyDescent="0.45">
      <c r="A40" s="13" t="s">
        <v>40</v>
      </c>
      <c r="B40" s="14">
        <f>IFERROR(B31+B32+B33+B34+B35+B36+B37+B38+B39, "NA")</f>
        <v>17067.289999999997</v>
      </c>
      <c r="C40" s="15">
        <f>IFERROR(B40/B445, "NA")</f>
        <v>0.14029351729525727</v>
      </c>
      <c r="D40" s="2"/>
      <c r="E40" s="14">
        <f>IFERROR(E31+E32+E33+E34+E35+E36+E37+E38+E39, "NA")</f>
        <v>24678.11</v>
      </c>
      <c r="F40" s="15">
        <f>IFERROR(E40/E445, "NA")</f>
        <v>0.17300002993382102</v>
      </c>
      <c r="G40" s="2"/>
      <c r="H40" s="14">
        <f t="shared" si="8"/>
        <v>-7610.8200000000033</v>
      </c>
      <c r="I40" s="15">
        <f>IFERROR(H40/H445, "NA")</f>
        <v>0.36252616837788215</v>
      </c>
      <c r="J40" s="2"/>
      <c r="K40" s="14">
        <f>IFERROR(K31+K32+K33+K34+K35+K36+K37+K38+K39, "NA")</f>
        <v>15532.960000000001</v>
      </c>
      <c r="L40" s="15">
        <f>IFERROR(K40/K445, "NA")</f>
        <v>0.11896246511265277</v>
      </c>
      <c r="M40" s="2"/>
      <c r="N40" s="14">
        <f t="shared" si="9"/>
        <v>1534.3299999999963</v>
      </c>
      <c r="O40" s="15">
        <f>IFERROR(N40/N445, "NA")</f>
        <v>-0.17208532878724977</v>
      </c>
      <c r="P40" s="2"/>
      <c r="Q40" s="14">
        <f>IFERROR(Q31+Q32+Q33+Q34+Q35+Q36+Q37+Q38+Q39, "NA")</f>
        <v>87801.29</v>
      </c>
      <c r="R40" s="15">
        <f>IFERROR(Q40/Q445, "NA")</f>
        <v>0.16841706265354522</v>
      </c>
      <c r="S40" s="2"/>
      <c r="T40" s="14">
        <f>IFERROR(T31+T32+T33+T34+T35+T36+T37+T38+T39, "NA")</f>
        <v>102637.97</v>
      </c>
      <c r="U40" s="15">
        <f>IFERROR(T40/T445, "NA")</f>
        <v>0.17300001562492073</v>
      </c>
      <c r="V40" s="2"/>
      <c r="W40" s="14">
        <f t="shared" si="10"/>
        <v>-14836.680000000008</v>
      </c>
      <c r="X40" s="15">
        <f>IFERROR(W40/W445, "NA")</f>
        <v>0.2062067671524174</v>
      </c>
      <c r="Y40" s="2"/>
      <c r="Z40" s="14">
        <f>IFERROR(Z31+Z32+Z33+Z34+Z35+Z36+Z37+Z38+Z39, "NA")</f>
        <v>95965.119999999995</v>
      </c>
      <c r="AA40" s="15">
        <f>IFERROR(Z40/Z445, "NA")</f>
        <v>0.17400082916146173</v>
      </c>
      <c r="AB40" s="2"/>
      <c r="AC40" s="14">
        <f t="shared" si="11"/>
        <v>-8163.8300000000017</v>
      </c>
      <c r="AD40" s="15">
        <f>IFERROR(AC40/AC445, "NA")</f>
        <v>0.27042811609968526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IFERROR(B42/B445, "NA")</f>
        <v>0</v>
      </c>
      <c r="D42" s="9"/>
      <c r="E42" s="7">
        <v>27103.119999999999</v>
      </c>
      <c r="F42" s="8">
        <f>IFERROR(E42/E445, "NA")</f>
        <v>0.18999998668050117</v>
      </c>
      <c r="G42" s="9"/>
      <c r="H42" s="10">
        <f>IFERROR(B42-E42, "NA")</f>
        <v>-27103.119999999999</v>
      </c>
      <c r="I42" s="8">
        <f>IFERROR(H42/H445, "NA")</f>
        <v>1.2910028413082875</v>
      </c>
      <c r="J42" s="9"/>
      <c r="K42" s="7">
        <v>0</v>
      </c>
      <c r="L42" s="8">
        <f>IFERROR(K42/K445, "NA")</f>
        <v>0</v>
      </c>
      <c r="M42" s="9"/>
      <c r="N42" s="10">
        <f>IFERROR(B42-K42, "NA")</f>
        <v>0</v>
      </c>
      <c r="O42" s="8">
        <f>IFERROR(N42/N445, "NA")</f>
        <v>0</v>
      </c>
      <c r="P42" s="9"/>
      <c r="Q42" s="7">
        <v>0</v>
      </c>
      <c r="R42" s="8">
        <f>IFERROR(Q42/Q445, "NA")</f>
        <v>0</v>
      </c>
      <c r="S42" s="9"/>
      <c r="T42" s="7">
        <v>112723.77</v>
      </c>
      <c r="U42" s="8">
        <f>IFERROR(T42/T445, "NA")</f>
        <v>0.1899999967974812</v>
      </c>
      <c r="V42" s="9"/>
      <c r="W42" s="10">
        <f>IFERROR(Q42-T42, "NA")</f>
        <v>-112723.77</v>
      </c>
      <c r="X42" s="8">
        <f>IFERROR(W42/W445, "NA")</f>
        <v>1.566685012612838</v>
      </c>
      <c r="Y42" s="9"/>
      <c r="Z42" s="7">
        <v>0</v>
      </c>
      <c r="AA42" s="8">
        <f>IFERROR(Z42/Z445, "NA")</f>
        <v>0</v>
      </c>
      <c r="AB42" s="9"/>
      <c r="AC42" s="10">
        <f>IFERROR(Q42-Z42, "NA")</f>
        <v>0</v>
      </c>
      <c r="AD42" s="8">
        <f>IFERROR(AC42/AC445, "NA")</f>
        <v>0</v>
      </c>
    </row>
    <row r="43" spans="1:30" ht="16.5" customHeight="1" x14ac:dyDescent="0.45">
      <c r="A43" s="12" t="s">
        <v>42</v>
      </c>
      <c r="B43" s="7">
        <v>4707.87</v>
      </c>
      <c r="C43" s="8">
        <f>IFERROR(B43/B445, "NA")</f>
        <v>3.8698799942394078E-2</v>
      </c>
      <c r="D43" s="9"/>
      <c r="E43" s="7">
        <v>0</v>
      </c>
      <c r="F43" s="8">
        <f>IFERROR(E43/E445, "NA")</f>
        <v>0</v>
      </c>
      <c r="G43" s="9"/>
      <c r="H43" s="10">
        <f>IFERROR(B43-E43, "NA")</f>
        <v>4707.87</v>
      </c>
      <c r="I43" s="8">
        <f>IFERROR(H43/H445, "NA")</f>
        <v>-0.22424995891653979</v>
      </c>
      <c r="J43" s="9"/>
      <c r="K43" s="7">
        <v>1312.59</v>
      </c>
      <c r="L43" s="8">
        <f>IFERROR(K43/K445, "NA")</f>
        <v>1.0052748612126529E-2</v>
      </c>
      <c r="M43" s="9"/>
      <c r="N43" s="10">
        <f>IFERROR(B43-K43, "NA")</f>
        <v>3395.2799999999997</v>
      </c>
      <c r="O43" s="8">
        <f>IFERROR(N43/N445, "NA")</f>
        <v>-0.38080326600195186</v>
      </c>
      <c r="P43" s="9"/>
      <c r="Q43" s="7">
        <v>15146.1</v>
      </c>
      <c r="R43" s="8">
        <f>IFERROR(Q43/Q445, "NA")</f>
        <v>2.9052667365785417E-2</v>
      </c>
      <c r="S43" s="9"/>
      <c r="T43" s="7">
        <v>0</v>
      </c>
      <c r="U43" s="8">
        <f>IFERROR(T43/T445, "NA")</f>
        <v>0</v>
      </c>
      <c r="V43" s="9"/>
      <c r="W43" s="10">
        <f>IFERROR(Q43-T43, "NA")</f>
        <v>15146.1</v>
      </c>
      <c r="X43" s="8">
        <f>IFERROR(W43/W445, "NA")</f>
        <v>-0.21050722371630495</v>
      </c>
      <c r="Y43" s="9"/>
      <c r="Z43" s="7">
        <v>11621.01</v>
      </c>
      <c r="AA43" s="8">
        <f>IFERROR(Z43/Z445, "NA")</f>
        <v>2.1070836734155475E-2</v>
      </c>
      <c r="AB43" s="9"/>
      <c r="AC43" s="10">
        <f>IFERROR(Q43-Z43, "NA")</f>
        <v>3525.09</v>
      </c>
      <c r="AD43" s="8">
        <f>IFERROR(AC43/AC445, "NA")</f>
        <v>-0.11676914484768047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IFERROR(B44/B445, "NA")</f>
        <v>0</v>
      </c>
      <c r="D44" s="9"/>
      <c r="E44" s="7">
        <v>0</v>
      </c>
      <c r="F44" s="8">
        <f>IFERROR(E44/E445, "NA")</f>
        <v>0</v>
      </c>
      <c r="G44" s="9"/>
      <c r="H44" s="10">
        <f>IFERROR(B44-E44, "NA")</f>
        <v>0</v>
      </c>
      <c r="I44" s="8">
        <f>IFERROR(H44/H445, "NA")</f>
        <v>0</v>
      </c>
      <c r="J44" s="9"/>
      <c r="K44" s="7">
        <v>0</v>
      </c>
      <c r="L44" s="8">
        <f>IFERROR(K44/K445, "NA")</f>
        <v>0</v>
      </c>
      <c r="M44" s="9"/>
      <c r="N44" s="10">
        <f>IFERROR(B44-K44, "NA")</f>
        <v>0</v>
      </c>
      <c r="O44" s="8">
        <f>IFERROR(N44/N445, "NA")</f>
        <v>0</v>
      </c>
      <c r="P44" s="9"/>
      <c r="Q44" s="7">
        <v>0</v>
      </c>
      <c r="R44" s="8">
        <f>IFERROR(Q44/Q445, "NA")</f>
        <v>0</v>
      </c>
      <c r="S44" s="9"/>
      <c r="T44" s="7">
        <v>0</v>
      </c>
      <c r="U44" s="8">
        <f>IFERROR(T44/T445, "NA")</f>
        <v>0</v>
      </c>
      <c r="V44" s="9"/>
      <c r="W44" s="10">
        <f>IFERROR(Q44-T44, "NA")</f>
        <v>0</v>
      </c>
      <c r="X44" s="8">
        <f>IFERROR(W44/W445, "NA")</f>
        <v>0</v>
      </c>
      <c r="Y44" s="9"/>
      <c r="Z44" s="7">
        <v>0</v>
      </c>
      <c r="AA44" s="8">
        <f>IFERROR(Z44/Z445, "NA")</f>
        <v>0</v>
      </c>
      <c r="AB44" s="9"/>
      <c r="AC44" s="10">
        <f>IFERROR(Q44-Z44, "NA")</f>
        <v>0</v>
      </c>
      <c r="AD44" s="8">
        <f>IFERROR(AC44/AC445,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IFERROR(B46/B445, "NA")</f>
        <v>0</v>
      </c>
      <c r="D46" s="9"/>
      <c r="E46" s="7">
        <v>0</v>
      </c>
      <c r="F46" s="8">
        <f>IFERROR(E46/E445, "NA")</f>
        <v>0</v>
      </c>
      <c r="G46" s="9"/>
      <c r="H46" s="10">
        <f t="shared" ref="H46:H62" si="12">IFERROR(B46-E46, "NA")</f>
        <v>0</v>
      </c>
      <c r="I46" s="8">
        <f>IFERROR(H46/H445, "NA")</f>
        <v>0</v>
      </c>
      <c r="J46" s="9"/>
      <c r="K46" s="7">
        <v>0</v>
      </c>
      <c r="L46" s="8">
        <f>IFERROR(K46/K445, "NA")</f>
        <v>0</v>
      </c>
      <c r="M46" s="9"/>
      <c r="N46" s="10">
        <f t="shared" ref="N46:N62" si="13">IFERROR(B46-K46, "NA")</f>
        <v>0</v>
      </c>
      <c r="O46" s="8">
        <f>IFERROR(N46/N445, "NA")</f>
        <v>0</v>
      </c>
      <c r="P46" s="9"/>
      <c r="Q46" s="7">
        <v>0</v>
      </c>
      <c r="R46" s="8">
        <f>IFERROR(Q46/Q445, "NA")</f>
        <v>0</v>
      </c>
      <c r="S46" s="9"/>
      <c r="T46" s="7">
        <v>0</v>
      </c>
      <c r="U46" s="8">
        <f>IFERROR(T46/T445, "NA")</f>
        <v>0</v>
      </c>
      <c r="V46" s="9"/>
      <c r="W46" s="10">
        <f t="shared" ref="W46:W62" si="14">IFERROR(Q46-T46, "NA")</f>
        <v>0</v>
      </c>
      <c r="X46" s="8">
        <f>IFERROR(W46/W445, "NA")</f>
        <v>0</v>
      </c>
      <c r="Y46" s="9"/>
      <c r="Z46" s="7">
        <v>0</v>
      </c>
      <c r="AA46" s="8">
        <f>IFERROR(Z46/Z445, "NA")</f>
        <v>0</v>
      </c>
      <c r="AB46" s="9"/>
      <c r="AC46" s="10">
        <f t="shared" ref="AC46:AC62" si="15">IFERROR(Q46-Z46, "NA")</f>
        <v>0</v>
      </c>
      <c r="AD46" s="8">
        <f>IFERROR(AC46/AC445,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IFERROR(B47/B445, "NA")</f>
        <v>0</v>
      </c>
      <c r="D47" s="9"/>
      <c r="E47" s="7">
        <v>0</v>
      </c>
      <c r="F47" s="8">
        <f>IFERROR(E47/E445, "NA")</f>
        <v>0</v>
      </c>
      <c r="G47" s="9"/>
      <c r="H47" s="10">
        <f t="shared" si="12"/>
        <v>0</v>
      </c>
      <c r="I47" s="8">
        <f>IFERROR(H47/H445, "NA")</f>
        <v>0</v>
      </c>
      <c r="J47" s="9"/>
      <c r="K47" s="7">
        <v>0</v>
      </c>
      <c r="L47" s="8">
        <f>IFERROR(K47/K445, "NA")</f>
        <v>0</v>
      </c>
      <c r="M47" s="9"/>
      <c r="N47" s="10">
        <f t="shared" si="13"/>
        <v>0</v>
      </c>
      <c r="O47" s="8">
        <f>IFERROR(N47/N445, "NA")</f>
        <v>0</v>
      </c>
      <c r="P47" s="9"/>
      <c r="Q47" s="7">
        <v>0</v>
      </c>
      <c r="R47" s="8">
        <f>IFERROR(Q47/Q445, "NA")</f>
        <v>0</v>
      </c>
      <c r="S47" s="9"/>
      <c r="T47" s="7">
        <v>0</v>
      </c>
      <c r="U47" s="8">
        <f>IFERROR(T47/T445, "NA")</f>
        <v>0</v>
      </c>
      <c r="V47" s="9"/>
      <c r="W47" s="10">
        <f t="shared" si="14"/>
        <v>0</v>
      </c>
      <c r="X47" s="8">
        <f>IFERROR(W47/W445, "NA")</f>
        <v>0</v>
      </c>
      <c r="Y47" s="9"/>
      <c r="Z47" s="7">
        <v>0</v>
      </c>
      <c r="AA47" s="8">
        <f>IFERROR(Z47/Z445, "NA")</f>
        <v>0</v>
      </c>
      <c r="AB47" s="9"/>
      <c r="AC47" s="10">
        <f t="shared" si="15"/>
        <v>0</v>
      </c>
      <c r="AD47" s="8">
        <f>IFERROR(AC47/AC445, "NA")</f>
        <v>0</v>
      </c>
    </row>
    <row r="48" spans="1:30" ht="16.5" customHeight="1" x14ac:dyDescent="0.45">
      <c r="A48" s="17" t="s">
        <v>46</v>
      </c>
      <c r="B48" s="7">
        <v>14247.35</v>
      </c>
      <c r="C48" s="8">
        <f>IFERROR(B48/B445, "NA")</f>
        <v>0.11711354548007236</v>
      </c>
      <c r="D48" s="9"/>
      <c r="E48" s="7">
        <v>0</v>
      </c>
      <c r="F48" s="8">
        <f>IFERROR(E48/E445, "NA")</f>
        <v>0</v>
      </c>
      <c r="G48" s="9"/>
      <c r="H48" s="10">
        <f t="shared" si="12"/>
        <v>14247.35</v>
      </c>
      <c r="I48" s="8">
        <f>IFERROR(H48/H445, "NA")</f>
        <v>-0.67864398383336055</v>
      </c>
      <c r="J48" s="9"/>
      <c r="K48" s="7">
        <v>14520.67</v>
      </c>
      <c r="L48" s="8">
        <f>IFERROR(K48/K445, "NA")</f>
        <v>0.11120962767478598</v>
      </c>
      <c r="M48" s="9"/>
      <c r="N48" s="10">
        <f t="shared" si="13"/>
        <v>-273.31999999999971</v>
      </c>
      <c r="O48" s="8">
        <f>IFERROR(N48/N445, "NA")</f>
        <v>3.0654658426890677E-2</v>
      </c>
      <c r="P48" s="9"/>
      <c r="Q48" s="7">
        <v>72088.070000000007</v>
      </c>
      <c r="R48" s="8">
        <f>IFERROR(Q48/Q445, "NA")</f>
        <v>0.13827656748281439</v>
      </c>
      <c r="S48" s="9"/>
      <c r="T48" s="7">
        <v>0</v>
      </c>
      <c r="U48" s="8">
        <f>IFERROR(T48/T445, "NA")</f>
        <v>0</v>
      </c>
      <c r="V48" s="9"/>
      <c r="W48" s="10">
        <f t="shared" si="14"/>
        <v>72088.070000000007</v>
      </c>
      <c r="X48" s="8">
        <f>IFERROR(W48/W445, "NA")</f>
        <v>-1.0019120089505982</v>
      </c>
      <c r="Y48" s="9"/>
      <c r="Z48" s="7">
        <v>77590.91</v>
      </c>
      <c r="AA48" s="8">
        <f>IFERROR(Z48/Z445, "NA")</f>
        <v>0.14068531019804231</v>
      </c>
      <c r="AB48" s="9"/>
      <c r="AC48" s="10">
        <f t="shared" si="15"/>
        <v>-5502.8399999999965</v>
      </c>
      <c r="AD48" s="8">
        <f>IFERROR(AC48/AC445, "NA")</f>
        <v>0.18228241577764243</v>
      </c>
    </row>
    <row r="49" spans="1:30" ht="16.5" customHeight="1" x14ac:dyDescent="0.45">
      <c r="A49" s="17" t="s">
        <v>47</v>
      </c>
      <c r="B49" s="7">
        <v>0</v>
      </c>
      <c r="C49" s="8">
        <f>IFERROR(B49/B445, "NA")</f>
        <v>0</v>
      </c>
      <c r="D49" s="9"/>
      <c r="E49" s="7">
        <v>0</v>
      </c>
      <c r="F49" s="8">
        <f>IFERROR(E49/E445, "NA")</f>
        <v>0</v>
      </c>
      <c r="G49" s="9"/>
      <c r="H49" s="10">
        <f t="shared" si="12"/>
        <v>0</v>
      </c>
      <c r="I49" s="8">
        <f>IFERROR(H49/H445, "NA")</f>
        <v>0</v>
      </c>
      <c r="J49" s="9"/>
      <c r="K49" s="7">
        <v>18135.099999999999</v>
      </c>
      <c r="L49" s="8">
        <f>IFERROR(K49/K445, "NA")</f>
        <v>0.13889150561544411</v>
      </c>
      <c r="M49" s="9"/>
      <c r="N49" s="10">
        <f t="shared" si="13"/>
        <v>-18135.099999999999</v>
      </c>
      <c r="O49" s="8">
        <f>IFERROR(N49/N445, "NA")</f>
        <v>2.0339722524422132</v>
      </c>
      <c r="P49" s="9"/>
      <c r="Q49" s="7">
        <v>0</v>
      </c>
      <c r="R49" s="8">
        <f>IFERROR(Q49/Q445, "NA")</f>
        <v>0</v>
      </c>
      <c r="S49" s="9"/>
      <c r="T49" s="7">
        <v>0</v>
      </c>
      <c r="U49" s="8">
        <f>IFERROR(T49/T445, "NA")</f>
        <v>0</v>
      </c>
      <c r="V49" s="9"/>
      <c r="W49" s="10">
        <f t="shared" si="14"/>
        <v>0</v>
      </c>
      <c r="X49" s="8">
        <f>IFERROR(W49/W445, "NA")</f>
        <v>0</v>
      </c>
      <c r="Y49" s="9"/>
      <c r="Z49" s="7">
        <v>18153.55</v>
      </c>
      <c r="AA49" s="8">
        <f>IFERROR(Z49/Z445, "NA")</f>
        <v>3.2915425440243846E-2</v>
      </c>
      <c r="AB49" s="9"/>
      <c r="AC49" s="10">
        <f t="shared" si="15"/>
        <v>-18153.55</v>
      </c>
      <c r="AD49" s="8">
        <f>IFERROR(AC49/AC445, "NA")</f>
        <v>0.60133911742667834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IFERROR(B50/B445, "NA")</f>
        <v>0</v>
      </c>
      <c r="D50" s="9"/>
      <c r="E50" s="7">
        <v>0</v>
      </c>
      <c r="F50" s="8">
        <f>IFERROR(E50/E445, "NA")</f>
        <v>0</v>
      </c>
      <c r="G50" s="9"/>
      <c r="H50" s="10">
        <f t="shared" si="12"/>
        <v>0</v>
      </c>
      <c r="I50" s="8">
        <f>IFERROR(H50/H445, "NA")</f>
        <v>0</v>
      </c>
      <c r="J50" s="9"/>
      <c r="K50" s="7">
        <v>0</v>
      </c>
      <c r="L50" s="8">
        <f>IFERROR(K50/K445, "NA")</f>
        <v>0</v>
      </c>
      <c r="M50" s="9"/>
      <c r="N50" s="10">
        <f t="shared" si="13"/>
        <v>0</v>
      </c>
      <c r="O50" s="8">
        <f>IFERROR(N50/N445, "NA")</f>
        <v>0</v>
      </c>
      <c r="P50" s="9"/>
      <c r="Q50" s="7">
        <v>0</v>
      </c>
      <c r="R50" s="8">
        <f>IFERROR(Q50/Q445, "NA")</f>
        <v>0</v>
      </c>
      <c r="S50" s="9"/>
      <c r="T50" s="7">
        <v>0</v>
      </c>
      <c r="U50" s="8">
        <f>IFERROR(T50/T445, "NA")</f>
        <v>0</v>
      </c>
      <c r="V50" s="9"/>
      <c r="W50" s="10">
        <f t="shared" si="14"/>
        <v>0</v>
      </c>
      <c r="X50" s="8">
        <f>IFERROR(W50/W445, "NA")</f>
        <v>0</v>
      </c>
      <c r="Y50" s="9"/>
      <c r="Z50" s="7">
        <v>0</v>
      </c>
      <c r="AA50" s="8">
        <f>IFERROR(Z50/Z445, "NA")</f>
        <v>0</v>
      </c>
      <c r="AB50" s="9"/>
      <c r="AC50" s="10">
        <f t="shared" si="15"/>
        <v>0</v>
      </c>
      <c r="AD50" s="8">
        <f>IFERROR(AC50/AC445,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IFERROR(B51/B445, "NA")</f>
        <v>0</v>
      </c>
      <c r="D51" s="9"/>
      <c r="E51" s="7">
        <v>0</v>
      </c>
      <c r="F51" s="8">
        <f>IFERROR(E51/E445, "NA")</f>
        <v>0</v>
      </c>
      <c r="G51" s="9"/>
      <c r="H51" s="10">
        <f t="shared" si="12"/>
        <v>0</v>
      </c>
      <c r="I51" s="8">
        <f>IFERROR(H51/H445, "NA")</f>
        <v>0</v>
      </c>
      <c r="J51" s="9"/>
      <c r="K51" s="7">
        <v>0</v>
      </c>
      <c r="L51" s="8">
        <f>IFERROR(K51/K445, "NA")</f>
        <v>0</v>
      </c>
      <c r="M51" s="9"/>
      <c r="N51" s="10">
        <f t="shared" si="13"/>
        <v>0</v>
      </c>
      <c r="O51" s="8">
        <f>IFERROR(N51/N445, "NA")</f>
        <v>0</v>
      </c>
      <c r="P51" s="9"/>
      <c r="Q51" s="7">
        <v>0</v>
      </c>
      <c r="R51" s="8">
        <f>IFERROR(Q51/Q445, "NA")</f>
        <v>0</v>
      </c>
      <c r="S51" s="9"/>
      <c r="T51" s="7">
        <v>0</v>
      </c>
      <c r="U51" s="8">
        <f>IFERROR(T51/T445, "NA")</f>
        <v>0</v>
      </c>
      <c r="V51" s="9"/>
      <c r="W51" s="10">
        <f t="shared" si="14"/>
        <v>0</v>
      </c>
      <c r="X51" s="8">
        <f>IFERROR(W51/W445, "NA")</f>
        <v>0</v>
      </c>
      <c r="Y51" s="9"/>
      <c r="Z51" s="7">
        <v>0</v>
      </c>
      <c r="AA51" s="8">
        <f>IFERROR(Z51/Z445, "NA")</f>
        <v>0</v>
      </c>
      <c r="AB51" s="9"/>
      <c r="AC51" s="10">
        <f t="shared" si="15"/>
        <v>0</v>
      </c>
      <c r="AD51" s="8">
        <f>IFERROR(AC51/AC445, "NA")</f>
        <v>0</v>
      </c>
    </row>
    <row r="52" spans="1:30" ht="16.5" customHeight="1" x14ac:dyDescent="0.45">
      <c r="A52" s="17" t="s">
        <v>50</v>
      </c>
      <c r="B52" s="7">
        <v>0</v>
      </c>
      <c r="C52" s="8">
        <f>IFERROR(B52/B445, "NA")</f>
        <v>0</v>
      </c>
      <c r="D52" s="9"/>
      <c r="E52" s="7">
        <v>0</v>
      </c>
      <c r="F52" s="8">
        <f>IFERROR(E52/E445, "NA")</f>
        <v>0</v>
      </c>
      <c r="G52" s="9"/>
      <c r="H52" s="10">
        <f t="shared" si="12"/>
        <v>0</v>
      </c>
      <c r="I52" s="8">
        <f>IFERROR(H52/H445, "NA")</f>
        <v>0</v>
      </c>
      <c r="J52" s="9"/>
      <c r="K52" s="7">
        <v>0</v>
      </c>
      <c r="L52" s="8">
        <f>IFERROR(K52/K445, "NA")</f>
        <v>0</v>
      </c>
      <c r="M52" s="9"/>
      <c r="N52" s="10">
        <f t="shared" si="13"/>
        <v>0</v>
      </c>
      <c r="O52" s="8">
        <f>IFERROR(N52/N445, "NA")</f>
        <v>0</v>
      </c>
      <c r="P52" s="9"/>
      <c r="Q52" s="7">
        <v>7800</v>
      </c>
      <c r="R52" s="8">
        <f>IFERROR(Q52/Q445, "NA")</f>
        <v>1.4961660457353792E-2</v>
      </c>
      <c r="S52" s="9"/>
      <c r="T52" s="7">
        <v>0</v>
      </c>
      <c r="U52" s="8">
        <f>IFERROR(T52/T445, "NA")</f>
        <v>0</v>
      </c>
      <c r="V52" s="9"/>
      <c r="W52" s="10">
        <f t="shared" si="14"/>
        <v>7800</v>
      </c>
      <c r="X52" s="8">
        <f>IFERROR(W52/W445, "NA")</f>
        <v>-0.10840786373965434</v>
      </c>
      <c r="Y52" s="9"/>
      <c r="Z52" s="7">
        <v>0</v>
      </c>
      <c r="AA52" s="8">
        <f>IFERROR(Z52/Z445, "NA")</f>
        <v>0</v>
      </c>
      <c r="AB52" s="9"/>
      <c r="AC52" s="10">
        <f t="shared" si="15"/>
        <v>7800</v>
      </c>
      <c r="AD52" s="8">
        <f>IFERROR(AC52/AC445, "NA")</f>
        <v>-0.25837619176018417</v>
      </c>
    </row>
    <row r="53" spans="1:30" ht="16.5" customHeight="1" x14ac:dyDescent="0.45">
      <c r="A53" s="17" t="s">
        <v>51</v>
      </c>
      <c r="B53" s="7">
        <v>6870.15</v>
      </c>
      <c r="C53" s="8">
        <f>IFERROR(B53/B445, "NA")</f>
        <v>5.6472791394885299E-2</v>
      </c>
      <c r="D53" s="9"/>
      <c r="E53" s="7">
        <v>0</v>
      </c>
      <c r="F53" s="8">
        <f>IFERROR(E53/E445, "NA")</f>
        <v>0</v>
      </c>
      <c r="G53" s="9"/>
      <c r="H53" s="10">
        <f t="shared" si="12"/>
        <v>6870.15</v>
      </c>
      <c r="I53" s="8">
        <f>IFERROR(H53/H445, "NA")</f>
        <v>-0.32724583628062492</v>
      </c>
      <c r="J53" s="9"/>
      <c r="K53" s="7">
        <v>0</v>
      </c>
      <c r="L53" s="8">
        <f>IFERROR(K53/K445, "NA")</f>
        <v>0</v>
      </c>
      <c r="M53" s="9"/>
      <c r="N53" s="10">
        <f t="shared" si="13"/>
        <v>6870.15</v>
      </c>
      <c r="O53" s="8">
        <f>IFERROR(N53/N445, "NA")</f>
        <v>-0.77053308060699255</v>
      </c>
      <c r="P53" s="9"/>
      <c r="Q53" s="7">
        <v>6870.15</v>
      </c>
      <c r="R53" s="8">
        <f>IFERROR(Q53/Q445, "NA")</f>
        <v>1.317805789629348E-2</v>
      </c>
      <c r="S53" s="9"/>
      <c r="T53" s="7">
        <v>0</v>
      </c>
      <c r="U53" s="8">
        <f>IFERROR(T53/T445, "NA")</f>
        <v>0</v>
      </c>
      <c r="V53" s="9"/>
      <c r="W53" s="10">
        <f t="shared" si="14"/>
        <v>6870.15</v>
      </c>
      <c r="X53" s="8">
        <f>IFERROR(W53/W445, "NA")</f>
        <v>-9.5484395521921311E-2</v>
      </c>
      <c r="Y53" s="9"/>
      <c r="Z53" s="7">
        <v>0</v>
      </c>
      <c r="AA53" s="8">
        <f>IFERROR(Z53/Z445, "NA")</f>
        <v>0</v>
      </c>
      <c r="AB53" s="9"/>
      <c r="AC53" s="10">
        <f t="shared" si="15"/>
        <v>6870.15</v>
      </c>
      <c r="AD53" s="8">
        <f>IFERROR(AC53/AC445, "NA")</f>
        <v>-0.22757476843861912</v>
      </c>
    </row>
    <row r="54" spans="1:30" ht="16.5" customHeight="1" x14ac:dyDescent="0.45">
      <c r="A54" s="17" t="s">
        <v>52</v>
      </c>
      <c r="B54" s="7">
        <v>0</v>
      </c>
      <c r="C54" s="8">
        <f>IFERROR(B54/B445, "NA")</f>
        <v>0</v>
      </c>
      <c r="D54" s="9"/>
      <c r="E54" s="7">
        <v>0</v>
      </c>
      <c r="F54" s="8">
        <f>IFERROR(E54/E445, "NA")</f>
        <v>0</v>
      </c>
      <c r="G54" s="9"/>
      <c r="H54" s="10">
        <f t="shared" si="12"/>
        <v>0</v>
      </c>
      <c r="I54" s="8">
        <f>IFERROR(H54/H445, "NA")</f>
        <v>0</v>
      </c>
      <c r="J54" s="9"/>
      <c r="K54" s="7">
        <v>0</v>
      </c>
      <c r="L54" s="8">
        <f>IFERROR(K54/K445, "NA")</f>
        <v>0</v>
      </c>
      <c r="M54" s="9"/>
      <c r="N54" s="10">
        <f t="shared" si="13"/>
        <v>0</v>
      </c>
      <c r="O54" s="8">
        <f>IFERROR(N54/N445, "NA")</f>
        <v>0</v>
      </c>
      <c r="P54" s="9"/>
      <c r="Q54" s="7">
        <v>0</v>
      </c>
      <c r="R54" s="8">
        <f>IFERROR(Q54/Q445, "NA")</f>
        <v>0</v>
      </c>
      <c r="S54" s="9"/>
      <c r="T54" s="7">
        <v>0</v>
      </c>
      <c r="U54" s="8">
        <f>IFERROR(T54/T445, "NA")</f>
        <v>0</v>
      </c>
      <c r="V54" s="9"/>
      <c r="W54" s="10">
        <f t="shared" si="14"/>
        <v>0</v>
      </c>
      <c r="X54" s="8">
        <f>IFERROR(W54/W445, "NA")</f>
        <v>0</v>
      </c>
      <c r="Y54" s="9"/>
      <c r="Z54" s="7">
        <v>11.65</v>
      </c>
      <c r="AA54" s="8">
        <f>IFERROR(Z54/Z445, "NA")</f>
        <v>2.112340045769785E-5</v>
      </c>
      <c r="AB54" s="9"/>
      <c r="AC54" s="10">
        <f t="shared" si="15"/>
        <v>-11.65</v>
      </c>
      <c r="AD54" s="8">
        <f>IFERROR(AC54/AC445, "NA")</f>
        <v>3.859080300007879E-4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IFERROR(B55/B445, "NA")</f>
        <v>0</v>
      </c>
      <c r="D55" s="9"/>
      <c r="E55" s="7">
        <v>0</v>
      </c>
      <c r="F55" s="8">
        <f>IFERROR(E55/E445, "NA")</f>
        <v>0</v>
      </c>
      <c r="G55" s="9"/>
      <c r="H55" s="10">
        <f t="shared" si="12"/>
        <v>0</v>
      </c>
      <c r="I55" s="8">
        <f>IFERROR(H55/H445, "NA")</f>
        <v>0</v>
      </c>
      <c r="J55" s="9"/>
      <c r="K55" s="7">
        <v>0</v>
      </c>
      <c r="L55" s="8">
        <f>IFERROR(K55/K445, "NA")</f>
        <v>0</v>
      </c>
      <c r="M55" s="9"/>
      <c r="N55" s="10">
        <f t="shared" si="13"/>
        <v>0</v>
      </c>
      <c r="O55" s="8">
        <f>IFERROR(N55/N445, "NA")</f>
        <v>0</v>
      </c>
      <c r="P55" s="9"/>
      <c r="Q55" s="7">
        <v>0</v>
      </c>
      <c r="R55" s="8">
        <f>IFERROR(Q55/Q445, "NA")</f>
        <v>0</v>
      </c>
      <c r="S55" s="9"/>
      <c r="T55" s="7">
        <v>0</v>
      </c>
      <c r="U55" s="8">
        <f>IFERROR(T55/T445, "NA")</f>
        <v>0</v>
      </c>
      <c r="V55" s="9"/>
      <c r="W55" s="10">
        <f t="shared" si="14"/>
        <v>0</v>
      </c>
      <c r="X55" s="8">
        <f>IFERROR(W55/W445, "NA")</f>
        <v>0</v>
      </c>
      <c r="Y55" s="9"/>
      <c r="Z55" s="7">
        <v>0</v>
      </c>
      <c r="AA55" s="8">
        <f>IFERROR(Z55/Z445, "NA")</f>
        <v>0</v>
      </c>
      <c r="AB55" s="9"/>
      <c r="AC55" s="10">
        <f t="shared" si="15"/>
        <v>0</v>
      </c>
      <c r="AD55" s="8">
        <f>IFERROR(AC55/AC445,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IFERROR(B56/B445, "NA")</f>
        <v>0</v>
      </c>
      <c r="D56" s="9"/>
      <c r="E56" s="7">
        <v>0</v>
      </c>
      <c r="F56" s="8">
        <f>IFERROR(E56/E445, "NA")</f>
        <v>0</v>
      </c>
      <c r="G56" s="9"/>
      <c r="H56" s="10">
        <f t="shared" si="12"/>
        <v>0</v>
      </c>
      <c r="I56" s="8">
        <f>IFERROR(H56/H445, "NA")</f>
        <v>0</v>
      </c>
      <c r="J56" s="9"/>
      <c r="K56" s="7">
        <v>0</v>
      </c>
      <c r="L56" s="8">
        <f>IFERROR(K56/K445, "NA")</f>
        <v>0</v>
      </c>
      <c r="M56" s="9"/>
      <c r="N56" s="10">
        <f t="shared" si="13"/>
        <v>0</v>
      </c>
      <c r="O56" s="8">
        <f>IFERROR(N56/N445, "NA")</f>
        <v>0</v>
      </c>
      <c r="P56" s="9"/>
      <c r="Q56" s="7">
        <v>0</v>
      </c>
      <c r="R56" s="8">
        <f>IFERROR(Q56/Q445, "NA")</f>
        <v>0</v>
      </c>
      <c r="S56" s="9"/>
      <c r="T56" s="7">
        <v>0</v>
      </c>
      <c r="U56" s="8">
        <f>IFERROR(T56/T445, "NA")</f>
        <v>0</v>
      </c>
      <c r="V56" s="9"/>
      <c r="W56" s="10">
        <f t="shared" si="14"/>
        <v>0</v>
      </c>
      <c r="X56" s="8">
        <f>IFERROR(W56/W445, "NA")</f>
        <v>0</v>
      </c>
      <c r="Y56" s="9"/>
      <c r="Z56" s="7">
        <v>32.799999999999997</v>
      </c>
      <c r="AA56" s="8">
        <f>IFERROR(Z56/Z445, "NA")</f>
        <v>5.9471891417381066E-5</v>
      </c>
      <c r="AB56" s="9"/>
      <c r="AC56" s="10">
        <f t="shared" si="15"/>
        <v>-32.799999999999997</v>
      </c>
      <c r="AD56" s="8">
        <f>IFERROR(AC56/AC445, "NA")</f>
        <v>1.0865050115043641E-3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IFERROR(B57/B445, "NA")</f>
        <v>0</v>
      </c>
      <c r="D57" s="9"/>
      <c r="E57" s="7">
        <v>0</v>
      </c>
      <c r="F57" s="8">
        <f>IFERROR(E57/E445, "NA")</f>
        <v>0</v>
      </c>
      <c r="G57" s="9"/>
      <c r="H57" s="10">
        <f t="shared" si="12"/>
        <v>0</v>
      </c>
      <c r="I57" s="8">
        <f>IFERROR(H57/H445, "NA")</f>
        <v>0</v>
      </c>
      <c r="J57" s="9"/>
      <c r="K57" s="7">
        <v>0</v>
      </c>
      <c r="L57" s="8">
        <f>IFERROR(K57/K445, "NA")</f>
        <v>0</v>
      </c>
      <c r="M57" s="9"/>
      <c r="N57" s="10">
        <f t="shared" si="13"/>
        <v>0</v>
      </c>
      <c r="O57" s="8">
        <f>IFERROR(N57/N445, "NA")</f>
        <v>0</v>
      </c>
      <c r="P57" s="9"/>
      <c r="Q57" s="7">
        <v>0</v>
      </c>
      <c r="R57" s="8">
        <f>IFERROR(Q57/Q445, "NA")</f>
        <v>0</v>
      </c>
      <c r="S57" s="9"/>
      <c r="T57" s="7">
        <v>0</v>
      </c>
      <c r="U57" s="8">
        <f>IFERROR(T57/T445, "NA")</f>
        <v>0</v>
      </c>
      <c r="V57" s="9"/>
      <c r="W57" s="10">
        <f t="shared" si="14"/>
        <v>0</v>
      </c>
      <c r="X57" s="8">
        <f>IFERROR(W57/W445, "NA")</f>
        <v>0</v>
      </c>
      <c r="Y57" s="9"/>
      <c r="Z57" s="7">
        <v>0</v>
      </c>
      <c r="AA57" s="8">
        <f>IFERROR(Z57/Z445, "NA")</f>
        <v>0</v>
      </c>
      <c r="AB57" s="9"/>
      <c r="AC57" s="10">
        <f t="shared" si="15"/>
        <v>0</v>
      </c>
      <c r="AD57" s="8">
        <f>IFERROR(AC57/AC445,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IFERROR(B58/B445, "NA")</f>
        <v>0</v>
      </c>
      <c r="D58" s="9"/>
      <c r="E58" s="7">
        <v>0</v>
      </c>
      <c r="F58" s="8">
        <f>IFERROR(E58/E445, "NA")</f>
        <v>0</v>
      </c>
      <c r="G58" s="9"/>
      <c r="H58" s="10">
        <f t="shared" si="12"/>
        <v>0</v>
      </c>
      <c r="I58" s="8">
        <f>IFERROR(H58/H445, "NA")</f>
        <v>0</v>
      </c>
      <c r="J58" s="9"/>
      <c r="K58" s="7">
        <v>0</v>
      </c>
      <c r="L58" s="8">
        <f>IFERROR(K58/K445, "NA")</f>
        <v>0</v>
      </c>
      <c r="M58" s="9"/>
      <c r="N58" s="10">
        <f t="shared" si="13"/>
        <v>0</v>
      </c>
      <c r="O58" s="8">
        <f>IFERROR(N58/N445, "NA")</f>
        <v>0</v>
      </c>
      <c r="P58" s="9"/>
      <c r="Q58" s="7">
        <v>0</v>
      </c>
      <c r="R58" s="8">
        <f>IFERROR(Q58/Q445, "NA")</f>
        <v>0</v>
      </c>
      <c r="S58" s="9"/>
      <c r="T58" s="7">
        <v>0</v>
      </c>
      <c r="U58" s="8">
        <f>IFERROR(T58/T445, "NA")</f>
        <v>0</v>
      </c>
      <c r="V58" s="9"/>
      <c r="W58" s="10">
        <f t="shared" si="14"/>
        <v>0</v>
      </c>
      <c r="X58" s="8">
        <f>IFERROR(W58/W445, "NA")</f>
        <v>0</v>
      </c>
      <c r="Y58" s="9"/>
      <c r="Z58" s="7">
        <v>0</v>
      </c>
      <c r="AA58" s="8">
        <f>IFERROR(Z58/Z445, "NA")</f>
        <v>0</v>
      </c>
      <c r="AB58" s="9"/>
      <c r="AC58" s="10">
        <f t="shared" si="15"/>
        <v>0</v>
      </c>
      <c r="AD58" s="8">
        <f>IFERROR(AC58/AC445,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IFERROR(B59/B445, "NA")</f>
        <v>0</v>
      </c>
      <c r="D59" s="9"/>
      <c r="E59" s="7">
        <v>0</v>
      </c>
      <c r="F59" s="8">
        <f>IFERROR(E59/E445, "NA")</f>
        <v>0</v>
      </c>
      <c r="G59" s="9"/>
      <c r="H59" s="10">
        <f t="shared" si="12"/>
        <v>0</v>
      </c>
      <c r="I59" s="8">
        <f>IFERROR(H59/H445, "NA")</f>
        <v>0</v>
      </c>
      <c r="J59" s="9"/>
      <c r="K59" s="7">
        <v>0</v>
      </c>
      <c r="L59" s="8">
        <f>IFERROR(K59/K445, "NA")</f>
        <v>0</v>
      </c>
      <c r="M59" s="9"/>
      <c r="N59" s="10">
        <f t="shared" si="13"/>
        <v>0</v>
      </c>
      <c r="O59" s="8">
        <f>IFERROR(N59/N445, "NA")</f>
        <v>0</v>
      </c>
      <c r="P59" s="9"/>
      <c r="Q59" s="7">
        <v>0</v>
      </c>
      <c r="R59" s="8">
        <f>IFERROR(Q59/Q445, "NA")</f>
        <v>0</v>
      </c>
      <c r="S59" s="9"/>
      <c r="T59" s="7">
        <v>0</v>
      </c>
      <c r="U59" s="8">
        <f>IFERROR(T59/T445, "NA")</f>
        <v>0</v>
      </c>
      <c r="V59" s="9"/>
      <c r="W59" s="10">
        <f t="shared" si="14"/>
        <v>0</v>
      </c>
      <c r="X59" s="8">
        <f>IFERROR(W59/W445, "NA")</f>
        <v>0</v>
      </c>
      <c r="Y59" s="9"/>
      <c r="Z59" s="7">
        <v>0</v>
      </c>
      <c r="AA59" s="8">
        <f>IFERROR(Z59/Z445, "NA")</f>
        <v>0</v>
      </c>
      <c r="AB59" s="9"/>
      <c r="AC59" s="10">
        <f t="shared" si="15"/>
        <v>0</v>
      </c>
      <c r="AD59" s="8">
        <f>IFERROR(AC59/AC445,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IFERROR(B60/B445, "NA")</f>
        <v>0</v>
      </c>
      <c r="D60" s="9"/>
      <c r="E60" s="7">
        <v>0</v>
      </c>
      <c r="F60" s="8">
        <f>IFERROR(E60/E445, "NA")</f>
        <v>0</v>
      </c>
      <c r="G60" s="9"/>
      <c r="H60" s="10">
        <f t="shared" si="12"/>
        <v>0</v>
      </c>
      <c r="I60" s="8">
        <f>IFERROR(H60/H445, "NA")</f>
        <v>0</v>
      </c>
      <c r="J60" s="9"/>
      <c r="K60" s="7">
        <v>0</v>
      </c>
      <c r="L60" s="8">
        <f>IFERROR(K60/K445, "NA")</f>
        <v>0</v>
      </c>
      <c r="M60" s="9"/>
      <c r="N60" s="10">
        <f t="shared" si="13"/>
        <v>0</v>
      </c>
      <c r="O60" s="8">
        <f>IFERROR(N60/N445, "NA")</f>
        <v>0</v>
      </c>
      <c r="P60" s="9"/>
      <c r="Q60" s="7">
        <v>0</v>
      </c>
      <c r="R60" s="8">
        <f>IFERROR(Q60/Q445, "NA")</f>
        <v>0</v>
      </c>
      <c r="S60" s="9"/>
      <c r="T60" s="7">
        <v>0</v>
      </c>
      <c r="U60" s="8">
        <f>IFERROR(T60/T445, "NA")</f>
        <v>0</v>
      </c>
      <c r="V60" s="9"/>
      <c r="W60" s="10">
        <f t="shared" si="14"/>
        <v>0</v>
      </c>
      <c r="X60" s="8">
        <f>IFERROR(W60/W445, "NA")</f>
        <v>0</v>
      </c>
      <c r="Y60" s="9"/>
      <c r="Z60" s="7">
        <v>0</v>
      </c>
      <c r="AA60" s="8">
        <f>IFERROR(Z60/Z445, "NA")</f>
        <v>0</v>
      </c>
      <c r="AB60" s="9"/>
      <c r="AC60" s="10">
        <f t="shared" si="15"/>
        <v>0</v>
      </c>
      <c r="AD60" s="8">
        <f>IFERROR(AC60/AC445,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21117.5</v>
      </c>
      <c r="C61" s="15">
        <f>IFERROR(B61/B445, "NA")</f>
        <v>0.17358633687495767</v>
      </c>
      <c r="D61" s="2"/>
      <c r="E61" s="14">
        <f>IFERROR(E46+E47+E48+E49+E50+E51+E52+E53+E54+E55+E56+E57+E58+E59+E60, "NA")</f>
        <v>0</v>
      </c>
      <c r="F61" s="15">
        <f>IFERROR(E61/E445, "NA")</f>
        <v>0</v>
      </c>
      <c r="G61" s="2"/>
      <c r="H61" s="14">
        <f t="shared" si="12"/>
        <v>21117.5</v>
      </c>
      <c r="I61" s="15">
        <f>IFERROR(H61/H445, "NA")</f>
        <v>-1.0058898201139854</v>
      </c>
      <c r="J61" s="2"/>
      <c r="K61" s="14">
        <f>IFERROR(K46+K47+K48+K49+K50+K51+K52+K53+K54+K55+K56+K57+K58+K59+K60, "NA")</f>
        <v>32655.769999999997</v>
      </c>
      <c r="L61" s="15">
        <f>IFERROR(K61/K445, "NA")</f>
        <v>0.25010113329023009</v>
      </c>
      <c r="M61" s="2"/>
      <c r="N61" s="14">
        <f t="shared" si="13"/>
        <v>-11538.269999999997</v>
      </c>
      <c r="O61" s="15">
        <f>IFERROR(N61/N445, "NA")</f>
        <v>1.294093830262111</v>
      </c>
      <c r="P61" s="2"/>
      <c r="Q61" s="14">
        <f>IFERROR(Q46+Q47+Q48+Q49+Q50+Q51+Q52+Q53+Q54+Q55+Q56+Q57+Q58+Q59+Q60, "NA")</f>
        <v>86758.22</v>
      </c>
      <c r="R61" s="15">
        <f>IFERROR(Q61/Q445, "NA")</f>
        <v>0.16641628583646165</v>
      </c>
      <c r="S61" s="2"/>
      <c r="T61" s="14">
        <f>IFERROR(T46+T47+T48+T49+T50+T51+T52+T53+T54+T55+T56+T57+T58+T59+T60, "NA")</f>
        <v>0</v>
      </c>
      <c r="U61" s="15">
        <f>IFERROR(T61/T445, "NA")</f>
        <v>0</v>
      </c>
      <c r="V61" s="2"/>
      <c r="W61" s="14">
        <f t="shared" si="14"/>
        <v>86758.22</v>
      </c>
      <c r="X61" s="15">
        <f>IFERROR(W61/W445, "NA")</f>
        <v>-1.2058042682121737</v>
      </c>
      <c r="Y61" s="2"/>
      <c r="Z61" s="14">
        <f>IFERROR(Z46+Z47+Z48+Z49+Z50+Z51+Z52+Z53+Z54+Z55+Z56+Z57+Z58+Z59+Z60, "NA")</f>
        <v>95788.91</v>
      </c>
      <c r="AA61" s="15">
        <f>IFERROR(Z61/Z445, "NA")</f>
        <v>0.17368133093016122</v>
      </c>
      <c r="AB61" s="2"/>
      <c r="AC61" s="14">
        <f t="shared" si="15"/>
        <v>-9030.6900000000023</v>
      </c>
      <c r="AD61" s="15">
        <f>IFERROR(AC61/AC445, "NA")</f>
        <v>0.29914298604702283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25825.370000000003</v>
      </c>
      <c r="C62" s="15">
        <f>IFERROR(B62/B445, "NA")</f>
        <v>0.21228513681735176</v>
      </c>
      <c r="D62" s="2"/>
      <c r="E62" s="14">
        <f>IFERROR(E42+E43+E44+E46+E47+E48+E49+E50+E51+E52+E53+E54+E55+E56+E57+E58+E59+E60, "NA")</f>
        <v>27103.119999999999</v>
      </c>
      <c r="F62" s="15">
        <f>IFERROR(E62/E445, "NA")</f>
        <v>0.18999998668050117</v>
      </c>
      <c r="G62" s="2"/>
      <c r="H62" s="14">
        <f t="shared" si="12"/>
        <v>-1277.7499999999964</v>
      </c>
      <c r="I62" s="15">
        <f>IFERROR(H62/H445, "NA")</f>
        <v>6.0863062277762107E-2</v>
      </c>
      <c r="J62" s="2"/>
      <c r="K62" s="14">
        <f>IFERROR(K42+K43+K44+K46+K47+K48+K49+K50+K51+K52+K53+K54+K55+K56+K57+K58+K59+K60, "NA")</f>
        <v>33968.36</v>
      </c>
      <c r="L62" s="15">
        <f>IFERROR(K62/K445, "NA")</f>
        <v>0.26015388190235667</v>
      </c>
      <c r="M62" s="2"/>
      <c r="N62" s="14">
        <f t="shared" si="13"/>
        <v>-8142.989999999998</v>
      </c>
      <c r="O62" s="15">
        <f>IFERROR(N62/N445, "NA")</f>
        <v>0.91329056426015931</v>
      </c>
      <c r="P62" s="2"/>
      <c r="Q62" s="14">
        <f>IFERROR(Q42+Q43+Q44+Q46+Q47+Q48+Q49+Q50+Q51+Q52+Q53+Q54+Q55+Q56+Q57+Q58+Q59+Q60, "NA")</f>
        <v>101904.32000000001</v>
      </c>
      <c r="R62" s="15">
        <f>IFERROR(Q62/Q445, "NA")</f>
        <v>0.19546895320224708</v>
      </c>
      <c r="S62" s="2"/>
      <c r="T62" s="14">
        <f>IFERROR(T42+T43+T44+T46+T47+T48+T49+T50+T51+T52+T53+T54+T55+T56+T57+T58+T59+T60, "NA")</f>
        <v>112723.77</v>
      </c>
      <c r="U62" s="15">
        <f>IFERROR(T62/T445, "NA")</f>
        <v>0.1899999967974812</v>
      </c>
      <c r="V62" s="2"/>
      <c r="W62" s="14">
        <f t="shared" si="14"/>
        <v>-10819.449999999997</v>
      </c>
      <c r="X62" s="15">
        <f>IFERROR(W62/W445, "NA")</f>
        <v>0.15037352068435936</v>
      </c>
      <c r="Y62" s="2"/>
      <c r="Z62" s="14">
        <f>IFERROR(Z42+Z43+Z44+Z46+Z47+Z48+Z49+Z50+Z51+Z52+Z53+Z54+Z55+Z56+Z57+Z58+Z59+Z60, "NA")</f>
        <v>107409.92</v>
      </c>
      <c r="AA62" s="15">
        <f>IFERROR(Z62/Z445, "NA")</f>
        <v>0.19475216766431669</v>
      </c>
      <c r="AB62" s="2"/>
      <c r="AC62" s="14">
        <f t="shared" si="15"/>
        <v>-5505.5999999999913</v>
      </c>
      <c r="AD62" s="15">
        <f>IFERROR(AC62/AC445, "NA")</f>
        <v>0.18237384119934202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IFERROR(B64/B445, "NA")</f>
        <v>0</v>
      </c>
      <c r="D64" s="9"/>
      <c r="E64" s="7">
        <v>5848.57</v>
      </c>
      <c r="F64" s="8">
        <f>IFERROR(E64/E445, "NA")</f>
        <v>4.1000011146317426E-2</v>
      </c>
      <c r="G64" s="9"/>
      <c r="H64" s="10">
        <f t="shared" ref="H64:H73" si="16">IFERROR(B64-E64, "NA")</f>
        <v>-5848.57</v>
      </c>
      <c r="I64" s="8">
        <f>IFERROR(H64/H445, "NA")</f>
        <v>0.27858491891673026</v>
      </c>
      <c r="J64" s="9"/>
      <c r="K64" s="7">
        <v>0</v>
      </c>
      <c r="L64" s="8">
        <f>IFERROR(K64/K445, "NA")</f>
        <v>0</v>
      </c>
      <c r="M64" s="9"/>
      <c r="N64" s="10">
        <f t="shared" ref="N64:N73" si="17">IFERROR(B64-K64, "NA")</f>
        <v>0</v>
      </c>
      <c r="O64" s="8">
        <f>IFERROR(N64/N445, "NA")</f>
        <v>0</v>
      </c>
      <c r="P64" s="9"/>
      <c r="Q64" s="7">
        <v>0</v>
      </c>
      <c r="R64" s="8">
        <f>IFERROR(Q64/Q445, "NA")</f>
        <v>0</v>
      </c>
      <c r="S64" s="9"/>
      <c r="T64" s="7">
        <v>24324.6</v>
      </c>
      <c r="U64" s="8">
        <f>IFERROR(T64/T445, "NA")</f>
        <v>4.0999994252321502E-2</v>
      </c>
      <c r="V64" s="9"/>
      <c r="W64" s="10">
        <f t="shared" ref="W64:W73" si="18">IFERROR(Q64-T64, "NA")</f>
        <v>-24324.6</v>
      </c>
      <c r="X64" s="8">
        <f>IFERROR(W64/W445, "NA")</f>
        <v>0.33807409260533283</v>
      </c>
      <c r="Y64" s="9"/>
      <c r="Z64" s="7">
        <v>0</v>
      </c>
      <c r="AA64" s="8">
        <f>IFERROR(Z64/Z445, "NA")</f>
        <v>0</v>
      </c>
      <c r="AB64" s="9"/>
      <c r="AC64" s="10">
        <f t="shared" ref="AC64:AC73" si="19">IFERROR(Q64-Z64, "NA")</f>
        <v>0</v>
      </c>
      <c r="AD64" s="8">
        <f>IFERROR(AC64/AC445, "NA")</f>
        <v>0</v>
      </c>
    </row>
    <row r="65" spans="1:30" ht="16.5" customHeight="1" x14ac:dyDescent="0.45">
      <c r="A65" s="12" t="s">
        <v>62</v>
      </c>
      <c r="B65" s="7">
        <v>1577.28</v>
      </c>
      <c r="C65" s="8">
        <f>IFERROR(B65/B445, "NA")</f>
        <v>1.2965277965011636E-2</v>
      </c>
      <c r="D65" s="9"/>
      <c r="E65" s="7">
        <v>0</v>
      </c>
      <c r="F65" s="8">
        <f>IFERROR(E65/E445, "NA")</f>
        <v>0</v>
      </c>
      <c r="G65" s="9"/>
      <c r="H65" s="10">
        <f t="shared" si="16"/>
        <v>1577.28</v>
      </c>
      <c r="I65" s="8">
        <f>IFERROR(H65/H445, "NA")</f>
        <v>-7.5130573953800739E-2</v>
      </c>
      <c r="J65" s="9"/>
      <c r="K65" s="7">
        <v>8.0299999999999994</v>
      </c>
      <c r="L65" s="8">
        <f>IFERROR(K65/K445, "NA")</f>
        <v>6.1499456308044412E-5</v>
      </c>
      <c r="M65" s="9"/>
      <c r="N65" s="10">
        <f t="shared" si="17"/>
        <v>1569.25</v>
      </c>
      <c r="O65" s="8">
        <f>IFERROR(N65/N445, "NA")</f>
        <v>-0.17600183936923111</v>
      </c>
      <c r="P65" s="9"/>
      <c r="Q65" s="7">
        <v>14193.59</v>
      </c>
      <c r="R65" s="8">
        <f>IFERROR(Q65/Q445, "NA")</f>
        <v>2.7225599262934896E-2</v>
      </c>
      <c r="S65" s="9"/>
      <c r="T65" s="7">
        <v>0</v>
      </c>
      <c r="U65" s="8">
        <f>IFERROR(T65/T445, "NA")</f>
        <v>0</v>
      </c>
      <c r="V65" s="9"/>
      <c r="W65" s="10">
        <f t="shared" si="18"/>
        <v>14193.59</v>
      </c>
      <c r="X65" s="8">
        <f>IFERROR(W65/W445, "NA")</f>
        <v>-0.19726881675596417</v>
      </c>
      <c r="Y65" s="9"/>
      <c r="Z65" s="7">
        <v>2609.59</v>
      </c>
      <c r="AA65" s="8">
        <f>IFERROR(Z65/Z445, "NA")</f>
        <v>4.7316235708501058E-3</v>
      </c>
      <c r="AB65" s="9"/>
      <c r="AC65" s="10">
        <f t="shared" si="19"/>
        <v>11584</v>
      </c>
      <c r="AD65" s="8">
        <f>IFERROR(AC65/AC445, "NA")</f>
        <v>-0.38372176991666329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IFERROR(B66/B445, "NA")</f>
        <v>0</v>
      </c>
      <c r="D66" s="9"/>
      <c r="E66" s="7">
        <v>0</v>
      </c>
      <c r="F66" s="8">
        <f>IFERROR(E66/E445, "NA")</f>
        <v>0</v>
      </c>
      <c r="G66" s="9"/>
      <c r="H66" s="10">
        <f t="shared" si="16"/>
        <v>0</v>
      </c>
      <c r="I66" s="8">
        <f>IFERROR(H66/H445, "NA")</f>
        <v>0</v>
      </c>
      <c r="J66" s="9"/>
      <c r="K66" s="7">
        <v>0</v>
      </c>
      <c r="L66" s="8">
        <f>IFERROR(K66/K445, "NA")</f>
        <v>0</v>
      </c>
      <c r="M66" s="9"/>
      <c r="N66" s="10">
        <f t="shared" si="17"/>
        <v>0</v>
      </c>
      <c r="O66" s="8">
        <f>IFERROR(N66/N445, "NA")</f>
        <v>0</v>
      </c>
      <c r="P66" s="9"/>
      <c r="Q66" s="7">
        <v>0</v>
      </c>
      <c r="R66" s="8">
        <f>IFERROR(Q66/Q445, "NA")</f>
        <v>0</v>
      </c>
      <c r="S66" s="9"/>
      <c r="T66" s="7">
        <v>0</v>
      </c>
      <c r="U66" s="8">
        <f>IFERROR(T66/T445, "NA")</f>
        <v>0</v>
      </c>
      <c r="V66" s="9"/>
      <c r="W66" s="10">
        <f t="shared" si="18"/>
        <v>0</v>
      </c>
      <c r="X66" s="8">
        <f>IFERROR(W66/W445, "NA")</f>
        <v>0</v>
      </c>
      <c r="Y66" s="9"/>
      <c r="Z66" s="7">
        <v>0</v>
      </c>
      <c r="AA66" s="8">
        <f>IFERROR(Z66/Z445, "NA")</f>
        <v>0</v>
      </c>
      <c r="AB66" s="9"/>
      <c r="AC66" s="10">
        <f t="shared" si="19"/>
        <v>0</v>
      </c>
      <c r="AD66" s="8">
        <f>IFERROR(AC66/AC445,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IFERROR(B67/B445, "NA")</f>
        <v>0</v>
      </c>
      <c r="D67" s="9"/>
      <c r="E67" s="7">
        <v>0</v>
      </c>
      <c r="F67" s="8">
        <f>IFERROR(E67/E445, "NA")</f>
        <v>0</v>
      </c>
      <c r="G67" s="9"/>
      <c r="H67" s="10">
        <f t="shared" si="16"/>
        <v>0</v>
      </c>
      <c r="I67" s="8">
        <f>IFERROR(H67/H445, "NA")</f>
        <v>0</v>
      </c>
      <c r="J67" s="9"/>
      <c r="K67" s="7">
        <v>0</v>
      </c>
      <c r="L67" s="8">
        <f>IFERROR(K67/K445, "NA")</f>
        <v>0</v>
      </c>
      <c r="M67" s="9"/>
      <c r="N67" s="10">
        <f t="shared" si="17"/>
        <v>0</v>
      </c>
      <c r="O67" s="8">
        <f>IFERROR(N67/N445, "NA")</f>
        <v>0</v>
      </c>
      <c r="P67" s="9"/>
      <c r="Q67" s="7">
        <v>0</v>
      </c>
      <c r="R67" s="8">
        <f>IFERROR(Q67/Q445, "NA")</f>
        <v>0</v>
      </c>
      <c r="S67" s="9"/>
      <c r="T67" s="7">
        <v>0</v>
      </c>
      <c r="U67" s="8">
        <f>IFERROR(T67/T445, "NA")</f>
        <v>0</v>
      </c>
      <c r="V67" s="9"/>
      <c r="W67" s="10">
        <f t="shared" si="18"/>
        <v>0</v>
      </c>
      <c r="X67" s="8">
        <f>IFERROR(W67/W445, "NA")</f>
        <v>0</v>
      </c>
      <c r="Y67" s="9"/>
      <c r="Z67" s="7">
        <v>0</v>
      </c>
      <c r="AA67" s="8">
        <f>IFERROR(Z67/Z445, "NA")</f>
        <v>0</v>
      </c>
      <c r="AB67" s="9"/>
      <c r="AC67" s="10">
        <f t="shared" si="19"/>
        <v>0</v>
      </c>
      <c r="AD67" s="8">
        <f>IFERROR(AC67/AC445,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IFERROR(B68/B445, "NA")</f>
        <v>0</v>
      </c>
      <c r="D68" s="9"/>
      <c r="E68" s="7">
        <v>0</v>
      </c>
      <c r="F68" s="8">
        <f>IFERROR(E68/E445, "NA")</f>
        <v>0</v>
      </c>
      <c r="G68" s="9"/>
      <c r="H68" s="10">
        <f t="shared" si="16"/>
        <v>0</v>
      </c>
      <c r="I68" s="8">
        <f>IFERROR(H68/H445, "NA")</f>
        <v>0</v>
      </c>
      <c r="J68" s="9"/>
      <c r="K68" s="7">
        <v>0</v>
      </c>
      <c r="L68" s="8">
        <f>IFERROR(K68/K445, "NA")</f>
        <v>0</v>
      </c>
      <c r="M68" s="9"/>
      <c r="N68" s="10">
        <f t="shared" si="17"/>
        <v>0</v>
      </c>
      <c r="O68" s="8">
        <f>IFERROR(N68/N445, "NA")</f>
        <v>0</v>
      </c>
      <c r="P68" s="9"/>
      <c r="Q68" s="7">
        <v>0</v>
      </c>
      <c r="R68" s="8">
        <f>IFERROR(Q68/Q445, "NA")</f>
        <v>0</v>
      </c>
      <c r="S68" s="9"/>
      <c r="T68" s="7">
        <v>0</v>
      </c>
      <c r="U68" s="8">
        <f>IFERROR(T68/T445, "NA")</f>
        <v>0</v>
      </c>
      <c r="V68" s="9"/>
      <c r="W68" s="10">
        <f t="shared" si="18"/>
        <v>0</v>
      </c>
      <c r="X68" s="8">
        <f>IFERROR(W68/W445, "NA")</f>
        <v>0</v>
      </c>
      <c r="Y68" s="9"/>
      <c r="Z68" s="7">
        <v>0</v>
      </c>
      <c r="AA68" s="8">
        <f>IFERROR(Z68/Z445, "NA")</f>
        <v>0</v>
      </c>
      <c r="AB68" s="9"/>
      <c r="AC68" s="10">
        <f t="shared" si="19"/>
        <v>0</v>
      </c>
      <c r="AD68" s="8">
        <f>IFERROR(AC68/AC445,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IFERROR(B69/B445, "NA")</f>
        <v>0</v>
      </c>
      <c r="D69" s="9"/>
      <c r="E69" s="7">
        <v>0</v>
      </c>
      <c r="F69" s="8">
        <f>IFERROR(E69/E445, "NA")</f>
        <v>0</v>
      </c>
      <c r="G69" s="9"/>
      <c r="H69" s="10">
        <f t="shared" si="16"/>
        <v>0</v>
      </c>
      <c r="I69" s="8">
        <f>IFERROR(H69/H445, "NA")</f>
        <v>0</v>
      </c>
      <c r="J69" s="9"/>
      <c r="K69" s="7">
        <v>0</v>
      </c>
      <c r="L69" s="8">
        <f>IFERROR(K69/K445, "NA")</f>
        <v>0</v>
      </c>
      <c r="M69" s="9"/>
      <c r="N69" s="10">
        <f t="shared" si="17"/>
        <v>0</v>
      </c>
      <c r="O69" s="8">
        <f>IFERROR(N69/N445, "NA")</f>
        <v>0</v>
      </c>
      <c r="P69" s="9"/>
      <c r="Q69" s="7">
        <v>0</v>
      </c>
      <c r="R69" s="8">
        <f>IFERROR(Q69/Q445, "NA")</f>
        <v>0</v>
      </c>
      <c r="S69" s="9"/>
      <c r="T69" s="7">
        <v>0</v>
      </c>
      <c r="U69" s="8">
        <f>IFERROR(T69/T445, "NA")</f>
        <v>0</v>
      </c>
      <c r="V69" s="9"/>
      <c r="W69" s="10">
        <f t="shared" si="18"/>
        <v>0</v>
      </c>
      <c r="X69" s="8">
        <f>IFERROR(W69/W445, "NA")</f>
        <v>0</v>
      </c>
      <c r="Y69" s="9"/>
      <c r="Z69" s="7">
        <v>0</v>
      </c>
      <c r="AA69" s="8">
        <f>IFERROR(Z69/Z445, "NA")</f>
        <v>0</v>
      </c>
      <c r="AB69" s="9"/>
      <c r="AC69" s="10">
        <f t="shared" si="19"/>
        <v>0</v>
      </c>
      <c r="AD69" s="8">
        <f>IFERROR(AC69/AC445,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IFERROR(B70/B445, "NA")</f>
        <v>0</v>
      </c>
      <c r="D70" s="9"/>
      <c r="E70" s="7">
        <v>0</v>
      </c>
      <c r="F70" s="8">
        <f>IFERROR(E70/E445, "NA")</f>
        <v>0</v>
      </c>
      <c r="G70" s="9"/>
      <c r="H70" s="10">
        <f t="shared" si="16"/>
        <v>0</v>
      </c>
      <c r="I70" s="8">
        <f>IFERROR(H70/H445, "NA")</f>
        <v>0</v>
      </c>
      <c r="J70" s="9"/>
      <c r="K70" s="7">
        <v>0</v>
      </c>
      <c r="L70" s="8">
        <f>IFERROR(K70/K445, "NA")</f>
        <v>0</v>
      </c>
      <c r="M70" s="9"/>
      <c r="N70" s="10">
        <f t="shared" si="17"/>
        <v>0</v>
      </c>
      <c r="O70" s="8">
        <f>IFERROR(N70/N445, "NA")</f>
        <v>0</v>
      </c>
      <c r="P70" s="9"/>
      <c r="Q70" s="7">
        <v>0</v>
      </c>
      <c r="R70" s="8">
        <f>IFERROR(Q70/Q445, "NA")</f>
        <v>0</v>
      </c>
      <c r="S70" s="9"/>
      <c r="T70" s="7">
        <v>0</v>
      </c>
      <c r="U70" s="8">
        <f>IFERROR(T70/T445, "NA")</f>
        <v>0</v>
      </c>
      <c r="V70" s="9"/>
      <c r="W70" s="10">
        <f t="shared" si="18"/>
        <v>0</v>
      </c>
      <c r="X70" s="8">
        <f>IFERROR(W70/W445, "NA")</f>
        <v>0</v>
      </c>
      <c r="Y70" s="9"/>
      <c r="Z70" s="7">
        <v>0</v>
      </c>
      <c r="AA70" s="8">
        <f>IFERROR(Z70/Z445, "NA")</f>
        <v>0</v>
      </c>
      <c r="AB70" s="9"/>
      <c r="AC70" s="10">
        <f t="shared" si="19"/>
        <v>0</v>
      </c>
      <c r="AD70" s="8">
        <f>IFERROR(AC70/AC445, "NA")</f>
        <v>0</v>
      </c>
    </row>
    <row r="71" spans="1:30" ht="16.5" customHeight="1" x14ac:dyDescent="0.45">
      <c r="A71" s="12" t="s">
        <v>68</v>
      </c>
      <c r="B71" s="7">
        <v>4650.38</v>
      </c>
      <c r="C71" s="8">
        <f>IFERROR(B71/B445, "NA")</f>
        <v>3.8226230816932195E-2</v>
      </c>
      <c r="D71" s="9"/>
      <c r="E71" s="7">
        <v>0</v>
      </c>
      <c r="F71" s="8">
        <f>IFERROR(E71/E445, "NA")</f>
        <v>0</v>
      </c>
      <c r="G71" s="9"/>
      <c r="H71" s="10">
        <f t="shared" si="16"/>
        <v>4650.38</v>
      </c>
      <c r="I71" s="8">
        <f>IFERROR(H71/H445, "NA")</f>
        <v>-0.2215115379027667</v>
      </c>
      <c r="J71" s="9"/>
      <c r="K71" s="7">
        <v>0</v>
      </c>
      <c r="L71" s="8">
        <f>IFERROR(K71/K445, "NA")</f>
        <v>0</v>
      </c>
      <c r="M71" s="9"/>
      <c r="N71" s="10">
        <f t="shared" si="17"/>
        <v>4650.38</v>
      </c>
      <c r="O71" s="8">
        <f>IFERROR(N71/N445, "NA")</f>
        <v>-0.5215710904992098</v>
      </c>
      <c r="P71" s="9"/>
      <c r="Q71" s="7">
        <v>11918.27</v>
      </c>
      <c r="R71" s="8">
        <f>IFERROR(Q71/Q445, "NA")</f>
        <v>2.2861167817828969E-2</v>
      </c>
      <c r="S71" s="9"/>
      <c r="T71" s="7">
        <v>0</v>
      </c>
      <c r="U71" s="8">
        <f>IFERROR(T71/T445, "NA")</f>
        <v>0</v>
      </c>
      <c r="V71" s="9"/>
      <c r="W71" s="10">
        <f t="shared" si="18"/>
        <v>11918.27</v>
      </c>
      <c r="X71" s="8">
        <f>IFERROR(W71/W445, "NA")</f>
        <v>-0.16564540899646285</v>
      </c>
      <c r="Y71" s="9"/>
      <c r="Z71" s="7">
        <v>0</v>
      </c>
      <c r="AA71" s="8">
        <f>IFERROR(Z71/Z445, "NA")</f>
        <v>0</v>
      </c>
      <c r="AB71" s="9"/>
      <c r="AC71" s="10">
        <f t="shared" si="19"/>
        <v>11918.27</v>
      </c>
      <c r="AD71" s="8">
        <f>IFERROR(AC71/AC445, "NA")</f>
        <v>-0.39479451473969879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IFERROR(B72/B445, "NA")</f>
        <v>0</v>
      </c>
      <c r="D72" s="9"/>
      <c r="E72" s="7">
        <v>0</v>
      </c>
      <c r="F72" s="8">
        <f>IFERROR(E72/E445, "NA")</f>
        <v>0</v>
      </c>
      <c r="G72" s="9"/>
      <c r="H72" s="10">
        <f t="shared" si="16"/>
        <v>0</v>
      </c>
      <c r="I72" s="8">
        <f>IFERROR(H72/H445, "NA")</f>
        <v>0</v>
      </c>
      <c r="J72" s="9"/>
      <c r="K72" s="7">
        <v>0</v>
      </c>
      <c r="L72" s="8">
        <f>IFERROR(K72/K445, "NA")</f>
        <v>0</v>
      </c>
      <c r="M72" s="9"/>
      <c r="N72" s="10">
        <f t="shared" si="17"/>
        <v>0</v>
      </c>
      <c r="O72" s="8">
        <f>IFERROR(N72/N445, "NA")</f>
        <v>0</v>
      </c>
      <c r="P72" s="9"/>
      <c r="Q72" s="7">
        <v>0</v>
      </c>
      <c r="R72" s="8">
        <f>IFERROR(Q72/Q445, "NA")</f>
        <v>0</v>
      </c>
      <c r="S72" s="9"/>
      <c r="T72" s="7">
        <v>0</v>
      </c>
      <c r="U72" s="8">
        <f>IFERROR(T72/T445, "NA")</f>
        <v>0</v>
      </c>
      <c r="V72" s="9"/>
      <c r="W72" s="10">
        <f t="shared" si="18"/>
        <v>0</v>
      </c>
      <c r="X72" s="8">
        <f>IFERROR(W72/W445, "NA")</f>
        <v>0</v>
      </c>
      <c r="Y72" s="9"/>
      <c r="Z72" s="7">
        <v>0</v>
      </c>
      <c r="AA72" s="8">
        <f>IFERROR(Z72/Z445, "NA")</f>
        <v>0</v>
      </c>
      <c r="AB72" s="9"/>
      <c r="AC72" s="10">
        <f t="shared" si="19"/>
        <v>0</v>
      </c>
      <c r="AD72" s="8">
        <f>IFERROR(AC72/AC445,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6227.66</v>
      </c>
      <c r="C73" s="15">
        <f>IFERROR(B73/B445, "NA")</f>
        <v>5.1191508781943826E-2</v>
      </c>
      <c r="D73" s="2"/>
      <c r="E73" s="14">
        <f>IFERROR(E64+E65+E66+E67+E68+E69+E70+E71+E72, "NA")</f>
        <v>5848.57</v>
      </c>
      <c r="F73" s="15">
        <f>IFERROR(E73/E445, "NA")</f>
        <v>4.1000011146317426E-2</v>
      </c>
      <c r="G73" s="2"/>
      <c r="H73" s="14">
        <f t="shared" si="16"/>
        <v>379.09000000000015</v>
      </c>
      <c r="I73" s="15">
        <f>IFERROR(H73/H445, "NA")</f>
        <v>-1.8057192939837145E-2</v>
      </c>
      <c r="J73" s="2"/>
      <c r="K73" s="14">
        <f>IFERROR(K64+K65+K66+K67+K68+K69+K70+K71+K72, "NA")</f>
        <v>8.0299999999999994</v>
      </c>
      <c r="L73" s="15">
        <f>IFERROR(K73/K445, "NA")</f>
        <v>6.1499456308044412E-5</v>
      </c>
      <c r="M73" s="2"/>
      <c r="N73" s="14">
        <f t="shared" si="17"/>
        <v>6219.63</v>
      </c>
      <c r="O73" s="15">
        <f>IFERROR(N73/N445, "NA")</f>
        <v>-0.69757292986844088</v>
      </c>
      <c r="P73" s="2"/>
      <c r="Q73" s="14">
        <f>IFERROR(Q64+Q65+Q66+Q67+Q68+Q69+Q70+Q71+Q72, "NA")</f>
        <v>26111.86</v>
      </c>
      <c r="R73" s="15">
        <f>IFERROR(Q73/Q445, "NA")</f>
        <v>5.0086767080763865E-2</v>
      </c>
      <c r="S73" s="2"/>
      <c r="T73" s="14">
        <f>IFERROR(T64+T65+T66+T67+T68+T69+T70+T71+T72, "NA")</f>
        <v>24324.6</v>
      </c>
      <c r="U73" s="15">
        <f>IFERROR(T73/T445, "NA")</f>
        <v>4.0999994252321502E-2</v>
      </c>
      <c r="V73" s="2"/>
      <c r="W73" s="14">
        <f t="shared" si="18"/>
        <v>1787.260000000002</v>
      </c>
      <c r="X73" s="15">
        <f>IFERROR(W73/W445, "NA")</f>
        <v>-2.4840133147094212E-2</v>
      </c>
      <c r="Y73" s="2"/>
      <c r="Z73" s="14">
        <f>IFERROR(Z64+Z65+Z66+Z67+Z68+Z69+Z70+Z71+Z72, "NA")</f>
        <v>2609.59</v>
      </c>
      <c r="AA73" s="15">
        <f>IFERROR(Z73/Z445, "NA")</f>
        <v>4.7316235708501058E-3</v>
      </c>
      <c r="AB73" s="2"/>
      <c r="AC73" s="14">
        <f t="shared" si="19"/>
        <v>23502.27</v>
      </c>
      <c r="AD73" s="15">
        <f>IFERROR(AC73/AC445, "NA")</f>
        <v>-0.77851628465636202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IFERROR(B75/B445, "NA")</f>
        <v>0</v>
      </c>
      <c r="D75" s="9"/>
      <c r="E75" s="7">
        <v>1997.07</v>
      </c>
      <c r="F75" s="8">
        <f>IFERROR(E75/E445, "NA")</f>
        <v>1.3999984998038176E-2</v>
      </c>
      <c r="G75" s="9"/>
      <c r="H75" s="10">
        <f t="shared" ref="H75:H92" si="20">IFERROR(B75-E75, "NA")</f>
        <v>-1997.07</v>
      </c>
      <c r="I75" s="8">
        <f>IFERROR(H75/H445, "NA")</f>
        <v>9.5126429883037142E-2</v>
      </c>
      <c r="J75" s="9"/>
      <c r="K75" s="7">
        <v>0</v>
      </c>
      <c r="L75" s="8">
        <f>IFERROR(K75/K445, "NA")</f>
        <v>0</v>
      </c>
      <c r="M75" s="9"/>
      <c r="N75" s="10">
        <f t="shared" ref="N75:N92" si="21">IFERROR(B75-K75, "NA")</f>
        <v>0</v>
      </c>
      <c r="O75" s="8">
        <f>IFERROR(N75/N445, "NA")</f>
        <v>0</v>
      </c>
      <c r="P75" s="9"/>
      <c r="Q75" s="7">
        <v>0</v>
      </c>
      <c r="R75" s="8">
        <f>IFERROR(Q75/Q445, "NA")</f>
        <v>0</v>
      </c>
      <c r="S75" s="9"/>
      <c r="T75" s="7">
        <v>8305.9599999999991</v>
      </c>
      <c r="U75" s="8">
        <f>IFERROR(T75/T445, "NA")</f>
        <v>1.3999996392952494E-2</v>
      </c>
      <c r="V75" s="9"/>
      <c r="W75" s="10">
        <f t="shared" ref="W75:W92" si="22">IFERROR(Q75-T75, "NA")</f>
        <v>-8305.9599999999991</v>
      </c>
      <c r="X75" s="8">
        <f>IFERROR(W75/W445, "NA")</f>
        <v>0.11543992050089991</v>
      </c>
      <c r="Y75" s="9"/>
      <c r="Z75" s="7">
        <v>0</v>
      </c>
      <c r="AA75" s="8">
        <f>IFERROR(Z75/Z445, "NA")</f>
        <v>0</v>
      </c>
      <c r="AB75" s="9"/>
      <c r="AC75" s="10">
        <f t="shared" ref="AC75:AC92" si="23">IFERROR(Q75-Z75, "NA")</f>
        <v>0</v>
      </c>
      <c r="AD75" s="8">
        <f>IFERROR(AC75/AC445,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IFERROR(B76/B445, "NA")</f>
        <v>0</v>
      </c>
      <c r="D76" s="9"/>
      <c r="E76" s="7">
        <v>0</v>
      </c>
      <c r="F76" s="8">
        <f>IFERROR(E76/E445, "NA")</f>
        <v>0</v>
      </c>
      <c r="G76" s="9"/>
      <c r="H76" s="10">
        <f t="shared" si="20"/>
        <v>0</v>
      </c>
      <c r="I76" s="8">
        <f>IFERROR(H76/H445, "NA")</f>
        <v>0</v>
      </c>
      <c r="J76" s="9"/>
      <c r="K76" s="7">
        <v>0</v>
      </c>
      <c r="L76" s="8">
        <f>IFERROR(K76/K445, "NA")</f>
        <v>0</v>
      </c>
      <c r="M76" s="9"/>
      <c r="N76" s="10">
        <f t="shared" si="21"/>
        <v>0</v>
      </c>
      <c r="O76" s="8">
        <f>IFERROR(N76/N445, "NA")</f>
        <v>0</v>
      </c>
      <c r="P76" s="9"/>
      <c r="Q76" s="7">
        <v>0</v>
      </c>
      <c r="R76" s="8">
        <f>IFERROR(Q76/Q445, "NA")</f>
        <v>0</v>
      </c>
      <c r="S76" s="9"/>
      <c r="T76" s="7">
        <v>0</v>
      </c>
      <c r="U76" s="8">
        <f>IFERROR(T76/T445, "NA")</f>
        <v>0</v>
      </c>
      <c r="V76" s="9"/>
      <c r="W76" s="10">
        <f t="shared" si="22"/>
        <v>0</v>
      </c>
      <c r="X76" s="8">
        <f>IFERROR(W76/W445, "NA")</f>
        <v>0</v>
      </c>
      <c r="Y76" s="9"/>
      <c r="Z76" s="7">
        <v>0</v>
      </c>
      <c r="AA76" s="8">
        <f>IFERROR(Z76/Z445, "NA")</f>
        <v>0</v>
      </c>
      <c r="AB76" s="9"/>
      <c r="AC76" s="10">
        <f t="shared" si="23"/>
        <v>0</v>
      </c>
      <c r="AD76" s="8">
        <f>IFERROR(AC76/AC445, "NA")</f>
        <v>0</v>
      </c>
    </row>
    <row r="77" spans="1:30" ht="16.5" customHeight="1" x14ac:dyDescent="0.45">
      <c r="A77" s="12" t="s">
        <v>73</v>
      </c>
      <c r="B77" s="7">
        <v>415.88</v>
      </c>
      <c r="C77" s="8">
        <f>IFERROR(B77/B445, "NA")</f>
        <v>3.4185431883299346E-3</v>
      </c>
      <c r="D77" s="9"/>
      <c r="E77" s="7">
        <v>0</v>
      </c>
      <c r="F77" s="8">
        <f>IFERROR(E77/E445, "NA")</f>
        <v>0</v>
      </c>
      <c r="G77" s="9"/>
      <c r="H77" s="10">
        <f t="shared" si="20"/>
        <v>415.88</v>
      </c>
      <c r="I77" s="8">
        <f>IFERROR(H77/H445, "NA")</f>
        <v>-1.9809610909861691E-2</v>
      </c>
      <c r="J77" s="9"/>
      <c r="K77" s="7">
        <v>159.16</v>
      </c>
      <c r="L77" s="8">
        <f>IFERROR(K77/K445, "NA")</f>
        <v>1.218960581069533E-3</v>
      </c>
      <c r="M77" s="9"/>
      <c r="N77" s="10">
        <f t="shared" si="21"/>
        <v>256.72000000000003</v>
      </c>
      <c r="O77" s="8">
        <f>IFERROR(N77/N445, "NA")</f>
        <v>-2.8792857863864277E-2</v>
      </c>
      <c r="P77" s="9"/>
      <c r="Q77" s="7">
        <v>1229.1400000000001</v>
      </c>
      <c r="R77" s="8">
        <f>IFERROR(Q77/Q445, "NA")</f>
        <v>2.357689145455364E-3</v>
      </c>
      <c r="S77" s="9"/>
      <c r="T77" s="7">
        <v>0</v>
      </c>
      <c r="U77" s="8">
        <f>IFERROR(T77/T445, "NA")</f>
        <v>0</v>
      </c>
      <c r="V77" s="9"/>
      <c r="W77" s="10">
        <f t="shared" si="22"/>
        <v>1229.1400000000001</v>
      </c>
      <c r="X77" s="8">
        <f>IFERROR(W77/W445, "NA")</f>
        <v>-1.708313354319984E-2</v>
      </c>
      <c r="Y77" s="9"/>
      <c r="Z77" s="7">
        <v>1336.43</v>
      </c>
      <c r="AA77" s="8">
        <f>IFERROR(Z77/Z445, "NA")</f>
        <v>2.4231713367966643E-3</v>
      </c>
      <c r="AB77" s="9"/>
      <c r="AC77" s="10">
        <f t="shared" si="23"/>
        <v>-107.28999999999996</v>
      </c>
      <c r="AD77" s="8">
        <f>IFERROR(AC77/AC445, "NA")</f>
        <v>3.553997642814122E-3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IFERROR(B78/B445, "NA")</f>
        <v>0</v>
      </c>
      <c r="D78" s="9"/>
      <c r="E78" s="7">
        <v>0</v>
      </c>
      <c r="F78" s="8">
        <f>IFERROR(E78/E445, "NA")</f>
        <v>0</v>
      </c>
      <c r="G78" s="9"/>
      <c r="H78" s="10">
        <f t="shared" si="20"/>
        <v>0</v>
      </c>
      <c r="I78" s="8">
        <f>IFERROR(H78/H445, "NA")</f>
        <v>0</v>
      </c>
      <c r="J78" s="9"/>
      <c r="K78" s="7">
        <v>0</v>
      </c>
      <c r="L78" s="8">
        <f>IFERROR(K78/K445, "NA")</f>
        <v>0</v>
      </c>
      <c r="M78" s="9"/>
      <c r="N78" s="10">
        <f t="shared" si="21"/>
        <v>0</v>
      </c>
      <c r="O78" s="8">
        <f>IFERROR(N78/N445, "NA")</f>
        <v>0</v>
      </c>
      <c r="P78" s="9"/>
      <c r="Q78" s="7">
        <v>0</v>
      </c>
      <c r="R78" s="8">
        <f>IFERROR(Q78/Q445, "NA")</f>
        <v>0</v>
      </c>
      <c r="S78" s="9"/>
      <c r="T78" s="7">
        <v>0</v>
      </c>
      <c r="U78" s="8">
        <f>IFERROR(T78/T445, "NA")</f>
        <v>0</v>
      </c>
      <c r="V78" s="9"/>
      <c r="W78" s="10">
        <f t="shared" si="22"/>
        <v>0</v>
      </c>
      <c r="X78" s="8">
        <f>IFERROR(W78/W445, "NA")</f>
        <v>0</v>
      </c>
      <c r="Y78" s="9"/>
      <c r="Z78" s="7">
        <v>0</v>
      </c>
      <c r="AA78" s="8">
        <f>IFERROR(Z78/Z445, "NA")</f>
        <v>0</v>
      </c>
      <c r="AB78" s="9"/>
      <c r="AC78" s="10">
        <f t="shared" si="23"/>
        <v>0</v>
      </c>
      <c r="AD78" s="8">
        <f>IFERROR(AC78/AC445,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IFERROR(B79/B445, "NA")</f>
        <v>0</v>
      </c>
      <c r="D79" s="9"/>
      <c r="E79" s="7">
        <v>0</v>
      </c>
      <c r="F79" s="8">
        <f>IFERROR(E79/E445, "NA")</f>
        <v>0</v>
      </c>
      <c r="G79" s="9"/>
      <c r="H79" s="10">
        <f t="shared" si="20"/>
        <v>0</v>
      </c>
      <c r="I79" s="8">
        <f>IFERROR(H79/H445, "NA")</f>
        <v>0</v>
      </c>
      <c r="J79" s="9"/>
      <c r="K79" s="7">
        <v>5.1100000000000003</v>
      </c>
      <c r="L79" s="8">
        <f>IFERROR(K79/K445, "NA")</f>
        <v>3.9136017650573724E-5</v>
      </c>
      <c r="M79" s="9"/>
      <c r="N79" s="10">
        <f t="shared" si="21"/>
        <v>-5.1100000000000003</v>
      </c>
      <c r="O79" s="8">
        <f>IFERROR(N79/N445, "NA")</f>
        <v>5.7312053476295754E-4</v>
      </c>
      <c r="P79" s="9"/>
      <c r="Q79" s="7">
        <v>0</v>
      </c>
      <c r="R79" s="8">
        <f>IFERROR(Q79/Q445, "NA")</f>
        <v>0</v>
      </c>
      <c r="S79" s="9"/>
      <c r="T79" s="7">
        <v>0</v>
      </c>
      <c r="U79" s="8">
        <f>IFERROR(T79/T445, "NA")</f>
        <v>0</v>
      </c>
      <c r="V79" s="9"/>
      <c r="W79" s="10">
        <f t="shared" si="22"/>
        <v>0</v>
      </c>
      <c r="X79" s="8">
        <f>IFERROR(W79/W445, "NA")</f>
        <v>0</v>
      </c>
      <c r="Y79" s="9"/>
      <c r="Z79" s="7">
        <v>5.1100000000000003</v>
      </c>
      <c r="AA79" s="8">
        <f>IFERROR(Z79/Z445, "NA")</f>
        <v>9.2652855226468687E-6</v>
      </c>
      <c r="AB79" s="9"/>
      <c r="AC79" s="10">
        <f t="shared" si="23"/>
        <v>-5.1100000000000003</v>
      </c>
      <c r="AD79" s="8">
        <f>IFERROR(AC79/AC445, "NA")</f>
        <v>1.692695307557104E-4</v>
      </c>
    </row>
    <row r="80" spans="1:30" ht="16.5" customHeight="1" x14ac:dyDescent="0.45">
      <c r="A80" s="12" t="s">
        <v>76</v>
      </c>
      <c r="B80" s="7">
        <v>1140.19</v>
      </c>
      <c r="C80" s="8">
        <f>IFERROR(B80/B445, "NA")</f>
        <v>9.3723880876741082E-3</v>
      </c>
      <c r="D80" s="9"/>
      <c r="E80" s="7">
        <v>0</v>
      </c>
      <c r="F80" s="8">
        <f>IFERROR(E80/E445, "NA")</f>
        <v>0</v>
      </c>
      <c r="G80" s="9"/>
      <c r="H80" s="10">
        <f t="shared" si="20"/>
        <v>1140.19</v>
      </c>
      <c r="I80" s="8">
        <f>IFERROR(H80/H445, "NA")</f>
        <v>-5.4310667171576427E-2</v>
      </c>
      <c r="J80" s="9"/>
      <c r="K80" s="7">
        <v>1134.21</v>
      </c>
      <c r="L80" s="8">
        <f>IFERROR(K80/K445, "NA")</f>
        <v>8.6865875889348774E-3</v>
      </c>
      <c r="M80" s="9"/>
      <c r="N80" s="10">
        <f t="shared" si="21"/>
        <v>5.9800000000000182</v>
      </c>
      <c r="O80" s="8">
        <f>IFERROR(N80/N445, "NA")</f>
        <v>-6.7069682933121257E-4</v>
      </c>
      <c r="P80" s="9"/>
      <c r="Q80" s="7">
        <v>6803.01</v>
      </c>
      <c r="R80" s="8">
        <f>IFERROR(Q80/Q445, "NA")</f>
        <v>1.3049272526664412E-2</v>
      </c>
      <c r="S80" s="9"/>
      <c r="T80" s="7">
        <v>0</v>
      </c>
      <c r="U80" s="8">
        <f>IFERROR(T80/T445, "NA")</f>
        <v>0</v>
      </c>
      <c r="V80" s="9"/>
      <c r="W80" s="10">
        <f t="shared" si="22"/>
        <v>6803.01</v>
      </c>
      <c r="X80" s="8">
        <f>IFERROR(W80/W445, "NA")</f>
        <v>-9.4551253987116141E-2</v>
      </c>
      <c r="Y80" s="9"/>
      <c r="Z80" s="7">
        <v>6473.5</v>
      </c>
      <c r="AA80" s="8">
        <f>IFERROR(Z80/Z445, "NA")</f>
        <v>1.1737539301537085E-2</v>
      </c>
      <c r="AB80" s="9"/>
      <c r="AC80" s="10">
        <f t="shared" si="23"/>
        <v>329.51000000000022</v>
      </c>
      <c r="AD80" s="8">
        <f>IFERROR(AC80/AC445, "NA")</f>
        <v>-1.0915069095756198E-2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IFERROR(B81/B445, "NA")</f>
        <v>0</v>
      </c>
      <c r="D81" s="9"/>
      <c r="E81" s="7">
        <v>0</v>
      </c>
      <c r="F81" s="8">
        <f>IFERROR(E81/E445, "NA")</f>
        <v>0</v>
      </c>
      <c r="G81" s="9"/>
      <c r="H81" s="10">
        <f t="shared" si="20"/>
        <v>0</v>
      </c>
      <c r="I81" s="8">
        <f>IFERROR(H81/H445, "NA")</f>
        <v>0</v>
      </c>
      <c r="J81" s="9"/>
      <c r="K81" s="7">
        <v>0</v>
      </c>
      <c r="L81" s="8">
        <f>IFERROR(K81/K445, "NA")</f>
        <v>0</v>
      </c>
      <c r="M81" s="9"/>
      <c r="N81" s="10">
        <f t="shared" si="21"/>
        <v>0</v>
      </c>
      <c r="O81" s="8">
        <f>IFERROR(N81/N445, "NA")</f>
        <v>0</v>
      </c>
      <c r="P81" s="9"/>
      <c r="Q81" s="7">
        <v>0</v>
      </c>
      <c r="R81" s="8">
        <f>IFERROR(Q81/Q445, "NA")</f>
        <v>0</v>
      </c>
      <c r="S81" s="9"/>
      <c r="T81" s="7">
        <v>0</v>
      </c>
      <c r="U81" s="8">
        <f>IFERROR(T81/T445, "NA")</f>
        <v>0</v>
      </c>
      <c r="V81" s="9"/>
      <c r="W81" s="10">
        <f t="shared" si="22"/>
        <v>0</v>
      </c>
      <c r="X81" s="8">
        <f>IFERROR(W81/W445, "NA")</f>
        <v>0</v>
      </c>
      <c r="Y81" s="9"/>
      <c r="Z81" s="7">
        <v>0</v>
      </c>
      <c r="AA81" s="8">
        <f>IFERROR(Z81/Z445, "NA")</f>
        <v>0</v>
      </c>
      <c r="AB81" s="9"/>
      <c r="AC81" s="10">
        <f t="shared" si="23"/>
        <v>0</v>
      </c>
      <c r="AD81" s="8">
        <f>IFERROR(AC81/AC445,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IFERROR(B82/B445, "NA")</f>
        <v>0</v>
      </c>
      <c r="D82" s="9"/>
      <c r="E82" s="7">
        <v>0</v>
      </c>
      <c r="F82" s="8">
        <f>IFERROR(E82/E445, "NA")</f>
        <v>0</v>
      </c>
      <c r="G82" s="9"/>
      <c r="H82" s="10">
        <f t="shared" si="20"/>
        <v>0</v>
      </c>
      <c r="I82" s="8">
        <f>IFERROR(H82/H445, "NA")</f>
        <v>0</v>
      </c>
      <c r="J82" s="9"/>
      <c r="K82" s="7">
        <v>0</v>
      </c>
      <c r="L82" s="8">
        <f>IFERROR(K82/K445, "NA")</f>
        <v>0</v>
      </c>
      <c r="M82" s="9"/>
      <c r="N82" s="10">
        <f t="shared" si="21"/>
        <v>0</v>
      </c>
      <c r="O82" s="8">
        <f>IFERROR(N82/N445, "NA")</f>
        <v>0</v>
      </c>
      <c r="P82" s="9"/>
      <c r="Q82" s="7">
        <v>0</v>
      </c>
      <c r="R82" s="8">
        <f>IFERROR(Q82/Q445, "NA")</f>
        <v>0</v>
      </c>
      <c r="S82" s="9"/>
      <c r="T82" s="7">
        <v>0</v>
      </c>
      <c r="U82" s="8">
        <f>IFERROR(T82/T445, "NA")</f>
        <v>0</v>
      </c>
      <c r="V82" s="9"/>
      <c r="W82" s="10">
        <f t="shared" si="22"/>
        <v>0</v>
      </c>
      <c r="X82" s="8">
        <f>IFERROR(W82/W445, "NA")</f>
        <v>0</v>
      </c>
      <c r="Y82" s="9"/>
      <c r="Z82" s="7">
        <v>0</v>
      </c>
      <c r="AA82" s="8">
        <f>IFERROR(Z82/Z445, "NA")</f>
        <v>0</v>
      </c>
      <c r="AB82" s="9"/>
      <c r="AC82" s="10">
        <f t="shared" si="23"/>
        <v>0</v>
      </c>
      <c r="AD82" s="8">
        <f>IFERROR(AC82/AC445,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IFERROR(B83/B445, "NA")</f>
        <v>0</v>
      </c>
      <c r="D83" s="9"/>
      <c r="E83" s="7">
        <v>0</v>
      </c>
      <c r="F83" s="8">
        <f>IFERROR(E83/E445, "NA")</f>
        <v>0</v>
      </c>
      <c r="G83" s="9"/>
      <c r="H83" s="10">
        <f t="shared" si="20"/>
        <v>0</v>
      </c>
      <c r="I83" s="8">
        <f>IFERROR(H83/H445, "NA")</f>
        <v>0</v>
      </c>
      <c r="J83" s="9"/>
      <c r="K83" s="7">
        <v>0</v>
      </c>
      <c r="L83" s="8">
        <f>IFERROR(K83/K445, "NA")</f>
        <v>0</v>
      </c>
      <c r="M83" s="9"/>
      <c r="N83" s="10">
        <f t="shared" si="21"/>
        <v>0</v>
      </c>
      <c r="O83" s="8">
        <f>IFERROR(N83/N445, "NA")</f>
        <v>0</v>
      </c>
      <c r="P83" s="9"/>
      <c r="Q83" s="7">
        <v>0</v>
      </c>
      <c r="R83" s="8">
        <f>IFERROR(Q83/Q445, "NA")</f>
        <v>0</v>
      </c>
      <c r="S83" s="9"/>
      <c r="T83" s="7">
        <v>0</v>
      </c>
      <c r="U83" s="8">
        <f>IFERROR(T83/T445, "NA")</f>
        <v>0</v>
      </c>
      <c r="V83" s="9"/>
      <c r="W83" s="10">
        <f t="shared" si="22"/>
        <v>0</v>
      </c>
      <c r="X83" s="8">
        <f>IFERROR(W83/W445, "NA")</f>
        <v>0</v>
      </c>
      <c r="Y83" s="9"/>
      <c r="Z83" s="7">
        <v>0</v>
      </c>
      <c r="AA83" s="8">
        <f>IFERROR(Z83/Z445, "NA")</f>
        <v>0</v>
      </c>
      <c r="AB83" s="9"/>
      <c r="AC83" s="10">
        <f t="shared" si="23"/>
        <v>0</v>
      </c>
      <c r="AD83" s="8">
        <f>IFERROR(AC83/AC445,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IFERROR(B84/B445, "NA")</f>
        <v>0</v>
      </c>
      <c r="D84" s="9"/>
      <c r="E84" s="7">
        <v>0</v>
      </c>
      <c r="F84" s="8">
        <f>IFERROR(E84/E445, "NA")</f>
        <v>0</v>
      </c>
      <c r="G84" s="9"/>
      <c r="H84" s="10">
        <f t="shared" si="20"/>
        <v>0</v>
      </c>
      <c r="I84" s="8">
        <f>IFERROR(H84/H445, "NA")</f>
        <v>0</v>
      </c>
      <c r="J84" s="9"/>
      <c r="K84" s="7">
        <v>0</v>
      </c>
      <c r="L84" s="8">
        <f>IFERROR(K84/K445, "NA")</f>
        <v>0</v>
      </c>
      <c r="M84" s="9"/>
      <c r="N84" s="10">
        <f t="shared" si="21"/>
        <v>0</v>
      </c>
      <c r="O84" s="8">
        <f>IFERROR(N84/N445, "NA")</f>
        <v>0</v>
      </c>
      <c r="P84" s="9"/>
      <c r="Q84" s="7">
        <v>0</v>
      </c>
      <c r="R84" s="8">
        <f>IFERROR(Q84/Q445, "NA")</f>
        <v>0</v>
      </c>
      <c r="S84" s="9"/>
      <c r="T84" s="7">
        <v>0</v>
      </c>
      <c r="U84" s="8">
        <f>IFERROR(T84/T445, "NA")</f>
        <v>0</v>
      </c>
      <c r="V84" s="9"/>
      <c r="W84" s="10">
        <f t="shared" si="22"/>
        <v>0</v>
      </c>
      <c r="X84" s="8">
        <f>IFERROR(W84/W445, "NA")</f>
        <v>0</v>
      </c>
      <c r="Y84" s="9"/>
      <c r="Z84" s="7">
        <v>0</v>
      </c>
      <c r="AA84" s="8">
        <f>IFERROR(Z84/Z445, "NA")</f>
        <v>0</v>
      </c>
      <c r="AB84" s="9"/>
      <c r="AC84" s="10">
        <f t="shared" si="23"/>
        <v>0</v>
      </c>
      <c r="AD84" s="8">
        <f>IFERROR(AC84/AC445,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IFERROR(B85/B445, "NA")</f>
        <v>0</v>
      </c>
      <c r="D85" s="9"/>
      <c r="E85" s="7">
        <v>0</v>
      </c>
      <c r="F85" s="8">
        <f>IFERROR(E85/E445, "NA")</f>
        <v>0</v>
      </c>
      <c r="G85" s="9"/>
      <c r="H85" s="10">
        <f t="shared" si="20"/>
        <v>0</v>
      </c>
      <c r="I85" s="8">
        <f>IFERROR(H85/H445, "NA")</f>
        <v>0</v>
      </c>
      <c r="J85" s="9"/>
      <c r="K85" s="7">
        <v>0</v>
      </c>
      <c r="L85" s="8">
        <f>IFERROR(K85/K445, "NA")</f>
        <v>0</v>
      </c>
      <c r="M85" s="9"/>
      <c r="N85" s="10">
        <f t="shared" si="21"/>
        <v>0</v>
      </c>
      <c r="O85" s="8">
        <f>IFERROR(N85/N445, "NA")</f>
        <v>0</v>
      </c>
      <c r="P85" s="9"/>
      <c r="Q85" s="7">
        <v>0</v>
      </c>
      <c r="R85" s="8">
        <f>IFERROR(Q85/Q445, "NA")</f>
        <v>0</v>
      </c>
      <c r="S85" s="9"/>
      <c r="T85" s="7">
        <v>0</v>
      </c>
      <c r="U85" s="8">
        <f>IFERROR(T85/T445, "NA")</f>
        <v>0</v>
      </c>
      <c r="V85" s="9"/>
      <c r="W85" s="10">
        <f t="shared" si="22"/>
        <v>0</v>
      </c>
      <c r="X85" s="8">
        <f>IFERROR(W85/W445, "NA")</f>
        <v>0</v>
      </c>
      <c r="Y85" s="9"/>
      <c r="Z85" s="7">
        <v>0</v>
      </c>
      <c r="AA85" s="8">
        <f>IFERROR(Z85/Z445, "NA")</f>
        <v>0</v>
      </c>
      <c r="AB85" s="9"/>
      <c r="AC85" s="10">
        <f t="shared" si="23"/>
        <v>0</v>
      </c>
      <c r="AD85" s="8">
        <f>IFERROR(AC85/AC445,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IFERROR(B86/B445, "NA")</f>
        <v>0</v>
      </c>
      <c r="D86" s="9"/>
      <c r="E86" s="7">
        <v>0</v>
      </c>
      <c r="F86" s="8">
        <f>IFERROR(E86/E445, "NA")</f>
        <v>0</v>
      </c>
      <c r="G86" s="9"/>
      <c r="H86" s="10">
        <f t="shared" si="20"/>
        <v>0</v>
      </c>
      <c r="I86" s="8">
        <f>IFERROR(H86/H445, "NA")</f>
        <v>0</v>
      </c>
      <c r="J86" s="9"/>
      <c r="K86" s="7">
        <v>0</v>
      </c>
      <c r="L86" s="8">
        <f>IFERROR(K86/K445, "NA")</f>
        <v>0</v>
      </c>
      <c r="M86" s="9"/>
      <c r="N86" s="10">
        <f t="shared" si="21"/>
        <v>0</v>
      </c>
      <c r="O86" s="8">
        <f>IFERROR(N86/N445, "NA")</f>
        <v>0</v>
      </c>
      <c r="P86" s="9"/>
      <c r="Q86" s="7">
        <v>0</v>
      </c>
      <c r="R86" s="8">
        <f>IFERROR(Q86/Q445, "NA")</f>
        <v>0</v>
      </c>
      <c r="S86" s="9"/>
      <c r="T86" s="7">
        <v>0</v>
      </c>
      <c r="U86" s="8">
        <f>IFERROR(T86/T445, "NA")</f>
        <v>0</v>
      </c>
      <c r="V86" s="9"/>
      <c r="W86" s="10">
        <f t="shared" si="22"/>
        <v>0</v>
      </c>
      <c r="X86" s="8">
        <f>IFERROR(W86/W445, "NA")</f>
        <v>0</v>
      </c>
      <c r="Y86" s="9"/>
      <c r="Z86" s="7">
        <v>0</v>
      </c>
      <c r="AA86" s="8">
        <f>IFERROR(Z86/Z445, "NA")</f>
        <v>0</v>
      </c>
      <c r="AB86" s="9"/>
      <c r="AC86" s="10">
        <f t="shared" si="23"/>
        <v>0</v>
      </c>
      <c r="AD86" s="8">
        <f>IFERROR(AC86/AC445,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IFERROR(B87/B445, "NA")</f>
        <v>0</v>
      </c>
      <c r="D87" s="9"/>
      <c r="E87" s="7">
        <v>0</v>
      </c>
      <c r="F87" s="8">
        <f>IFERROR(E87/E445, "NA")</f>
        <v>0</v>
      </c>
      <c r="G87" s="9"/>
      <c r="H87" s="10">
        <f t="shared" si="20"/>
        <v>0</v>
      </c>
      <c r="I87" s="8">
        <f>IFERROR(H87/H445, "NA")</f>
        <v>0</v>
      </c>
      <c r="J87" s="9"/>
      <c r="K87" s="7">
        <v>0</v>
      </c>
      <c r="L87" s="8">
        <f>IFERROR(K87/K445, "NA")</f>
        <v>0</v>
      </c>
      <c r="M87" s="9"/>
      <c r="N87" s="10">
        <f t="shared" si="21"/>
        <v>0</v>
      </c>
      <c r="O87" s="8">
        <f>IFERROR(N87/N445, "NA")</f>
        <v>0</v>
      </c>
      <c r="P87" s="9"/>
      <c r="Q87" s="7">
        <v>0</v>
      </c>
      <c r="R87" s="8">
        <f>IFERROR(Q87/Q445, "NA")</f>
        <v>0</v>
      </c>
      <c r="S87" s="9"/>
      <c r="T87" s="7">
        <v>0</v>
      </c>
      <c r="U87" s="8">
        <f>IFERROR(T87/T445, "NA")</f>
        <v>0</v>
      </c>
      <c r="V87" s="9"/>
      <c r="W87" s="10">
        <f t="shared" si="22"/>
        <v>0</v>
      </c>
      <c r="X87" s="8">
        <f>IFERROR(W87/W445, "NA")</f>
        <v>0</v>
      </c>
      <c r="Y87" s="9"/>
      <c r="Z87" s="7">
        <v>0</v>
      </c>
      <c r="AA87" s="8">
        <f>IFERROR(Z87/Z445, "NA")</f>
        <v>0</v>
      </c>
      <c r="AB87" s="9"/>
      <c r="AC87" s="10">
        <f t="shared" si="23"/>
        <v>0</v>
      </c>
      <c r="AD87" s="8">
        <f>IFERROR(AC87/AC445,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1556.0700000000002</v>
      </c>
      <c r="C88" s="15">
        <f>IFERROR(B88/B445, "NA")</f>
        <v>1.2790931276004044E-2</v>
      </c>
      <c r="D88" s="2"/>
      <c r="E88" s="14">
        <f>IFERROR(E75+E76+E77+E78+E79+E80+E81+E82+E83+E84+E85+E86+E87, "NA")</f>
        <v>1997.07</v>
      </c>
      <c r="F88" s="15">
        <f>IFERROR(E88/E445, "NA")</f>
        <v>1.3999984998038176E-2</v>
      </c>
      <c r="G88" s="2"/>
      <c r="H88" s="14">
        <f t="shared" si="20"/>
        <v>-440.99999999999977</v>
      </c>
      <c r="I88" s="15">
        <f>IFERROR(H88/H445, "NA")</f>
        <v>2.1006151801599024E-2</v>
      </c>
      <c r="J88" s="2"/>
      <c r="K88" s="14">
        <f>IFERROR(K75+K76+K77+K78+K79+K80+K81+K82+K83+K84+K85+K86+K87, "NA")</f>
        <v>1298.48</v>
      </c>
      <c r="L88" s="15">
        <f>IFERROR(K88/K445, "NA")</f>
        <v>9.9446841876549841E-3</v>
      </c>
      <c r="M88" s="2"/>
      <c r="N88" s="14">
        <f t="shared" si="21"/>
        <v>257.59000000000015</v>
      </c>
      <c r="O88" s="15">
        <f>IFERROR(N88/N445, "NA")</f>
        <v>-2.8890434158432544E-2</v>
      </c>
      <c r="P88" s="2"/>
      <c r="Q88" s="14">
        <f>IFERROR(Q75+Q76+Q77+Q78+Q79+Q80+Q81+Q82+Q83+Q84+Q85+Q86+Q87, "NA")</f>
        <v>8032.1500000000005</v>
      </c>
      <c r="R88" s="15">
        <f>IFERROR(Q88/Q445, "NA")</f>
        <v>1.5406961672119777E-2</v>
      </c>
      <c r="S88" s="2"/>
      <c r="T88" s="14">
        <f>IFERROR(T75+T76+T77+T78+T79+T80+T81+T82+T83+T84+T85+T86+T87, "NA")</f>
        <v>8305.9599999999991</v>
      </c>
      <c r="U88" s="15">
        <f>IFERROR(T88/T445, "NA")</f>
        <v>1.3999996392952494E-2</v>
      </c>
      <c r="V88" s="2"/>
      <c r="W88" s="14">
        <f t="shared" si="22"/>
        <v>-273.80999999999858</v>
      </c>
      <c r="X88" s="15">
        <f>IFERROR(W88/W445, "NA")</f>
        <v>3.8055329705839235E-3</v>
      </c>
      <c r="Y88" s="2"/>
      <c r="Z88" s="14">
        <f>IFERROR(Z75+Z76+Z77+Z78+Z79+Z80+Z81+Z82+Z83+Z84+Z85+Z86+Z87, "NA")</f>
        <v>7815.04</v>
      </c>
      <c r="AA88" s="15">
        <f>IFERROR(Z88/Z445, "NA")</f>
        <v>1.4169975923856395E-2</v>
      </c>
      <c r="AB88" s="2"/>
      <c r="AC88" s="14">
        <f t="shared" si="23"/>
        <v>217.11000000000058</v>
      </c>
      <c r="AD88" s="15">
        <f>IFERROR(AC88/AC445, "NA")</f>
        <v>-7.1918019221863761E-3</v>
      </c>
    </row>
    <row r="89" spans="1:30" ht="16.5" customHeight="1" x14ac:dyDescent="0.45">
      <c r="A89" s="6" t="s">
        <v>85</v>
      </c>
      <c r="B89" s="7">
        <v>0</v>
      </c>
      <c r="C89" s="8">
        <f>IFERROR(B89/B445, "NA")</f>
        <v>0</v>
      </c>
      <c r="D89" s="9"/>
      <c r="E89" s="7">
        <v>0</v>
      </c>
      <c r="F89" s="8">
        <f>IFERROR(E89/E445, "NA")</f>
        <v>0</v>
      </c>
      <c r="G89" s="9"/>
      <c r="H89" s="10">
        <f t="shared" si="20"/>
        <v>0</v>
      </c>
      <c r="I89" s="8">
        <f>IFERROR(H89/H445, "NA")</f>
        <v>0</v>
      </c>
      <c r="J89" s="9"/>
      <c r="K89" s="7">
        <v>47.2</v>
      </c>
      <c r="L89" s="8">
        <f>IFERROR(K89/K445, "NA")</f>
        <v>3.6149120021664965E-4</v>
      </c>
      <c r="M89" s="9"/>
      <c r="N89" s="10">
        <f t="shared" si="21"/>
        <v>-47.2</v>
      </c>
      <c r="O89" s="8">
        <f>IFERROR(N89/N445, "NA")</f>
        <v>5.2937943719787856E-3</v>
      </c>
      <c r="P89" s="9"/>
      <c r="Q89" s="7">
        <v>-62.43</v>
      </c>
      <c r="R89" s="8">
        <f>IFERROR(Q89/Q445, "NA")</f>
        <v>-1.1975082850674323E-4</v>
      </c>
      <c r="S89" s="9"/>
      <c r="T89" s="7">
        <v>0</v>
      </c>
      <c r="U89" s="8">
        <f>IFERROR(T89/T445, "NA")</f>
        <v>0</v>
      </c>
      <c r="V89" s="9"/>
      <c r="W89" s="10">
        <f t="shared" si="22"/>
        <v>-62.43</v>
      </c>
      <c r="X89" s="8">
        <f>IFERROR(W89/W445, "NA")</f>
        <v>8.6767986323931033E-4</v>
      </c>
      <c r="Y89" s="9"/>
      <c r="Z89" s="7">
        <v>226.1</v>
      </c>
      <c r="AA89" s="8">
        <f>IFERROR(Z89/Z445, "NA")</f>
        <v>4.0995715394725183E-4</v>
      </c>
      <c r="AB89" s="9"/>
      <c r="AC89" s="10">
        <f t="shared" si="23"/>
        <v>-288.52999999999997</v>
      </c>
      <c r="AD89" s="8">
        <f>IFERROR(AC89/AC445, "NA")</f>
        <v>9.5576003344315305E-3</v>
      </c>
    </row>
    <row r="90" spans="1:30" ht="16.5" customHeight="1" x14ac:dyDescent="0.45">
      <c r="A90" s="6" t="s">
        <v>86</v>
      </c>
      <c r="B90" s="7">
        <v>-2</v>
      </c>
      <c r="C90" s="8">
        <f>IFERROR(B90/B445, "NA")</f>
        <v>-1.6440046111041331E-5</v>
      </c>
      <c r="D90" s="9"/>
      <c r="E90" s="7">
        <v>0</v>
      </c>
      <c r="F90" s="8">
        <f>IFERROR(E90/E445, "NA")</f>
        <v>0</v>
      </c>
      <c r="G90" s="9"/>
      <c r="H90" s="10">
        <f t="shared" si="20"/>
        <v>-2</v>
      </c>
      <c r="I90" s="8">
        <f>IFERROR(H90/H445, "NA")</f>
        <v>9.5265994565074981E-5</v>
      </c>
      <c r="J90" s="9"/>
      <c r="K90" s="7">
        <v>0</v>
      </c>
      <c r="L90" s="8">
        <f>IFERROR(K90/K445, "NA")</f>
        <v>0</v>
      </c>
      <c r="M90" s="9"/>
      <c r="N90" s="10">
        <f t="shared" si="21"/>
        <v>-2</v>
      </c>
      <c r="O90" s="8">
        <f>IFERROR(N90/N445, "NA")</f>
        <v>2.243133208465587E-4</v>
      </c>
      <c r="P90" s="9"/>
      <c r="Q90" s="7">
        <v>-356.62</v>
      </c>
      <c r="R90" s="8">
        <f>IFERROR(Q90/Q445, "NA")</f>
        <v>-6.8405478875660367E-4</v>
      </c>
      <c r="S90" s="9"/>
      <c r="T90" s="7">
        <v>0</v>
      </c>
      <c r="U90" s="8">
        <f>IFERROR(T90/T445, "NA")</f>
        <v>0</v>
      </c>
      <c r="V90" s="9"/>
      <c r="W90" s="10">
        <f t="shared" si="22"/>
        <v>-356.62</v>
      </c>
      <c r="X90" s="8">
        <f>IFERROR(W90/W445, "NA")</f>
        <v>4.9564631239532734E-3</v>
      </c>
      <c r="Y90" s="9"/>
      <c r="Z90" s="7">
        <v>0</v>
      </c>
      <c r="AA90" s="8">
        <f>IFERROR(Z90/Z445, "NA")</f>
        <v>0</v>
      </c>
      <c r="AB90" s="9"/>
      <c r="AC90" s="10">
        <f t="shared" si="23"/>
        <v>-356.62</v>
      </c>
      <c r="AD90" s="8">
        <f>IFERROR(AC90/AC445, "NA")</f>
        <v>1.1813091987886779E-2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IFERROR(B91/B445, "NA")</f>
        <v>0</v>
      </c>
      <c r="D91" s="9"/>
      <c r="E91" s="7">
        <v>0</v>
      </c>
      <c r="F91" s="8">
        <f>IFERROR(E91/E445, "NA")</f>
        <v>0</v>
      </c>
      <c r="G91" s="9"/>
      <c r="H91" s="10">
        <f t="shared" si="20"/>
        <v>0</v>
      </c>
      <c r="I91" s="8">
        <f>IFERROR(H91/H445, "NA")</f>
        <v>0</v>
      </c>
      <c r="J91" s="9"/>
      <c r="K91" s="7">
        <v>0</v>
      </c>
      <c r="L91" s="8">
        <f>IFERROR(K91/K445, "NA")</f>
        <v>0</v>
      </c>
      <c r="M91" s="9"/>
      <c r="N91" s="10">
        <f t="shared" si="21"/>
        <v>0</v>
      </c>
      <c r="O91" s="8">
        <f>IFERROR(N91/N445, "NA")</f>
        <v>0</v>
      </c>
      <c r="P91" s="9"/>
      <c r="Q91" s="7">
        <v>0</v>
      </c>
      <c r="R91" s="8">
        <f>IFERROR(Q91/Q445, "NA")</f>
        <v>0</v>
      </c>
      <c r="S91" s="9"/>
      <c r="T91" s="7">
        <v>0</v>
      </c>
      <c r="U91" s="8">
        <f>IFERROR(T91/T445, "NA")</f>
        <v>0</v>
      </c>
      <c r="V91" s="9"/>
      <c r="W91" s="10">
        <f t="shared" si="22"/>
        <v>0</v>
      </c>
      <c r="X91" s="8">
        <f>IFERROR(W91/W445, "NA")</f>
        <v>0</v>
      </c>
      <c r="Y91" s="9"/>
      <c r="Z91" s="7">
        <v>0</v>
      </c>
      <c r="AA91" s="8">
        <f>IFERROR(Z91/Z445, "NA")</f>
        <v>0</v>
      </c>
      <c r="AB91" s="9"/>
      <c r="AC91" s="10">
        <f t="shared" si="23"/>
        <v>0</v>
      </c>
      <c r="AD91" s="8">
        <f>IFERROR(AC91/AC445,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IFERROR(B92/B445, "NA")</f>
        <v>0</v>
      </c>
      <c r="D92" s="9"/>
      <c r="E92" s="7">
        <v>0</v>
      </c>
      <c r="F92" s="8">
        <f>IFERROR(E92/E445, "NA")</f>
        <v>0</v>
      </c>
      <c r="G92" s="9"/>
      <c r="H92" s="10">
        <f t="shared" si="20"/>
        <v>0</v>
      </c>
      <c r="I92" s="8">
        <f>IFERROR(H92/H445, "NA")</f>
        <v>0</v>
      </c>
      <c r="J92" s="9"/>
      <c r="K92" s="7">
        <v>0</v>
      </c>
      <c r="L92" s="8">
        <f>IFERROR(K92/K445, "NA")</f>
        <v>0</v>
      </c>
      <c r="M92" s="9"/>
      <c r="N92" s="10">
        <f t="shared" si="21"/>
        <v>0</v>
      </c>
      <c r="O92" s="8">
        <f>IFERROR(N92/N445, "NA")</f>
        <v>0</v>
      </c>
      <c r="P92" s="9"/>
      <c r="Q92" s="7">
        <v>0</v>
      </c>
      <c r="R92" s="8">
        <f>IFERROR(Q92/Q445, "NA")</f>
        <v>0</v>
      </c>
      <c r="S92" s="9"/>
      <c r="T92" s="7">
        <v>0</v>
      </c>
      <c r="U92" s="8">
        <f>IFERROR(T92/T445, "NA")</f>
        <v>0</v>
      </c>
      <c r="V92" s="9"/>
      <c r="W92" s="10">
        <f t="shared" si="22"/>
        <v>0</v>
      </c>
      <c r="X92" s="8">
        <f>IFERROR(W92/W445, "NA")</f>
        <v>0</v>
      </c>
      <c r="Y92" s="9"/>
      <c r="Z92" s="7">
        <v>0</v>
      </c>
      <c r="AA92" s="8">
        <f>IFERROR(Z92/Z445, "NA")</f>
        <v>0</v>
      </c>
      <c r="AB92" s="9"/>
      <c r="AC92" s="10">
        <f t="shared" si="23"/>
        <v>0</v>
      </c>
      <c r="AD92" s="8">
        <f>IFERROR(AC92/AC445,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IFERROR(B94/B445, "NA")</f>
        <v>0</v>
      </c>
      <c r="D94" s="9"/>
      <c r="E94" s="7">
        <v>-8844.18</v>
      </c>
      <c r="F94" s="8">
        <f>IFERROR(E94/E445, "NA")</f>
        <v>-6.2000023694687365E-2</v>
      </c>
      <c r="G94" s="9"/>
      <c r="H94" s="10">
        <f t="shared" ref="H94:H124" si="24">IFERROR(B94-E94, "NA")</f>
        <v>8844.18</v>
      </c>
      <c r="I94" s="8">
        <f>IFERROR(H94/H445, "NA")</f>
        <v>-0.42127480190627242</v>
      </c>
      <c r="J94" s="9"/>
      <c r="K94" s="7">
        <v>0</v>
      </c>
      <c r="L94" s="8">
        <f>IFERROR(K94/K445, "NA")</f>
        <v>0</v>
      </c>
      <c r="M94" s="9"/>
      <c r="N94" s="10">
        <f t="shared" ref="N94:N124" si="25">IFERROR(B94-K94, "NA")</f>
        <v>0</v>
      </c>
      <c r="O94" s="8">
        <f>IFERROR(N94/N445, "NA")</f>
        <v>0</v>
      </c>
      <c r="P94" s="9"/>
      <c r="Q94" s="7">
        <v>0</v>
      </c>
      <c r="R94" s="8">
        <f>IFERROR(Q94/Q445, "NA")</f>
        <v>0</v>
      </c>
      <c r="S94" s="9"/>
      <c r="T94" s="7">
        <v>-36783.550000000003</v>
      </c>
      <c r="U94" s="8">
        <f>IFERROR(T94/T445, "NA")</f>
        <v>-6.2000005697112413E-2</v>
      </c>
      <c r="V94" s="9"/>
      <c r="W94" s="10">
        <f t="shared" ref="W94:W124" si="26">IFERROR(Q94-T94, "NA")</f>
        <v>36783.550000000003</v>
      </c>
      <c r="X94" s="8">
        <f>IFERROR(W94/W445, "NA")</f>
        <v>-0.51123411234112348</v>
      </c>
      <c r="Y94" s="9"/>
      <c r="Z94" s="7">
        <v>0</v>
      </c>
      <c r="AA94" s="8">
        <f>IFERROR(Z94/Z445, "NA")</f>
        <v>0</v>
      </c>
      <c r="AB94" s="9"/>
      <c r="AC94" s="10">
        <f t="shared" ref="AC94:AC124" si="27">IFERROR(Q94-Z94, "NA")</f>
        <v>0</v>
      </c>
      <c r="AD94" s="8">
        <f>IFERROR(AC94/AC445,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IFERROR(B95/B445, "NA")</f>
        <v>0</v>
      </c>
      <c r="D95" s="9"/>
      <c r="E95" s="7">
        <v>0</v>
      </c>
      <c r="F95" s="8">
        <f>IFERROR(E95/E445, "NA")</f>
        <v>0</v>
      </c>
      <c r="G95" s="9"/>
      <c r="H95" s="10">
        <f t="shared" si="24"/>
        <v>0</v>
      </c>
      <c r="I95" s="8">
        <f>IFERROR(H95/H445, "NA")</f>
        <v>0</v>
      </c>
      <c r="J95" s="9"/>
      <c r="K95" s="7">
        <v>0</v>
      </c>
      <c r="L95" s="8">
        <f>IFERROR(K95/K445, "NA")</f>
        <v>0</v>
      </c>
      <c r="M95" s="9"/>
      <c r="N95" s="10">
        <f t="shared" si="25"/>
        <v>0</v>
      </c>
      <c r="O95" s="8">
        <f>IFERROR(N95/N445, "NA")</f>
        <v>0</v>
      </c>
      <c r="P95" s="9"/>
      <c r="Q95" s="7">
        <v>0</v>
      </c>
      <c r="R95" s="8">
        <f>IFERROR(Q95/Q445, "NA")</f>
        <v>0</v>
      </c>
      <c r="S95" s="9"/>
      <c r="T95" s="7">
        <v>0</v>
      </c>
      <c r="U95" s="8">
        <f>IFERROR(T95/T445, "NA")</f>
        <v>0</v>
      </c>
      <c r="V95" s="9"/>
      <c r="W95" s="10">
        <f t="shared" si="26"/>
        <v>0</v>
      </c>
      <c r="X95" s="8">
        <f>IFERROR(W95/W445, "NA")</f>
        <v>0</v>
      </c>
      <c r="Y95" s="9"/>
      <c r="Z95" s="7">
        <v>0</v>
      </c>
      <c r="AA95" s="8">
        <f>IFERROR(Z95/Z445, "NA")</f>
        <v>0</v>
      </c>
      <c r="AB95" s="9"/>
      <c r="AC95" s="10">
        <f t="shared" si="27"/>
        <v>0</v>
      </c>
      <c r="AD95" s="8">
        <f>IFERROR(AC95/AC445, "NA")</f>
        <v>0</v>
      </c>
    </row>
    <row r="96" spans="1:30" ht="16.5" customHeight="1" x14ac:dyDescent="0.45">
      <c r="A96" s="12" t="s">
        <v>91</v>
      </c>
      <c r="B96" s="7">
        <v>-818.98</v>
      </c>
      <c r="C96" s="8">
        <f>IFERROR(B96/B445, "NA")</f>
        <v>-6.7320344820103149E-3</v>
      </c>
      <c r="D96" s="9"/>
      <c r="E96" s="7">
        <v>0</v>
      </c>
      <c r="F96" s="8">
        <f>IFERROR(E96/E445, "NA")</f>
        <v>0</v>
      </c>
      <c r="G96" s="9"/>
      <c r="H96" s="10">
        <f t="shared" si="24"/>
        <v>-818.98</v>
      </c>
      <c r="I96" s="8">
        <f>IFERROR(H96/H445, "NA")</f>
        <v>3.9010472114452556E-2</v>
      </c>
      <c r="J96" s="9"/>
      <c r="K96" s="7">
        <v>-1401.9</v>
      </c>
      <c r="L96" s="8">
        <f>IFERROR(K96/K445, "NA")</f>
        <v>-1.0736748169146635E-2</v>
      </c>
      <c r="M96" s="9"/>
      <c r="N96" s="10">
        <f t="shared" si="25"/>
        <v>582.92000000000007</v>
      </c>
      <c r="O96" s="8">
        <f>IFERROR(N96/N445, "NA")</f>
        <v>-6.5378360493937998E-2</v>
      </c>
      <c r="P96" s="9"/>
      <c r="Q96" s="7">
        <v>-4655.37</v>
      </c>
      <c r="R96" s="8">
        <f>IFERROR(Q96/Q445, "NA")</f>
        <v>-8.9297519542757848E-3</v>
      </c>
      <c r="S96" s="9"/>
      <c r="T96" s="7">
        <v>0</v>
      </c>
      <c r="U96" s="8">
        <f>IFERROR(T96/T445, "NA")</f>
        <v>0</v>
      </c>
      <c r="V96" s="9"/>
      <c r="W96" s="10">
        <f t="shared" si="26"/>
        <v>-4655.37</v>
      </c>
      <c r="X96" s="8">
        <f>IFERROR(W96/W445, "NA")</f>
        <v>6.4702399566368543E-2</v>
      </c>
      <c r="Y96" s="9"/>
      <c r="Z96" s="7">
        <v>-7082.47</v>
      </c>
      <c r="AA96" s="8">
        <f>IFERROR(Z96/Z445, "NA")</f>
        <v>-1.2841703866062773E-2</v>
      </c>
      <c r="AB96" s="9"/>
      <c r="AC96" s="10">
        <f t="shared" si="27"/>
        <v>2427.1000000000004</v>
      </c>
      <c r="AD96" s="8">
        <f>IFERROR(AC96/AC445, "NA")</f>
        <v>-8.0398058336043993E-2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IFERROR(B97/B445, "NA")</f>
        <v>0</v>
      </c>
      <c r="D97" s="9"/>
      <c r="E97" s="7">
        <v>0</v>
      </c>
      <c r="F97" s="8">
        <f>IFERROR(E97/E445, "NA")</f>
        <v>0</v>
      </c>
      <c r="G97" s="9"/>
      <c r="H97" s="10">
        <f t="shared" si="24"/>
        <v>0</v>
      </c>
      <c r="I97" s="8">
        <f>IFERROR(H97/H445, "NA")</f>
        <v>0</v>
      </c>
      <c r="J97" s="9"/>
      <c r="K97" s="7">
        <v>0</v>
      </c>
      <c r="L97" s="8">
        <f>IFERROR(K97/K445, "NA")</f>
        <v>0</v>
      </c>
      <c r="M97" s="9"/>
      <c r="N97" s="10">
        <f t="shared" si="25"/>
        <v>0</v>
      </c>
      <c r="O97" s="8">
        <f>IFERROR(N97/N445, "NA")</f>
        <v>0</v>
      </c>
      <c r="P97" s="9"/>
      <c r="Q97" s="7">
        <v>0</v>
      </c>
      <c r="R97" s="8">
        <f>IFERROR(Q97/Q445, "NA")</f>
        <v>0</v>
      </c>
      <c r="S97" s="9"/>
      <c r="T97" s="7">
        <v>0</v>
      </c>
      <c r="U97" s="8">
        <f>IFERROR(T97/T445, "NA")</f>
        <v>0</v>
      </c>
      <c r="V97" s="9"/>
      <c r="W97" s="10">
        <f t="shared" si="26"/>
        <v>0</v>
      </c>
      <c r="X97" s="8">
        <f>IFERROR(W97/W445, "NA")</f>
        <v>0</v>
      </c>
      <c r="Y97" s="9"/>
      <c r="Z97" s="7">
        <v>0</v>
      </c>
      <c r="AA97" s="8">
        <f>IFERROR(Z97/Z445, "NA")</f>
        <v>0</v>
      </c>
      <c r="AB97" s="9"/>
      <c r="AC97" s="10">
        <f t="shared" si="27"/>
        <v>0</v>
      </c>
      <c r="AD97" s="8">
        <f>IFERROR(AC97/AC445, "NA")</f>
        <v>0</v>
      </c>
    </row>
    <row r="98" spans="1:30" ht="16.5" customHeight="1" x14ac:dyDescent="0.45">
      <c r="A98" s="12" t="s">
        <v>93</v>
      </c>
      <c r="B98" s="7">
        <v>-1451.32</v>
      </c>
      <c r="C98" s="8">
        <f>IFERROR(B98/B445, "NA")</f>
        <v>-1.1929883860938252E-2</v>
      </c>
      <c r="D98" s="9"/>
      <c r="E98" s="7">
        <v>0</v>
      </c>
      <c r="F98" s="8">
        <f>IFERROR(E98/E445, "NA")</f>
        <v>0</v>
      </c>
      <c r="G98" s="9"/>
      <c r="H98" s="10">
        <f t="shared" si="24"/>
        <v>-1451.32</v>
      </c>
      <c r="I98" s="8">
        <f>IFERROR(H98/H445, "NA")</f>
        <v>6.9130721616092308E-2</v>
      </c>
      <c r="J98" s="9"/>
      <c r="K98" s="7">
        <v>-2387.27</v>
      </c>
      <c r="L98" s="8">
        <f>IFERROR(K98/K445, "NA")</f>
        <v>-1.8283413083500025E-2</v>
      </c>
      <c r="M98" s="9"/>
      <c r="N98" s="10">
        <f t="shared" si="25"/>
        <v>935.95</v>
      </c>
      <c r="O98" s="8">
        <f>IFERROR(N98/N445, "NA")</f>
        <v>-0.10497302632316831</v>
      </c>
      <c r="P98" s="9"/>
      <c r="Q98" s="7">
        <v>-6644.46</v>
      </c>
      <c r="R98" s="8">
        <f>IFERROR(Q98/Q445, "NA")</f>
        <v>-1.274514800544474E-2</v>
      </c>
      <c r="S98" s="9"/>
      <c r="T98" s="7">
        <v>0</v>
      </c>
      <c r="U98" s="8">
        <f>IFERROR(T98/T445, "NA")</f>
        <v>0</v>
      </c>
      <c r="V98" s="9"/>
      <c r="W98" s="10">
        <f t="shared" si="26"/>
        <v>-6644.46</v>
      </c>
      <c r="X98" s="8">
        <f>IFERROR(W98/W445, "NA")</f>
        <v>9.2347655679946627E-2</v>
      </c>
      <c r="Y98" s="9"/>
      <c r="Z98" s="7">
        <v>-10502.09</v>
      </c>
      <c r="AA98" s="8">
        <f>IFERROR(Z98/Z445, "NA")</f>
        <v>-1.9042047443157427E-2</v>
      </c>
      <c r="AB98" s="9"/>
      <c r="AC98" s="10">
        <f t="shared" si="27"/>
        <v>3857.63</v>
      </c>
      <c r="AD98" s="8">
        <f>IFERROR(AC98/AC445, "NA")</f>
        <v>-0.12778458315638966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IFERROR(B99/B445, "NA")</f>
        <v>0</v>
      </c>
      <c r="D99" s="9"/>
      <c r="E99" s="7">
        <v>0</v>
      </c>
      <c r="F99" s="8">
        <f>IFERROR(E99/E445, "NA")</f>
        <v>0</v>
      </c>
      <c r="G99" s="9"/>
      <c r="H99" s="10">
        <f t="shared" si="24"/>
        <v>0</v>
      </c>
      <c r="I99" s="8">
        <f>IFERROR(H99/H445, "NA")</f>
        <v>0</v>
      </c>
      <c r="J99" s="9"/>
      <c r="K99" s="7">
        <v>0</v>
      </c>
      <c r="L99" s="8">
        <f>IFERROR(K99/K445, "NA")</f>
        <v>0</v>
      </c>
      <c r="M99" s="9"/>
      <c r="N99" s="10">
        <f t="shared" si="25"/>
        <v>0</v>
      </c>
      <c r="O99" s="8">
        <f>IFERROR(N99/N445, "NA")</f>
        <v>0</v>
      </c>
      <c r="P99" s="9"/>
      <c r="Q99" s="7">
        <v>0</v>
      </c>
      <c r="R99" s="8">
        <f>IFERROR(Q99/Q445, "NA")</f>
        <v>0</v>
      </c>
      <c r="S99" s="9"/>
      <c r="T99" s="7">
        <v>0</v>
      </c>
      <c r="U99" s="8">
        <f>IFERROR(T99/T445, "NA")</f>
        <v>0</v>
      </c>
      <c r="V99" s="9"/>
      <c r="W99" s="10">
        <f t="shared" si="26"/>
        <v>0</v>
      </c>
      <c r="X99" s="8">
        <f>IFERROR(W99/W445, "NA")</f>
        <v>0</v>
      </c>
      <c r="Y99" s="9"/>
      <c r="Z99" s="7">
        <v>0</v>
      </c>
      <c r="AA99" s="8">
        <f>IFERROR(Z99/Z445, "NA")</f>
        <v>0</v>
      </c>
      <c r="AB99" s="9"/>
      <c r="AC99" s="10">
        <f t="shared" si="27"/>
        <v>0</v>
      </c>
      <c r="AD99" s="8">
        <f>IFERROR(AC99/AC445, "NA")</f>
        <v>0</v>
      </c>
    </row>
    <row r="100" spans="1:30" ht="16.5" customHeight="1" x14ac:dyDescent="0.45">
      <c r="A100" s="12" t="s">
        <v>95</v>
      </c>
      <c r="B100" s="7">
        <v>-218.33</v>
      </c>
      <c r="C100" s="8">
        <f>IFERROR(B100/B445, "NA")</f>
        <v>-1.7946776337118271E-3</v>
      </c>
      <c r="D100" s="9"/>
      <c r="E100" s="7">
        <v>0</v>
      </c>
      <c r="F100" s="8">
        <f>IFERROR(E100/E445, "NA")</f>
        <v>0</v>
      </c>
      <c r="G100" s="9"/>
      <c r="H100" s="10">
        <f t="shared" si="24"/>
        <v>-218.33</v>
      </c>
      <c r="I100" s="8">
        <f>IFERROR(H100/H445, "NA")</f>
        <v>1.0399712296696411E-2</v>
      </c>
      <c r="J100" s="9"/>
      <c r="K100" s="7">
        <v>-28.3</v>
      </c>
      <c r="L100" s="8">
        <f>IFERROR(K100/K445, "NA")</f>
        <v>-2.1674154589260987E-4</v>
      </c>
      <c r="M100" s="9"/>
      <c r="N100" s="10">
        <f t="shared" si="25"/>
        <v>-190.03</v>
      </c>
      <c r="O100" s="8">
        <f>IFERROR(N100/N445, "NA")</f>
        <v>2.1313130180235774E-2</v>
      </c>
      <c r="P100" s="9"/>
      <c r="Q100" s="7">
        <v>-319.60000000000002</v>
      </c>
      <c r="R100" s="8">
        <f>IFERROR(Q100/Q445, "NA")</f>
        <v>-6.1304444643208616E-4</v>
      </c>
      <c r="S100" s="9"/>
      <c r="T100" s="7">
        <v>0</v>
      </c>
      <c r="U100" s="8">
        <f>IFERROR(T100/T445, "NA")</f>
        <v>0</v>
      </c>
      <c r="V100" s="9"/>
      <c r="W100" s="10">
        <f t="shared" si="26"/>
        <v>-319.60000000000002</v>
      </c>
      <c r="X100" s="8">
        <f>IFERROR(W100/W445, "NA")</f>
        <v>4.4419427245119911E-3</v>
      </c>
      <c r="Y100" s="9"/>
      <c r="Z100" s="7">
        <v>-620.67999999999995</v>
      </c>
      <c r="AA100" s="8">
        <f>IFERROR(Z100/Z445, "NA")</f>
        <v>-1.125396755028661E-3</v>
      </c>
      <c r="AB100" s="9"/>
      <c r="AC100" s="10">
        <f t="shared" si="27"/>
        <v>301.07999999999993</v>
      </c>
      <c r="AD100" s="8">
        <f>IFERROR(AC100/AC445, "NA")</f>
        <v>-9.9733210019431074E-3</v>
      </c>
    </row>
    <row r="101" spans="1:30" ht="16.5" customHeight="1" x14ac:dyDescent="0.45">
      <c r="A101" s="12" t="s">
        <v>96</v>
      </c>
      <c r="B101" s="7">
        <v>0</v>
      </c>
      <c r="C101" s="8">
        <f>IFERROR(B101/B445, "NA")</f>
        <v>0</v>
      </c>
      <c r="D101" s="9"/>
      <c r="E101" s="7">
        <v>0</v>
      </c>
      <c r="F101" s="8">
        <f>IFERROR(E101/E445, "NA")</f>
        <v>0</v>
      </c>
      <c r="G101" s="9"/>
      <c r="H101" s="10">
        <f t="shared" si="24"/>
        <v>0</v>
      </c>
      <c r="I101" s="8">
        <f>IFERROR(H101/H445, "NA")</f>
        <v>0</v>
      </c>
      <c r="J101" s="9"/>
      <c r="K101" s="7">
        <v>0</v>
      </c>
      <c r="L101" s="8">
        <f>IFERROR(K101/K445, "NA")</f>
        <v>0</v>
      </c>
      <c r="M101" s="9"/>
      <c r="N101" s="10">
        <f t="shared" si="25"/>
        <v>0</v>
      </c>
      <c r="O101" s="8">
        <f>IFERROR(N101/N445, "NA")</f>
        <v>0</v>
      </c>
      <c r="P101" s="9"/>
      <c r="Q101" s="7">
        <v>-89.09</v>
      </c>
      <c r="R101" s="8">
        <f>IFERROR(Q101/Q445, "NA")</f>
        <v>-1.7088901668533966E-4</v>
      </c>
      <c r="S101" s="9"/>
      <c r="T101" s="7">
        <v>0</v>
      </c>
      <c r="U101" s="8">
        <f>IFERROR(T101/T445, "NA")</f>
        <v>0</v>
      </c>
      <c r="V101" s="9"/>
      <c r="W101" s="10">
        <f t="shared" si="26"/>
        <v>-89.09</v>
      </c>
      <c r="X101" s="8">
        <f>IFERROR(W101/W445, "NA")</f>
        <v>1.2382123821238213E-3</v>
      </c>
      <c r="Y101" s="9"/>
      <c r="Z101" s="7">
        <v>0</v>
      </c>
      <c r="AA101" s="8">
        <f>IFERROR(Z101/Z445, "NA")</f>
        <v>0</v>
      </c>
      <c r="AB101" s="9"/>
      <c r="AC101" s="10">
        <f t="shared" si="27"/>
        <v>-89.09</v>
      </c>
      <c r="AD101" s="8">
        <f>IFERROR(AC101/AC445, "NA")</f>
        <v>2.95111986204036E-3</v>
      </c>
    </row>
    <row r="102" spans="1:30" ht="16.5" customHeight="1" x14ac:dyDescent="0.45">
      <c r="A102" s="12" t="s">
        <v>97</v>
      </c>
      <c r="B102" s="7">
        <v>-541.52</v>
      </c>
      <c r="C102" s="8">
        <f>IFERROR(B102/B445, "NA")</f>
        <v>-4.4513068850255506E-3</v>
      </c>
      <c r="D102" s="9"/>
      <c r="E102" s="7">
        <v>0</v>
      </c>
      <c r="F102" s="8">
        <f>IFERROR(E102/E445, "NA")</f>
        <v>0</v>
      </c>
      <c r="G102" s="9"/>
      <c r="H102" s="10">
        <f t="shared" si="24"/>
        <v>-541.52</v>
      </c>
      <c r="I102" s="8">
        <f>IFERROR(H102/H445, "NA")</f>
        <v>2.5794220688439701E-2</v>
      </c>
      <c r="J102" s="9"/>
      <c r="K102" s="7">
        <v>-1253.25</v>
      </c>
      <c r="L102" s="8">
        <f>IFERROR(K102/K445, "NA")</f>
        <v>-9.5982806498202573E-3</v>
      </c>
      <c r="M102" s="9"/>
      <c r="N102" s="10">
        <f t="shared" si="25"/>
        <v>711.73</v>
      </c>
      <c r="O102" s="8">
        <f>IFERROR(N102/N445, "NA")</f>
        <v>-7.982525992306061E-2</v>
      </c>
      <c r="P102" s="9"/>
      <c r="Q102" s="7">
        <v>-3454.99</v>
      </c>
      <c r="R102" s="8">
        <f>IFERROR(Q102/Q445, "NA")</f>
        <v>-6.6272291363529195E-3</v>
      </c>
      <c r="S102" s="9"/>
      <c r="T102" s="7">
        <v>0</v>
      </c>
      <c r="U102" s="8">
        <f>IFERROR(T102/T445, "NA")</f>
        <v>0</v>
      </c>
      <c r="V102" s="9"/>
      <c r="W102" s="10">
        <f t="shared" si="26"/>
        <v>-3454.99</v>
      </c>
      <c r="X102" s="8">
        <f>IFERROR(W102/W445, "NA")</f>
        <v>4.8018985274598504E-2</v>
      </c>
      <c r="Y102" s="9"/>
      <c r="Z102" s="7">
        <v>-7969.63</v>
      </c>
      <c r="AA102" s="8">
        <f>IFERROR(Z102/Z445, "NA")</f>
        <v>-1.4450273475509229E-2</v>
      </c>
      <c r="AB102" s="9"/>
      <c r="AC102" s="10">
        <f t="shared" si="27"/>
        <v>4514.6400000000003</v>
      </c>
      <c r="AD102" s="8">
        <f>IFERROR(AC102/AC445, "NA")</f>
        <v>-0.14954813979079462</v>
      </c>
    </row>
    <row r="103" spans="1:30" ht="16.5" customHeight="1" x14ac:dyDescent="0.45">
      <c r="A103" s="12" t="s">
        <v>98</v>
      </c>
      <c r="B103" s="7">
        <v>-7.91</v>
      </c>
      <c r="C103" s="8">
        <f>IFERROR(B103/B445, "NA")</f>
        <v>-6.5020382369168471E-5</v>
      </c>
      <c r="D103" s="9"/>
      <c r="E103" s="7">
        <v>0</v>
      </c>
      <c r="F103" s="8">
        <f>IFERROR(E103/E445, "NA")</f>
        <v>0</v>
      </c>
      <c r="G103" s="9"/>
      <c r="H103" s="10">
        <f t="shared" si="24"/>
        <v>-7.91</v>
      </c>
      <c r="I103" s="8">
        <f>IFERROR(H103/H445, "NA")</f>
        <v>3.7677700850487157E-4</v>
      </c>
      <c r="J103" s="9"/>
      <c r="K103" s="7">
        <v>0</v>
      </c>
      <c r="L103" s="8">
        <f>IFERROR(K103/K445, "NA")</f>
        <v>0</v>
      </c>
      <c r="M103" s="9"/>
      <c r="N103" s="10">
        <f t="shared" si="25"/>
        <v>-7.91</v>
      </c>
      <c r="O103" s="8">
        <f>IFERROR(N103/N445, "NA")</f>
        <v>8.8715918394813959E-4</v>
      </c>
      <c r="P103" s="9"/>
      <c r="Q103" s="7">
        <v>-47.91</v>
      </c>
      <c r="R103" s="8">
        <f>IFERROR(Q103/Q445, "NA")</f>
        <v>-9.1899122116900016E-5</v>
      </c>
      <c r="S103" s="9"/>
      <c r="T103" s="7">
        <v>0</v>
      </c>
      <c r="U103" s="8">
        <f>IFERROR(T103/T445, "NA")</f>
        <v>0</v>
      </c>
      <c r="V103" s="9"/>
      <c r="W103" s="10">
        <f t="shared" si="26"/>
        <v>-47.91</v>
      </c>
      <c r="X103" s="8">
        <f>IFERROR(W103/W445, "NA")</f>
        <v>6.65874455354723E-4</v>
      </c>
      <c r="Y103" s="9"/>
      <c r="Z103" s="7">
        <v>0</v>
      </c>
      <c r="AA103" s="8">
        <f>IFERROR(Z103/Z445, "NA")</f>
        <v>0</v>
      </c>
      <c r="AB103" s="9"/>
      <c r="AC103" s="10">
        <f t="shared" si="27"/>
        <v>-47.91</v>
      </c>
      <c r="AD103" s="8">
        <f>IFERROR(AC103/AC445, "NA")</f>
        <v>1.5870260701577464E-3</v>
      </c>
    </row>
    <row r="104" spans="1:30" ht="16.5" customHeight="1" x14ac:dyDescent="0.45">
      <c r="A104" s="12" t="s">
        <v>99</v>
      </c>
      <c r="B104" s="7">
        <v>-532.55999999999995</v>
      </c>
      <c r="C104" s="8">
        <f>IFERROR(B104/B445, "NA")</f>
        <v>-4.3776554784480852E-3</v>
      </c>
      <c r="D104" s="9"/>
      <c r="E104" s="7">
        <v>0</v>
      </c>
      <c r="F104" s="8">
        <f>IFERROR(E104/E445, "NA")</f>
        <v>0</v>
      </c>
      <c r="G104" s="9"/>
      <c r="H104" s="10">
        <f t="shared" si="24"/>
        <v>-532.55999999999995</v>
      </c>
      <c r="I104" s="8">
        <f>IFERROR(H104/H445, "NA")</f>
        <v>2.5367429032788165E-2</v>
      </c>
      <c r="J104" s="9"/>
      <c r="K104" s="7">
        <v>-911.51</v>
      </c>
      <c r="L104" s="8">
        <f>IFERROR(K104/K445, "NA")</f>
        <v>-6.9809924557092864E-3</v>
      </c>
      <c r="M104" s="9"/>
      <c r="N104" s="10">
        <f t="shared" si="25"/>
        <v>378.95000000000005</v>
      </c>
      <c r="O104" s="8">
        <f>IFERROR(N104/N445, "NA")</f>
        <v>-4.2501766467401711E-2</v>
      </c>
      <c r="P104" s="9"/>
      <c r="Q104" s="7">
        <v>-3052.35</v>
      </c>
      <c r="R104" s="8">
        <f>IFERROR(Q104/Q445, "NA")</f>
        <v>-5.8549005508979285E-3</v>
      </c>
      <c r="S104" s="9"/>
      <c r="T104" s="7">
        <v>0</v>
      </c>
      <c r="U104" s="8">
        <f>IFERROR(T104/T445, "NA")</f>
        <v>0</v>
      </c>
      <c r="V104" s="9"/>
      <c r="W104" s="10">
        <f t="shared" si="26"/>
        <v>-3052.35</v>
      </c>
      <c r="X104" s="8">
        <f>IFERROR(W104/W445, "NA")</f>
        <v>4.2422915754581271E-2</v>
      </c>
      <c r="Y104" s="9"/>
      <c r="Z104" s="7">
        <v>-5242.68</v>
      </c>
      <c r="AA104" s="8">
        <f>IFERROR(Z104/Z445, "NA")</f>
        <v>-9.5058565760998606E-3</v>
      </c>
      <c r="AB104" s="9"/>
      <c r="AC104" s="10">
        <f t="shared" si="27"/>
        <v>2190.3300000000004</v>
      </c>
      <c r="AD104" s="8">
        <f>IFERROR(AC104/AC445, "NA")</f>
        <v>-7.2555015910010803E-2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IFERROR(B105/B445, "NA")</f>
        <v>0</v>
      </c>
      <c r="D105" s="9"/>
      <c r="E105" s="7">
        <v>0</v>
      </c>
      <c r="F105" s="8">
        <f>IFERROR(E105/E445, "NA")</f>
        <v>0</v>
      </c>
      <c r="G105" s="9"/>
      <c r="H105" s="10">
        <f t="shared" si="24"/>
        <v>0</v>
      </c>
      <c r="I105" s="8">
        <f>IFERROR(H105/H445, "NA")</f>
        <v>0</v>
      </c>
      <c r="J105" s="9"/>
      <c r="K105" s="7">
        <v>0</v>
      </c>
      <c r="L105" s="8">
        <f>IFERROR(K105/K445, "NA")</f>
        <v>0</v>
      </c>
      <c r="M105" s="9"/>
      <c r="N105" s="10">
        <f t="shared" si="25"/>
        <v>0</v>
      </c>
      <c r="O105" s="8">
        <f>IFERROR(N105/N445, "NA")</f>
        <v>0</v>
      </c>
      <c r="P105" s="9"/>
      <c r="Q105" s="7">
        <v>0</v>
      </c>
      <c r="R105" s="8">
        <f>IFERROR(Q105/Q445, "NA")</f>
        <v>0</v>
      </c>
      <c r="S105" s="9"/>
      <c r="T105" s="7">
        <v>0</v>
      </c>
      <c r="U105" s="8">
        <f>IFERROR(T105/T445, "NA")</f>
        <v>0</v>
      </c>
      <c r="V105" s="9"/>
      <c r="W105" s="10">
        <f t="shared" si="26"/>
        <v>0</v>
      </c>
      <c r="X105" s="8">
        <f>IFERROR(W105/W445, "NA")</f>
        <v>0</v>
      </c>
      <c r="Y105" s="9"/>
      <c r="Z105" s="7">
        <v>0</v>
      </c>
      <c r="AA105" s="8">
        <f>IFERROR(Z105/Z445, "NA")</f>
        <v>0</v>
      </c>
      <c r="AB105" s="9"/>
      <c r="AC105" s="10">
        <f t="shared" si="27"/>
        <v>0</v>
      </c>
      <c r="AD105" s="8">
        <f>IFERROR(AC105/AC445,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IFERROR(B106/B445, "NA")</f>
        <v>0</v>
      </c>
      <c r="D106" s="9"/>
      <c r="E106" s="7">
        <v>0</v>
      </c>
      <c r="F106" s="8">
        <f>IFERROR(E106/E445, "NA")</f>
        <v>0</v>
      </c>
      <c r="G106" s="9"/>
      <c r="H106" s="10">
        <f t="shared" si="24"/>
        <v>0</v>
      </c>
      <c r="I106" s="8">
        <f>IFERROR(H106/H445, "NA")</f>
        <v>0</v>
      </c>
      <c r="J106" s="9"/>
      <c r="K106" s="7">
        <v>-351.5</v>
      </c>
      <c r="L106" s="8">
        <f>IFERROR(K106/K445, "NA")</f>
        <v>-2.6920372219523805E-3</v>
      </c>
      <c r="M106" s="9"/>
      <c r="N106" s="10">
        <f t="shared" si="25"/>
        <v>351.5</v>
      </c>
      <c r="O106" s="8">
        <f>IFERROR(N106/N445, "NA")</f>
        <v>-3.9423066138782693E-2</v>
      </c>
      <c r="P106" s="9"/>
      <c r="Q106" s="7">
        <v>-203.48</v>
      </c>
      <c r="R106" s="8">
        <f>IFERROR(Q106/Q445, "NA")</f>
        <v>-3.9030752177722424E-4</v>
      </c>
      <c r="S106" s="9"/>
      <c r="T106" s="7">
        <v>0</v>
      </c>
      <c r="U106" s="8">
        <f>IFERROR(T106/T445, "NA")</f>
        <v>0</v>
      </c>
      <c r="V106" s="9"/>
      <c r="W106" s="10">
        <f t="shared" si="26"/>
        <v>-203.48</v>
      </c>
      <c r="X106" s="8">
        <f>IFERROR(W106/W445, "NA")</f>
        <v>2.8280553991980595E-3</v>
      </c>
      <c r="Y106" s="9"/>
      <c r="Z106" s="7">
        <v>-1196.24</v>
      </c>
      <c r="AA106" s="8">
        <f>IFERROR(Z106/Z445, "NA")</f>
        <v>-2.168983396009998E-3</v>
      </c>
      <c r="AB106" s="9"/>
      <c r="AC106" s="10">
        <f t="shared" si="27"/>
        <v>992.76</v>
      </c>
      <c r="AD106" s="8">
        <f>IFERROR(AC106/AC445, "NA")</f>
        <v>-3.2885326683569284E-2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IFERROR(B107/B445, "NA")</f>
        <v>0</v>
      </c>
      <c r="D107" s="9"/>
      <c r="E107" s="7">
        <v>0</v>
      </c>
      <c r="F107" s="8">
        <f>IFERROR(E107/E445, "NA")</f>
        <v>0</v>
      </c>
      <c r="G107" s="9"/>
      <c r="H107" s="10">
        <f t="shared" si="24"/>
        <v>0</v>
      </c>
      <c r="I107" s="8">
        <f>IFERROR(H107/H445, "NA")</f>
        <v>0</v>
      </c>
      <c r="J107" s="9"/>
      <c r="K107" s="7">
        <v>0</v>
      </c>
      <c r="L107" s="8">
        <f>IFERROR(K107/K445, "NA")</f>
        <v>0</v>
      </c>
      <c r="M107" s="9"/>
      <c r="N107" s="10">
        <f t="shared" si="25"/>
        <v>0</v>
      </c>
      <c r="O107" s="8">
        <f>IFERROR(N107/N445, "NA")</f>
        <v>0</v>
      </c>
      <c r="P107" s="9"/>
      <c r="Q107" s="7">
        <v>0</v>
      </c>
      <c r="R107" s="8">
        <f>IFERROR(Q107/Q445, "NA")</f>
        <v>0</v>
      </c>
      <c r="S107" s="9"/>
      <c r="T107" s="7">
        <v>0</v>
      </c>
      <c r="U107" s="8">
        <f>IFERROR(T107/T445, "NA")</f>
        <v>0</v>
      </c>
      <c r="V107" s="9"/>
      <c r="W107" s="10">
        <f t="shared" si="26"/>
        <v>0</v>
      </c>
      <c r="X107" s="8">
        <f>IFERROR(W107/W445, "NA")</f>
        <v>0</v>
      </c>
      <c r="Y107" s="9"/>
      <c r="Z107" s="7">
        <v>0</v>
      </c>
      <c r="AA107" s="8">
        <f>IFERROR(Z107/Z445, "NA")</f>
        <v>0</v>
      </c>
      <c r="AB107" s="9"/>
      <c r="AC107" s="10">
        <f t="shared" si="27"/>
        <v>0</v>
      </c>
      <c r="AD107" s="8">
        <f>IFERROR(AC107/AC445,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IFERROR(B108/B445, "NA")</f>
        <v>0</v>
      </c>
      <c r="D108" s="9"/>
      <c r="E108" s="7">
        <v>0</v>
      </c>
      <c r="F108" s="8">
        <f>IFERROR(E108/E445, "NA")</f>
        <v>0</v>
      </c>
      <c r="G108" s="9"/>
      <c r="H108" s="10">
        <f t="shared" si="24"/>
        <v>0</v>
      </c>
      <c r="I108" s="8">
        <f>IFERROR(H108/H445, "NA")</f>
        <v>0</v>
      </c>
      <c r="J108" s="9"/>
      <c r="K108" s="7">
        <v>0</v>
      </c>
      <c r="L108" s="8">
        <f>IFERROR(K108/K445, "NA")</f>
        <v>0</v>
      </c>
      <c r="M108" s="9"/>
      <c r="N108" s="10">
        <f t="shared" si="25"/>
        <v>0</v>
      </c>
      <c r="O108" s="8">
        <f>IFERROR(N108/N445, "NA")</f>
        <v>0</v>
      </c>
      <c r="P108" s="9"/>
      <c r="Q108" s="7">
        <v>0</v>
      </c>
      <c r="R108" s="8">
        <f>IFERROR(Q108/Q445, "NA")</f>
        <v>0</v>
      </c>
      <c r="S108" s="9"/>
      <c r="T108" s="7">
        <v>0</v>
      </c>
      <c r="U108" s="8">
        <f>IFERROR(T108/T445, "NA")</f>
        <v>0</v>
      </c>
      <c r="V108" s="9"/>
      <c r="W108" s="10">
        <f t="shared" si="26"/>
        <v>0</v>
      </c>
      <c r="X108" s="8">
        <f>IFERROR(W108/W445, "NA")</f>
        <v>0</v>
      </c>
      <c r="Y108" s="9"/>
      <c r="Z108" s="7">
        <v>0</v>
      </c>
      <c r="AA108" s="8">
        <f>IFERROR(Z108/Z445, "NA")</f>
        <v>0</v>
      </c>
      <c r="AB108" s="9"/>
      <c r="AC108" s="10">
        <f t="shared" si="27"/>
        <v>0</v>
      </c>
      <c r="AD108" s="8">
        <f>IFERROR(AC108/AC445,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IFERROR(B109/B445, "NA")</f>
        <v>0</v>
      </c>
      <c r="D109" s="9"/>
      <c r="E109" s="7">
        <v>0</v>
      </c>
      <c r="F109" s="8">
        <f>IFERROR(E109/E445, "NA")</f>
        <v>0</v>
      </c>
      <c r="G109" s="9"/>
      <c r="H109" s="10">
        <f t="shared" si="24"/>
        <v>0</v>
      </c>
      <c r="I109" s="8">
        <f>IFERROR(H109/H445, "NA")</f>
        <v>0</v>
      </c>
      <c r="J109" s="9"/>
      <c r="K109" s="7">
        <v>0</v>
      </c>
      <c r="L109" s="8">
        <f>IFERROR(K109/K445, "NA")</f>
        <v>0</v>
      </c>
      <c r="M109" s="9"/>
      <c r="N109" s="10">
        <f t="shared" si="25"/>
        <v>0</v>
      </c>
      <c r="O109" s="8">
        <f>IFERROR(N109/N445, "NA")</f>
        <v>0</v>
      </c>
      <c r="P109" s="9"/>
      <c r="Q109" s="7">
        <v>0</v>
      </c>
      <c r="R109" s="8">
        <f>IFERROR(Q109/Q445, "NA")</f>
        <v>0</v>
      </c>
      <c r="S109" s="9"/>
      <c r="T109" s="7">
        <v>0</v>
      </c>
      <c r="U109" s="8">
        <f>IFERROR(T109/T445, "NA")</f>
        <v>0</v>
      </c>
      <c r="V109" s="9"/>
      <c r="W109" s="10">
        <f t="shared" si="26"/>
        <v>0</v>
      </c>
      <c r="X109" s="8">
        <f>IFERROR(W109/W445, "NA")</f>
        <v>0</v>
      </c>
      <c r="Y109" s="9"/>
      <c r="Z109" s="7">
        <v>0</v>
      </c>
      <c r="AA109" s="8">
        <f>IFERROR(Z109/Z445, "NA")</f>
        <v>0</v>
      </c>
      <c r="AB109" s="9"/>
      <c r="AC109" s="10">
        <f t="shared" si="27"/>
        <v>0</v>
      </c>
      <c r="AD109" s="8">
        <f>IFERROR(AC109/AC445,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IFERROR(B110/B445, "NA")</f>
        <v>0</v>
      </c>
      <c r="D110" s="9"/>
      <c r="E110" s="7">
        <v>0</v>
      </c>
      <c r="F110" s="8">
        <f>IFERROR(E110/E445, "NA")</f>
        <v>0</v>
      </c>
      <c r="G110" s="9"/>
      <c r="H110" s="10">
        <f t="shared" si="24"/>
        <v>0</v>
      </c>
      <c r="I110" s="8">
        <f>IFERROR(H110/H445, "NA")</f>
        <v>0</v>
      </c>
      <c r="J110" s="9"/>
      <c r="K110" s="7">
        <v>0</v>
      </c>
      <c r="L110" s="8">
        <f>IFERROR(K110/K445, "NA")</f>
        <v>0</v>
      </c>
      <c r="M110" s="9"/>
      <c r="N110" s="10">
        <f t="shared" si="25"/>
        <v>0</v>
      </c>
      <c r="O110" s="8">
        <f>IFERROR(N110/N445, "NA")</f>
        <v>0</v>
      </c>
      <c r="P110" s="9"/>
      <c r="Q110" s="7">
        <v>0</v>
      </c>
      <c r="R110" s="8">
        <f>IFERROR(Q110/Q445, "NA")</f>
        <v>0</v>
      </c>
      <c r="S110" s="9"/>
      <c r="T110" s="7">
        <v>0</v>
      </c>
      <c r="U110" s="8">
        <f>IFERROR(T110/T445, "NA")</f>
        <v>0</v>
      </c>
      <c r="V110" s="9"/>
      <c r="W110" s="10">
        <f t="shared" si="26"/>
        <v>0</v>
      </c>
      <c r="X110" s="8">
        <f>IFERROR(W110/W445, "NA")</f>
        <v>0</v>
      </c>
      <c r="Y110" s="9"/>
      <c r="Z110" s="7">
        <v>0</v>
      </c>
      <c r="AA110" s="8">
        <f>IFERROR(Z110/Z445, "NA")</f>
        <v>0</v>
      </c>
      <c r="AB110" s="9"/>
      <c r="AC110" s="10">
        <f t="shared" si="27"/>
        <v>0</v>
      </c>
      <c r="AD110" s="8">
        <f>IFERROR(AC110/AC445,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IFERROR(B111/B445, "NA")</f>
        <v>0</v>
      </c>
      <c r="D111" s="9"/>
      <c r="E111" s="7">
        <v>0</v>
      </c>
      <c r="F111" s="8">
        <f>IFERROR(E111/E445, "NA")</f>
        <v>0</v>
      </c>
      <c r="G111" s="9"/>
      <c r="H111" s="10">
        <f t="shared" si="24"/>
        <v>0</v>
      </c>
      <c r="I111" s="8">
        <f>IFERROR(H111/H445, "NA")</f>
        <v>0</v>
      </c>
      <c r="J111" s="9"/>
      <c r="K111" s="7">
        <v>0</v>
      </c>
      <c r="L111" s="8">
        <f>IFERROR(K111/K445, "NA")</f>
        <v>0</v>
      </c>
      <c r="M111" s="9"/>
      <c r="N111" s="10">
        <f t="shared" si="25"/>
        <v>0</v>
      </c>
      <c r="O111" s="8">
        <f>IFERROR(N111/N445, "NA")</f>
        <v>0</v>
      </c>
      <c r="P111" s="9"/>
      <c r="Q111" s="7">
        <v>0</v>
      </c>
      <c r="R111" s="8">
        <f>IFERROR(Q111/Q445, "NA")</f>
        <v>0</v>
      </c>
      <c r="S111" s="9"/>
      <c r="T111" s="7">
        <v>0</v>
      </c>
      <c r="U111" s="8">
        <f>IFERROR(T111/T445, "NA")</f>
        <v>0</v>
      </c>
      <c r="V111" s="9"/>
      <c r="W111" s="10">
        <f t="shared" si="26"/>
        <v>0</v>
      </c>
      <c r="X111" s="8">
        <f>IFERROR(W111/W445, "NA")</f>
        <v>0</v>
      </c>
      <c r="Y111" s="9"/>
      <c r="Z111" s="7">
        <v>0</v>
      </c>
      <c r="AA111" s="8">
        <f>IFERROR(Z111/Z445, "NA")</f>
        <v>0</v>
      </c>
      <c r="AB111" s="9"/>
      <c r="AC111" s="10">
        <f t="shared" si="27"/>
        <v>0</v>
      </c>
      <c r="AD111" s="8">
        <f>IFERROR(AC111/AC445,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IFERROR(B112/B445, "NA")</f>
        <v>0</v>
      </c>
      <c r="D112" s="9"/>
      <c r="E112" s="7">
        <v>0</v>
      </c>
      <c r="F112" s="8">
        <f>IFERROR(E112/E445, "NA")</f>
        <v>0</v>
      </c>
      <c r="G112" s="9"/>
      <c r="H112" s="10">
        <f t="shared" si="24"/>
        <v>0</v>
      </c>
      <c r="I112" s="8">
        <f>IFERROR(H112/H445, "NA")</f>
        <v>0</v>
      </c>
      <c r="J112" s="9"/>
      <c r="K112" s="7">
        <v>0</v>
      </c>
      <c r="L112" s="8">
        <f>IFERROR(K112/K445, "NA")</f>
        <v>0</v>
      </c>
      <c r="M112" s="9"/>
      <c r="N112" s="10">
        <f t="shared" si="25"/>
        <v>0</v>
      </c>
      <c r="O112" s="8">
        <f>IFERROR(N112/N445, "NA")</f>
        <v>0</v>
      </c>
      <c r="P112" s="9"/>
      <c r="Q112" s="7">
        <v>0</v>
      </c>
      <c r="R112" s="8">
        <f>IFERROR(Q112/Q445, "NA")</f>
        <v>0</v>
      </c>
      <c r="S112" s="9"/>
      <c r="T112" s="7">
        <v>0</v>
      </c>
      <c r="U112" s="8">
        <f>IFERROR(T112/T445, "NA")</f>
        <v>0</v>
      </c>
      <c r="V112" s="9"/>
      <c r="W112" s="10">
        <f t="shared" si="26"/>
        <v>0</v>
      </c>
      <c r="X112" s="8">
        <f>IFERROR(W112/W445, "NA")</f>
        <v>0</v>
      </c>
      <c r="Y112" s="9"/>
      <c r="Z112" s="7">
        <v>0</v>
      </c>
      <c r="AA112" s="8">
        <f>IFERROR(Z112/Z445, "NA")</f>
        <v>0</v>
      </c>
      <c r="AB112" s="9"/>
      <c r="AC112" s="10">
        <f t="shared" si="27"/>
        <v>0</v>
      </c>
      <c r="AD112" s="8">
        <f>IFERROR(AC112/AC445,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IFERROR(B113/B445, "NA")</f>
        <v>0</v>
      </c>
      <c r="D113" s="9"/>
      <c r="E113" s="7">
        <v>0</v>
      </c>
      <c r="F113" s="8">
        <f>IFERROR(E113/E445, "NA")</f>
        <v>0</v>
      </c>
      <c r="G113" s="9"/>
      <c r="H113" s="10">
        <f t="shared" si="24"/>
        <v>0</v>
      </c>
      <c r="I113" s="8">
        <f>IFERROR(H113/H445, "NA")</f>
        <v>0</v>
      </c>
      <c r="J113" s="9"/>
      <c r="K113" s="7">
        <v>0</v>
      </c>
      <c r="L113" s="8">
        <f>IFERROR(K113/K445, "NA")</f>
        <v>0</v>
      </c>
      <c r="M113" s="9"/>
      <c r="N113" s="10">
        <f t="shared" si="25"/>
        <v>0</v>
      </c>
      <c r="O113" s="8">
        <f>IFERROR(N113/N445, "NA")</f>
        <v>0</v>
      </c>
      <c r="P113" s="9"/>
      <c r="Q113" s="7">
        <v>0</v>
      </c>
      <c r="R113" s="8">
        <f>IFERROR(Q113/Q445, "NA")</f>
        <v>0</v>
      </c>
      <c r="S113" s="9"/>
      <c r="T113" s="7">
        <v>0</v>
      </c>
      <c r="U113" s="8">
        <f>IFERROR(T113/T445, "NA")</f>
        <v>0</v>
      </c>
      <c r="V113" s="9"/>
      <c r="W113" s="10">
        <f t="shared" si="26"/>
        <v>0</v>
      </c>
      <c r="X113" s="8">
        <f>IFERROR(W113/W445, "NA")</f>
        <v>0</v>
      </c>
      <c r="Y113" s="9"/>
      <c r="Z113" s="7">
        <v>0</v>
      </c>
      <c r="AA113" s="8">
        <f>IFERROR(Z113/Z445, "NA")</f>
        <v>0</v>
      </c>
      <c r="AB113" s="9"/>
      <c r="AC113" s="10">
        <f t="shared" si="27"/>
        <v>0</v>
      </c>
      <c r="AD113" s="8">
        <f>IFERROR(AC113/AC445,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IFERROR(B114/B445, "NA")</f>
        <v>0</v>
      </c>
      <c r="D114" s="9"/>
      <c r="E114" s="7">
        <v>0</v>
      </c>
      <c r="F114" s="8">
        <f>IFERROR(E114/E445, "NA")</f>
        <v>0</v>
      </c>
      <c r="G114" s="9"/>
      <c r="H114" s="10">
        <f t="shared" si="24"/>
        <v>0</v>
      </c>
      <c r="I114" s="8">
        <f>IFERROR(H114/H445, "NA")</f>
        <v>0</v>
      </c>
      <c r="J114" s="9"/>
      <c r="K114" s="7">
        <v>0</v>
      </c>
      <c r="L114" s="8">
        <f>IFERROR(K114/K445, "NA")</f>
        <v>0</v>
      </c>
      <c r="M114" s="9"/>
      <c r="N114" s="10">
        <f t="shared" si="25"/>
        <v>0</v>
      </c>
      <c r="O114" s="8">
        <f>IFERROR(N114/N445, "NA")</f>
        <v>0</v>
      </c>
      <c r="P114" s="9"/>
      <c r="Q114" s="7">
        <v>0</v>
      </c>
      <c r="R114" s="8">
        <f>IFERROR(Q114/Q445, "NA")</f>
        <v>0</v>
      </c>
      <c r="S114" s="9"/>
      <c r="T114" s="7">
        <v>0</v>
      </c>
      <c r="U114" s="8">
        <f>IFERROR(T114/T445, "NA")</f>
        <v>0</v>
      </c>
      <c r="V114" s="9"/>
      <c r="W114" s="10">
        <f t="shared" si="26"/>
        <v>0</v>
      </c>
      <c r="X114" s="8">
        <f>IFERROR(W114/W445, "NA")</f>
        <v>0</v>
      </c>
      <c r="Y114" s="9"/>
      <c r="Z114" s="7">
        <v>0</v>
      </c>
      <c r="AA114" s="8">
        <f>IFERROR(Z114/Z445, "NA")</f>
        <v>0</v>
      </c>
      <c r="AB114" s="9"/>
      <c r="AC114" s="10">
        <f t="shared" si="27"/>
        <v>0</v>
      </c>
      <c r="AD114" s="8">
        <f>IFERROR(AC114/AC445,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IFERROR(B115/B445, "NA")</f>
        <v>0</v>
      </c>
      <c r="D115" s="9"/>
      <c r="E115" s="7">
        <v>0</v>
      </c>
      <c r="F115" s="8">
        <f>IFERROR(E115/E445, "NA")</f>
        <v>0</v>
      </c>
      <c r="G115" s="9"/>
      <c r="H115" s="10">
        <f t="shared" si="24"/>
        <v>0</v>
      </c>
      <c r="I115" s="8">
        <f>IFERROR(H115/H445, "NA")</f>
        <v>0</v>
      </c>
      <c r="J115" s="9"/>
      <c r="K115" s="7">
        <v>0</v>
      </c>
      <c r="L115" s="8">
        <f>IFERROR(K115/K445, "NA")</f>
        <v>0</v>
      </c>
      <c r="M115" s="9"/>
      <c r="N115" s="10">
        <f t="shared" si="25"/>
        <v>0</v>
      </c>
      <c r="O115" s="8">
        <f>IFERROR(N115/N445, "NA")</f>
        <v>0</v>
      </c>
      <c r="P115" s="9"/>
      <c r="Q115" s="7">
        <v>0</v>
      </c>
      <c r="R115" s="8">
        <f>IFERROR(Q115/Q445, "NA")</f>
        <v>0</v>
      </c>
      <c r="S115" s="9"/>
      <c r="T115" s="7">
        <v>0</v>
      </c>
      <c r="U115" s="8">
        <f>IFERROR(T115/T445, "NA")</f>
        <v>0</v>
      </c>
      <c r="V115" s="9"/>
      <c r="W115" s="10">
        <f t="shared" si="26"/>
        <v>0</v>
      </c>
      <c r="X115" s="8">
        <f>IFERROR(W115/W445, "NA")</f>
        <v>0</v>
      </c>
      <c r="Y115" s="9"/>
      <c r="Z115" s="7">
        <v>0</v>
      </c>
      <c r="AA115" s="8">
        <f>IFERROR(Z115/Z445, "NA")</f>
        <v>0</v>
      </c>
      <c r="AB115" s="9"/>
      <c r="AC115" s="10">
        <f t="shared" si="27"/>
        <v>0</v>
      </c>
      <c r="AD115" s="8">
        <f>IFERROR(AC115/AC445,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IFERROR(B116/B445, "NA")</f>
        <v>0</v>
      </c>
      <c r="D116" s="9"/>
      <c r="E116" s="7">
        <v>0</v>
      </c>
      <c r="F116" s="8">
        <f>IFERROR(E116/E445, "NA")</f>
        <v>0</v>
      </c>
      <c r="G116" s="9"/>
      <c r="H116" s="10">
        <f t="shared" si="24"/>
        <v>0</v>
      </c>
      <c r="I116" s="8">
        <f>IFERROR(H116/H445, "NA")</f>
        <v>0</v>
      </c>
      <c r="J116" s="9"/>
      <c r="K116" s="7">
        <v>0</v>
      </c>
      <c r="L116" s="8">
        <f>IFERROR(K116/K445, "NA")</f>
        <v>0</v>
      </c>
      <c r="M116" s="9"/>
      <c r="N116" s="10">
        <f t="shared" si="25"/>
        <v>0</v>
      </c>
      <c r="O116" s="8">
        <f>IFERROR(N116/N445, "NA")</f>
        <v>0</v>
      </c>
      <c r="P116" s="9"/>
      <c r="Q116" s="7">
        <v>0</v>
      </c>
      <c r="R116" s="8">
        <f>IFERROR(Q116/Q445, "NA")</f>
        <v>0</v>
      </c>
      <c r="S116" s="9"/>
      <c r="T116" s="7">
        <v>0</v>
      </c>
      <c r="U116" s="8">
        <f>IFERROR(T116/T445, "NA")</f>
        <v>0</v>
      </c>
      <c r="V116" s="9"/>
      <c r="W116" s="10">
        <f t="shared" si="26"/>
        <v>0</v>
      </c>
      <c r="X116" s="8">
        <f>IFERROR(W116/W445, "NA")</f>
        <v>0</v>
      </c>
      <c r="Y116" s="9"/>
      <c r="Z116" s="7">
        <v>0</v>
      </c>
      <c r="AA116" s="8">
        <f>IFERROR(Z116/Z445, "NA")</f>
        <v>0</v>
      </c>
      <c r="AB116" s="9"/>
      <c r="AC116" s="10">
        <f t="shared" si="27"/>
        <v>0</v>
      </c>
      <c r="AD116" s="8">
        <f>IFERROR(AC116/AC445,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IFERROR(B117/B445, "NA")</f>
        <v>0</v>
      </c>
      <c r="D117" s="9"/>
      <c r="E117" s="7">
        <v>0</v>
      </c>
      <c r="F117" s="8">
        <f>IFERROR(E117/E445, "NA")</f>
        <v>0</v>
      </c>
      <c r="G117" s="9"/>
      <c r="H117" s="10">
        <f t="shared" si="24"/>
        <v>0</v>
      </c>
      <c r="I117" s="8">
        <f>IFERROR(H117/H445, "NA")</f>
        <v>0</v>
      </c>
      <c r="J117" s="9"/>
      <c r="K117" s="7">
        <v>0</v>
      </c>
      <c r="L117" s="8">
        <f>IFERROR(K117/K445, "NA")</f>
        <v>0</v>
      </c>
      <c r="M117" s="9"/>
      <c r="N117" s="10">
        <f t="shared" si="25"/>
        <v>0</v>
      </c>
      <c r="O117" s="8">
        <f>IFERROR(N117/N445, "NA")</f>
        <v>0</v>
      </c>
      <c r="P117" s="9"/>
      <c r="Q117" s="7">
        <v>0</v>
      </c>
      <c r="R117" s="8">
        <f>IFERROR(Q117/Q445, "NA")</f>
        <v>0</v>
      </c>
      <c r="S117" s="9"/>
      <c r="T117" s="7">
        <v>0</v>
      </c>
      <c r="U117" s="8">
        <f>IFERROR(T117/T445, "NA")</f>
        <v>0</v>
      </c>
      <c r="V117" s="9"/>
      <c r="W117" s="10">
        <f t="shared" si="26"/>
        <v>0</v>
      </c>
      <c r="X117" s="8">
        <f>IFERROR(W117/W445, "NA")</f>
        <v>0</v>
      </c>
      <c r="Y117" s="9"/>
      <c r="Z117" s="7">
        <v>0</v>
      </c>
      <c r="AA117" s="8">
        <f>IFERROR(Z117/Z445, "NA")</f>
        <v>0</v>
      </c>
      <c r="AB117" s="9"/>
      <c r="AC117" s="10">
        <f t="shared" si="27"/>
        <v>0</v>
      </c>
      <c r="AD117" s="8">
        <f>IFERROR(AC117/AC445,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-3570.62</v>
      </c>
      <c r="C118" s="15">
        <f>IFERROR(B118/B445, "NA")</f>
        <v>-2.9350578722503198E-2</v>
      </c>
      <c r="D118" s="2"/>
      <c r="E118" s="14">
        <f>IFERROR(E94+E95+E96+E97+E98+E99+E100+E101+E102+E103+E104+E105+E106+E107+E108+E109+E110+E111+E112+E113+E114+E115+E116+E117, "NA")</f>
        <v>-8844.18</v>
      </c>
      <c r="F118" s="15">
        <f>IFERROR(E118/E445, "NA")</f>
        <v>-6.2000023694687365E-2</v>
      </c>
      <c r="G118" s="2"/>
      <c r="H118" s="14">
        <f t="shared" si="24"/>
        <v>5273.56</v>
      </c>
      <c r="I118" s="15">
        <f>IFERROR(H118/H445, "NA")</f>
        <v>-0.25119546914929841</v>
      </c>
      <c r="J118" s="2"/>
      <c r="K118" s="14">
        <f>IFERROR(K94+K95+K96+K97+K98+K99+K100+K101+K102+K103+K104+K105+K106+K107+K108+K109+K110+K111+K112+K113+K114+K115+K116+K117, "NA")</f>
        <v>-6333.7300000000005</v>
      </c>
      <c r="L118" s="15">
        <f>IFERROR(K118/K445, "NA")</f>
        <v>-4.8508213126021202E-2</v>
      </c>
      <c r="M118" s="2"/>
      <c r="N118" s="14">
        <f t="shared" si="25"/>
        <v>2763.1100000000006</v>
      </c>
      <c r="O118" s="15">
        <f>IFERROR(N118/N445, "NA")</f>
        <v>-0.30990118998216748</v>
      </c>
      <c r="P118" s="2"/>
      <c r="Q118" s="14">
        <f>IFERROR(Q94+Q95+Q96+Q97+Q98+Q99+Q100+Q101+Q102+Q103+Q104+Q105+Q106+Q107+Q108+Q109+Q110+Q111+Q112+Q113+Q114+Q115+Q116+Q117, "NA")</f>
        <v>-18467.25</v>
      </c>
      <c r="R118" s="15">
        <f>IFERROR(Q118/Q445, "NA")</f>
        <v>-3.5423169753982922E-2</v>
      </c>
      <c r="S118" s="2"/>
      <c r="T118" s="14">
        <f>IFERROR(T94+T95+T96+T97+T98+T99+T100+T101+T102+T103+T104+T105+T106+T107+T108+T109+T110+T111+T112+T113+T114+T115+T116+T117, "NA")</f>
        <v>-36783.550000000003</v>
      </c>
      <c r="U118" s="15">
        <f>IFERROR(T118/T445, "NA")</f>
        <v>-6.2000005697112413E-2</v>
      </c>
      <c r="V118" s="2"/>
      <c r="W118" s="14">
        <f t="shared" si="26"/>
        <v>18316.300000000003</v>
      </c>
      <c r="X118" s="15">
        <f>IFERROR(W118/W445, "NA")</f>
        <v>-0.25456807110443991</v>
      </c>
      <c r="Y118" s="2"/>
      <c r="Z118" s="14">
        <f>IFERROR(Z94+Z95+Z96+Z97+Z98+Z99+Z100+Z101+Z102+Z103+Z104+Z105+Z106+Z107+Z108+Z109+Z110+Z111+Z112+Z113+Z114+Z115+Z116+Z117, "NA")</f>
        <v>-32613.790000000005</v>
      </c>
      <c r="AA118" s="15">
        <f>IFERROR(Z118/Z445, "NA")</f>
        <v>-5.9134261511867951E-2</v>
      </c>
      <c r="AB118" s="2"/>
      <c r="AC118" s="14">
        <f t="shared" si="27"/>
        <v>14146.540000000005</v>
      </c>
      <c r="AD118" s="15">
        <f>IFERROR(AC118/AC445, "NA")</f>
        <v>-0.46860629894655348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IFERROR(B119/B445, "NA")</f>
        <v>0</v>
      </c>
      <c r="D119" s="9"/>
      <c r="E119" s="7">
        <v>0</v>
      </c>
      <c r="F119" s="8">
        <f>IFERROR(E119/E445, "NA")</f>
        <v>0</v>
      </c>
      <c r="G119" s="9"/>
      <c r="H119" s="10">
        <f t="shared" si="24"/>
        <v>0</v>
      </c>
      <c r="I119" s="8">
        <f>IFERROR(H119/H445, "NA")</f>
        <v>0</v>
      </c>
      <c r="J119" s="9"/>
      <c r="K119" s="7">
        <v>0</v>
      </c>
      <c r="L119" s="8">
        <f>IFERROR(K119/K445, "NA")</f>
        <v>0</v>
      </c>
      <c r="M119" s="9"/>
      <c r="N119" s="10">
        <f t="shared" si="25"/>
        <v>0</v>
      </c>
      <c r="O119" s="8">
        <f>IFERROR(N119/N445, "NA")</f>
        <v>0</v>
      </c>
      <c r="P119" s="9"/>
      <c r="Q119" s="7">
        <v>0</v>
      </c>
      <c r="R119" s="8">
        <f>IFERROR(Q119/Q445, "NA")</f>
        <v>0</v>
      </c>
      <c r="S119" s="9"/>
      <c r="T119" s="7">
        <v>0</v>
      </c>
      <c r="U119" s="8">
        <f>IFERROR(T119/T445, "NA")</f>
        <v>0</v>
      </c>
      <c r="V119" s="9"/>
      <c r="W119" s="10">
        <f t="shared" si="26"/>
        <v>0</v>
      </c>
      <c r="X119" s="8">
        <f>IFERROR(W119/W445, "NA")</f>
        <v>0</v>
      </c>
      <c r="Y119" s="9"/>
      <c r="Z119" s="7">
        <v>0</v>
      </c>
      <c r="AA119" s="8">
        <f>IFERROR(Z119/Z445, "NA")</f>
        <v>0</v>
      </c>
      <c r="AB119" s="9"/>
      <c r="AC119" s="10">
        <f t="shared" si="27"/>
        <v>0</v>
      </c>
      <c r="AD119" s="8">
        <f>IFERROR(AC119/AC445,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IFERROR(B120/B445, "NA")</f>
        <v>0</v>
      </c>
      <c r="D120" s="9"/>
      <c r="E120" s="7">
        <v>0</v>
      </c>
      <c r="F120" s="8">
        <f>IFERROR(E120/E445, "NA")</f>
        <v>0</v>
      </c>
      <c r="G120" s="9"/>
      <c r="H120" s="10">
        <f t="shared" si="24"/>
        <v>0</v>
      </c>
      <c r="I120" s="8">
        <f>IFERROR(H120/H445, "NA")</f>
        <v>0</v>
      </c>
      <c r="J120" s="9"/>
      <c r="K120" s="7">
        <v>0</v>
      </c>
      <c r="L120" s="8">
        <f>IFERROR(K120/K445, "NA")</f>
        <v>0</v>
      </c>
      <c r="M120" s="9"/>
      <c r="N120" s="10">
        <f t="shared" si="25"/>
        <v>0</v>
      </c>
      <c r="O120" s="8">
        <f>IFERROR(N120/N445, "NA")</f>
        <v>0</v>
      </c>
      <c r="P120" s="9"/>
      <c r="Q120" s="7">
        <v>0</v>
      </c>
      <c r="R120" s="8">
        <f>IFERROR(Q120/Q445, "NA")</f>
        <v>0</v>
      </c>
      <c r="S120" s="9"/>
      <c r="T120" s="7">
        <v>0</v>
      </c>
      <c r="U120" s="8">
        <f>IFERROR(T120/T445, "NA")</f>
        <v>0</v>
      </c>
      <c r="V120" s="9"/>
      <c r="W120" s="10">
        <f t="shared" si="26"/>
        <v>0</v>
      </c>
      <c r="X120" s="8">
        <f>IFERROR(W120/W445, "NA")</f>
        <v>0</v>
      </c>
      <c r="Y120" s="9"/>
      <c r="Z120" s="7">
        <v>0</v>
      </c>
      <c r="AA120" s="8">
        <f>IFERROR(Z120/Z445, "NA")</f>
        <v>0</v>
      </c>
      <c r="AB120" s="9"/>
      <c r="AC120" s="10">
        <f t="shared" si="27"/>
        <v>0</v>
      </c>
      <c r="AD120" s="8">
        <f>IFERROR(AC120/AC445,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IFERROR(B121/B445, "NA")</f>
        <v>0</v>
      </c>
      <c r="D121" s="9"/>
      <c r="E121" s="7">
        <v>0</v>
      </c>
      <c r="F121" s="8">
        <f>IFERROR(E121/E445, "NA")</f>
        <v>0</v>
      </c>
      <c r="G121" s="9"/>
      <c r="H121" s="10">
        <f t="shared" si="24"/>
        <v>0</v>
      </c>
      <c r="I121" s="8">
        <f>IFERROR(H121/H445, "NA")</f>
        <v>0</v>
      </c>
      <c r="J121" s="9"/>
      <c r="K121" s="7">
        <v>0</v>
      </c>
      <c r="L121" s="8">
        <f>IFERROR(K121/K445, "NA")</f>
        <v>0</v>
      </c>
      <c r="M121" s="9"/>
      <c r="N121" s="10">
        <f t="shared" si="25"/>
        <v>0</v>
      </c>
      <c r="O121" s="8">
        <f>IFERROR(N121/N445, "NA")</f>
        <v>0</v>
      </c>
      <c r="P121" s="9"/>
      <c r="Q121" s="7">
        <v>0</v>
      </c>
      <c r="R121" s="8">
        <f>IFERROR(Q121/Q445, "NA")</f>
        <v>0</v>
      </c>
      <c r="S121" s="9"/>
      <c r="T121" s="7">
        <v>0</v>
      </c>
      <c r="U121" s="8">
        <f>IFERROR(T121/T445, "NA")</f>
        <v>0</v>
      </c>
      <c r="V121" s="9"/>
      <c r="W121" s="10">
        <f t="shared" si="26"/>
        <v>0</v>
      </c>
      <c r="X121" s="8">
        <f>IFERROR(W121/W445, "NA")</f>
        <v>0</v>
      </c>
      <c r="Y121" s="9"/>
      <c r="Z121" s="7">
        <v>0</v>
      </c>
      <c r="AA121" s="8">
        <f>IFERROR(Z121/Z445, "NA")</f>
        <v>0</v>
      </c>
      <c r="AB121" s="9"/>
      <c r="AC121" s="10">
        <f t="shared" si="27"/>
        <v>0</v>
      </c>
      <c r="AD121" s="8">
        <f>IFERROR(AC121/AC445,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121654.16</v>
      </c>
      <c r="C122" s="15">
        <f>IFERROR(B122/B445,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142648.01</v>
      </c>
      <c r="F122" s="15">
        <f>IFERROR(E122/E445, "NA")</f>
        <v>1</v>
      </c>
      <c r="G122" s="2"/>
      <c r="H122" s="14">
        <f t="shared" si="24"/>
        <v>-20993.850000000006</v>
      </c>
      <c r="I122" s="15">
        <f>IFERROR(H122/H445,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130570.26000000005</v>
      </c>
      <c r="L122" s="15">
        <f>IFERROR(K122/K445, "NA")</f>
        <v>1.0000000000000004</v>
      </c>
      <c r="M122" s="2"/>
      <c r="N122" s="14">
        <f t="shared" si="25"/>
        <v>-8916.1000000000495</v>
      </c>
      <c r="O122" s="15">
        <f>IFERROR(N122/N445, "NA")</f>
        <v>1.0000000000000064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521332.51</v>
      </c>
      <c r="R122" s="15">
        <f>IFERROR(Q122/Q445,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593283.00999999989</v>
      </c>
      <c r="U122" s="15">
        <f>IFERROR(T122/T445, "NA")</f>
        <v>0.99999999999999978</v>
      </c>
      <c r="V122" s="2"/>
      <c r="W122" s="14">
        <f t="shared" si="26"/>
        <v>-71950.499999999884</v>
      </c>
      <c r="X122" s="15">
        <f>IFERROR(W122/W445, "NA")</f>
        <v>0.99999999999999833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551521.05000000005</v>
      </c>
      <c r="AA122" s="15">
        <f>IFERROR(Z122/Z445, "NA")</f>
        <v>1</v>
      </c>
      <c r="AB122" s="2"/>
      <c r="AC122" s="14">
        <f t="shared" si="27"/>
        <v>-30188.540000000037</v>
      </c>
      <c r="AD122" s="15">
        <f>IFERROR(AC122/AC445,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IFERROR(B123/B445, "NA")</f>
        <v>0</v>
      </c>
      <c r="D123" s="9"/>
      <c r="E123" s="7">
        <v>0</v>
      </c>
      <c r="F123" s="8">
        <f>IFERROR(E123/E445, "NA")</f>
        <v>0</v>
      </c>
      <c r="G123" s="9"/>
      <c r="H123" s="10">
        <f t="shared" si="24"/>
        <v>0</v>
      </c>
      <c r="I123" s="8">
        <f>IFERROR(H123/H445, "NA")</f>
        <v>0</v>
      </c>
      <c r="J123" s="9"/>
      <c r="K123" s="7">
        <v>0</v>
      </c>
      <c r="L123" s="8">
        <f>IFERROR(K123/K445, "NA")</f>
        <v>0</v>
      </c>
      <c r="M123" s="9"/>
      <c r="N123" s="10">
        <f t="shared" si="25"/>
        <v>0</v>
      </c>
      <c r="O123" s="8">
        <f>IFERROR(N123/N445, "NA")</f>
        <v>0</v>
      </c>
      <c r="P123" s="9"/>
      <c r="Q123" s="7">
        <v>0</v>
      </c>
      <c r="R123" s="8">
        <f>IFERROR(Q123/Q445, "NA")</f>
        <v>0</v>
      </c>
      <c r="S123" s="9"/>
      <c r="T123" s="7">
        <v>0</v>
      </c>
      <c r="U123" s="8">
        <f>IFERROR(T123/T445, "NA")</f>
        <v>0</v>
      </c>
      <c r="V123" s="9"/>
      <c r="W123" s="10">
        <f t="shared" si="26"/>
        <v>0</v>
      </c>
      <c r="X123" s="8">
        <f>IFERROR(W123/W445, "NA")</f>
        <v>0</v>
      </c>
      <c r="Y123" s="9"/>
      <c r="Z123" s="7">
        <v>0</v>
      </c>
      <c r="AA123" s="8">
        <f>IFERROR(Z123/Z445, "NA")</f>
        <v>0</v>
      </c>
      <c r="AB123" s="9"/>
      <c r="AC123" s="10">
        <f t="shared" si="27"/>
        <v>0</v>
      </c>
      <c r="AD123" s="8">
        <f>IFERROR(AC123/AC445,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121654.16</v>
      </c>
      <c r="C124" s="15">
        <f>IFERROR(B124/B445,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142648.01</v>
      </c>
      <c r="F124" s="15">
        <f>IFERROR(E124/E445, "NA")</f>
        <v>1</v>
      </c>
      <c r="G124" s="2"/>
      <c r="H124" s="14">
        <f t="shared" si="24"/>
        <v>-20993.850000000006</v>
      </c>
      <c r="I124" s="15">
        <f>IFERROR(H124/H445,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130570.26000000005</v>
      </c>
      <c r="L124" s="15">
        <f>IFERROR(K124/K445, "NA")</f>
        <v>1.0000000000000004</v>
      </c>
      <c r="M124" s="2"/>
      <c r="N124" s="14">
        <f t="shared" si="25"/>
        <v>-8916.1000000000495</v>
      </c>
      <c r="O124" s="15">
        <f>IFERROR(N124/N445, "NA")</f>
        <v>1.0000000000000064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521332.51</v>
      </c>
      <c r="R124" s="15">
        <f>IFERROR(Q124/Q445,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593283.00999999989</v>
      </c>
      <c r="U124" s="15">
        <f>IFERROR(T124/T445, "NA")</f>
        <v>0.99999999999999978</v>
      </c>
      <c r="V124" s="2"/>
      <c r="W124" s="14">
        <f t="shared" si="26"/>
        <v>-71950.499999999884</v>
      </c>
      <c r="X124" s="15">
        <f>IFERROR(W124/W445, "NA")</f>
        <v>0.99999999999999833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551521.05000000005</v>
      </c>
      <c r="AA124" s="15">
        <f>IFERROR(Z124/Z445, "NA")</f>
        <v>1</v>
      </c>
      <c r="AB124" s="2"/>
      <c r="AC124" s="14">
        <f t="shared" si="27"/>
        <v>-30188.540000000037</v>
      </c>
      <c r="AD124" s="15">
        <f>IFERROR(AC124/AC445,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IFERROR(B127/B445, "NA")</f>
        <v>0</v>
      </c>
      <c r="D127" s="9"/>
      <c r="E127" s="7">
        <v>0</v>
      </c>
      <c r="F127" s="8">
        <f>IFERROR(E127/E445, "NA")</f>
        <v>0</v>
      </c>
      <c r="G127" s="9"/>
      <c r="H127" s="10">
        <f>IFERROR(-(B127-E127), "NA")</f>
        <v>0</v>
      </c>
      <c r="I127" s="8">
        <f>IFERROR(H127/H445, "NA")</f>
        <v>0</v>
      </c>
      <c r="J127" s="9"/>
      <c r="K127" s="7">
        <v>0</v>
      </c>
      <c r="L127" s="8">
        <f>IFERROR(K127/K445, "NA")</f>
        <v>0</v>
      </c>
      <c r="M127" s="9"/>
      <c r="N127" s="10">
        <f>IFERROR(-(B127-K127), "NA")</f>
        <v>0</v>
      </c>
      <c r="O127" s="8">
        <f>IFERROR(N127/N445, "NA")</f>
        <v>0</v>
      </c>
      <c r="P127" s="9"/>
      <c r="Q127" s="7">
        <v>0</v>
      </c>
      <c r="R127" s="8">
        <f>IFERROR(Q127/Q445, "NA")</f>
        <v>0</v>
      </c>
      <c r="S127" s="9"/>
      <c r="T127" s="7">
        <v>0</v>
      </c>
      <c r="U127" s="8">
        <f>IFERROR(T127/T445, "NA")</f>
        <v>0</v>
      </c>
      <c r="V127" s="9"/>
      <c r="W127" s="10">
        <f>IFERROR(-(Q127-T127), "NA")</f>
        <v>0</v>
      </c>
      <c r="X127" s="8">
        <f>IFERROR(W127/W445, "NA")</f>
        <v>0</v>
      </c>
      <c r="Y127" s="9"/>
      <c r="Z127" s="7">
        <v>0</v>
      </c>
      <c r="AA127" s="8">
        <f>IFERROR(Z127/Z445, "NA")</f>
        <v>0</v>
      </c>
      <c r="AB127" s="9"/>
      <c r="AC127" s="10">
        <f>IFERROR(-(Q127-Z127), "NA")</f>
        <v>0</v>
      </c>
      <c r="AD127" s="8">
        <f>IFERROR(AC127/AC445,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IFERROR(B129/B445, "NA")</f>
        <v>0</v>
      </c>
      <c r="D129" s="9"/>
      <c r="E129" s="7">
        <v>30526.67</v>
      </c>
      <c r="F129" s="8">
        <f>IFERROR(E129/E445, "NA")</f>
        <v>0.21399997097751308</v>
      </c>
      <c r="G129" s="9"/>
      <c r="H129" s="10">
        <f t="shared" ref="H129:H141" si="28">IFERROR(-(B129-E129), "NA")</f>
        <v>30526.67</v>
      </c>
      <c r="I129" s="8">
        <f>IFERROR(H129/H445, "NA")</f>
        <v>-1.4540767891549187</v>
      </c>
      <c r="J129" s="9"/>
      <c r="K129" s="7">
        <v>0</v>
      </c>
      <c r="L129" s="8">
        <f>IFERROR(K129/K445, "NA")</f>
        <v>0</v>
      </c>
      <c r="M129" s="9"/>
      <c r="N129" s="10">
        <f t="shared" ref="N129:N141" si="29">IFERROR(-(B129-K129), "NA")</f>
        <v>0</v>
      </c>
      <c r="O129" s="8">
        <f>IFERROR(N129/N445, "NA")</f>
        <v>0</v>
      </c>
      <c r="P129" s="9"/>
      <c r="Q129" s="7">
        <v>0</v>
      </c>
      <c r="R129" s="8">
        <f>IFERROR(Q129/Q445, "NA")</f>
        <v>0</v>
      </c>
      <c r="S129" s="9"/>
      <c r="T129" s="7">
        <v>127794.76</v>
      </c>
      <c r="U129" s="8">
        <f>IFERROR(T129/T445, "NA")</f>
        <v>0.2154026962612666</v>
      </c>
      <c r="V129" s="9"/>
      <c r="W129" s="10">
        <f t="shared" ref="W129:W141" si="30">IFERROR(-(Q129-T129), "NA")</f>
        <v>127794.76</v>
      </c>
      <c r="X129" s="8">
        <f>IFERROR(W129/W445, "NA")</f>
        <v>-1.7761483241951064</v>
      </c>
      <c r="Y129" s="9"/>
      <c r="Z129" s="7">
        <v>0</v>
      </c>
      <c r="AA129" s="8">
        <f>IFERROR(Z129/Z445, "NA")</f>
        <v>0</v>
      </c>
      <c r="AB129" s="9"/>
      <c r="AC129" s="10">
        <f t="shared" ref="AC129:AC141" si="31">IFERROR(-(Q129-Z129), "NA")</f>
        <v>0</v>
      </c>
      <c r="AD129" s="8">
        <f>IFERROR(AC129/AC445, "NA")</f>
        <v>0</v>
      </c>
    </row>
    <row r="130" spans="1:30" ht="16.5" customHeight="1" x14ac:dyDescent="0.45">
      <c r="A130" s="12" t="s">
        <v>122</v>
      </c>
      <c r="B130" s="7">
        <v>6473.71</v>
      </c>
      <c r="C130" s="8">
        <f>IFERROR(B130/B445, "NA")</f>
        <v>5.3214045454754694E-2</v>
      </c>
      <c r="D130" s="9"/>
      <c r="E130" s="7">
        <v>0</v>
      </c>
      <c r="F130" s="8">
        <f>IFERROR(E130/E445, "NA")</f>
        <v>0</v>
      </c>
      <c r="G130" s="9"/>
      <c r="H130" s="10">
        <f t="shared" si="28"/>
        <v>-6473.71</v>
      </c>
      <c r="I130" s="8">
        <f>IFERROR(H130/H445, "NA")</f>
        <v>0.3083622108379358</v>
      </c>
      <c r="J130" s="9"/>
      <c r="K130" s="7">
        <v>6689.72</v>
      </c>
      <c r="L130" s="8">
        <f>IFERROR(K130/K445, "NA")</f>
        <v>5.1234637964265375E-2</v>
      </c>
      <c r="M130" s="9"/>
      <c r="N130" s="10">
        <f t="shared" si="29"/>
        <v>216.01000000000022</v>
      </c>
      <c r="O130" s="8">
        <f>IFERROR(N130/N445, "NA")</f>
        <v>-2.4226960218032598E-2</v>
      </c>
      <c r="P130" s="9"/>
      <c r="Q130" s="7">
        <v>26913.9</v>
      </c>
      <c r="R130" s="8">
        <f>IFERROR(Q130/Q445, "NA")</f>
        <v>5.1625209408099261E-2</v>
      </c>
      <c r="S130" s="9"/>
      <c r="T130" s="7">
        <v>0</v>
      </c>
      <c r="U130" s="8">
        <f>IFERROR(T130/T445, "NA")</f>
        <v>0</v>
      </c>
      <c r="V130" s="9"/>
      <c r="W130" s="10">
        <f t="shared" si="30"/>
        <v>-26913.9</v>
      </c>
      <c r="X130" s="8">
        <f>IFERROR(W130/W445, "NA")</f>
        <v>0.37406133383367735</v>
      </c>
      <c r="Y130" s="9"/>
      <c r="Z130" s="7">
        <v>31637.9</v>
      </c>
      <c r="AA130" s="8">
        <f>IFERROR(Z130/Z445, "NA")</f>
        <v>5.7364809557132947E-2</v>
      </c>
      <c r="AB130" s="9"/>
      <c r="AC130" s="10">
        <f t="shared" si="31"/>
        <v>4724</v>
      </c>
      <c r="AD130" s="8">
        <f>IFERROR(AC130/AC445, "NA")</f>
        <v>-0.15648322177886026</v>
      </c>
    </row>
    <row r="131" spans="1:30" ht="16.5" customHeight="1" x14ac:dyDescent="0.45">
      <c r="A131" s="12" t="s">
        <v>123</v>
      </c>
      <c r="B131" s="7">
        <v>3593.86</v>
      </c>
      <c r="C131" s="8">
        <f>IFERROR(B131/B445, "NA")</f>
        <v>2.9541612058313502E-2</v>
      </c>
      <c r="D131" s="9"/>
      <c r="E131" s="7">
        <v>0</v>
      </c>
      <c r="F131" s="8">
        <f>IFERROR(E131/E445, "NA")</f>
        <v>0</v>
      </c>
      <c r="G131" s="9"/>
      <c r="H131" s="10">
        <f t="shared" si="28"/>
        <v>-3593.86</v>
      </c>
      <c r="I131" s="8">
        <f>IFERROR(H131/H445, "NA")</f>
        <v>0.17118632361382019</v>
      </c>
      <c r="J131" s="9"/>
      <c r="K131" s="7">
        <v>4413.76</v>
      </c>
      <c r="L131" s="8">
        <f>IFERROR(K131/K445, "NA")</f>
        <v>3.3803716098903383E-2</v>
      </c>
      <c r="M131" s="9"/>
      <c r="N131" s="10">
        <f t="shared" si="29"/>
        <v>819.90000000000009</v>
      </c>
      <c r="O131" s="8">
        <f>IFERROR(N131/N445, "NA")</f>
        <v>-9.1957245881046742E-2</v>
      </c>
      <c r="P131" s="9"/>
      <c r="Q131" s="7">
        <v>15305.98</v>
      </c>
      <c r="R131" s="8">
        <f>IFERROR(Q131/Q445, "NA")</f>
        <v>2.9359343041929227E-2</v>
      </c>
      <c r="S131" s="9"/>
      <c r="T131" s="7">
        <v>0</v>
      </c>
      <c r="U131" s="8">
        <f>IFERROR(T131/T445, "NA")</f>
        <v>0</v>
      </c>
      <c r="V131" s="9"/>
      <c r="W131" s="10">
        <f t="shared" si="30"/>
        <v>-15305.98</v>
      </c>
      <c r="X131" s="8">
        <f>IFERROR(W131/W445, "NA")</f>
        <v>0.21272930695408648</v>
      </c>
      <c r="Y131" s="9"/>
      <c r="Z131" s="7">
        <v>19138.990000000002</v>
      </c>
      <c r="AA131" s="8">
        <f>IFERROR(Z131/Z445, "NA")</f>
        <v>3.4702193143851895E-2</v>
      </c>
      <c r="AB131" s="9"/>
      <c r="AC131" s="10">
        <f t="shared" si="31"/>
        <v>3833.010000000002</v>
      </c>
      <c r="AD131" s="8">
        <f>IFERROR(AC131/AC445, "NA")</f>
        <v>-0.12696904189470565</v>
      </c>
    </row>
    <row r="132" spans="1:30" ht="16.5" customHeight="1" x14ac:dyDescent="0.45">
      <c r="A132" s="12" t="s">
        <v>124</v>
      </c>
      <c r="B132" s="7">
        <v>5480.96</v>
      </c>
      <c r="C132" s="8">
        <f>IFERROR(B132/B445, "NA")</f>
        <v>4.5053617566386546E-2</v>
      </c>
      <c r="D132" s="9"/>
      <c r="E132" s="7">
        <v>0</v>
      </c>
      <c r="F132" s="8">
        <f>IFERROR(E132/E445, "NA")</f>
        <v>0</v>
      </c>
      <c r="G132" s="9"/>
      <c r="H132" s="10">
        <f t="shared" si="28"/>
        <v>-5480.96</v>
      </c>
      <c r="I132" s="8">
        <f>IFERROR(H132/H445, "NA")</f>
        <v>0.26107455278569669</v>
      </c>
      <c r="J132" s="9"/>
      <c r="K132" s="7">
        <v>6540.15</v>
      </c>
      <c r="L132" s="8">
        <f>IFERROR(K132/K445, "NA")</f>
        <v>5.0089124430019512E-2</v>
      </c>
      <c r="M132" s="9"/>
      <c r="N132" s="10">
        <f t="shared" si="29"/>
        <v>1059.1899999999996</v>
      </c>
      <c r="O132" s="8">
        <f>IFERROR(N132/N445, "NA")</f>
        <v>-0.1187952131537332</v>
      </c>
      <c r="P132" s="9"/>
      <c r="Q132" s="7">
        <v>20120.32</v>
      </c>
      <c r="R132" s="8">
        <f>IFERROR(Q132/Q445, "NA")</f>
        <v>3.8594025145295467E-2</v>
      </c>
      <c r="S132" s="9"/>
      <c r="T132" s="7">
        <v>0</v>
      </c>
      <c r="U132" s="8">
        <f>IFERROR(T132/T445, "NA")</f>
        <v>0</v>
      </c>
      <c r="V132" s="9"/>
      <c r="W132" s="10">
        <f t="shared" si="30"/>
        <v>-20120.32</v>
      </c>
      <c r="X132" s="8">
        <f>IFERROR(W132/W445, "NA")</f>
        <v>0.27964114217413361</v>
      </c>
      <c r="Y132" s="9"/>
      <c r="Z132" s="7">
        <v>23466.67</v>
      </c>
      <c r="AA132" s="8">
        <f>IFERROR(Z132/Z445, "NA")</f>
        <v>4.2549001529497373E-2</v>
      </c>
      <c r="AB132" s="9"/>
      <c r="AC132" s="10">
        <f t="shared" si="31"/>
        <v>3346.3499999999985</v>
      </c>
      <c r="AD132" s="8">
        <f>IFERROR(AC132/AC445, "NA")</f>
        <v>-0.11084835503803743</v>
      </c>
    </row>
    <row r="133" spans="1:30" ht="16.5" customHeight="1" x14ac:dyDescent="0.45">
      <c r="A133" s="12" t="s">
        <v>125</v>
      </c>
      <c r="B133" s="7">
        <v>3181.46</v>
      </c>
      <c r="C133" s="8">
        <f>IFERROR(B133/B445, "NA")</f>
        <v>2.6151674550216778E-2</v>
      </c>
      <c r="D133" s="9"/>
      <c r="E133" s="7">
        <v>0</v>
      </c>
      <c r="F133" s="8">
        <f>IFERROR(E133/E445, "NA")</f>
        <v>0</v>
      </c>
      <c r="G133" s="9"/>
      <c r="H133" s="10">
        <f t="shared" si="28"/>
        <v>-3181.46</v>
      </c>
      <c r="I133" s="8">
        <f>IFERROR(H133/H445, "NA")</f>
        <v>0.15154247553450173</v>
      </c>
      <c r="J133" s="9"/>
      <c r="K133" s="7">
        <v>3009.75</v>
      </c>
      <c r="L133" s="8">
        <f>IFERROR(K133/K445, "NA")</f>
        <v>2.3050808047713162E-2</v>
      </c>
      <c r="M133" s="9"/>
      <c r="N133" s="10">
        <f t="shared" si="29"/>
        <v>-171.71000000000004</v>
      </c>
      <c r="O133" s="8">
        <f>IFERROR(N133/N445, "NA")</f>
        <v>1.9258420161281299E-2</v>
      </c>
      <c r="P133" s="9"/>
      <c r="Q133" s="7">
        <v>12635.24</v>
      </c>
      <c r="R133" s="8">
        <f>IFERROR(Q133/Q445, "NA")</f>
        <v>2.4236432138099347E-2</v>
      </c>
      <c r="S133" s="9"/>
      <c r="T133" s="7">
        <v>0</v>
      </c>
      <c r="U133" s="8">
        <f>IFERROR(T133/T445, "NA")</f>
        <v>0</v>
      </c>
      <c r="V133" s="9"/>
      <c r="W133" s="10">
        <f t="shared" si="30"/>
        <v>-12635.24</v>
      </c>
      <c r="X133" s="8">
        <f>IFERROR(W133/W445, "NA")</f>
        <v>0.17561017644074745</v>
      </c>
      <c r="Y133" s="9"/>
      <c r="Z133" s="7">
        <v>13862.22</v>
      </c>
      <c r="AA133" s="8">
        <f>IFERROR(Z133/Z445, "NA")</f>
        <v>2.5134525690361224E-2</v>
      </c>
      <c r="AB133" s="9"/>
      <c r="AC133" s="10">
        <f t="shared" si="31"/>
        <v>1226.9799999999996</v>
      </c>
      <c r="AD133" s="8">
        <f>IFERROR(AC133/AC445, "NA")</f>
        <v>-4.0643899969988545E-2</v>
      </c>
    </row>
    <row r="134" spans="1:30" ht="16.5" customHeight="1" x14ac:dyDescent="0.45">
      <c r="A134" s="12" t="s">
        <v>126</v>
      </c>
      <c r="B134" s="7">
        <v>1557.67</v>
      </c>
      <c r="C134" s="8">
        <f>IFERROR(B134/B445, "NA")</f>
        <v>1.2804083312892876E-2</v>
      </c>
      <c r="D134" s="9"/>
      <c r="E134" s="7">
        <v>0</v>
      </c>
      <c r="F134" s="8">
        <f>IFERROR(E134/E445, "NA")</f>
        <v>0</v>
      </c>
      <c r="G134" s="9"/>
      <c r="H134" s="10">
        <f t="shared" si="28"/>
        <v>-1557.67</v>
      </c>
      <c r="I134" s="8">
        <f>IFERROR(H134/H445, "NA")</f>
        <v>7.4196490877090182E-2</v>
      </c>
      <c r="J134" s="9"/>
      <c r="K134" s="7">
        <v>974.02</v>
      </c>
      <c r="L134" s="8">
        <f>IFERROR(K134/K445, "NA")</f>
        <v>7.459738534640277E-3</v>
      </c>
      <c r="M134" s="9"/>
      <c r="N134" s="10">
        <f t="shared" si="29"/>
        <v>-583.65000000000009</v>
      </c>
      <c r="O134" s="8">
        <f>IFERROR(N134/N445, "NA")</f>
        <v>6.5460234856047003E-2</v>
      </c>
      <c r="P134" s="9"/>
      <c r="Q134" s="7">
        <v>6156.78</v>
      </c>
      <c r="R134" s="8">
        <f>IFERROR(Q134/Q445, "NA")</f>
        <v>1.180969895777265E-2</v>
      </c>
      <c r="S134" s="9"/>
      <c r="T134" s="7">
        <v>0</v>
      </c>
      <c r="U134" s="8">
        <f>IFERROR(T134/T445, "NA")</f>
        <v>0</v>
      </c>
      <c r="V134" s="9"/>
      <c r="W134" s="10">
        <f t="shared" si="30"/>
        <v>-6156.78</v>
      </c>
      <c r="X134" s="8">
        <f>IFERROR(W134/W445, "NA")</f>
        <v>8.5569662476285779E-2</v>
      </c>
      <c r="Y134" s="9"/>
      <c r="Z134" s="7">
        <v>4351.29</v>
      </c>
      <c r="AA134" s="8">
        <f>IFERROR(Z134/Z445, "NA")</f>
        <v>7.8896172684614664E-3</v>
      </c>
      <c r="AB134" s="9"/>
      <c r="AC134" s="10">
        <f t="shared" si="31"/>
        <v>-1805.4899999999998</v>
      </c>
      <c r="AD134" s="8">
        <f>IFERROR(AC134/AC445, "NA")</f>
        <v>5.9807132110396781E-2</v>
      </c>
    </row>
    <row r="135" spans="1:30" ht="16.5" customHeight="1" x14ac:dyDescent="0.45">
      <c r="A135" s="12" t="s">
        <v>127</v>
      </c>
      <c r="B135" s="7">
        <v>803.91</v>
      </c>
      <c r="C135" s="8">
        <f>IFERROR(B135/B445, "NA")</f>
        <v>6.6081587345636185E-3</v>
      </c>
      <c r="D135" s="9"/>
      <c r="E135" s="7">
        <v>0</v>
      </c>
      <c r="F135" s="8">
        <f>IFERROR(E135/E445, "NA")</f>
        <v>0</v>
      </c>
      <c r="G135" s="9"/>
      <c r="H135" s="10">
        <f t="shared" si="28"/>
        <v>-803.91</v>
      </c>
      <c r="I135" s="8">
        <f>IFERROR(H135/H445, "NA")</f>
        <v>3.8292642845404713E-2</v>
      </c>
      <c r="J135" s="9"/>
      <c r="K135" s="7">
        <v>826.95</v>
      </c>
      <c r="L135" s="8">
        <f>IFERROR(K135/K445, "NA")</f>
        <v>6.3333717800669164E-3</v>
      </c>
      <c r="M135" s="9"/>
      <c r="N135" s="10">
        <f t="shared" si="29"/>
        <v>23.040000000000077</v>
      </c>
      <c r="O135" s="8">
        <f>IFERROR(N135/N445, "NA")</f>
        <v>-2.5840894561523649E-3</v>
      </c>
      <c r="P135" s="9"/>
      <c r="Q135" s="7">
        <v>3634.76</v>
      </c>
      <c r="R135" s="8">
        <f>IFERROR(Q135/Q445, "NA")</f>
        <v>6.9720570466629836E-3</v>
      </c>
      <c r="S135" s="9"/>
      <c r="T135" s="7">
        <v>0</v>
      </c>
      <c r="U135" s="8">
        <f>IFERROR(T135/T445, "NA")</f>
        <v>0</v>
      </c>
      <c r="V135" s="9"/>
      <c r="W135" s="10">
        <f t="shared" si="30"/>
        <v>-3634.76</v>
      </c>
      <c r="X135" s="8">
        <f>IFERROR(W135/W445, "NA")</f>
        <v>5.0517508564916158E-2</v>
      </c>
      <c r="Y135" s="9"/>
      <c r="Z135" s="7">
        <v>3890.45</v>
      </c>
      <c r="AA135" s="8">
        <f>IFERROR(Z135/Z445, "NA")</f>
        <v>7.0540371940472617E-3</v>
      </c>
      <c r="AB135" s="9"/>
      <c r="AC135" s="10">
        <f t="shared" si="31"/>
        <v>255.6899999999996</v>
      </c>
      <c r="AD135" s="8">
        <f>IFERROR(AC135/AC445, "NA")</f>
        <v>-8.4697703168155631E-3</v>
      </c>
    </row>
    <row r="136" spans="1:30" ht="16.5" customHeight="1" x14ac:dyDescent="0.45">
      <c r="A136" s="12" t="s">
        <v>128</v>
      </c>
      <c r="B136" s="7">
        <v>0</v>
      </c>
      <c r="C136" s="8">
        <f>IFERROR(B136/B445, "NA")</f>
        <v>0</v>
      </c>
      <c r="D136" s="9"/>
      <c r="E136" s="7">
        <v>0</v>
      </c>
      <c r="F136" s="8">
        <f>IFERROR(E136/E445, "NA")</f>
        <v>0</v>
      </c>
      <c r="G136" s="9"/>
      <c r="H136" s="10">
        <f t="shared" si="28"/>
        <v>0</v>
      </c>
      <c r="I136" s="8">
        <f>IFERROR(H136/H445, "NA")</f>
        <v>0</v>
      </c>
      <c r="J136" s="9"/>
      <c r="K136" s="7">
        <v>919.07</v>
      </c>
      <c r="L136" s="8">
        <f>IFERROR(K136/K445, "NA")</f>
        <v>7.038892317438903E-3</v>
      </c>
      <c r="M136" s="9"/>
      <c r="N136" s="10">
        <f t="shared" si="29"/>
        <v>919.07</v>
      </c>
      <c r="O136" s="8">
        <f>IFERROR(N136/N445, "NA")</f>
        <v>-0.10307982189522336</v>
      </c>
      <c r="P136" s="9"/>
      <c r="Q136" s="7">
        <v>0</v>
      </c>
      <c r="R136" s="8">
        <f>IFERROR(Q136/Q445, "NA")</f>
        <v>0</v>
      </c>
      <c r="S136" s="9"/>
      <c r="T136" s="7">
        <v>0</v>
      </c>
      <c r="U136" s="8">
        <f>IFERROR(T136/T445, "NA")</f>
        <v>0</v>
      </c>
      <c r="V136" s="9"/>
      <c r="W136" s="10">
        <f t="shared" si="30"/>
        <v>0</v>
      </c>
      <c r="X136" s="8">
        <f>IFERROR(W136/W445, "NA")</f>
        <v>0</v>
      </c>
      <c r="Y136" s="9"/>
      <c r="Z136" s="7">
        <v>4617.18</v>
      </c>
      <c r="AA136" s="8">
        <f>IFERROR(Z136/Z445, "NA")</f>
        <v>8.3717203541007184E-3</v>
      </c>
      <c r="AB136" s="9"/>
      <c r="AC136" s="10">
        <f t="shared" si="31"/>
        <v>4617.18</v>
      </c>
      <c r="AD136" s="8">
        <f>IFERROR(AC136/AC445, "NA")</f>
        <v>-0.15294479295785735</v>
      </c>
    </row>
    <row r="137" spans="1:30" ht="16.5" customHeight="1" x14ac:dyDescent="0.45">
      <c r="A137" s="12" t="s">
        <v>129</v>
      </c>
      <c r="B137" s="7">
        <v>609.28</v>
      </c>
      <c r="C137" s="8">
        <f>IFERROR(B137/B445, "NA")</f>
        <v>5.0082956472676313E-3</v>
      </c>
      <c r="D137" s="9"/>
      <c r="E137" s="7">
        <v>0</v>
      </c>
      <c r="F137" s="8">
        <f>IFERROR(E137/E445, "NA")</f>
        <v>0</v>
      </c>
      <c r="G137" s="9"/>
      <c r="H137" s="10">
        <f t="shared" si="28"/>
        <v>-609.28</v>
      </c>
      <c r="I137" s="8">
        <f>IFERROR(H137/H445, "NA")</f>
        <v>2.9021832584304443E-2</v>
      </c>
      <c r="J137" s="9"/>
      <c r="K137" s="7">
        <v>650.19000000000005</v>
      </c>
      <c r="L137" s="8">
        <f>IFERROR(K137/K445, "NA")</f>
        <v>4.9796178701030395E-3</v>
      </c>
      <c r="M137" s="9"/>
      <c r="N137" s="10">
        <f t="shared" si="29"/>
        <v>40.910000000000082</v>
      </c>
      <c r="O137" s="8">
        <f>IFERROR(N137/N445, "NA")</f>
        <v>-4.5883289779163668E-3</v>
      </c>
      <c r="P137" s="9"/>
      <c r="Q137" s="7">
        <v>2677.73</v>
      </c>
      <c r="R137" s="8">
        <f>IFERROR(Q137/Q445, "NA")</f>
        <v>5.1363188533935858E-3</v>
      </c>
      <c r="S137" s="9"/>
      <c r="T137" s="7">
        <v>0</v>
      </c>
      <c r="U137" s="8">
        <f>IFERROR(T137/T445, "NA")</f>
        <v>0</v>
      </c>
      <c r="V137" s="9"/>
      <c r="W137" s="10">
        <f t="shared" si="30"/>
        <v>-2677.73</v>
      </c>
      <c r="X137" s="8">
        <f>IFERROR(W137/W445, "NA")</f>
        <v>3.7216280637382644E-2</v>
      </c>
      <c r="Y137" s="9"/>
      <c r="Z137" s="7">
        <v>3362.1</v>
      </c>
      <c r="AA137" s="8">
        <f>IFERROR(Z137/Z445, "NA")</f>
        <v>6.096050187023686E-3</v>
      </c>
      <c r="AB137" s="9"/>
      <c r="AC137" s="10">
        <f t="shared" si="31"/>
        <v>684.36999999999989</v>
      </c>
      <c r="AD137" s="8">
        <f>IFERROR(AC137/AC445, "NA")</f>
        <v>-2.2669860814732976E-2</v>
      </c>
    </row>
    <row r="138" spans="1:30" ht="16.5" customHeight="1" x14ac:dyDescent="0.45">
      <c r="A138" s="12" t="s">
        <v>130</v>
      </c>
      <c r="B138" s="7">
        <v>7019.3</v>
      </c>
      <c r="C138" s="8">
        <f>IFERROR(B138/B445, "NA")</f>
        <v>5.7698807833616209E-2</v>
      </c>
      <c r="D138" s="9"/>
      <c r="E138" s="7">
        <v>0</v>
      </c>
      <c r="F138" s="8">
        <f>IFERROR(E138/E445, "NA")</f>
        <v>0</v>
      </c>
      <c r="G138" s="9"/>
      <c r="H138" s="10">
        <f t="shared" si="28"/>
        <v>-7019.3</v>
      </c>
      <c r="I138" s="8">
        <f>IFERROR(H138/H445, "NA")</f>
        <v>0.33435029782531545</v>
      </c>
      <c r="J138" s="9"/>
      <c r="K138" s="7">
        <v>8260.98</v>
      </c>
      <c r="L138" s="8">
        <f>IFERROR(K138/K445, "NA")</f>
        <v>6.3268465575545302E-2</v>
      </c>
      <c r="M138" s="9"/>
      <c r="N138" s="10">
        <f t="shared" si="29"/>
        <v>1241.6799999999994</v>
      </c>
      <c r="O138" s="8">
        <f>IFERROR(N138/N445, "NA")</f>
        <v>-0.13926268211437742</v>
      </c>
      <c r="P138" s="9"/>
      <c r="Q138" s="7">
        <v>34420.239999999998</v>
      </c>
      <c r="R138" s="8">
        <f>IFERROR(Q138/Q445, "NA")</f>
        <v>6.6023582530849639E-2</v>
      </c>
      <c r="S138" s="9"/>
      <c r="T138" s="7">
        <v>0</v>
      </c>
      <c r="U138" s="8">
        <f>IFERROR(T138/T445, "NA")</f>
        <v>0</v>
      </c>
      <c r="V138" s="9"/>
      <c r="W138" s="10">
        <f t="shared" si="30"/>
        <v>-34420.239999999998</v>
      </c>
      <c r="X138" s="8">
        <f>IFERROR(W138/W445, "NA")</f>
        <v>0.47838778048797437</v>
      </c>
      <c r="Y138" s="9"/>
      <c r="Z138" s="7">
        <v>33527.230000000003</v>
      </c>
      <c r="AA138" s="8">
        <f>IFERROR(Z138/Z445, "NA")</f>
        <v>6.0790481161145167E-2</v>
      </c>
      <c r="AB138" s="9"/>
      <c r="AC138" s="10">
        <f t="shared" si="31"/>
        <v>-893.00999999999476</v>
      </c>
      <c r="AD138" s="8">
        <f>IFERROR(AC138/AC445, "NA")</f>
        <v>2.9581092692789836E-2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IFERROR(B139/B445, "NA")</f>
        <v>0</v>
      </c>
      <c r="D139" s="9"/>
      <c r="E139" s="7">
        <v>0</v>
      </c>
      <c r="F139" s="8">
        <f>IFERROR(E139/E445, "NA")</f>
        <v>0</v>
      </c>
      <c r="G139" s="9"/>
      <c r="H139" s="10">
        <f t="shared" si="28"/>
        <v>0</v>
      </c>
      <c r="I139" s="8">
        <f>IFERROR(H139/H445, "NA")</f>
        <v>0</v>
      </c>
      <c r="J139" s="9"/>
      <c r="K139" s="7">
        <v>0</v>
      </c>
      <c r="L139" s="8">
        <f>IFERROR(K139/K445, "NA")</f>
        <v>0</v>
      </c>
      <c r="M139" s="9"/>
      <c r="N139" s="10">
        <f t="shared" si="29"/>
        <v>0</v>
      </c>
      <c r="O139" s="8">
        <f>IFERROR(N139/N445, "NA")</f>
        <v>0</v>
      </c>
      <c r="P139" s="9"/>
      <c r="Q139" s="7">
        <v>0</v>
      </c>
      <c r="R139" s="8">
        <f>IFERROR(Q139/Q445, "NA")</f>
        <v>0</v>
      </c>
      <c r="S139" s="9"/>
      <c r="T139" s="7">
        <v>0</v>
      </c>
      <c r="U139" s="8">
        <f>IFERROR(T139/T445, "NA")</f>
        <v>0</v>
      </c>
      <c r="V139" s="9"/>
      <c r="W139" s="10">
        <f t="shared" si="30"/>
        <v>0</v>
      </c>
      <c r="X139" s="8">
        <f>IFERROR(W139/W445, "NA")</f>
        <v>0</v>
      </c>
      <c r="Y139" s="9"/>
      <c r="Z139" s="7">
        <v>0</v>
      </c>
      <c r="AA139" s="8">
        <f>IFERROR(Z139/Z445, "NA")</f>
        <v>0</v>
      </c>
      <c r="AB139" s="9"/>
      <c r="AC139" s="10">
        <f t="shared" si="31"/>
        <v>0</v>
      </c>
      <c r="AD139" s="8">
        <f>IFERROR(AC139/AC445,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IFERROR(B140/B445, "NA")</f>
        <v>0</v>
      </c>
      <c r="D140" s="9"/>
      <c r="E140" s="7">
        <v>0</v>
      </c>
      <c r="F140" s="8">
        <f>IFERROR(E140/E445, "NA")</f>
        <v>0</v>
      </c>
      <c r="G140" s="9"/>
      <c r="H140" s="10">
        <f t="shared" si="28"/>
        <v>0</v>
      </c>
      <c r="I140" s="8">
        <f>IFERROR(H140/H445, "NA")</f>
        <v>0</v>
      </c>
      <c r="J140" s="9"/>
      <c r="K140" s="7">
        <v>0</v>
      </c>
      <c r="L140" s="8">
        <f>IFERROR(K140/K445, "NA")</f>
        <v>0</v>
      </c>
      <c r="M140" s="9"/>
      <c r="N140" s="10">
        <f t="shared" si="29"/>
        <v>0</v>
      </c>
      <c r="O140" s="8">
        <f>IFERROR(N140/N445, "NA")</f>
        <v>0</v>
      </c>
      <c r="P140" s="9"/>
      <c r="Q140" s="7">
        <v>0</v>
      </c>
      <c r="R140" s="8">
        <f>IFERROR(Q140/Q445, "NA")</f>
        <v>0</v>
      </c>
      <c r="S140" s="9"/>
      <c r="T140" s="7">
        <v>0</v>
      </c>
      <c r="U140" s="8">
        <f>IFERROR(T140/T445, "NA")</f>
        <v>0</v>
      </c>
      <c r="V140" s="9"/>
      <c r="W140" s="10">
        <f t="shared" si="30"/>
        <v>0</v>
      </c>
      <c r="X140" s="8">
        <f>IFERROR(W140/W445, "NA")</f>
        <v>0</v>
      </c>
      <c r="Y140" s="9"/>
      <c r="Z140" s="7">
        <v>0</v>
      </c>
      <c r="AA140" s="8">
        <f>IFERROR(Z140/Z445, "NA")</f>
        <v>0</v>
      </c>
      <c r="AB140" s="9"/>
      <c r="AC140" s="10">
        <f t="shared" si="31"/>
        <v>0</v>
      </c>
      <c r="AD140" s="8">
        <f>IFERROR(AC140/AC445,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28720.149999999994</v>
      </c>
      <c r="C141" s="15">
        <f>IFERROR(B141/B445, "NA")</f>
        <v>0.23608029515801179</v>
      </c>
      <c r="D141" s="2"/>
      <c r="E141" s="14">
        <f>IFERROR(E129+E130+E131+E132+E133+E134+E135+E136+E137+E138+E139+E140, "NA")</f>
        <v>30526.67</v>
      </c>
      <c r="F141" s="15">
        <f>IFERROR(E141/E445, "NA")</f>
        <v>0.21399997097751308</v>
      </c>
      <c r="G141" s="2"/>
      <c r="H141" s="14">
        <f t="shared" si="28"/>
        <v>1806.5200000000041</v>
      </c>
      <c r="I141" s="15">
        <f>IFERROR(H141/H445, "NA")</f>
        <v>-8.6049962250849821E-2</v>
      </c>
      <c r="J141" s="2"/>
      <c r="K141" s="14">
        <f>IFERROR(K129+K130+K131+K132+K133+K134+K135+K136+K137+K138+K139+K140, "NA")</f>
        <v>32284.589999999997</v>
      </c>
      <c r="L141" s="15">
        <f>IFERROR(K141/K445, "NA")</f>
        <v>0.24725837261869585</v>
      </c>
      <c r="M141" s="2"/>
      <c r="N141" s="14">
        <f t="shared" si="29"/>
        <v>3564.4400000000023</v>
      </c>
      <c r="O141" s="15">
        <f>IFERROR(N141/N445, "NA")</f>
        <v>-0.39977568667915409</v>
      </c>
      <c r="P141" s="2"/>
      <c r="Q141" s="14">
        <f>IFERROR(Q129+Q130+Q131+Q132+Q133+Q134+Q135+Q136+Q137+Q138+Q139+Q140, "NA")</f>
        <v>121864.94999999998</v>
      </c>
      <c r="R141" s="15">
        <f>IFERROR(Q141/Q445, "NA")</f>
        <v>0.23375666712210214</v>
      </c>
      <c r="S141" s="2"/>
      <c r="T141" s="14">
        <f>IFERROR(T129+T130+T131+T132+T133+T134+T135+T136+T137+T138+T139+T140, "NA")</f>
        <v>127794.76</v>
      </c>
      <c r="U141" s="15">
        <f>IFERROR(T141/T445, "NA")</f>
        <v>0.2154026962612666</v>
      </c>
      <c r="V141" s="2"/>
      <c r="W141" s="14">
        <f t="shared" si="30"/>
        <v>5929.8100000000122</v>
      </c>
      <c r="X141" s="15">
        <f>IFERROR(W141/W445, "NA")</f>
        <v>-8.2415132625902707E-2</v>
      </c>
      <c r="Y141" s="2"/>
      <c r="Z141" s="14">
        <f>IFERROR(Z129+Z130+Z131+Z132+Z133+Z134+Z135+Z136+Z137+Z138+Z139+Z140, "NA")</f>
        <v>137854.03</v>
      </c>
      <c r="AA141" s="15">
        <f>IFERROR(Z141/Z445, "NA")</f>
        <v>0.24995243608562173</v>
      </c>
      <c r="AB141" s="2"/>
      <c r="AC141" s="14">
        <f t="shared" si="31"/>
        <v>15989.080000000016</v>
      </c>
      <c r="AD141" s="15">
        <f>IFERROR(AC141/AC445, "NA")</f>
        <v>-0.52964071796781154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IFERROR(B143/B445, "NA")</f>
        <v>0</v>
      </c>
      <c r="D143" s="9"/>
      <c r="E143" s="7">
        <v>1569.13</v>
      </c>
      <c r="F143" s="8">
        <f>IFERROR(E143/E445, "NA")</f>
        <v>1.1000013249396189E-2</v>
      </c>
      <c r="G143" s="9"/>
      <c r="H143" s="10">
        <f t="shared" ref="H143:H149" si="32">IFERROR(-(B143-E143), "NA")</f>
        <v>1569.13</v>
      </c>
      <c r="I143" s="8">
        <f>IFERROR(H143/H445, "NA")</f>
        <v>-7.4742365025948054E-2</v>
      </c>
      <c r="J143" s="9"/>
      <c r="K143" s="7">
        <v>0</v>
      </c>
      <c r="L143" s="8">
        <f>IFERROR(K143/K445, "NA")</f>
        <v>0</v>
      </c>
      <c r="M143" s="9"/>
      <c r="N143" s="10">
        <f t="shared" ref="N143:N149" si="33">IFERROR(-(B143-K143), "NA")</f>
        <v>0</v>
      </c>
      <c r="O143" s="8">
        <f>IFERROR(N143/N445, "NA")</f>
        <v>0</v>
      </c>
      <c r="P143" s="9"/>
      <c r="Q143" s="7">
        <v>0</v>
      </c>
      <c r="R143" s="8">
        <f>IFERROR(Q143/Q445, "NA")</f>
        <v>0</v>
      </c>
      <c r="S143" s="9"/>
      <c r="T143" s="7">
        <v>6526.12</v>
      </c>
      <c r="U143" s="8">
        <f>IFERROR(T143/T445, "NA")</f>
        <v>1.1000011613344532E-2</v>
      </c>
      <c r="V143" s="9"/>
      <c r="W143" s="10">
        <f t="shared" ref="W143:W149" si="34">IFERROR(-(Q143-T143), "NA")</f>
        <v>6526.12</v>
      </c>
      <c r="X143" s="8">
        <f>IFERROR(W143/W445, "NA")</f>
        <v>-9.0702913808799107E-2</v>
      </c>
      <c r="Y143" s="9"/>
      <c r="Z143" s="7">
        <v>0</v>
      </c>
      <c r="AA143" s="8">
        <f>IFERROR(Z143/Z445, "NA")</f>
        <v>0</v>
      </c>
      <c r="AB143" s="9"/>
      <c r="AC143" s="10">
        <f t="shared" ref="AC143:AC149" si="35">IFERROR(-(Q143-Z143), "NA")</f>
        <v>0</v>
      </c>
      <c r="AD143" s="8">
        <f>IFERROR(AC143/AC445, "NA")</f>
        <v>0</v>
      </c>
    </row>
    <row r="144" spans="1:30" ht="16.5" customHeight="1" x14ac:dyDescent="0.45">
      <c r="A144" s="12" t="s">
        <v>135</v>
      </c>
      <c r="B144" s="7">
        <v>1444.94</v>
      </c>
      <c r="C144" s="8">
        <f>IFERROR(B144/B445, "NA")</f>
        <v>1.1877440113844031E-2</v>
      </c>
      <c r="D144" s="9"/>
      <c r="E144" s="7">
        <v>0</v>
      </c>
      <c r="F144" s="8">
        <f>IFERROR(E144/E445, "NA")</f>
        <v>0</v>
      </c>
      <c r="G144" s="9"/>
      <c r="H144" s="10">
        <f t="shared" si="32"/>
        <v>-1444.94</v>
      </c>
      <c r="I144" s="8">
        <f>IFERROR(H144/H445, "NA")</f>
        <v>6.8826823093429731E-2</v>
      </c>
      <c r="J144" s="9"/>
      <c r="K144" s="7">
        <v>1815.8</v>
      </c>
      <c r="L144" s="8">
        <f>IFERROR(K144/K445, "NA")</f>
        <v>1.3906689011724416E-2</v>
      </c>
      <c r="M144" s="9"/>
      <c r="N144" s="10">
        <f t="shared" si="33"/>
        <v>370.8599999999999</v>
      </c>
      <c r="O144" s="8">
        <f>IFERROR(N144/N445, "NA")</f>
        <v>-4.1594419084577366E-2</v>
      </c>
      <c r="P144" s="9"/>
      <c r="Q144" s="7">
        <v>6344.45</v>
      </c>
      <c r="R144" s="8">
        <f>IFERROR(Q144/Q445, "NA")</f>
        <v>1.2169680344699776E-2</v>
      </c>
      <c r="S144" s="9"/>
      <c r="T144" s="7">
        <v>0</v>
      </c>
      <c r="U144" s="8">
        <f>IFERROR(T144/T445, "NA")</f>
        <v>0</v>
      </c>
      <c r="V144" s="9"/>
      <c r="W144" s="10">
        <f t="shared" si="34"/>
        <v>-6344.45</v>
      </c>
      <c r="X144" s="8">
        <f>IFERROR(W144/W445, "NA")</f>
        <v>8.8177983474750005E-2</v>
      </c>
      <c r="Y144" s="9"/>
      <c r="Z144" s="7">
        <v>7279.32</v>
      </c>
      <c r="AA144" s="8">
        <f>IFERROR(Z144/Z445, "NA")</f>
        <v>1.3198625872938121E-2</v>
      </c>
      <c r="AB144" s="9"/>
      <c r="AC144" s="10">
        <f t="shared" si="35"/>
        <v>934.86999999999989</v>
      </c>
      <c r="AD144" s="8">
        <f>IFERROR(AC144/AC445, "NA")</f>
        <v>-3.096771158856966E-2</v>
      </c>
    </row>
    <row r="145" spans="1:30" ht="16.5" customHeight="1" x14ac:dyDescent="0.45">
      <c r="A145" s="12" t="s">
        <v>136</v>
      </c>
      <c r="B145" s="7">
        <v>175.35</v>
      </c>
      <c r="C145" s="8">
        <f>IFERROR(B145/B445, "NA")</f>
        <v>1.4413810427855488E-3</v>
      </c>
      <c r="D145" s="9"/>
      <c r="E145" s="7">
        <v>0</v>
      </c>
      <c r="F145" s="8">
        <f>IFERROR(E145/E445, "NA")</f>
        <v>0</v>
      </c>
      <c r="G145" s="9"/>
      <c r="H145" s="10">
        <f t="shared" si="32"/>
        <v>-175.35</v>
      </c>
      <c r="I145" s="8">
        <f>IFERROR(H145/H445, "NA")</f>
        <v>8.3524460734929491E-3</v>
      </c>
      <c r="J145" s="9"/>
      <c r="K145" s="7">
        <v>64.459999999999994</v>
      </c>
      <c r="L145" s="8">
        <f>IFERROR(K145/K445, "NA")</f>
        <v>4.9368056707553467E-4</v>
      </c>
      <c r="M145" s="9"/>
      <c r="N145" s="10">
        <f t="shared" si="33"/>
        <v>-110.89</v>
      </c>
      <c r="O145" s="8">
        <f>IFERROR(N145/N445, "NA")</f>
        <v>1.2437052074337446E-2</v>
      </c>
      <c r="P145" s="9"/>
      <c r="Q145" s="7">
        <v>311.43</v>
      </c>
      <c r="R145" s="8">
        <f>IFERROR(Q145/Q445, "NA")</f>
        <v>5.9737306618380659E-4</v>
      </c>
      <c r="S145" s="9"/>
      <c r="T145" s="7">
        <v>0</v>
      </c>
      <c r="U145" s="8">
        <f>IFERROR(T145/T445, "NA")</f>
        <v>0</v>
      </c>
      <c r="V145" s="9"/>
      <c r="W145" s="10">
        <f t="shared" si="34"/>
        <v>-311.43</v>
      </c>
      <c r="X145" s="8">
        <f>IFERROR(W145/W445, "NA")</f>
        <v>4.3283924364667372E-3</v>
      </c>
      <c r="Y145" s="9"/>
      <c r="Z145" s="7">
        <v>391.73</v>
      </c>
      <c r="AA145" s="8">
        <f>IFERROR(Z145/Z445, "NA")</f>
        <v>7.1027207393081369E-4</v>
      </c>
      <c r="AB145" s="9"/>
      <c r="AC145" s="10">
        <f t="shared" si="35"/>
        <v>80.300000000000011</v>
      </c>
      <c r="AD145" s="8">
        <f>IFERROR(AC145/AC445, "NA")</f>
        <v>-2.6599497690183065E-3</v>
      </c>
    </row>
    <row r="146" spans="1:30" ht="16.5" customHeight="1" x14ac:dyDescent="0.45">
      <c r="A146" s="12" t="s">
        <v>137</v>
      </c>
      <c r="B146" s="7">
        <v>24.99</v>
      </c>
      <c r="C146" s="8">
        <f>IFERROR(B146/B445, "NA")</f>
        <v>2.0541837615746143E-4</v>
      </c>
      <c r="D146" s="9"/>
      <c r="E146" s="7">
        <v>0</v>
      </c>
      <c r="F146" s="8">
        <f>IFERROR(E146/E445, "NA")</f>
        <v>0</v>
      </c>
      <c r="G146" s="9"/>
      <c r="H146" s="10">
        <f t="shared" si="32"/>
        <v>-24.99</v>
      </c>
      <c r="I146" s="8">
        <f>IFERROR(H146/H445, "NA")</f>
        <v>1.1903486020906119E-3</v>
      </c>
      <c r="J146" s="9"/>
      <c r="K146" s="7">
        <v>194.81</v>
      </c>
      <c r="L146" s="8">
        <f>IFERROR(K146/K445, "NA")</f>
        <v>1.4919936591992694E-3</v>
      </c>
      <c r="M146" s="9"/>
      <c r="N146" s="10">
        <f t="shared" si="33"/>
        <v>169.82</v>
      </c>
      <c r="O146" s="8">
        <f>IFERROR(N146/N445, "NA")</f>
        <v>-1.9046444073081297E-2</v>
      </c>
      <c r="P146" s="9"/>
      <c r="Q146" s="7">
        <v>54.89</v>
      </c>
      <c r="R146" s="8">
        <f>IFERROR(Q146/Q445, "NA")</f>
        <v>1.0528789006463457E-4</v>
      </c>
      <c r="S146" s="9"/>
      <c r="T146" s="7">
        <v>0</v>
      </c>
      <c r="U146" s="8">
        <f>IFERROR(T146/T445, "NA")</f>
        <v>0</v>
      </c>
      <c r="V146" s="9"/>
      <c r="W146" s="10">
        <f t="shared" si="34"/>
        <v>-54.89</v>
      </c>
      <c r="X146" s="8">
        <f>IFERROR(W146/W445, "NA")</f>
        <v>7.628855949576445E-4</v>
      </c>
      <c r="Y146" s="9"/>
      <c r="Z146" s="7">
        <v>796.84</v>
      </c>
      <c r="AA146" s="8">
        <f>IFERROR(Z146/Z445, "NA")</f>
        <v>1.4448043279581078E-3</v>
      </c>
      <c r="AB146" s="9"/>
      <c r="AC146" s="10">
        <f t="shared" si="35"/>
        <v>741.95</v>
      </c>
      <c r="AD146" s="8">
        <f>IFERROR(AC146/AC445, "NA")</f>
        <v>-2.4577207112367778E-2</v>
      </c>
    </row>
    <row r="147" spans="1:30" ht="16.5" customHeight="1" x14ac:dyDescent="0.45">
      <c r="A147" s="12" t="s">
        <v>138</v>
      </c>
      <c r="B147" s="7">
        <v>7.35</v>
      </c>
      <c r="C147" s="8">
        <f>IFERROR(B147/B445, "NA")</f>
        <v>6.0417169458076892E-5</v>
      </c>
      <c r="D147" s="9"/>
      <c r="E147" s="7">
        <v>0</v>
      </c>
      <c r="F147" s="8">
        <f>IFERROR(E147/E445, "NA")</f>
        <v>0</v>
      </c>
      <c r="G147" s="9"/>
      <c r="H147" s="10">
        <f t="shared" si="32"/>
        <v>-7.35</v>
      </c>
      <c r="I147" s="8">
        <f>IFERROR(H147/H445, "NA")</f>
        <v>3.5010253002665053E-4</v>
      </c>
      <c r="J147" s="9"/>
      <c r="K147" s="7">
        <v>-146.66</v>
      </c>
      <c r="L147" s="8">
        <f>IFERROR(K147/K445, "NA")</f>
        <v>-1.1232266827070729E-3</v>
      </c>
      <c r="M147" s="9"/>
      <c r="N147" s="10">
        <f t="shared" si="33"/>
        <v>-154.01</v>
      </c>
      <c r="O147" s="8">
        <f>IFERROR(N147/N445, "NA")</f>
        <v>1.7273247271789253E-2</v>
      </c>
      <c r="P147" s="9"/>
      <c r="Q147" s="7">
        <v>80.17</v>
      </c>
      <c r="R147" s="8">
        <f>IFERROR(Q147/Q445, "NA")</f>
        <v>1.5377901523923763E-4</v>
      </c>
      <c r="S147" s="9"/>
      <c r="T147" s="7">
        <v>0</v>
      </c>
      <c r="U147" s="8">
        <f>IFERROR(T147/T445, "NA")</f>
        <v>0</v>
      </c>
      <c r="V147" s="9"/>
      <c r="W147" s="10">
        <f t="shared" si="34"/>
        <v>-80.17</v>
      </c>
      <c r="X147" s="8">
        <f>IFERROR(W147/W445, "NA")</f>
        <v>1.1142382610266782E-3</v>
      </c>
      <c r="Y147" s="9"/>
      <c r="Z147" s="7">
        <v>105.49</v>
      </c>
      <c r="AA147" s="8">
        <f>IFERROR(Z147/Z445, "NA")</f>
        <v>1.9127103126888808E-4</v>
      </c>
      <c r="AB147" s="9"/>
      <c r="AC147" s="10">
        <f t="shared" si="35"/>
        <v>25.319999999999993</v>
      </c>
      <c r="AD147" s="8">
        <f>IFERROR(AC147/AC445, "NA")</f>
        <v>-8.3872886863690531E-4</v>
      </c>
    </row>
    <row r="148" spans="1:30" ht="16.5" customHeight="1" x14ac:dyDescent="0.45">
      <c r="A148" s="13" t="s">
        <v>139</v>
      </c>
      <c r="B148" s="14">
        <f>IFERROR(B143+B144+B145+B146+B147, "NA")</f>
        <v>1652.6299999999999</v>
      </c>
      <c r="C148" s="15">
        <f>IFERROR(B148/B445, "NA")</f>
        <v>1.3584656702245117E-2</v>
      </c>
      <c r="D148" s="2"/>
      <c r="E148" s="14">
        <f>IFERROR(E143+E144+E145+E146+E147, "NA")</f>
        <v>1569.13</v>
      </c>
      <c r="F148" s="15">
        <f>IFERROR(E148/E445, "NA")</f>
        <v>1.1000013249396189E-2</v>
      </c>
      <c r="G148" s="2"/>
      <c r="H148" s="14">
        <f t="shared" si="32"/>
        <v>-83.499999999999773</v>
      </c>
      <c r="I148" s="15">
        <f>IFERROR(H148/H445, "NA")</f>
        <v>3.9773552730918696E-3</v>
      </c>
      <c r="J148" s="2"/>
      <c r="K148" s="14">
        <f>IFERROR(K143+K144+K145+K146+K147, "NA")</f>
        <v>1928.41</v>
      </c>
      <c r="L148" s="15">
        <f>IFERROR(K148/K445, "NA")</f>
        <v>1.4769136555292148E-2</v>
      </c>
      <c r="M148" s="2"/>
      <c r="N148" s="14">
        <f t="shared" si="33"/>
        <v>275.7800000000002</v>
      </c>
      <c r="O148" s="15">
        <f>IFERROR(N148/N445, "NA")</f>
        <v>-3.0930563811531999E-2</v>
      </c>
      <c r="P148" s="2"/>
      <c r="Q148" s="14">
        <f>IFERROR(Q143+Q144+Q145+Q146+Q147, "NA")</f>
        <v>6790.9400000000005</v>
      </c>
      <c r="R148" s="15">
        <f>IFERROR(Q148/Q445, "NA")</f>
        <v>1.3026120316187457E-2</v>
      </c>
      <c r="S148" s="2"/>
      <c r="T148" s="14">
        <f>IFERROR(T143+T144+T145+T146+T147, "NA")</f>
        <v>6526.12</v>
      </c>
      <c r="U148" s="15">
        <f>IFERROR(T148/T445, "NA")</f>
        <v>1.1000011613344532E-2</v>
      </c>
      <c r="V148" s="2"/>
      <c r="W148" s="14">
        <f t="shared" si="34"/>
        <v>-264.82000000000062</v>
      </c>
      <c r="X148" s="15">
        <f>IFERROR(W148/W445, "NA")</f>
        <v>3.6805859584019655E-3</v>
      </c>
      <c r="Y148" s="2"/>
      <c r="Z148" s="14">
        <f>IFERROR(Z143+Z144+Z145+Z146+Z147, "NA")</f>
        <v>8573.3799999999992</v>
      </c>
      <c r="AA148" s="15">
        <f>IFERROR(Z148/Z445, "NA")</f>
        <v>1.554497330609593E-2</v>
      </c>
      <c r="AB148" s="2"/>
      <c r="AC148" s="14">
        <f t="shared" si="35"/>
        <v>1782.4399999999987</v>
      </c>
      <c r="AD148" s="15">
        <f>IFERROR(AC148/AC445, "NA")</f>
        <v>-5.9043597338592609E-2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30372.779999999992</v>
      </c>
      <c r="C149" s="15">
        <f>IFERROR(B149/B445, "NA")</f>
        <v>0.24966495186025689</v>
      </c>
      <c r="D149" s="2"/>
      <c r="E149" s="14">
        <f>IFERROR(E127+E129+E130+E131+E132+E133+E134+E135+E136+E137+E138+E139+E140+E143+E144+E145+E146+E147, "NA")</f>
        <v>32095.8</v>
      </c>
      <c r="F149" s="15">
        <f>IFERROR(E149/E445, "NA")</f>
        <v>0.22499998422690928</v>
      </c>
      <c r="G149" s="2"/>
      <c r="H149" s="14">
        <f t="shared" si="32"/>
        <v>1723.0200000000077</v>
      </c>
      <c r="I149" s="15">
        <f>IFERROR(H149/H445, "NA")</f>
        <v>-8.2072606977758117E-2</v>
      </c>
      <c r="J149" s="2"/>
      <c r="K149" s="14">
        <f>IFERROR(K127+K129+K130+K131+K132+K133+K134+K135+K136+K137+K138+K139+K140+K143+K144+K145+K146+K147, "NA")</f>
        <v>34212.999999999993</v>
      </c>
      <c r="L149" s="15">
        <f>IFERROR(K149/K445, "NA")</f>
        <v>0.26202750917398798</v>
      </c>
      <c r="M149" s="2"/>
      <c r="N149" s="14">
        <f t="shared" si="33"/>
        <v>3840.2200000000012</v>
      </c>
      <c r="O149" s="15">
        <f>IFERROR(N149/N445, "NA")</f>
        <v>-0.43070625049068595</v>
      </c>
      <c r="P149" s="2"/>
      <c r="Q149" s="14">
        <f>IFERROR(Q127+Q129+Q130+Q131+Q132+Q133+Q134+Q135+Q136+Q137+Q138+Q139+Q140+Q143+Q144+Q145+Q146+Q147, "NA")</f>
        <v>128655.88999999997</v>
      </c>
      <c r="R149" s="15">
        <f>IFERROR(Q149/Q445, "NA")</f>
        <v>0.24678278743828957</v>
      </c>
      <c r="S149" s="2"/>
      <c r="T149" s="14">
        <f>IFERROR(T127+T129+T130+T131+T132+T133+T134+T135+T136+T137+T138+T139+T140+T143+T144+T145+T146+T147, "NA")</f>
        <v>134320.88</v>
      </c>
      <c r="U149" s="15">
        <f>IFERROR(T149/T445, "NA")</f>
        <v>0.22640270787461114</v>
      </c>
      <c r="V149" s="2"/>
      <c r="W149" s="14">
        <f t="shared" si="34"/>
        <v>5664.9900000000343</v>
      </c>
      <c r="X149" s="15">
        <f>IFERROR(W149/W445, "NA")</f>
        <v>-7.8734546667501057E-2</v>
      </c>
      <c r="Y149" s="2"/>
      <c r="Z149" s="14">
        <f>IFERROR(Z127+Z129+Z130+Z131+Z132+Z133+Z134+Z135+Z136+Z137+Z138+Z139+Z140+Z143+Z144+Z145+Z146+Z147, "NA")</f>
        <v>146427.41</v>
      </c>
      <c r="AA149" s="15">
        <f>IFERROR(Z149/Z445, "NA")</f>
        <v>0.26549740939171768</v>
      </c>
      <c r="AB149" s="2"/>
      <c r="AC149" s="14">
        <f t="shared" si="35"/>
        <v>17771.520000000033</v>
      </c>
      <c r="AD149" s="15">
        <f>IFERROR(AC149/AC445, "NA")</f>
        <v>-0.58868431530640475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IFERROR(B151/B445, "NA")</f>
        <v>0</v>
      </c>
      <c r="D151" s="9"/>
      <c r="E151" s="7">
        <v>0</v>
      </c>
      <c r="F151" s="8">
        <f>IFERROR(E151/E445, "NA")</f>
        <v>0</v>
      </c>
      <c r="G151" s="9"/>
      <c r="H151" s="10">
        <f>IFERROR(-(B151-E151), "NA")</f>
        <v>0</v>
      </c>
      <c r="I151" s="8">
        <f>IFERROR(H151/H445, "NA")</f>
        <v>0</v>
      </c>
      <c r="J151" s="9"/>
      <c r="K151" s="7">
        <v>0</v>
      </c>
      <c r="L151" s="8">
        <f>IFERROR(K151/K445, "NA")</f>
        <v>0</v>
      </c>
      <c r="M151" s="9"/>
      <c r="N151" s="10">
        <f>IFERROR(-(B151-K151), "NA")</f>
        <v>0</v>
      </c>
      <c r="O151" s="8">
        <f>IFERROR(N151/N445, "NA")</f>
        <v>0</v>
      </c>
      <c r="P151" s="9"/>
      <c r="Q151" s="7">
        <v>0</v>
      </c>
      <c r="R151" s="8">
        <f>IFERROR(Q151/Q445, "NA")</f>
        <v>0</v>
      </c>
      <c r="S151" s="9"/>
      <c r="T151" s="7">
        <v>0</v>
      </c>
      <c r="U151" s="8">
        <f>IFERROR(T151/T445, "NA")</f>
        <v>0</v>
      </c>
      <c r="V151" s="9"/>
      <c r="W151" s="10">
        <f>IFERROR(-(Q151-T151), "NA")</f>
        <v>0</v>
      </c>
      <c r="X151" s="8">
        <f>IFERROR(W151/W445, "NA")</f>
        <v>0</v>
      </c>
      <c r="Y151" s="9"/>
      <c r="Z151" s="7">
        <v>0</v>
      </c>
      <c r="AA151" s="8">
        <f>IFERROR(Z151/Z445, "NA")</f>
        <v>0</v>
      </c>
      <c r="AB151" s="9"/>
      <c r="AC151" s="10">
        <f>IFERROR(-(Q151-Z151), "NA")</f>
        <v>0</v>
      </c>
      <c r="AD151" s="8">
        <f>IFERROR(AC151/AC445,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IFERROR(B153/B445, "NA")</f>
        <v>0</v>
      </c>
      <c r="D153" s="9"/>
      <c r="E153" s="7">
        <v>5991.22</v>
      </c>
      <c r="F153" s="8">
        <f>IFERROR(E153/E445, "NA")</f>
        <v>4.2000025096739869E-2</v>
      </c>
      <c r="G153" s="9"/>
      <c r="H153" s="10">
        <f t="shared" ref="H153:H158" si="36">IFERROR(-(B153-E153), "NA")</f>
        <v>5991.22</v>
      </c>
      <c r="I153" s="8">
        <f>IFERROR(H153/H445, "NA")</f>
        <v>-0.28537976597908427</v>
      </c>
      <c r="J153" s="9"/>
      <c r="K153" s="7">
        <v>0</v>
      </c>
      <c r="L153" s="8">
        <f>IFERROR(K153/K445, "NA")</f>
        <v>0</v>
      </c>
      <c r="M153" s="9"/>
      <c r="N153" s="10">
        <f t="shared" ref="N153:N158" si="37">IFERROR(-(B153-K153), "NA")</f>
        <v>0</v>
      </c>
      <c r="O153" s="8">
        <f>IFERROR(N153/N445, "NA")</f>
        <v>0</v>
      </c>
      <c r="P153" s="9"/>
      <c r="Q153" s="7">
        <v>0</v>
      </c>
      <c r="R153" s="8">
        <f>IFERROR(Q153/Q445, "NA")</f>
        <v>0</v>
      </c>
      <c r="S153" s="9"/>
      <c r="T153" s="7">
        <v>24917.9</v>
      </c>
      <c r="U153" s="8">
        <f>IFERROR(T153/T445, "NA")</f>
        <v>4.2000022889581823E-2</v>
      </c>
      <c r="V153" s="9"/>
      <c r="W153" s="10">
        <f t="shared" ref="W153:W158" si="38">IFERROR(-(Q153-T153), "NA")</f>
        <v>24917.9</v>
      </c>
      <c r="X153" s="8">
        <f>IFERROR(W153/W445, "NA")</f>
        <v>-0.34632003947158119</v>
      </c>
      <c r="Y153" s="9"/>
      <c r="Z153" s="7">
        <v>0</v>
      </c>
      <c r="AA153" s="8">
        <f>IFERROR(Z153/Z445, "NA")</f>
        <v>0</v>
      </c>
      <c r="AB153" s="9"/>
      <c r="AC153" s="10">
        <f t="shared" ref="AC153:AC158" si="39">IFERROR(-(Q153-Z153), "NA")</f>
        <v>0</v>
      </c>
      <c r="AD153" s="8">
        <f>IFERROR(AC153/AC445, "NA")</f>
        <v>0</v>
      </c>
    </row>
    <row r="154" spans="1:30" ht="16.5" customHeight="1" x14ac:dyDescent="0.45">
      <c r="A154" s="12" t="s">
        <v>143</v>
      </c>
      <c r="B154" s="7">
        <v>3648.11</v>
      </c>
      <c r="C154" s="8">
        <f>IFERROR(B154/B445, "NA")</f>
        <v>2.9987548309075497E-2</v>
      </c>
      <c r="D154" s="9"/>
      <c r="E154" s="7">
        <v>0</v>
      </c>
      <c r="F154" s="8">
        <f>IFERROR(E154/E445, "NA")</f>
        <v>0</v>
      </c>
      <c r="G154" s="9"/>
      <c r="H154" s="10">
        <f t="shared" si="36"/>
        <v>-3648.11</v>
      </c>
      <c r="I154" s="8">
        <f>IFERROR(H154/H445, "NA")</f>
        <v>0.17377041371639784</v>
      </c>
      <c r="J154" s="9"/>
      <c r="K154" s="7">
        <v>4216.0200000000004</v>
      </c>
      <c r="L154" s="8">
        <f>IFERROR(K154/K445, "NA")</f>
        <v>3.2289282413927957E-2</v>
      </c>
      <c r="M154" s="9"/>
      <c r="N154" s="10">
        <f t="shared" si="37"/>
        <v>567.91000000000031</v>
      </c>
      <c r="O154" s="8">
        <f>IFERROR(N154/N445, "NA")</f>
        <v>-6.3694889020984607E-2</v>
      </c>
      <c r="P154" s="9"/>
      <c r="Q154" s="7">
        <v>15886.38</v>
      </c>
      <c r="R154" s="8">
        <f>IFERROR(Q154/Q445, "NA")</f>
        <v>3.0472644032884116E-2</v>
      </c>
      <c r="S154" s="9"/>
      <c r="T154" s="7">
        <v>0</v>
      </c>
      <c r="U154" s="8">
        <f>IFERROR(T154/T445, "NA")</f>
        <v>0</v>
      </c>
      <c r="V154" s="9"/>
      <c r="W154" s="10">
        <f t="shared" si="38"/>
        <v>-15886.38</v>
      </c>
      <c r="X154" s="8">
        <f>IFERROR(W154/W445, "NA")</f>
        <v>0.22079596389184231</v>
      </c>
      <c r="Y154" s="9"/>
      <c r="Z154" s="7">
        <v>18851.73</v>
      </c>
      <c r="AA154" s="8">
        <f>IFERROR(Z154/Z445, "NA")</f>
        <v>3.4181342670420285E-2</v>
      </c>
      <c r="AB154" s="9"/>
      <c r="AC154" s="10">
        <f t="shared" si="39"/>
        <v>2965.3500000000004</v>
      </c>
      <c r="AD154" s="8">
        <f>IFERROR(AC154/AC445, "NA")</f>
        <v>-9.8227671825136184E-2</v>
      </c>
    </row>
    <row r="155" spans="1:30" ht="16.5" customHeight="1" x14ac:dyDescent="0.45">
      <c r="A155" s="12" t="s">
        <v>144</v>
      </c>
      <c r="B155" s="7">
        <v>1301.98</v>
      </c>
      <c r="C155" s="8">
        <f>IFERROR(B155/B445, "NA")</f>
        <v>1.0702305617826797E-2</v>
      </c>
      <c r="D155" s="9"/>
      <c r="E155" s="7">
        <v>0</v>
      </c>
      <c r="F155" s="8">
        <f>IFERROR(E155/E445, "NA")</f>
        <v>0</v>
      </c>
      <c r="G155" s="9"/>
      <c r="H155" s="10">
        <f t="shared" si="36"/>
        <v>-1301.98</v>
      </c>
      <c r="I155" s="8">
        <f>IFERROR(H155/H445, "NA")</f>
        <v>6.2017209801918168E-2</v>
      </c>
      <c r="J155" s="9"/>
      <c r="K155" s="7">
        <v>1046.67</v>
      </c>
      <c r="L155" s="8">
        <f>IFERROR(K155/K445, "NA")</f>
        <v>8.0161439519228963E-3</v>
      </c>
      <c r="M155" s="9"/>
      <c r="N155" s="10">
        <f t="shared" si="37"/>
        <v>-255.30999999999995</v>
      </c>
      <c r="O155" s="8">
        <f>IFERROR(N155/N445, "NA")</f>
        <v>2.8634716972667444E-2</v>
      </c>
      <c r="P155" s="9"/>
      <c r="Q155" s="7">
        <v>6153.49</v>
      </c>
      <c r="R155" s="8">
        <f>IFERROR(Q155/Q445, "NA")</f>
        <v>1.1803388206118202E-2</v>
      </c>
      <c r="S155" s="9"/>
      <c r="T155" s="7">
        <v>0</v>
      </c>
      <c r="U155" s="8">
        <f>IFERROR(T155/T445, "NA")</f>
        <v>0</v>
      </c>
      <c r="V155" s="9"/>
      <c r="W155" s="10">
        <f t="shared" si="38"/>
        <v>-6153.49</v>
      </c>
      <c r="X155" s="8">
        <f>IFERROR(W155/W445, "NA")</f>
        <v>8.5523936595298153E-2</v>
      </c>
      <c r="Y155" s="9"/>
      <c r="Z155" s="7">
        <v>5603.52</v>
      </c>
      <c r="AA155" s="8">
        <f>IFERROR(Z155/Z445, "NA")</f>
        <v>1.0160119908387904E-2</v>
      </c>
      <c r="AB155" s="9"/>
      <c r="AC155" s="10">
        <f t="shared" si="39"/>
        <v>-549.96999999999935</v>
      </c>
      <c r="AD155" s="8">
        <f>IFERROR(AC155/AC445, "NA")</f>
        <v>1.8217840279788247E-2</v>
      </c>
    </row>
    <row r="156" spans="1:30" ht="16.5" customHeight="1" x14ac:dyDescent="0.45">
      <c r="A156" s="12" t="s">
        <v>145</v>
      </c>
      <c r="B156" s="7">
        <v>0</v>
      </c>
      <c r="C156" s="8">
        <f>IFERROR(B156/B445, "NA")</f>
        <v>0</v>
      </c>
      <c r="D156" s="9"/>
      <c r="E156" s="7">
        <v>0</v>
      </c>
      <c r="F156" s="8">
        <f>IFERROR(E156/E445, "NA")</f>
        <v>0</v>
      </c>
      <c r="G156" s="9"/>
      <c r="H156" s="10">
        <f t="shared" si="36"/>
        <v>0</v>
      </c>
      <c r="I156" s="8">
        <f>IFERROR(H156/H445, "NA")</f>
        <v>0</v>
      </c>
      <c r="J156" s="9"/>
      <c r="K156" s="7">
        <v>0</v>
      </c>
      <c r="L156" s="8">
        <f>IFERROR(K156/K445, "NA")</f>
        <v>0</v>
      </c>
      <c r="M156" s="9"/>
      <c r="N156" s="10">
        <f t="shared" si="37"/>
        <v>0</v>
      </c>
      <c r="O156" s="8">
        <f>IFERROR(N156/N445, "NA")</f>
        <v>0</v>
      </c>
      <c r="P156" s="9"/>
      <c r="Q156" s="7">
        <v>20.6</v>
      </c>
      <c r="R156" s="8">
        <f>IFERROR(Q156/Q445, "NA")</f>
        <v>3.9514128900190782E-5</v>
      </c>
      <c r="S156" s="9"/>
      <c r="T156" s="7">
        <v>0</v>
      </c>
      <c r="U156" s="8">
        <f>IFERROR(T156/T445, "NA")</f>
        <v>0</v>
      </c>
      <c r="V156" s="9"/>
      <c r="W156" s="10">
        <f t="shared" si="38"/>
        <v>-20.6</v>
      </c>
      <c r="X156" s="8">
        <f>IFERROR(W156/W445, "NA")</f>
        <v>2.86307947825241E-4</v>
      </c>
      <c r="Y156" s="9"/>
      <c r="Z156" s="7">
        <v>0</v>
      </c>
      <c r="AA156" s="8">
        <f>IFERROR(Z156/Z445, "NA")</f>
        <v>0</v>
      </c>
      <c r="AB156" s="9"/>
      <c r="AC156" s="10">
        <f t="shared" si="39"/>
        <v>-20.6</v>
      </c>
      <c r="AD156" s="8">
        <f>IFERROR(AC156/AC445, "NA")</f>
        <v>6.8237814746920436E-4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IFERROR(B157/B445, "NA")</f>
        <v>0</v>
      </c>
      <c r="D157" s="9"/>
      <c r="E157" s="7">
        <v>0</v>
      </c>
      <c r="F157" s="8">
        <f>IFERROR(E157/E445, "NA")</f>
        <v>0</v>
      </c>
      <c r="G157" s="9"/>
      <c r="H157" s="10">
        <f t="shared" si="36"/>
        <v>0</v>
      </c>
      <c r="I157" s="8">
        <f>IFERROR(H157/H445, "NA")</f>
        <v>0</v>
      </c>
      <c r="J157" s="9"/>
      <c r="K157" s="7">
        <v>0</v>
      </c>
      <c r="L157" s="8">
        <f>IFERROR(K157/K445, "NA")</f>
        <v>0</v>
      </c>
      <c r="M157" s="9"/>
      <c r="N157" s="10">
        <f t="shared" si="37"/>
        <v>0</v>
      </c>
      <c r="O157" s="8">
        <f>IFERROR(N157/N445, "NA")</f>
        <v>0</v>
      </c>
      <c r="P157" s="9"/>
      <c r="Q157" s="7">
        <v>0</v>
      </c>
      <c r="R157" s="8">
        <f>IFERROR(Q157/Q445, "NA")</f>
        <v>0</v>
      </c>
      <c r="S157" s="9"/>
      <c r="T157" s="7">
        <v>0</v>
      </c>
      <c r="U157" s="8">
        <f>IFERROR(T157/T445, "NA")</f>
        <v>0</v>
      </c>
      <c r="V157" s="9"/>
      <c r="W157" s="10">
        <f t="shared" si="38"/>
        <v>0</v>
      </c>
      <c r="X157" s="8">
        <f>IFERROR(W157/W445, "NA")</f>
        <v>0</v>
      </c>
      <c r="Y157" s="9"/>
      <c r="Z157" s="7">
        <v>0</v>
      </c>
      <c r="AA157" s="8">
        <f>IFERROR(Z157/Z445, "NA")</f>
        <v>0</v>
      </c>
      <c r="AB157" s="9"/>
      <c r="AC157" s="10">
        <f t="shared" si="39"/>
        <v>0</v>
      </c>
      <c r="AD157" s="8">
        <f>IFERROR(AC157/AC445,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4950.09</v>
      </c>
      <c r="C158" s="15">
        <f>IFERROR(B158/B445, "NA")</f>
        <v>4.0689853926902296E-2</v>
      </c>
      <c r="D158" s="2"/>
      <c r="E158" s="14">
        <f>IFERROR(E153+E154+E155+E156+E157, "NA")</f>
        <v>5991.22</v>
      </c>
      <c r="F158" s="15">
        <f>IFERROR(E158/E445, "NA")</f>
        <v>4.2000025096739869E-2</v>
      </c>
      <c r="G158" s="2"/>
      <c r="H158" s="14">
        <f t="shared" si="36"/>
        <v>1041.1300000000001</v>
      </c>
      <c r="I158" s="15">
        <f>IFERROR(H158/H445, "NA")</f>
        <v>-4.9592142460768263E-2</v>
      </c>
      <c r="J158" s="2"/>
      <c r="K158" s="14">
        <f>IFERROR(K153+K154+K155+K156+K157, "NA")</f>
        <v>5262.6900000000005</v>
      </c>
      <c r="L158" s="15">
        <f>IFERROR(K158/K445, "NA")</f>
        <v>4.0305426365850848E-2</v>
      </c>
      <c r="M158" s="2"/>
      <c r="N158" s="14">
        <f t="shared" si="37"/>
        <v>312.60000000000036</v>
      </c>
      <c r="O158" s="15">
        <f>IFERROR(N158/N445, "NA")</f>
        <v>-3.5060172048317163E-2</v>
      </c>
      <c r="P158" s="2"/>
      <c r="Q158" s="14">
        <f>IFERROR(Q153+Q154+Q155+Q156+Q157, "NA")</f>
        <v>22060.469999999998</v>
      </c>
      <c r="R158" s="15">
        <f>IFERROR(Q158/Q445, "NA")</f>
        <v>4.231554636790251E-2</v>
      </c>
      <c r="S158" s="2"/>
      <c r="T158" s="14">
        <f>IFERROR(T153+T154+T155+T156+T157, "NA")</f>
        <v>24917.9</v>
      </c>
      <c r="U158" s="15">
        <f>IFERROR(T158/T445, "NA")</f>
        <v>4.2000022889581823E-2</v>
      </c>
      <c r="V158" s="2"/>
      <c r="W158" s="14">
        <f t="shared" si="38"/>
        <v>2857.4300000000039</v>
      </c>
      <c r="X158" s="15">
        <f>IFERROR(W158/W445, "NA")</f>
        <v>-3.9713831036615507E-2</v>
      </c>
      <c r="Y158" s="2"/>
      <c r="Z158" s="14">
        <f>IFERROR(Z153+Z154+Z155+Z156+Z157, "NA")</f>
        <v>24455.25</v>
      </c>
      <c r="AA158" s="15">
        <f>IFERROR(Z158/Z445, "NA")</f>
        <v>4.4341462578808187E-2</v>
      </c>
      <c r="AB158" s="2"/>
      <c r="AC158" s="14">
        <f t="shared" si="39"/>
        <v>2394.7800000000025</v>
      </c>
      <c r="AD158" s="15">
        <f>IFERROR(AC158/AC445, "NA")</f>
        <v>-7.9327453397878778E-2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IFERROR(B160/B445, "NA")</f>
        <v>0</v>
      </c>
      <c r="D160" s="9"/>
      <c r="E160" s="7">
        <v>0</v>
      </c>
      <c r="F160" s="8">
        <f>IFERROR(E160/E445, "NA")</f>
        <v>0</v>
      </c>
      <c r="G160" s="9"/>
      <c r="H160" s="10">
        <f t="shared" ref="H160:H171" si="40">IFERROR(-(B160-E160), "NA")</f>
        <v>0</v>
      </c>
      <c r="I160" s="8">
        <f>IFERROR(H160/H445, "NA")</f>
        <v>0</v>
      </c>
      <c r="J160" s="9"/>
      <c r="K160" s="7">
        <v>0</v>
      </c>
      <c r="L160" s="8">
        <f>IFERROR(K160/K445, "NA")</f>
        <v>0</v>
      </c>
      <c r="M160" s="9"/>
      <c r="N160" s="10">
        <f t="shared" ref="N160:N171" si="41">IFERROR(-(B160-K160), "NA")</f>
        <v>0</v>
      </c>
      <c r="O160" s="8">
        <f>IFERROR(N160/N445, "NA")</f>
        <v>0</v>
      </c>
      <c r="P160" s="9"/>
      <c r="Q160" s="7">
        <v>0</v>
      </c>
      <c r="R160" s="8">
        <f>IFERROR(Q160/Q445, "NA")</f>
        <v>0</v>
      </c>
      <c r="S160" s="9"/>
      <c r="T160" s="7">
        <v>0</v>
      </c>
      <c r="U160" s="8">
        <f>IFERROR(T160/T445, "NA")</f>
        <v>0</v>
      </c>
      <c r="V160" s="9"/>
      <c r="W160" s="10">
        <f t="shared" ref="W160:W171" si="42">IFERROR(-(Q160-T160), "NA")</f>
        <v>0</v>
      </c>
      <c r="X160" s="8">
        <f>IFERROR(W160/W445, "NA")</f>
        <v>0</v>
      </c>
      <c r="Y160" s="9"/>
      <c r="Z160" s="7">
        <v>0</v>
      </c>
      <c r="AA160" s="8">
        <f>IFERROR(Z160/Z445, "NA")</f>
        <v>0</v>
      </c>
      <c r="AB160" s="9"/>
      <c r="AC160" s="10">
        <f t="shared" ref="AC160:AC171" si="43">IFERROR(-(Q160-Z160), "NA")</f>
        <v>0</v>
      </c>
      <c r="AD160" s="8">
        <f>IFERROR(AC160/AC445, "NA")</f>
        <v>0</v>
      </c>
    </row>
    <row r="161" spans="1:30" ht="16.5" customHeight="1" x14ac:dyDescent="0.45">
      <c r="A161" s="12" t="s">
        <v>149</v>
      </c>
      <c r="B161" s="7">
        <v>613.16999999999996</v>
      </c>
      <c r="C161" s="8">
        <f>IFERROR(B161/B445, "NA")</f>
        <v>5.0402715369536064E-3</v>
      </c>
      <c r="D161" s="9"/>
      <c r="E161" s="7">
        <v>0</v>
      </c>
      <c r="F161" s="8">
        <f>IFERROR(E161/E445, "NA")</f>
        <v>0</v>
      </c>
      <c r="G161" s="9"/>
      <c r="H161" s="10">
        <f t="shared" si="40"/>
        <v>-613.16999999999996</v>
      </c>
      <c r="I161" s="8">
        <f>IFERROR(H161/H445, "NA")</f>
        <v>2.9207124943733512E-2</v>
      </c>
      <c r="J161" s="9"/>
      <c r="K161" s="7">
        <v>181.07</v>
      </c>
      <c r="L161" s="8">
        <f>IFERROR(K161/K445, "NA")</f>
        <v>1.3867629581192531E-3</v>
      </c>
      <c r="M161" s="9"/>
      <c r="N161" s="10">
        <f t="shared" si="41"/>
        <v>-432.09999999999997</v>
      </c>
      <c r="O161" s="8">
        <f>IFERROR(N161/N445, "NA")</f>
        <v>4.8462892968899003E-2</v>
      </c>
      <c r="P161" s="9"/>
      <c r="Q161" s="7">
        <v>1866.87</v>
      </c>
      <c r="R161" s="8">
        <f>IFERROR(Q161/Q445, "NA")</f>
        <v>3.580958340771804E-3</v>
      </c>
      <c r="S161" s="9"/>
      <c r="T161" s="7">
        <v>0</v>
      </c>
      <c r="U161" s="8">
        <f>IFERROR(T161/T445, "NA")</f>
        <v>0</v>
      </c>
      <c r="V161" s="9"/>
      <c r="W161" s="10">
        <f t="shared" si="42"/>
        <v>-1866.87</v>
      </c>
      <c r="X161" s="8">
        <f>IFERROR(W161/W445, "NA")</f>
        <v>2.5946588279442115E-2</v>
      </c>
      <c r="Y161" s="9"/>
      <c r="Z161" s="7">
        <v>1744.73</v>
      </c>
      <c r="AA161" s="8">
        <f>IFERROR(Z161/Z445, "NA")</f>
        <v>3.1634875948977829E-3</v>
      </c>
      <c r="AB161" s="9"/>
      <c r="AC161" s="10">
        <f t="shared" si="43"/>
        <v>-122.13999999999987</v>
      </c>
      <c r="AD161" s="8">
        <f>IFERROR(AC161/AC445, "NA")</f>
        <v>4.0459061617421615E-3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IFERROR(B162/B445, "NA")</f>
        <v>0</v>
      </c>
      <c r="D162" s="9"/>
      <c r="E162" s="7">
        <v>0</v>
      </c>
      <c r="F162" s="8">
        <f>IFERROR(E162/E445, "NA")</f>
        <v>0</v>
      </c>
      <c r="G162" s="9"/>
      <c r="H162" s="10">
        <f t="shared" si="40"/>
        <v>0</v>
      </c>
      <c r="I162" s="8">
        <f>IFERROR(H162/H445, "NA")</f>
        <v>0</v>
      </c>
      <c r="J162" s="9"/>
      <c r="K162" s="7">
        <v>0</v>
      </c>
      <c r="L162" s="8">
        <f>IFERROR(K162/K445, "NA")</f>
        <v>0</v>
      </c>
      <c r="M162" s="9"/>
      <c r="N162" s="10">
        <f t="shared" si="41"/>
        <v>0</v>
      </c>
      <c r="O162" s="8">
        <f>IFERROR(N162/N445, "NA")</f>
        <v>0</v>
      </c>
      <c r="P162" s="9"/>
      <c r="Q162" s="7">
        <v>0</v>
      </c>
      <c r="R162" s="8">
        <f>IFERROR(Q162/Q445, "NA")</f>
        <v>0</v>
      </c>
      <c r="S162" s="9"/>
      <c r="T162" s="7">
        <v>0</v>
      </c>
      <c r="U162" s="8">
        <f>IFERROR(T162/T445, "NA")</f>
        <v>0</v>
      </c>
      <c r="V162" s="9"/>
      <c r="W162" s="10">
        <f t="shared" si="42"/>
        <v>0</v>
      </c>
      <c r="X162" s="8">
        <f>IFERROR(W162/W445, "NA")</f>
        <v>0</v>
      </c>
      <c r="Y162" s="9"/>
      <c r="Z162" s="7">
        <v>0</v>
      </c>
      <c r="AA162" s="8">
        <f>IFERROR(Z162/Z445, "NA")</f>
        <v>0</v>
      </c>
      <c r="AB162" s="9"/>
      <c r="AC162" s="10">
        <f t="shared" si="43"/>
        <v>0</v>
      </c>
      <c r="AD162" s="8">
        <f>IFERROR(AC162/AC445,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IFERROR(B163/B445, "NA")</f>
        <v>0</v>
      </c>
      <c r="D163" s="9"/>
      <c r="E163" s="7">
        <v>0</v>
      </c>
      <c r="F163" s="8">
        <f>IFERROR(E163/E445, "NA")</f>
        <v>0</v>
      </c>
      <c r="G163" s="9"/>
      <c r="H163" s="10">
        <f t="shared" si="40"/>
        <v>0</v>
      </c>
      <c r="I163" s="8">
        <f>IFERROR(H163/H445, "NA")</f>
        <v>0</v>
      </c>
      <c r="J163" s="9"/>
      <c r="K163" s="7">
        <v>0</v>
      </c>
      <c r="L163" s="8">
        <f>IFERROR(K163/K445, "NA")</f>
        <v>0</v>
      </c>
      <c r="M163" s="9"/>
      <c r="N163" s="10">
        <f t="shared" si="41"/>
        <v>0</v>
      </c>
      <c r="O163" s="8">
        <f>IFERROR(N163/N445, "NA")</f>
        <v>0</v>
      </c>
      <c r="P163" s="9"/>
      <c r="Q163" s="7">
        <v>0</v>
      </c>
      <c r="R163" s="8">
        <f>IFERROR(Q163/Q445, "NA")</f>
        <v>0</v>
      </c>
      <c r="S163" s="9"/>
      <c r="T163" s="7">
        <v>0</v>
      </c>
      <c r="U163" s="8">
        <f>IFERROR(T163/T445, "NA")</f>
        <v>0</v>
      </c>
      <c r="V163" s="9"/>
      <c r="W163" s="10">
        <f t="shared" si="42"/>
        <v>0</v>
      </c>
      <c r="X163" s="8">
        <f>IFERROR(W163/W445, "NA")</f>
        <v>0</v>
      </c>
      <c r="Y163" s="9"/>
      <c r="Z163" s="7">
        <v>0</v>
      </c>
      <c r="AA163" s="8">
        <f>IFERROR(Z163/Z445, "NA")</f>
        <v>0</v>
      </c>
      <c r="AB163" s="9"/>
      <c r="AC163" s="10">
        <f t="shared" si="43"/>
        <v>0</v>
      </c>
      <c r="AD163" s="8">
        <f>IFERROR(AC163/AC445,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IFERROR(B164/B445, "NA")</f>
        <v>0</v>
      </c>
      <c r="D164" s="9"/>
      <c r="E164" s="7">
        <v>0</v>
      </c>
      <c r="F164" s="8">
        <f>IFERROR(E164/E445, "NA")</f>
        <v>0</v>
      </c>
      <c r="G164" s="9"/>
      <c r="H164" s="10">
        <f t="shared" si="40"/>
        <v>0</v>
      </c>
      <c r="I164" s="8">
        <f>IFERROR(H164/H445, "NA")</f>
        <v>0</v>
      </c>
      <c r="J164" s="9"/>
      <c r="K164" s="7">
        <v>0</v>
      </c>
      <c r="L164" s="8">
        <f>IFERROR(K164/K445, "NA")</f>
        <v>0</v>
      </c>
      <c r="M164" s="9"/>
      <c r="N164" s="10">
        <f t="shared" si="41"/>
        <v>0</v>
      </c>
      <c r="O164" s="8">
        <f>IFERROR(N164/N445, "NA")</f>
        <v>0</v>
      </c>
      <c r="P164" s="9"/>
      <c r="Q164" s="7">
        <v>0</v>
      </c>
      <c r="R164" s="8">
        <f>IFERROR(Q164/Q445, "NA")</f>
        <v>0</v>
      </c>
      <c r="S164" s="9"/>
      <c r="T164" s="7">
        <v>0</v>
      </c>
      <c r="U164" s="8">
        <f>IFERROR(T164/T445, "NA")</f>
        <v>0</v>
      </c>
      <c r="V164" s="9"/>
      <c r="W164" s="10">
        <f t="shared" si="42"/>
        <v>0</v>
      </c>
      <c r="X164" s="8">
        <f>IFERROR(W164/W445, "NA")</f>
        <v>0</v>
      </c>
      <c r="Y164" s="9"/>
      <c r="Z164" s="7">
        <v>0</v>
      </c>
      <c r="AA164" s="8">
        <f>IFERROR(Z164/Z445, "NA")</f>
        <v>0</v>
      </c>
      <c r="AB164" s="9"/>
      <c r="AC164" s="10">
        <f t="shared" si="43"/>
        <v>0</v>
      </c>
      <c r="AD164" s="8">
        <f>IFERROR(AC164/AC445,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IFERROR(B165/B445, "NA")</f>
        <v>0</v>
      </c>
      <c r="D165" s="9"/>
      <c r="E165" s="7">
        <v>0</v>
      </c>
      <c r="F165" s="8">
        <f>IFERROR(E165/E445, "NA")</f>
        <v>0</v>
      </c>
      <c r="G165" s="9"/>
      <c r="H165" s="10">
        <f t="shared" si="40"/>
        <v>0</v>
      </c>
      <c r="I165" s="8">
        <f>IFERROR(H165/H445, "NA")</f>
        <v>0</v>
      </c>
      <c r="J165" s="9"/>
      <c r="K165" s="7">
        <v>0</v>
      </c>
      <c r="L165" s="8">
        <f>IFERROR(K165/K445, "NA")</f>
        <v>0</v>
      </c>
      <c r="M165" s="9"/>
      <c r="N165" s="10">
        <f t="shared" si="41"/>
        <v>0</v>
      </c>
      <c r="O165" s="8">
        <f>IFERROR(N165/N445, "NA")</f>
        <v>0</v>
      </c>
      <c r="P165" s="9"/>
      <c r="Q165" s="7">
        <v>0</v>
      </c>
      <c r="R165" s="8">
        <f>IFERROR(Q165/Q445, "NA")</f>
        <v>0</v>
      </c>
      <c r="S165" s="9"/>
      <c r="T165" s="7">
        <v>0</v>
      </c>
      <c r="U165" s="8">
        <f>IFERROR(T165/T445, "NA")</f>
        <v>0</v>
      </c>
      <c r="V165" s="9"/>
      <c r="W165" s="10">
        <f t="shared" si="42"/>
        <v>0</v>
      </c>
      <c r="X165" s="8">
        <f>IFERROR(W165/W445, "NA")</f>
        <v>0</v>
      </c>
      <c r="Y165" s="9"/>
      <c r="Z165" s="7">
        <v>0</v>
      </c>
      <c r="AA165" s="8">
        <f>IFERROR(Z165/Z445, "NA")</f>
        <v>0</v>
      </c>
      <c r="AB165" s="9"/>
      <c r="AC165" s="10">
        <f t="shared" si="43"/>
        <v>0</v>
      </c>
      <c r="AD165" s="8">
        <f>IFERROR(AC165/AC445,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613.16999999999996</v>
      </c>
      <c r="C166" s="15">
        <f>IFERROR(B166/B445, "NA")</f>
        <v>5.0402715369536064E-3</v>
      </c>
      <c r="D166" s="2"/>
      <c r="E166" s="14">
        <f>IFERROR(E160+E161+E162+E163+E164+E165, "NA")</f>
        <v>0</v>
      </c>
      <c r="F166" s="15">
        <f>IFERROR(E166/E445, "NA")</f>
        <v>0</v>
      </c>
      <c r="G166" s="2"/>
      <c r="H166" s="14">
        <f t="shared" si="40"/>
        <v>-613.16999999999996</v>
      </c>
      <c r="I166" s="15">
        <f>IFERROR(H166/H445, "NA")</f>
        <v>2.9207124943733512E-2</v>
      </c>
      <c r="J166" s="2"/>
      <c r="K166" s="14">
        <f>IFERROR(K160+K161+K162+K163+K164+K165, "NA")</f>
        <v>181.07</v>
      </c>
      <c r="L166" s="15">
        <f>IFERROR(K166/K445, "NA")</f>
        <v>1.3867629581192531E-3</v>
      </c>
      <c r="M166" s="2"/>
      <c r="N166" s="14">
        <f t="shared" si="41"/>
        <v>-432.09999999999997</v>
      </c>
      <c r="O166" s="15">
        <f>IFERROR(N166/N445, "NA")</f>
        <v>4.8462892968899003E-2</v>
      </c>
      <c r="P166" s="2"/>
      <c r="Q166" s="14">
        <f>IFERROR(Q160+Q161+Q162+Q163+Q164+Q165, "NA")</f>
        <v>1866.87</v>
      </c>
      <c r="R166" s="15">
        <f>IFERROR(Q166/Q445, "NA")</f>
        <v>3.580958340771804E-3</v>
      </c>
      <c r="S166" s="2"/>
      <c r="T166" s="14">
        <f>IFERROR(T160+T161+T162+T163+T164+T165, "NA")</f>
        <v>0</v>
      </c>
      <c r="U166" s="15">
        <f>IFERROR(T166/T445, "NA")</f>
        <v>0</v>
      </c>
      <c r="V166" s="2"/>
      <c r="W166" s="14">
        <f t="shared" si="42"/>
        <v>-1866.87</v>
      </c>
      <c r="X166" s="15">
        <f>IFERROR(W166/W445, "NA")</f>
        <v>2.5946588279442115E-2</v>
      </c>
      <c r="Y166" s="2"/>
      <c r="Z166" s="14">
        <f>IFERROR(Z160+Z161+Z162+Z163+Z164+Z165, "NA")</f>
        <v>1744.73</v>
      </c>
      <c r="AA166" s="15">
        <f>IFERROR(Z166/Z445, "NA")</f>
        <v>3.1634875948977829E-3</v>
      </c>
      <c r="AB166" s="2"/>
      <c r="AC166" s="14">
        <f t="shared" si="43"/>
        <v>-122.13999999999987</v>
      </c>
      <c r="AD166" s="15">
        <f>IFERROR(AC166/AC445, "NA")</f>
        <v>4.0459061617421615E-3</v>
      </c>
    </row>
    <row r="167" spans="1:30" ht="16.5" customHeight="1" x14ac:dyDescent="0.45">
      <c r="A167" s="6" t="s">
        <v>155</v>
      </c>
      <c r="B167" s="7">
        <v>99.95</v>
      </c>
      <c r="C167" s="8">
        <f>IFERROR(B167/B445, "NA")</f>
        <v>8.2159130439929059E-4</v>
      </c>
      <c r="D167" s="9"/>
      <c r="E167" s="7">
        <v>0</v>
      </c>
      <c r="F167" s="8">
        <f>IFERROR(E167/E445, "NA")</f>
        <v>0</v>
      </c>
      <c r="G167" s="9"/>
      <c r="H167" s="10">
        <f t="shared" si="40"/>
        <v>-99.95</v>
      </c>
      <c r="I167" s="8">
        <f>IFERROR(H167/H445, "NA")</f>
        <v>4.7609180783896223E-3</v>
      </c>
      <c r="J167" s="9"/>
      <c r="K167" s="7">
        <v>125.36</v>
      </c>
      <c r="L167" s="8">
        <f>IFERROR(K167/K445, "NA")</f>
        <v>9.6009611989744074E-4</v>
      </c>
      <c r="M167" s="9"/>
      <c r="N167" s="10">
        <f t="shared" si="41"/>
        <v>25.409999999999997</v>
      </c>
      <c r="O167" s="8">
        <f>IFERROR(N167/N445, "NA")</f>
        <v>-2.849900741355528E-3</v>
      </c>
      <c r="P167" s="9"/>
      <c r="Q167" s="7">
        <v>596.97</v>
      </c>
      <c r="R167" s="8">
        <f>IFERROR(Q167/Q445, "NA")</f>
        <v>1.1450849286187813E-3</v>
      </c>
      <c r="S167" s="9"/>
      <c r="T167" s="7">
        <v>0</v>
      </c>
      <c r="U167" s="8">
        <f>IFERROR(T167/T445, "NA")</f>
        <v>0</v>
      </c>
      <c r="V167" s="9"/>
      <c r="W167" s="10">
        <f t="shared" si="42"/>
        <v>-596.97</v>
      </c>
      <c r="X167" s="8">
        <f>IFERROR(W167/W445, "NA")</f>
        <v>8.296954155982238E-3</v>
      </c>
      <c r="Y167" s="9"/>
      <c r="Z167" s="7">
        <v>642.47</v>
      </c>
      <c r="AA167" s="8">
        <f>IFERROR(Z167/Z445, "NA")</f>
        <v>1.1649056731379518E-3</v>
      </c>
      <c r="AB167" s="9"/>
      <c r="AC167" s="10">
        <f t="shared" si="43"/>
        <v>45.5</v>
      </c>
      <c r="AD167" s="8">
        <f>IFERROR(AC167/AC445, "NA")</f>
        <v>-1.5071944519344078E-3</v>
      </c>
    </row>
    <row r="168" spans="1:30" ht="16.5" customHeight="1" x14ac:dyDescent="0.45">
      <c r="A168" s="6" t="s">
        <v>156</v>
      </c>
      <c r="B168" s="7">
        <v>157.75</v>
      </c>
      <c r="C168" s="8">
        <f>IFERROR(B168/B445, "NA")</f>
        <v>1.296708637008385E-3</v>
      </c>
      <c r="D168" s="9"/>
      <c r="E168" s="7">
        <v>0</v>
      </c>
      <c r="F168" s="8">
        <f>IFERROR(E168/E445, "NA")</f>
        <v>0</v>
      </c>
      <c r="G168" s="9"/>
      <c r="H168" s="10">
        <f t="shared" si="40"/>
        <v>-157.75</v>
      </c>
      <c r="I168" s="8">
        <f>IFERROR(H168/H445, "NA")</f>
        <v>7.514105321320289E-3</v>
      </c>
      <c r="J168" s="9"/>
      <c r="K168" s="7">
        <v>44.8</v>
      </c>
      <c r="L168" s="8">
        <f>IFERROR(K168/K445, "NA")</f>
        <v>3.4311029173105727E-4</v>
      </c>
      <c r="M168" s="9"/>
      <c r="N168" s="10">
        <f t="shared" si="41"/>
        <v>-112.95</v>
      </c>
      <c r="O168" s="8">
        <f>IFERROR(N168/N445, "NA")</f>
        <v>1.2668094794809402E-2</v>
      </c>
      <c r="P168" s="9"/>
      <c r="Q168" s="7">
        <v>525.01</v>
      </c>
      <c r="R168" s="8">
        <f>IFERROR(Q168/Q445, "NA")</f>
        <v>1.0070540200917068E-3</v>
      </c>
      <c r="S168" s="9"/>
      <c r="T168" s="7">
        <v>0</v>
      </c>
      <c r="U168" s="8">
        <f>IFERROR(T168/T445, "NA")</f>
        <v>0</v>
      </c>
      <c r="V168" s="9"/>
      <c r="W168" s="10">
        <f t="shared" si="42"/>
        <v>-525.01</v>
      </c>
      <c r="X168" s="8">
        <f>IFERROR(W168/W445, "NA")</f>
        <v>7.2968221207635802E-3</v>
      </c>
      <c r="Y168" s="9"/>
      <c r="Z168" s="7">
        <v>229.4</v>
      </c>
      <c r="AA168" s="8">
        <f>IFERROR(Z168/Z445, "NA")</f>
        <v>4.1594060643741521E-4</v>
      </c>
      <c r="AB168" s="9"/>
      <c r="AC168" s="10">
        <f t="shared" si="43"/>
        <v>-295.61</v>
      </c>
      <c r="AD168" s="8">
        <f>IFERROR(AC168/AC445, "NA")</f>
        <v>9.7921264161830827E-3</v>
      </c>
    </row>
    <row r="169" spans="1:30" ht="16.5" customHeight="1" x14ac:dyDescent="0.45">
      <c r="A169" s="6" t="s">
        <v>157</v>
      </c>
      <c r="B169" s="7">
        <v>-889.32</v>
      </c>
      <c r="C169" s="8">
        <f>IFERROR(B169/B445, "NA")</f>
        <v>-7.3102309037356393E-3</v>
      </c>
      <c r="D169" s="9"/>
      <c r="E169" s="7">
        <v>0</v>
      </c>
      <c r="F169" s="8">
        <f>IFERROR(E169/E445, "NA")</f>
        <v>0</v>
      </c>
      <c r="G169" s="9"/>
      <c r="H169" s="10">
        <f t="shared" si="40"/>
        <v>889.32</v>
      </c>
      <c r="I169" s="8">
        <f>IFERROR(H169/H445, "NA")</f>
        <v>-4.2360977143306243E-2</v>
      </c>
      <c r="J169" s="9"/>
      <c r="K169" s="7">
        <v>-1569.79</v>
      </c>
      <c r="L169" s="8">
        <f>IFERROR(K169/K445, "NA")</f>
        <v>-1.202256930483251E-2</v>
      </c>
      <c r="M169" s="9"/>
      <c r="N169" s="10">
        <f t="shared" si="41"/>
        <v>-680.46999999999991</v>
      </c>
      <c r="O169" s="8">
        <f>IFERROR(N169/N445, "NA")</f>
        <v>7.6319242718228889E-2</v>
      </c>
      <c r="P169" s="9"/>
      <c r="Q169" s="7">
        <v>-4567.8999999999996</v>
      </c>
      <c r="R169" s="8">
        <f>IFERROR(Q169/Q445, "NA")</f>
        <v>-8.7619703593777402E-3</v>
      </c>
      <c r="S169" s="9"/>
      <c r="T169" s="7">
        <v>0</v>
      </c>
      <c r="U169" s="8">
        <f>IFERROR(T169/T445, "NA")</f>
        <v>0</v>
      </c>
      <c r="V169" s="9"/>
      <c r="W169" s="10">
        <f t="shared" si="42"/>
        <v>4567.8999999999996</v>
      </c>
      <c r="X169" s="8">
        <f>IFERROR(W169/W445, "NA")</f>
        <v>-6.3486702663636804E-2</v>
      </c>
      <c r="Y169" s="9"/>
      <c r="Z169" s="7">
        <v>-11241.05</v>
      </c>
      <c r="AA169" s="8">
        <f>IFERROR(Z169/Z445, "NA")</f>
        <v>-2.0381905640772909E-2</v>
      </c>
      <c r="AB169" s="9"/>
      <c r="AC169" s="10">
        <f t="shared" si="43"/>
        <v>-6673.15</v>
      </c>
      <c r="AD169" s="8">
        <f>IFERROR(AC169/AC445, "NA")</f>
        <v>0.22104911333903499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4931.6400000000003</v>
      </c>
      <c r="C170" s="15">
        <f>IFERROR(B170/B445, "NA")</f>
        <v>4.0538194501527937E-2</v>
      </c>
      <c r="D170" s="2"/>
      <c r="E170" s="14">
        <f>IFERROR(E151+E153+E154+E155+E156+E157+E160+E161+E162+E163+E164+E165+E167+E168+E169, "NA")</f>
        <v>5991.22</v>
      </c>
      <c r="F170" s="15">
        <f>IFERROR(E170/E445, "NA")</f>
        <v>4.2000025096739869E-2</v>
      </c>
      <c r="G170" s="2"/>
      <c r="H170" s="14">
        <f t="shared" si="40"/>
        <v>1059.58</v>
      </c>
      <c r="I170" s="15">
        <f>IFERROR(H170/H445, "NA")</f>
        <v>-5.0470971260631069E-2</v>
      </c>
      <c r="J170" s="2"/>
      <c r="K170" s="14">
        <f>IFERROR(K151+K153+K154+K155+K156+K157+K160+K161+K162+K163+K164+K165+K167+K168+K169, "NA")</f>
        <v>4044.13</v>
      </c>
      <c r="L170" s="15">
        <f>IFERROR(K170/K445, "NA")</f>
        <v>3.0972826430766088E-2</v>
      </c>
      <c r="M170" s="2"/>
      <c r="N170" s="14">
        <f t="shared" si="41"/>
        <v>-887.51000000000022</v>
      </c>
      <c r="O170" s="15">
        <f>IFERROR(N170/N445, "NA")</f>
        <v>9.954015769226468E-2</v>
      </c>
      <c r="P170" s="2"/>
      <c r="Q170" s="14">
        <f>IFERROR(Q151+Q153+Q154+Q155+Q156+Q157+Q160+Q161+Q162+Q163+Q164+Q165+Q167+Q168+Q169, "NA")</f>
        <v>20481.419999999998</v>
      </c>
      <c r="R170" s="15">
        <f>IFERROR(Q170/Q445, "NA")</f>
        <v>3.9286673298007058E-2</v>
      </c>
      <c r="S170" s="2"/>
      <c r="T170" s="14">
        <f>IFERROR(T151+T153+T154+T155+T156+T157+T160+T161+T162+T163+T164+T165+T167+T168+T169, "NA")</f>
        <v>24917.9</v>
      </c>
      <c r="U170" s="15">
        <f>IFERROR(T170/T445, "NA")</f>
        <v>4.2000022889581823E-2</v>
      </c>
      <c r="V170" s="2"/>
      <c r="W170" s="14">
        <f t="shared" si="42"/>
        <v>4436.4800000000032</v>
      </c>
      <c r="X170" s="15">
        <f>IFERROR(W170/W445, "NA")</f>
        <v>-6.1660169144064365E-2</v>
      </c>
      <c r="Y170" s="2"/>
      <c r="Z170" s="14">
        <f>IFERROR(Z151+Z153+Z154+Z155+Z156+Z157+Z160+Z161+Z162+Z163+Z164+Z165+Z167+Z168+Z169, "NA")</f>
        <v>15830.800000000003</v>
      </c>
      <c r="AA170" s="15">
        <f>IFERROR(Z170/Z445, "NA")</f>
        <v>2.8703890812508428E-2</v>
      </c>
      <c r="AB170" s="2"/>
      <c r="AC170" s="14">
        <f t="shared" si="43"/>
        <v>-4650.6199999999953</v>
      </c>
      <c r="AD170" s="15">
        <f>IFERROR(AC170/AC445, "NA")</f>
        <v>0.15405249806714699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35304.419999999991</v>
      </c>
      <c r="C171" s="15">
        <f>IFERROR(B171/B445, "NA")</f>
        <v>0.29020314636178485</v>
      </c>
      <c r="D171" s="2"/>
      <c r="E171" s="14">
        <f>IFERROR(E127+E129+E130+E131+E132+E133+E134+E135+E136+E137+E138+E139+E140+E143+E144+E145+E146+E147+E151+E153+E154+E155+E156+E157+E160+E161+E162+E163+E164+E165+E167+E168+E169, "NA")</f>
        <v>38087.019999999997</v>
      </c>
      <c r="F171" s="15">
        <f>IFERROR(E171/E445, "NA")</f>
        <v>0.26700000932364915</v>
      </c>
      <c r="G171" s="2"/>
      <c r="H171" s="14">
        <f t="shared" si="40"/>
        <v>2782.6000000000058</v>
      </c>
      <c r="I171" s="15">
        <f>IFERROR(H171/H445, "NA")</f>
        <v>-0.13254357823838911</v>
      </c>
      <c r="J171" s="2"/>
      <c r="K171" s="14">
        <f>IFERROR(K127+K129+K130+K131+K132+K133+K134+K135+K136+K137+K138+K139+K140+K143+K144+K145+K146+K147+K151+K153+K154+K155+K156+K157+K160+K161+K162+K163+K164+K165+K167+K168+K169, "NA")</f>
        <v>38257.12999999999</v>
      </c>
      <c r="L171" s="15">
        <f>IFERROR(K171/K445, "NA")</f>
        <v>0.29300033560475403</v>
      </c>
      <c r="M171" s="2"/>
      <c r="N171" s="14">
        <f t="shared" si="41"/>
        <v>2952.7099999999991</v>
      </c>
      <c r="O171" s="15">
        <f>IFERROR(N171/N445, "NA")</f>
        <v>-0.33116609279842107</v>
      </c>
      <c r="P171" s="2"/>
      <c r="Q171" s="14">
        <f>IFERROR(Q127+Q129+Q130+Q131+Q132+Q133+Q134+Q135+Q136+Q137+Q138+Q139+Q140+Q143+Q144+Q145+Q146+Q147+Q151+Q153+Q154+Q155+Q156+Q157+Q160+Q161+Q162+Q163+Q164+Q165+Q167+Q168+Q169, "NA")</f>
        <v>149137.30999999997</v>
      </c>
      <c r="R171" s="15">
        <f>IFERROR(Q171/Q445, "NA")</f>
        <v>0.28606946073629663</v>
      </c>
      <c r="S171" s="2"/>
      <c r="T171" s="14">
        <f>IFERROR(T127+T129+T130+T131+T132+T133+T134+T135+T136+T137+T138+T139+T140+T143+T144+T145+T146+T147+T151+T153+T154+T155+T156+T157+T160+T161+T162+T163+T164+T165+T167+T168+T169, "NA")</f>
        <v>159238.78</v>
      </c>
      <c r="U171" s="15">
        <f>IFERROR(T171/T445, "NA")</f>
        <v>0.26840273076419296</v>
      </c>
      <c r="V171" s="2"/>
      <c r="W171" s="14">
        <f t="shared" si="42"/>
        <v>10101.47000000003</v>
      </c>
      <c r="X171" s="15">
        <f>IFERROR(W171/W445, "NA")</f>
        <v>-0.14039471581156532</v>
      </c>
      <c r="Y171" s="2"/>
      <c r="Z171" s="14">
        <f>IFERROR(Z127+Z129+Z130+Z131+Z132+Z133+Z134+Z135+Z136+Z137+Z138+Z139+Z140+Z143+Z144+Z145+Z146+Z147+Z151+Z153+Z154+Z155+Z156+Z157+Z160+Z161+Z162+Z163+Z164+Z165+Z167+Z168+Z169, "NA")</f>
        <v>162258.21000000002</v>
      </c>
      <c r="AA171" s="15">
        <f>IFERROR(Z171/Z445, "NA")</f>
        <v>0.29420130020422613</v>
      </c>
      <c r="AB171" s="2"/>
      <c r="AC171" s="14">
        <f t="shared" si="43"/>
        <v>13120.900000000052</v>
      </c>
      <c r="AD171" s="15">
        <f>IFERROR(AC171/AC445, "NA")</f>
        <v>-0.4346318172392582</v>
      </c>
    </row>
    <row r="172" spans="1:30" ht="16.5" customHeight="1" x14ac:dyDescent="0.45">
      <c r="A172" s="22" t="s">
        <v>160</v>
      </c>
      <c r="B172" s="23">
        <f>IFERROR(B124-B171, "NA")</f>
        <v>86349.74000000002</v>
      </c>
      <c r="C172" s="24">
        <f>IFERROR(B172/B445, "NA")</f>
        <v>0.70979685363821521</v>
      </c>
      <c r="D172" s="25"/>
      <c r="E172" s="23">
        <f>IFERROR(E124-E171, "NA")</f>
        <v>104560.99000000002</v>
      </c>
      <c r="F172" s="24">
        <f>IFERROR(E172/E445, "NA")</f>
        <v>0.73299999067635091</v>
      </c>
      <c r="G172" s="25"/>
      <c r="H172" s="23">
        <f>IFERROR(B172-E172, "NA")</f>
        <v>-18211.25</v>
      </c>
      <c r="I172" s="24">
        <f>IFERROR(H172/H445, "NA")</f>
        <v>0.86745642176161086</v>
      </c>
      <c r="J172" s="25"/>
      <c r="K172" s="23">
        <f>IFERROR(K124-K171, "NA")</f>
        <v>92313.130000000063</v>
      </c>
      <c r="L172" s="24">
        <f>IFERROR(K172/K445, "NA")</f>
        <v>0.70699966439524642</v>
      </c>
      <c r="M172" s="25"/>
      <c r="N172" s="23">
        <f>IFERROR(B172-K172, "NA")</f>
        <v>-5963.3900000000431</v>
      </c>
      <c r="O172" s="24">
        <f>IFERROR(N172/N445, "NA")</f>
        <v>0.66883390720158464</v>
      </c>
      <c r="P172" s="25"/>
      <c r="Q172" s="23">
        <f>IFERROR(Q124-Q171, "NA")</f>
        <v>372195.20000000007</v>
      </c>
      <c r="R172" s="24">
        <f>IFERROR(Q172/Q445, "NA")</f>
        <v>0.71393053926370342</v>
      </c>
      <c r="S172" s="25"/>
      <c r="T172" s="23">
        <f>IFERROR(T124-T171, "NA")</f>
        <v>434044.22999999986</v>
      </c>
      <c r="U172" s="24">
        <f>IFERROR(T172/T445, "NA")</f>
        <v>0.73159726923580681</v>
      </c>
      <c r="V172" s="25"/>
      <c r="W172" s="23">
        <f>IFERROR(Q172-T172, "NA")</f>
        <v>-61849.029999999795</v>
      </c>
      <c r="X172" s="24">
        <f>IFERROR(W172/W445, "NA")</f>
        <v>0.85960528418843229</v>
      </c>
      <c r="Y172" s="25"/>
      <c r="Z172" s="23">
        <f>IFERROR(Z124-Z171, "NA")</f>
        <v>389262.84</v>
      </c>
      <c r="AA172" s="24">
        <f>IFERROR(Z172/Z445, "NA")</f>
        <v>0.70579869979577392</v>
      </c>
      <c r="AB172" s="25"/>
      <c r="AC172" s="23">
        <f>IFERROR(Q172-Z172, "NA")</f>
        <v>-17067.639999999956</v>
      </c>
      <c r="AD172" s="24">
        <f>IFERROR(AC172/AC445, "NA")</f>
        <v>0.56536818276074086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IFERROR(B175/B445, "NA")</f>
        <v>0</v>
      </c>
      <c r="D175" s="9"/>
      <c r="E175" s="7">
        <v>0</v>
      </c>
      <c r="F175" s="8">
        <f>IFERROR(E175/E445, "NA")</f>
        <v>0</v>
      </c>
      <c r="G175" s="9"/>
      <c r="H175" s="10">
        <f>IFERROR(-(B175-E175), "NA")</f>
        <v>0</v>
      </c>
      <c r="I175" s="8">
        <f>IFERROR(H175/H445, "NA")</f>
        <v>0</v>
      </c>
      <c r="J175" s="9"/>
      <c r="K175" s="7">
        <v>0</v>
      </c>
      <c r="L175" s="8">
        <f>IFERROR(K175/K445, "NA")</f>
        <v>0</v>
      </c>
      <c r="M175" s="9"/>
      <c r="N175" s="10">
        <f>IFERROR(-(B175-K175), "NA")</f>
        <v>0</v>
      </c>
      <c r="O175" s="8">
        <f>IFERROR(N175/N445, "NA")</f>
        <v>0</v>
      </c>
      <c r="P175" s="9"/>
      <c r="Q175" s="7">
        <v>0</v>
      </c>
      <c r="R175" s="8">
        <f>IFERROR(Q175/Q445, "NA")</f>
        <v>0</v>
      </c>
      <c r="S175" s="9"/>
      <c r="T175" s="7">
        <v>0</v>
      </c>
      <c r="U175" s="8">
        <f>IFERROR(T175/T445, "NA")</f>
        <v>0</v>
      </c>
      <c r="V175" s="9"/>
      <c r="W175" s="10">
        <f>IFERROR(-(Q175-T175), "NA")</f>
        <v>0</v>
      </c>
      <c r="X175" s="8">
        <f>IFERROR(W175/W445, "NA")</f>
        <v>0</v>
      </c>
      <c r="Y175" s="9"/>
      <c r="Z175" s="7">
        <v>0</v>
      </c>
      <c r="AA175" s="8">
        <f>IFERROR(Z175/Z445, "NA")</f>
        <v>0</v>
      </c>
      <c r="AB175" s="9"/>
      <c r="AC175" s="10">
        <f>IFERROR(-(Q175-Z175), "NA")</f>
        <v>0</v>
      </c>
      <c r="AD175" s="8">
        <f>IFERROR(AC175/AC445,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IFERROR(B177/B445, "NA")</f>
        <v>0</v>
      </c>
      <c r="D177" s="9"/>
      <c r="E177" s="7">
        <v>0</v>
      </c>
      <c r="F177" s="8">
        <f>IFERROR(E177/E445, "NA")</f>
        <v>0</v>
      </c>
      <c r="G177" s="9"/>
      <c r="H177" s="10">
        <f t="shared" ref="H177:H184" si="44">IFERROR(-(B177-E177), "NA")</f>
        <v>0</v>
      </c>
      <c r="I177" s="8">
        <f>IFERROR(H177/H445, "NA")</f>
        <v>0</v>
      </c>
      <c r="J177" s="9"/>
      <c r="K177" s="7">
        <v>0</v>
      </c>
      <c r="L177" s="8">
        <f>IFERROR(K177/K445, "NA")</f>
        <v>0</v>
      </c>
      <c r="M177" s="9"/>
      <c r="N177" s="10">
        <f t="shared" ref="N177:N184" si="45">IFERROR(-(B177-K177), "NA")</f>
        <v>0</v>
      </c>
      <c r="O177" s="8">
        <f>IFERROR(N177/N445, "NA")</f>
        <v>0</v>
      </c>
      <c r="P177" s="9"/>
      <c r="Q177" s="7">
        <v>0</v>
      </c>
      <c r="R177" s="8">
        <f>IFERROR(Q177/Q445, "NA")</f>
        <v>0</v>
      </c>
      <c r="S177" s="9"/>
      <c r="T177" s="7">
        <v>0</v>
      </c>
      <c r="U177" s="8">
        <f>IFERROR(T177/T445, "NA")</f>
        <v>0</v>
      </c>
      <c r="V177" s="9"/>
      <c r="W177" s="10">
        <f t="shared" ref="W177:W184" si="46">IFERROR(-(Q177-T177), "NA")</f>
        <v>0</v>
      </c>
      <c r="X177" s="8">
        <f>IFERROR(W177/W445, "NA")</f>
        <v>0</v>
      </c>
      <c r="Y177" s="9"/>
      <c r="Z177" s="7">
        <v>0</v>
      </c>
      <c r="AA177" s="8">
        <f>IFERROR(Z177/Z445, "NA")</f>
        <v>0</v>
      </c>
      <c r="AB177" s="9"/>
      <c r="AC177" s="10">
        <f t="shared" ref="AC177:AC184" si="47">IFERROR(-(Q177-Z177), "NA")</f>
        <v>0</v>
      </c>
      <c r="AD177" s="8">
        <f>IFERROR(AC177/AC445,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IFERROR(B178/B445, "NA")</f>
        <v>4.8055569986262696E-2</v>
      </c>
      <c r="D178" s="9"/>
      <c r="E178" s="7">
        <v>5846.16</v>
      </c>
      <c r="F178" s="8">
        <f>IFERROR(E178/E445, "NA")</f>
        <v>4.0983116413611374E-2</v>
      </c>
      <c r="G178" s="9"/>
      <c r="H178" s="10">
        <f t="shared" si="44"/>
        <v>0</v>
      </c>
      <c r="I178" s="8">
        <f>IFERROR(H178/H445, "NA")</f>
        <v>0</v>
      </c>
      <c r="J178" s="9"/>
      <c r="K178" s="7">
        <v>5846.16</v>
      </c>
      <c r="L178" s="8">
        <f>IFERROR(K178/K445, "NA")</f>
        <v>4.477405498005442E-2</v>
      </c>
      <c r="M178" s="9"/>
      <c r="N178" s="10">
        <f t="shared" si="45"/>
        <v>0</v>
      </c>
      <c r="O178" s="8">
        <f>IFERROR(N178/N445, "NA")</f>
        <v>0</v>
      </c>
      <c r="P178" s="9"/>
      <c r="Q178" s="7">
        <v>30692.34</v>
      </c>
      <c r="R178" s="8">
        <f>IFERROR(Q178/Q445, "NA")</f>
        <v>5.8872867913033082E-2</v>
      </c>
      <c r="S178" s="9"/>
      <c r="T178" s="7">
        <v>30692.34</v>
      </c>
      <c r="U178" s="8">
        <f>IFERROR(T178/T445, "NA")</f>
        <v>5.1733050639693863E-2</v>
      </c>
      <c r="V178" s="9"/>
      <c r="W178" s="10">
        <f t="shared" si="46"/>
        <v>0</v>
      </c>
      <c r="X178" s="8">
        <f>IFERROR(W178/W445, "NA")</f>
        <v>0</v>
      </c>
      <c r="Y178" s="9"/>
      <c r="Z178" s="7">
        <v>30692.34</v>
      </c>
      <c r="AA178" s="8">
        <f>IFERROR(Z178/Z445, "NA")</f>
        <v>5.5650350970284812E-2</v>
      </c>
      <c r="AB178" s="9"/>
      <c r="AC178" s="10">
        <f t="shared" si="47"/>
        <v>0</v>
      </c>
      <c r="AD178" s="8">
        <f>IFERROR(AC178/AC445,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IFERROR(B179/B445, "NA")</f>
        <v>0</v>
      </c>
      <c r="D179" s="9"/>
      <c r="E179" s="7">
        <v>0</v>
      </c>
      <c r="F179" s="8">
        <f>IFERROR(E179/E445, "NA")</f>
        <v>0</v>
      </c>
      <c r="G179" s="9"/>
      <c r="H179" s="10">
        <f t="shared" si="44"/>
        <v>0</v>
      </c>
      <c r="I179" s="8">
        <f>IFERROR(H179/H445, "NA")</f>
        <v>0</v>
      </c>
      <c r="J179" s="9"/>
      <c r="K179" s="7">
        <v>0</v>
      </c>
      <c r="L179" s="8">
        <f>IFERROR(K179/K445, "NA")</f>
        <v>0</v>
      </c>
      <c r="M179" s="9"/>
      <c r="N179" s="10">
        <f t="shared" si="45"/>
        <v>0</v>
      </c>
      <c r="O179" s="8">
        <f>IFERROR(N179/N445, "NA")</f>
        <v>0</v>
      </c>
      <c r="P179" s="9"/>
      <c r="Q179" s="7">
        <v>0</v>
      </c>
      <c r="R179" s="8">
        <f>IFERROR(Q179/Q445, "NA")</f>
        <v>0</v>
      </c>
      <c r="S179" s="9"/>
      <c r="T179" s="7">
        <v>0</v>
      </c>
      <c r="U179" s="8">
        <f>IFERROR(T179/T445, "NA")</f>
        <v>0</v>
      </c>
      <c r="V179" s="9"/>
      <c r="W179" s="10">
        <f t="shared" si="46"/>
        <v>0</v>
      </c>
      <c r="X179" s="8">
        <f>IFERROR(W179/W445, "NA")</f>
        <v>0</v>
      </c>
      <c r="Y179" s="9"/>
      <c r="Z179" s="7">
        <v>0</v>
      </c>
      <c r="AA179" s="8">
        <f>IFERROR(Z179/Z445, "NA")</f>
        <v>0</v>
      </c>
      <c r="AB179" s="9"/>
      <c r="AC179" s="10">
        <f t="shared" si="47"/>
        <v>0</v>
      </c>
      <c r="AD179" s="8">
        <f>IFERROR(AC179/AC445, "NA")</f>
        <v>0</v>
      </c>
    </row>
    <row r="180" spans="1:30" ht="16.5" customHeight="1" x14ac:dyDescent="0.45">
      <c r="A180" s="12" t="s">
        <v>165</v>
      </c>
      <c r="B180" s="7">
        <v>20292.38</v>
      </c>
      <c r="C180" s="8">
        <f>IFERROR(B180/B445, "NA")</f>
        <v>0.16680383145138647</v>
      </c>
      <c r="D180" s="9"/>
      <c r="E180" s="7">
        <v>22823.68</v>
      </c>
      <c r="F180" s="8">
        <f>IFERROR(E180/E445, "NA")</f>
        <v>0.15999998878357993</v>
      </c>
      <c r="G180" s="9"/>
      <c r="H180" s="10">
        <f t="shared" si="44"/>
        <v>2531.2999999999993</v>
      </c>
      <c r="I180" s="8">
        <f>IFERROR(H180/H445, "NA")</f>
        <v>-0.12057340602128712</v>
      </c>
      <c r="J180" s="9"/>
      <c r="K180" s="7">
        <v>20923.98</v>
      </c>
      <c r="L180" s="8">
        <f>IFERROR(K180/K445, "NA")</f>
        <v>0.16025073397265197</v>
      </c>
      <c r="M180" s="9"/>
      <c r="N180" s="10">
        <f t="shared" si="45"/>
        <v>631.59999999999854</v>
      </c>
      <c r="O180" s="8">
        <f>IFERROR(N180/N445, "NA")</f>
        <v>-7.0838146723343071E-2</v>
      </c>
      <c r="P180" s="9"/>
      <c r="Q180" s="7">
        <v>91773.75</v>
      </c>
      <c r="R180" s="8">
        <f>IFERROR(Q180/Q445, "NA")</f>
        <v>0.17603688287154776</v>
      </c>
      <c r="S180" s="9"/>
      <c r="T180" s="7">
        <v>105874.86</v>
      </c>
      <c r="U180" s="8">
        <f>IFERROR(T180/T445, "NA")</f>
        <v>0.1784559109488067</v>
      </c>
      <c r="V180" s="9"/>
      <c r="W180" s="10">
        <f t="shared" si="46"/>
        <v>14101.11</v>
      </c>
      <c r="X180" s="8">
        <f>IFERROR(W180/W445, "NA")</f>
        <v>-0.19598348864844581</v>
      </c>
      <c r="Y180" s="9"/>
      <c r="Z180" s="7">
        <v>100179.14</v>
      </c>
      <c r="AA180" s="8">
        <f>IFERROR(Z180/Z445, "NA")</f>
        <v>0.1816415529380066</v>
      </c>
      <c r="AB180" s="9"/>
      <c r="AC180" s="10">
        <f t="shared" si="47"/>
        <v>8405.39</v>
      </c>
      <c r="AD180" s="8">
        <f>IFERROR(AC180/AC445, "NA")</f>
        <v>-0.27842982800758131</v>
      </c>
    </row>
    <row r="181" spans="1:30" ht="16.5" customHeight="1" x14ac:dyDescent="0.45">
      <c r="A181" s="12" t="s">
        <v>166</v>
      </c>
      <c r="B181" s="7">
        <v>553.53</v>
      </c>
      <c r="C181" s="8">
        <f>IFERROR(B181/B445, "NA")</f>
        <v>4.5500293619223538E-3</v>
      </c>
      <c r="D181" s="9"/>
      <c r="E181" s="7">
        <v>0</v>
      </c>
      <c r="F181" s="8">
        <f>IFERROR(E181/E445, "NA")</f>
        <v>0</v>
      </c>
      <c r="G181" s="9"/>
      <c r="H181" s="10">
        <f t="shared" si="44"/>
        <v>-553.53</v>
      </c>
      <c r="I181" s="8">
        <f>IFERROR(H181/H445, "NA")</f>
        <v>2.6366292985802977E-2</v>
      </c>
      <c r="J181" s="9"/>
      <c r="K181" s="7">
        <v>1547.82</v>
      </c>
      <c r="L181" s="8">
        <f>IFERROR(K181/K445, "NA")</f>
        <v>1.1854307405070649E-2</v>
      </c>
      <c r="M181" s="9"/>
      <c r="N181" s="10">
        <f t="shared" si="45"/>
        <v>994.29</v>
      </c>
      <c r="O181" s="8">
        <f>IFERROR(N181/N445, "NA")</f>
        <v>-0.11151624589226242</v>
      </c>
      <c r="P181" s="9"/>
      <c r="Q181" s="7">
        <v>1431.22</v>
      </c>
      <c r="R181" s="8">
        <f>IFERROR(Q181/Q445, "NA")</f>
        <v>2.745311240996653E-3</v>
      </c>
      <c r="S181" s="9"/>
      <c r="T181" s="7">
        <v>0</v>
      </c>
      <c r="U181" s="8">
        <f>IFERROR(T181/T445, "NA")</f>
        <v>0</v>
      </c>
      <c r="V181" s="9"/>
      <c r="W181" s="10">
        <f t="shared" si="46"/>
        <v>-1431.22</v>
      </c>
      <c r="X181" s="8">
        <f>IFERROR(W181/W445, "NA")</f>
        <v>1.9891731120701039E-2</v>
      </c>
      <c r="Y181" s="9"/>
      <c r="Z181" s="7">
        <v>1940.28</v>
      </c>
      <c r="AA181" s="8">
        <f>IFERROR(Z181/Z445, "NA")</f>
        <v>3.5180524841254921E-3</v>
      </c>
      <c r="AB181" s="9"/>
      <c r="AC181" s="10">
        <f t="shared" si="47"/>
        <v>509.05999999999995</v>
      </c>
      <c r="AD181" s="8">
        <f>IFERROR(AC181/AC445, "NA")</f>
        <v>-1.686269027915889E-2</v>
      </c>
    </row>
    <row r="182" spans="1:30" ht="16.5" customHeight="1" x14ac:dyDescent="0.45">
      <c r="A182" s="13" t="s">
        <v>167</v>
      </c>
      <c r="B182" s="14">
        <f>IFERROR(B177+B178+B179+B180+B181, "NA")</f>
        <v>26692.07</v>
      </c>
      <c r="C182" s="15">
        <f>IFERROR(B182/B445, "NA")</f>
        <v>0.21940943079957151</v>
      </c>
      <c r="D182" s="2"/>
      <c r="E182" s="14">
        <f>IFERROR(E177+E178+E179+E180+E181, "NA")</f>
        <v>28669.84</v>
      </c>
      <c r="F182" s="15">
        <f>IFERROR(E182/E445, "NA")</f>
        <v>0.20098310519719131</v>
      </c>
      <c r="G182" s="2"/>
      <c r="H182" s="14">
        <f t="shared" si="44"/>
        <v>1977.7700000000004</v>
      </c>
      <c r="I182" s="15">
        <f>IFERROR(H182/H445, "NA")</f>
        <v>-9.4207113035484194E-2</v>
      </c>
      <c r="J182" s="2"/>
      <c r="K182" s="14">
        <f>IFERROR(K177+K178+K179+K180+K181, "NA")</f>
        <v>28317.96</v>
      </c>
      <c r="L182" s="15">
        <f>IFERROR(K182/K445, "NA")</f>
        <v>0.21687909635777702</v>
      </c>
      <c r="M182" s="2"/>
      <c r="N182" s="14">
        <f t="shared" si="45"/>
        <v>1625.8899999999994</v>
      </c>
      <c r="O182" s="15">
        <f>IFERROR(N182/N445, "NA")</f>
        <v>-0.1823543926156056</v>
      </c>
      <c r="P182" s="2"/>
      <c r="Q182" s="14">
        <f>IFERROR(Q177+Q178+Q179+Q180+Q181, "NA")</f>
        <v>123897.31</v>
      </c>
      <c r="R182" s="15">
        <f>IFERROR(Q182/Q445, "NA")</f>
        <v>0.23765506202557748</v>
      </c>
      <c r="S182" s="2"/>
      <c r="T182" s="14">
        <f>IFERROR(T177+T178+T179+T180+T181, "NA")</f>
        <v>136567.20000000001</v>
      </c>
      <c r="U182" s="15">
        <f>IFERROR(T182/T445, "NA")</f>
        <v>0.23018896158850058</v>
      </c>
      <c r="V182" s="2"/>
      <c r="W182" s="14">
        <f t="shared" si="46"/>
        <v>12669.890000000014</v>
      </c>
      <c r="X182" s="15">
        <f>IFERROR(W182/W445, "NA")</f>
        <v>-0.17609175752774497</v>
      </c>
      <c r="Y182" s="2"/>
      <c r="Z182" s="14">
        <f>IFERROR(Z177+Z178+Z179+Z180+Z181, "NA")</f>
        <v>132811.76</v>
      </c>
      <c r="AA182" s="15">
        <f>IFERROR(Z182/Z445, "NA")</f>
        <v>0.24080995639241692</v>
      </c>
      <c r="AB182" s="2"/>
      <c r="AC182" s="14">
        <f t="shared" si="47"/>
        <v>8914.4500000000116</v>
      </c>
      <c r="AD182" s="15">
        <f>IFERROR(AC182/AC445, "NA")</f>
        <v>-0.29529251828674064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IFERROR(B183/B445, "NA")</f>
        <v>0</v>
      </c>
      <c r="D183" s="9"/>
      <c r="E183" s="7">
        <v>0</v>
      </c>
      <c r="F183" s="8">
        <f>IFERROR(E183/E445, "NA")</f>
        <v>0</v>
      </c>
      <c r="G183" s="9"/>
      <c r="H183" s="10">
        <f t="shared" si="44"/>
        <v>0</v>
      </c>
      <c r="I183" s="8">
        <f>IFERROR(H183/H445, "NA")</f>
        <v>0</v>
      </c>
      <c r="J183" s="9"/>
      <c r="K183" s="7">
        <v>0</v>
      </c>
      <c r="L183" s="8">
        <f>IFERROR(K183/K445, "NA")</f>
        <v>0</v>
      </c>
      <c r="M183" s="9"/>
      <c r="N183" s="10">
        <f t="shared" si="45"/>
        <v>0</v>
      </c>
      <c r="O183" s="8">
        <f>IFERROR(N183/N445, "NA")</f>
        <v>0</v>
      </c>
      <c r="P183" s="9"/>
      <c r="Q183" s="7">
        <v>0</v>
      </c>
      <c r="R183" s="8">
        <f>IFERROR(Q183/Q445, "NA")</f>
        <v>0</v>
      </c>
      <c r="S183" s="9"/>
      <c r="T183" s="7">
        <v>0</v>
      </c>
      <c r="U183" s="8">
        <f>IFERROR(T183/T445, "NA")</f>
        <v>0</v>
      </c>
      <c r="V183" s="9"/>
      <c r="W183" s="10">
        <f t="shared" si="46"/>
        <v>0</v>
      </c>
      <c r="X183" s="8">
        <f>IFERROR(W183/W445, "NA")</f>
        <v>0</v>
      </c>
      <c r="Y183" s="9"/>
      <c r="Z183" s="7">
        <v>0</v>
      </c>
      <c r="AA183" s="8">
        <f>IFERROR(Z183/Z445, "NA")</f>
        <v>0</v>
      </c>
      <c r="AB183" s="9"/>
      <c r="AC183" s="10">
        <f t="shared" si="47"/>
        <v>0</v>
      </c>
      <c r="AD183" s="8">
        <f>IFERROR(AC183/AC445, "NA")</f>
        <v>0</v>
      </c>
    </row>
    <row r="184" spans="1:30" ht="16.5" customHeight="1" x14ac:dyDescent="0.45">
      <c r="A184" s="6" t="s">
        <v>169</v>
      </c>
      <c r="B184" s="7">
        <v>-875</v>
      </c>
      <c r="C184" s="8">
        <f>IFERROR(B184/B445, "NA")</f>
        <v>-7.1925201735805831E-3</v>
      </c>
      <c r="D184" s="9"/>
      <c r="E184" s="7">
        <v>350</v>
      </c>
      <c r="F184" s="8">
        <f>IFERROR(E184/E445, "NA")</f>
        <v>2.4535918867708002E-3</v>
      </c>
      <c r="G184" s="9"/>
      <c r="H184" s="10">
        <f t="shared" si="44"/>
        <v>1225</v>
      </c>
      <c r="I184" s="8">
        <f>IFERROR(H184/H445, "NA")</f>
        <v>-5.8350421671108425E-2</v>
      </c>
      <c r="J184" s="9"/>
      <c r="K184" s="7">
        <v>500</v>
      </c>
      <c r="L184" s="8">
        <f>IFERROR(K184/K445, "NA")</f>
        <v>3.8293559344984075E-3</v>
      </c>
      <c r="M184" s="9"/>
      <c r="N184" s="10">
        <f t="shared" si="45"/>
        <v>1375</v>
      </c>
      <c r="O184" s="8">
        <f>IFERROR(N184/N445, "NA")</f>
        <v>-0.15421540808200909</v>
      </c>
      <c r="P184" s="9"/>
      <c r="Q184" s="7">
        <v>-800</v>
      </c>
      <c r="R184" s="8">
        <f>IFERROR(Q184/Q445, "NA")</f>
        <v>-1.5345292776773119E-3</v>
      </c>
      <c r="S184" s="9"/>
      <c r="T184" s="7">
        <v>1925</v>
      </c>
      <c r="U184" s="8">
        <f>IFERROR(T184/T445, "NA")</f>
        <v>3.244657216797764E-3</v>
      </c>
      <c r="V184" s="9"/>
      <c r="W184" s="10">
        <f t="shared" si="46"/>
        <v>2725</v>
      </c>
      <c r="X184" s="8">
        <f>IFERROR(W184/W445, "NA")</f>
        <v>-3.7873260088533089E-2</v>
      </c>
      <c r="Y184" s="9"/>
      <c r="Z184" s="7">
        <v>2500</v>
      </c>
      <c r="AA184" s="8">
        <f>IFERROR(Z184/Z445, "NA")</f>
        <v>4.5329185531540455E-3</v>
      </c>
      <c r="AB184" s="9"/>
      <c r="AC184" s="10">
        <f t="shared" si="47"/>
        <v>3300</v>
      </c>
      <c r="AD184" s="8">
        <f>IFERROR(AC184/AC445, "NA")</f>
        <v>-0.10931300420623177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2347.2800000000002</v>
      </c>
      <c r="C186" s="8">
        <f>IFERROR(B186/B445, "NA")</f>
        <v>1.9294695717762551E-2</v>
      </c>
      <c r="D186" s="9"/>
      <c r="E186" s="7">
        <v>3207.81</v>
      </c>
      <c r="F186" s="8">
        <f>IFERROR(E186/E445, "NA")</f>
        <v>2.2487590258006403E-2</v>
      </c>
      <c r="G186" s="9"/>
      <c r="H186" s="10">
        <f t="shared" ref="H186:H197" si="48">IFERROR(-(B186-E186), "NA")</f>
        <v>860.52999999999975</v>
      </c>
      <c r="I186" s="8">
        <f>IFERROR(H186/H445, "NA")</f>
        <v>-4.0989623151541976E-2</v>
      </c>
      <c r="J186" s="9"/>
      <c r="K186" s="7">
        <v>2936.21</v>
      </c>
      <c r="L186" s="8">
        <f>IFERROR(K186/K445, "NA")</f>
        <v>2.2487586376867139E-2</v>
      </c>
      <c r="M186" s="9"/>
      <c r="N186" s="10">
        <f t="shared" ref="N186:N197" si="49">IFERROR(-(B186-K186), "NA")</f>
        <v>588.92999999999984</v>
      </c>
      <c r="O186" s="8">
        <f>IFERROR(N186/N445, "NA")</f>
        <v>-6.6052422023081883E-2</v>
      </c>
      <c r="P186" s="9"/>
      <c r="Q186" s="7">
        <v>11089.51</v>
      </c>
      <c r="R186" s="8">
        <f>IFERROR(Q186/Q445, "NA")</f>
        <v>2.1271472212619158E-2</v>
      </c>
      <c r="S186" s="9"/>
      <c r="T186" s="7">
        <v>16066.21</v>
      </c>
      <c r="U186" s="8">
        <f>IFERROR(T186/T445, "NA")</f>
        <v>2.7080178817188778E-2</v>
      </c>
      <c r="V186" s="9"/>
      <c r="W186" s="10">
        <f t="shared" ref="W186:W197" si="50">IFERROR(-(Q186-T186), "NA")</f>
        <v>4976.6999999999989</v>
      </c>
      <c r="X186" s="8">
        <f>IFERROR(W186/W445, "NA")</f>
        <v>-6.916838659912021E-2</v>
      </c>
      <c r="Y186" s="9"/>
      <c r="Z186" s="7">
        <v>14973.8</v>
      </c>
      <c r="AA186" s="8">
        <f>IFERROR(Z186/Z445, "NA")</f>
        <v>2.7150006332487216E-2</v>
      </c>
      <c r="AB186" s="9"/>
      <c r="AC186" s="10">
        <f t="shared" ref="AC186:AC197" si="51">IFERROR(-(Q186-Z186), "NA")</f>
        <v>3884.2899999999991</v>
      </c>
      <c r="AD186" s="8">
        <f>IFERROR(AC186/AC445, "NA")</f>
        <v>-0.1286676997297648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IFERROR(B187/B445, "NA")</f>
        <v>0</v>
      </c>
      <c r="D187" s="9"/>
      <c r="E187" s="7">
        <v>0</v>
      </c>
      <c r="F187" s="8">
        <f>IFERROR(E187/E445, "NA")</f>
        <v>0</v>
      </c>
      <c r="G187" s="9"/>
      <c r="H187" s="10">
        <f t="shared" si="48"/>
        <v>0</v>
      </c>
      <c r="I187" s="8">
        <f>IFERROR(H187/H445, "NA")</f>
        <v>0</v>
      </c>
      <c r="J187" s="9"/>
      <c r="K187" s="7">
        <v>0</v>
      </c>
      <c r="L187" s="8">
        <f>IFERROR(K187/K445, "NA")</f>
        <v>0</v>
      </c>
      <c r="M187" s="9"/>
      <c r="N187" s="10">
        <f t="shared" si="49"/>
        <v>0</v>
      </c>
      <c r="O187" s="8">
        <f>IFERROR(N187/N445, "NA")</f>
        <v>0</v>
      </c>
      <c r="P187" s="9"/>
      <c r="Q187" s="7">
        <v>0</v>
      </c>
      <c r="R187" s="8">
        <f>IFERROR(Q187/Q445, "NA")</f>
        <v>0</v>
      </c>
      <c r="S187" s="9"/>
      <c r="T187" s="7">
        <v>0</v>
      </c>
      <c r="U187" s="8">
        <f>IFERROR(T187/T445, "NA")</f>
        <v>0</v>
      </c>
      <c r="V187" s="9"/>
      <c r="W187" s="10">
        <f t="shared" si="50"/>
        <v>0</v>
      </c>
      <c r="X187" s="8">
        <f>IFERROR(W187/W445, "NA")</f>
        <v>0</v>
      </c>
      <c r="Y187" s="9"/>
      <c r="Z187" s="7">
        <v>0</v>
      </c>
      <c r="AA187" s="8">
        <f>IFERROR(Z187/Z445, "NA")</f>
        <v>0</v>
      </c>
      <c r="AB187" s="9"/>
      <c r="AC187" s="10">
        <f t="shared" si="51"/>
        <v>0</v>
      </c>
      <c r="AD187" s="8">
        <f>IFERROR(AC187/AC445,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IFERROR(B188/B445, "NA")</f>
        <v>0</v>
      </c>
      <c r="D188" s="9"/>
      <c r="E188" s="7">
        <v>0</v>
      </c>
      <c r="F188" s="8">
        <f>IFERROR(E188/E445, "NA")</f>
        <v>0</v>
      </c>
      <c r="G188" s="9"/>
      <c r="H188" s="10">
        <f t="shared" si="48"/>
        <v>0</v>
      </c>
      <c r="I188" s="8">
        <f>IFERROR(H188/H445, "NA")</f>
        <v>0</v>
      </c>
      <c r="J188" s="9"/>
      <c r="K188" s="7">
        <v>0</v>
      </c>
      <c r="L188" s="8">
        <f>IFERROR(K188/K445, "NA")</f>
        <v>0</v>
      </c>
      <c r="M188" s="9"/>
      <c r="N188" s="10">
        <f t="shared" si="49"/>
        <v>0</v>
      </c>
      <c r="O188" s="8">
        <f>IFERROR(N188/N445, "NA")</f>
        <v>0</v>
      </c>
      <c r="P188" s="9"/>
      <c r="Q188" s="7">
        <v>0</v>
      </c>
      <c r="R188" s="8">
        <f>IFERROR(Q188/Q445, "NA")</f>
        <v>0</v>
      </c>
      <c r="S188" s="9"/>
      <c r="T188" s="7">
        <v>0</v>
      </c>
      <c r="U188" s="8">
        <f>IFERROR(T188/T445, "NA")</f>
        <v>0</v>
      </c>
      <c r="V188" s="9"/>
      <c r="W188" s="10">
        <f t="shared" si="50"/>
        <v>0</v>
      </c>
      <c r="X188" s="8">
        <f>IFERROR(W188/W445, "NA")</f>
        <v>0</v>
      </c>
      <c r="Y188" s="9"/>
      <c r="Z188" s="7">
        <v>0</v>
      </c>
      <c r="AA188" s="8">
        <f>IFERROR(Z188/Z445, "NA")</f>
        <v>0</v>
      </c>
      <c r="AB188" s="9"/>
      <c r="AC188" s="10">
        <f t="shared" si="51"/>
        <v>0</v>
      </c>
      <c r="AD188" s="8">
        <f>IFERROR(AC188/AC445,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IFERROR(B189/B445, "NA")</f>
        <v>0</v>
      </c>
      <c r="D189" s="9"/>
      <c r="E189" s="7">
        <v>0</v>
      </c>
      <c r="F189" s="8">
        <f>IFERROR(E189/E445, "NA")</f>
        <v>0</v>
      </c>
      <c r="G189" s="9"/>
      <c r="H189" s="10">
        <f t="shared" si="48"/>
        <v>0</v>
      </c>
      <c r="I189" s="8">
        <f>IFERROR(H189/H445, "NA")</f>
        <v>0</v>
      </c>
      <c r="J189" s="9"/>
      <c r="K189" s="7">
        <v>0</v>
      </c>
      <c r="L189" s="8">
        <f>IFERROR(K189/K445, "NA")</f>
        <v>0</v>
      </c>
      <c r="M189" s="9"/>
      <c r="N189" s="10">
        <f t="shared" si="49"/>
        <v>0</v>
      </c>
      <c r="O189" s="8">
        <f>IFERROR(N189/N445, "NA")</f>
        <v>0</v>
      </c>
      <c r="P189" s="9"/>
      <c r="Q189" s="7">
        <v>0</v>
      </c>
      <c r="R189" s="8">
        <f>IFERROR(Q189/Q445, "NA")</f>
        <v>0</v>
      </c>
      <c r="S189" s="9"/>
      <c r="T189" s="7">
        <v>0</v>
      </c>
      <c r="U189" s="8">
        <f>IFERROR(T189/T445, "NA")</f>
        <v>0</v>
      </c>
      <c r="V189" s="9"/>
      <c r="W189" s="10">
        <f t="shared" si="50"/>
        <v>0</v>
      </c>
      <c r="X189" s="8">
        <f>IFERROR(W189/W445, "NA")</f>
        <v>0</v>
      </c>
      <c r="Y189" s="9"/>
      <c r="Z189" s="7">
        <v>0</v>
      </c>
      <c r="AA189" s="8">
        <f>IFERROR(Z189/Z445, "NA")</f>
        <v>0</v>
      </c>
      <c r="AB189" s="9"/>
      <c r="AC189" s="10">
        <f t="shared" si="51"/>
        <v>0</v>
      </c>
      <c r="AD189" s="8">
        <f>IFERROR(AC189/AC445,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IFERROR(B190/B445, "NA")</f>
        <v>0</v>
      </c>
      <c r="D190" s="9"/>
      <c r="E190" s="7">
        <v>0</v>
      </c>
      <c r="F190" s="8">
        <f>IFERROR(E190/E445, "NA")</f>
        <v>0</v>
      </c>
      <c r="G190" s="9"/>
      <c r="H190" s="10">
        <f t="shared" si="48"/>
        <v>0</v>
      </c>
      <c r="I190" s="8">
        <f>IFERROR(H190/H445, "NA")</f>
        <v>0</v>
      </c>
      <c r="J190" s="9"/>
      <c r="K190" s="7">
        <v>0</v>
      </c>
      <c r="L190" s="8">
        <f>IFERROR(K190/K445, "NA")</f>
        <v>0</v>
      </c>
      <c r="M190" s="9"/>
      <c r="N190" s="10">
        <f t="shared" si="49"/>
        <v>0</v>
      </c>
      <c r="O190" s="8">
        <f>IFERROR(N190/N445, "NA")</f>
        <v>0</v>
      </c>
      <c r="P190" s="9"/>
      <c r="Q190" s="7">
        <v>0</v>
      </c>
      <c r="R190" s="8">
        <f>IFERROR(Q190/Q445, "NA")</f>
        <v>0</v>
      </c>
      <c r="S190" s="9"/>
      <c r="T190" s="7">
        <v>0</v>
      </c>
      <c r="U190" s="8">
        <f>IFERROR(T190/T445, "NA")</f>
        <v>0</v>
      </c>
      <c r="V190" s="9"/>
      <c r="W190" s="10">
        <f t="shared" si="50"/>
        <v>0</v>
      </c>
      <c r="X190" s="8">
        <f>IFERROR(W190/W445, "NA")</f>
        <v>0</v>
      </c>
      <c r="Y190" s="9"/>
      <c r="Z190" s="7">
        <v>0</v>
      </c>
      <c r="AA190" s="8">
        <f>IFERROR(Z190/Z445, "NA")</f>
        <v>0</v>
      </c>
      <c r="AB190" s="9"/>
      <c r="AC190" s="10">
        <f t="shared" si="51"/>
        <v>0</v>
      </c>
      <c r="AD190" s="8">
        <f>IFERROR(AC190/AC445,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IFERROR(B191/B445, "NA")</f>
        <v>0</v>
      </c>
      <c r="D191" s="9"/>
      <c r="E191" s="7">
        <v>0</v>
      </c>
      <c r="F191" s="8">
        <f>IFERROR(E191/E445, "NA")</f>
        <v>0</v>
      </c>
      <c r="G191" s="9"/>
      <c r="H191" s="10">
        <f t="shared" si="48"/>
        <v>0</v>
      </c>
      <c r="I191" s="8">
        <f>IFERROR(H191/H445, "NA")</f>
        <v>0</v>
      </c>
      <c r="J191" s="9"/>
      <c r="K191" s="7">
        <v>0</v>
      </c>
      <c r="L191" s="8">
        <f>IFERROR(K191/K445, "NA")</f>
        <v>0</v>
      </c>
      <c r="M191" s="9"/>
      <c r="N191" s="10">
        <f t="shared" si="49"/>
        <v>0</v>
      </c>
      <c r="O191" s="8">
        <f>IFERROR(N191/N445, "NA")</f>
        <v>0</v>
      </c>
      <c r="P191" s="9"/>
      <c r="Q191" s="7">
        <v>0</v>
      </c>
      <c r="R191" s="8">
        <f>IFERROR(Q191/Q445, "NA")</f>
        <v>0</v>
      </c>
      <c r="S191" s="9"/>
      <c r="T191" s="7">
        <v>0</v>
      </c>
      <c r="U191" s="8">
        <f>IFERROR(T191/T445, "NA")</f>
        <v>0</v>
      </c>
      <c r="V191" s="9"/>
      <c r="W191" s="10">
        <f t="shared" si="50"/>
        <v>0</v>
      </c>
      <c r="X191" s="8">
        <f>IFERROR(W191/W445, "NA")</f>
        <v>0</v>
      </c>
      <c r="Y191" s="9"/>
      <c r="Z191" s="7">
        <v>0</v>
      </c>
      <c r="AA191" s="8">
        <f>IFERROR(Z191/Z445, "NA")</f>
        <v>0</v>
      </c>
      <c r="AB191" s="9"/>
      <c r="AC191" s="10">
        <f t="shared" si="51"/>
        <v>0</v>
      </c>
      <c r="AD191" s="8">
        <f>IFERROR(AC191/AC445,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IFERROR(B192/B445, "NA")</f>
        <v>0</v>
      </c>
      <c r="D192" s="9"/>
      <c r="E192" s="7">
        <v>0</v>
      </c>
      <c r="F192" s="8">
        <f>IFERROR(E192/E445, "NA")</f>
        <v>0</v>
      </c>
      <c r="G192" s="9"/>
      <c r="H192" s="10">
        <f t="shared" si="48"/>
        <v>0</v>
      </c>
      <c r="I192" s="8">
        <f>IFERROR(H192/H445, "NA")</f>
        <v>0</v>
      </c>
      <c r="J192" s="9"/>
      <c r="K192" s="7">
        <v>0</v>
      </c>
      <c r="L192" s="8">
        <f>IFERROR(K192/K445, "NA")</f>
        <v>0</v>
      </c>
      <c r="M192" s="9"/>
      <c r="N192" s="10">
        <f t="shared" si="49"/>
        <v>0</v>
      </c>
      <c r="O192" s="8">
        <f>IFERROR(N192/N445, "NA")</f>
        <v>0</v>
      </c>
      <c r="P192" s="9"/>
      <c r="Q192" s="7">
        <v>0</v>
      </c>
      <c r="R192" s="8">
        <f>IFERROR(Q192/Q445, "NA")</f>
        <v>0</v>
      </c>
      <c r="S192" s="9"/>
      <c r="T192" s="7">
        <v>0</v>
      </c>
      <c r="U192" s="8">
        <f>IFERROR(T192/T445, "NA")</f>
        <v>0</v>
      </c>
      <c r="V192" s="9"/>
      <c r="W192" s="10">
        <f t="shared" si="50"/>
        <v>0</v>
      </c>
      <c r="X192" s="8">
        <f>IFERROR(W192/W445, "NA")</f>
        <v>0</v>
      </c>
      <c r="Y192" s="9"/>
      <c r="Z192" s="7">
        <v>0</v>
      </c>
      <c r="AA192" s="8">
        <f>IFERROR(Z192/Z445, "NA")</f>
        <v>0</v>
      </c>
      <c r="AB192" s="9"/>
      <c r="AC192" s="10">
        <f t="shared" si="51"/>
        <v>0</v>
      </c>
      <c r="AD192" s="8">
        <f>IFERROR(AC192/AC445,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2347.2800000000002</v>
      </c>
      <c r="C193" s="15">
        <f>IFERROR(B193/B445, "NA")</f>
        <v>1.9294695717762551E-2</v>
      </c>
      <c r="D193" s="2"/>
      <c r="E193" s="14">
        <f>IFERROR(E186+E187+E188+E189+E190+E191+E192, "NA")</f>
        <v>3207.81</v>
      </c>
      <c r="F193" s="15">
        <f>IFERROR(E193/E445, "NA")</f>
        <v>2.2487590258006403E-2</v>
      </c>
      <c r="G193" s="2"/>
      <c r="H193" s="14">
        <f t="shared" si="48"/>
        <v>860.52999999999975</v>
      </c>
      <c r="I193" s="15">
        <f>IFERROR(H193/H445, "NA")</f>
        <v>-4.0989623151541976E-2</v>
      </c>
      <c r="J193" s="2"/>
      <c r="K193" s="14">
        <f>IFERROR(K186+K187+K188+K189+K190+K191+K192, "NA")</f>
        <v>2936.21</v>
      </c>
      <c r="L193" s="15">
        <f>IFERROR(K193/K445, "NA")</f>
        <v>2.2487586376867139E-2</v>
      </c>
      <c r="M193" s="2"/>
      <c r="N193" s="14">
        <f t="shared" si="49"/>
        <v>588.92999999999984</v>
      </c>
      <c r="O193" s="15">
        <f>IFERROR(N193/N445, "NA")</f>
        <v>-6.6052422023081883E-2</v>
      </c>
      <c r="P193" s="2"/>
      <c r="Q193" s="14">
        <f>IFERROR(Q186+Q187+Q188+Q189+Q190+Q191+Q192, "NA")</f>
        <v>11089.51</v>
      </c>
      <c r="R193" s="15">
        <f>IFERROR(Q193/Q445, "NA")</f>
        <v>2.1271472212619158E-2</v>
      </c>
      <c r="S193" s="2"/>
      <c r="T193" s="14">
        <f>IFERROR(T186+T187+T188+T189+T190+T191+T192, "NA")</f>
        <v>16066.21</v>
      </c>
      <c r="U193" s="15">
        <f>IFERROR(T193/T445, "NA")</f>
        <v>2.7080178817188778E-2</v>
      </c>
      <c r="V193" s="2"/>
      <c r="W193" s="14">
        <f t="shared" si="50"/>
        <v>4976.6999999999989</v>
      </c>
      <c r="X193" s="15">
        <f>IFERROR(W193/W445, "NA")</f>
        <v>-6.916838659912021E-2</v>
      </c>
      <c r="Y193" s="2"/>
      <c r="Z193" s="14">
        <f>IFERROR(Z186+Z187+Z188+Z189+Z190+Z191+Z192, "NA")</f>
        <v>14973.8</v>
      </c>
      <c r="AA193" s="15">
        <f>IFERROR(Z193/Z445, "NA")</f>
        <v>2.7150006332487216E-2</v>
      </c>
      <c r="AB193" s="2"/>
      <c r="AC193" s="14">
        <f t="shared" si="51"/>
        <v>3884.2899999999991</v>
      </c>
      <c r="AD193" s="15">
        <f>IFERROR(AC193/AC445, "NA")</f>
        <v>-0.1286676997297648</v>
      </c>
    </row>
    <row r="194" spans="1:30" ht="16.5" customHeight="1" x14ac:dyDescent="0.45">
      <c r="A194" s="6" t="s">
        <v>178</v>
      </c>
      <c r="B194" s="7">
        <v>228.34</v>
      </c>
      <c r="C194" s="8">
        <f>IFERROR(B194/B445, "NA")</f>
        <v>1.8769600644975889E-3</v>
      </c>
      <c r="D194" s="9"/>
      <c r="E194" s="7">
        <v>232.16</v>
      </c>
      <c r="F194" s="8">
        <f>IFERROR(E194/E445, "NA")</f>
        <v>1.62750254980774E-3</v>
      </c>
      <c r="G194" s="9"/>
      <c r="H194" s="10">
        <f t="shared" si="48"/>
        <v>3.8199999999999932</v>
      </c>
      <c r="I194" s="8">
        <f>IFERROR(H194/H445, "NA")</f>
        <v>-1.8195804961929288E-4</v>
      </c>
      <c r="J194" s="9"/>
      <c r="K194" s="7">
        <v>248</v>
      </c>
      <c r="L194" s="8">
        <f>IFERROR(K194/K445, "NA")</f>
        <v>1.8993605435112101E-3</v>
      </c>
      <c r="M194" s="9"/>
      <c r="N194" s="10">
        <f t="shared" si="49"/>
        <v>19.659999999999997</v>
      </c>
      <c r="O194" s="8">
        <f>IFERROR(N194/N445, "NA")</f>
        <v>-2.2049999439216717E-3</v>
      </c>
      <c r="P194" s="9"/>
      <c r="Q194" s="7">
        <v>1145.52</v>
      </c>
      <c r="R194" s="8">
        <f>IFERROR(Q194/Q445, "NA")</f>
        <v>2.1972924727061429E-3</v>
      </c>
      <c r="S194" s="9"/>
      <c r="T194" s="7">
        <v>1107.94</v>
      </c>
      <c r="U194" s="8">
        <f>IFERROR(T194/T445, "NA")</f>
        <v>1.8674729957293063E-3</v>
      </c>
      <c r="V194" s="9"/>
      <c r="W194" s="10">
        <f t="shared" si="50"/>
        <v>-37.579999999999927</v>
      </c>
      <c r="X194" s="8">
        <f>IFERROR(W194/W445, "NA")</f>
        <v>5.223035281200259E-4</v>
      </c>
      <c r="Y194" s="9"/>
      <c r="Z194" s="7">
        <v>1164</v>
      </c>
      <c r="AA194" s="8">
        <f>IFERROR(Z194/Z445, "NA")</f>
        <v>2.1105268783485234E-3</v>
      </c>
      <c r="AB194" s="9"/>
      <c r="AC194" s="10">
        <f t="shared" si="51"/>
        <v>18.480000000000018</v>
      </c>
      <c r="AD194" s="8">
        <f>IFERROR(AC194/AC445, "NA")</f>
        <v>-6.1215282355489846E-4</v>
      </c>
    </row>
    <row r="195" spans="1:30" ht="16.5" customHeight="1" x14ac:dyDescent="0.45">
      <c r="A195" s="6" t="s">
        <v>179</v>
      </c>
      <c r="B195" s="7">
        <v>1679.71</v>
      </c>
      <c r="C195" s="8">
        <f>IFERROR(B195/B445, "NA")</f>
        <v>1.3807254926588618E-2</v>
      </c>
      <c r="D195" s="9"/>
      <c r="E195" s="7">
        <v>227</v>
      </c>
      <c r="F195" s="8">
        <f>IFERROR(E195/E445, "NA")</f>
        <v>1.5913295951342048E-3</v>
      </c>
      <c r="G195" s="9"/>
      <c r="H195" s="10">
        <f t="shared" si="48"/>
        <v>-1452.71</v>
      </c>
      <c r="I195" s="8">
        <f>IFERROR(H195/H445, "NA")</f>
        <v>6.9196931482315038E-2</v>
      </c>
      <c r="J195" s="9"/>
      <c r="K195" s="7">
        <v>300.83999999999997</v>
      </c>
      <c r="L195" s="8">
        <f>IFERROR(K195/K445, "NA")</f>
        <v>2.3040468786690014E-3</v>
      </c>
      <c r="M195" s="9"/>
      <c r="N195" s="10">
        <f t="shared" si="49"/>
        <v>-1378.8700000000001</v>
      </c>
      <c r="O195" s="8">
        <f>IFERROR(N195/N445, "NA")</f>
        <v>0.15464945435784722</v>
      </c>
      <c r="P195" s="9"/>
      <c r="Q195" s="7">
        <v>8083.98</v>
      </c>
      <c r="R195" s="8">
        <f>IFERROR(Q195/Q445, "NA")</f>
        <v>1.5506379987697294E-2</v>
      </c>
      <c r="S195" s="9"/>
      <c r="T195" s="7">
        <v>1395.96</v>
      </c>
      <c r="U195" s="8">
        <f>IFERROR(T195/T445, "NA")</f>
        <v>2.3529411368109127E-3</v>
      </c>
      <c r="V195" s="9"/>
      <c r="W195" s="10">
        <f t="shared" si="50"/>
        <v>-6688.0199999999995</v>
      </c>
      <c r="X195" s="8">
        <f>IFERROR(W195/W445, "NA")</f>
        <v>9.2953071903600387E-2</v>
      </c>
      <c r="Y195" s="9"/>
      <c r="Z195" s="7">
        <v>1550.92</v>
      </c>
      <c r="AA195" s="8">
        <f>IFERROR(Z195/Z445, "NA")</f>
        <v>2.8120776169830689E-3</v>
      </c>
      <c r="AB195" s="9"/>
      <c r="AC195" s="10">
        <f t="shared" si="51"/>
        <v>-6533.0599999999995</v>
      </c>
      <c r="AD195" s="8">
        <f>IFERROR(AC195/AC445, "NA")</f>
        <v>0.21640861068471651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30072.399999999998</v>
      </c>
      <c r="C196" s="15">
        <f>IFERROR(B196/B445, "NA")</f>
        <v>0.24719582133483967</v>
      </c>
      <c r="D196" s="2"/>
      <c r="E196" s="14">
        <f>IFERROR(E175+E177+E178+E179+E180+E181+E183+E184+E186+E187+E188+E189+E190+E191+E192+E194+E195, "NA")</f>
        <v>32686.81</v>
      </c>
      <c r="F196" s="15">
        <f>IFERROR(E196/E445, "NA")</f>
        <v>0.22914311948691046</v>
      </c>
      <c r="G196" s="2"/>
      <c r="H196" s="14">
        <f t="shared" si="48"/>
        <v>2614.4100000000035</v>
      </c>
      <c r="I196" s="15">
        <f>IFERROR(H196/H445, "NA")</f>
        <v>-0.12453218442543901</v>
      </c>
      <c r="J196" s="2"/>
      <c r="K196" s="14">
        <f>IFERROR(K175+K177+K178+K179+K180+K181+K183+K184+K186+K187+K188+K189+K190+K191+K192+K194+K195, "NA")</f>
        <v>32303.01</v>
      </c>
      <c r="L196" s="15">
        <f>IFERROR(K196/K445, "NA")</f>
        <v>0.24739944609132278</v>
      </c>
      <c r="M196" s="2"/>
      <c r="N196" s="14">
        <f t="shared" si="49"/>
        <v>2230.6100000000006</v>
      </c>
      <c r="O196" s="15">
        <f>IFERROR(N196/N445, "NA")</f>
        <v>-0.25017776830677119</v>
      </c>
      <c r="P196" s="2"/>
      <c r="Q196" s="14">
        <f>IFERROR(Q175+Q177+Q178+Q179+Q180+Q181+Q183+Q184+Q186+Q187+Q188+Q189+Q190+Q191+Q192+Q194+Q195, "NA")</f>
        <v>143416.32000000001</v>
      </c>
      <c r="R196" s="15">
        <f>IFERROR(Q196/Q445, "NA")</f>
        <v>0.27509567742092278</v>
      </c>
      <c r="S196" s="2"/>
      <c r="T196" s="14">
        <f>IFERROR(T175+T177+T178+T179+T180+T181+T183+T184+T186+T187+T188+T189+T190+T191+T192+T194+T195, "NA")</f>
        <v>157062.31</v>
      </c>
      <c r="U196" s="15">
        <f>IFERROR(T196/T445, "NA")</f>
        <v>0.26473421175502732</v>
      </c>
      <c r="V196" s="2"/>
      <c r="W196" s="14">
        <f t="shared" si="50"/>
        <v>13645.989999999991</v>
      </c>
      <c r="X196" s="15">
        <f>IFERROR(W196/W445, "NA")</f>
        <v>-0.18965802878367755</v>
      </c>
      <c r="Y196" s="2"/>
      <c r="Z196" s="14">
        <f>IFERROR(Z175+Z177+Z178+Z179+Z180+Z181+Z183+Z184+Z186+Z187+Z188+Z189+Z190+Z191+Z192+Z194+Z195, "NA")</f>
        <v>153000.48000000001</v>
      </c>
      <c r="AA196" s="15">
        <f>IFERROR(Z196/Z445, "NA")</f>
        <v>0.27741548577338981</v>
      </c>
      <c r="AB196" s="2"/>
      <c r="AC196" s="14">
        <f t="shared" si="51"/>
        <v>9584.1600000000035</v>
      </c>
      <c r="AD196" s="15">
        <f>IFERROR(AC196/AC445, "NA")</f>
        <v>-0.31747676436157535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30072.399999999998</v>
      </c>
      <c r="C197" s="15">
        <f>IFERROR(B197/B445, "NA")</f>
        <v>0.24719582133483967</v>
      </c>
      <c r="D197" s="2"/>
      <c r="E197" s="14">
        <f>IFERROR(E175+E177+E178+E179+E180+E181+E183+E184+E186+E187+E188+E189+E190+E191+E192+E194+E195, "NA")</f>
        <v>32686.81</v>
      </c>
      <c r="F197" s="15">
        <f>IFERROR(E197/E445, "NA")</f>
        <v>0.22914311948691046</v>
      </c>
      <c r="G197" s="2"/>
      <c r="H197" s="14">
        <f t="shared" si="48"/>
        <v>2614.4100000000035</v>
      </c>
      <c r="I197" s="15">
        <f>IFERROR(H197/H445, "NA")</f>
        <v>-0.12453218442543901</v>
      </c>
      <c r="J197" s="2"/>
      <c r="K197" s="14">
        <f>IFERROR(K175+K177+K178+K179+K180+K181+K183+K184+K186+K187+K188+K189+K190+K191+K192+K194+K195, "NA")</f>
        <v>32303.01</v>
      </c>
      <c r="L197" s="15">
        <f>IFERROR(K197/K445, "NA")</f>
        <v>0.24739944609132278</v>
      </c>
      <c r="M197" s="2"/>
      <c r="N197" s="14">
        <f t="shared" si="49"/>
        <v>2230.6100000000006</v>
      </c>
      <c r="O197" s="15">
        <f>IFERROR(N197/N445, "NA")</f>
        <v>-0.25017776830677119</v>
      </c>
      <c r="P197" s="2"/>
      <c r="Q197" s="14">
        <f>IFERROR(Q175+Q177+Q178+Q179+Q180+Q181+Q183+Q184+Q186+Q187+Q188+Q189+Q190+Q191+Q192+Q194+Q195, "NA")</f>
        <v>143416.32000000001</v>
      </c>
      <c r="R197" s="15">
        <f>IFERROR(Q197/Q445, "NA")</f>
        <v>0.27509567742092278</v>
      </c>
      <c r="S197" s="2"/>
      <c r="T197" s="14">
        <f>IFERROR(T175+T177+T178+T179+T180+T181+T183+T184+T186+T187+T188+T189+T190+T191+T192+T194+T195, "NA")</f>
        <v>157062.31</v>
      </c>
      <c r="U197" s="15">
        <f>IFERROR(T197/T445, "NA")</f>
        <v>0.26473421175502732</v>
      </c>
      <c r="V197" s="2"/>
      <c r="W197" s="14">
        <f t="shared" si="50"/>
        <v>13645.989999999991</v>
      </c>
      <c r="X197" s="15">
        <f>IFERROR(W197/W445, "NA")</f>
        <v>-0.18965802878367755</v>
      </c>
      <c r="Y197" s="2"/>
      <c r="Z197" s="14">
        <f>IFERROR(Z175+Z177+Z178+Z179+Z180+Z181+Z183+Z184+Z186+Z187+Z188+Z189+Z190+Z191+Z192+Z194+Z195, "NA")</f>
        <v>153000.48000000001</v>
      </c>
      <c r="AA197" s="15">
        <f>IFERROR(Z197/Z445, "NA")</f>
        <v>0.27741548577338981</v>
      </c>
      <c r="AB197" s="2"/>
      <c r="AC197" s="14">
        <f t="shared" si="51"/>
        <v>9584.1600000000035</v>
      </c>
      <c r="AD197" s="15">
        <f>IFERROR(AC197/AC445, "NA")</f>
        <v>-0.31747676436157535</v>
      </c>
    </row>
    <row r="198" spans="1:30" ht="16.5" customHeight="1" x14ac:dyDescent="0.45">
      <c r="A198" s="22" t="s">
        <v>181</v>
      </c>
      <c r="B198" s="23">
        <f>IFERROR(B172-B197, "NA")</f>
        <v>56277.340000000026</v>
      </c>
      <c r="C198" s="24">
        <f>IFERROR(B198/B445, "NA")</f>
        <v>0.46260103230337563</v>
      </c>
      <c r="D198" s="25"/>
      <c r="E198" s="23">
        <f>IFERROR(E172-E197, "NA")</f>
        <v>71874.180000000022</v>
      </c>
      <c r="F198" s="24">
        <f>IFERROR(E198/E445, "NA")</f>
        <v>0.50385687118944045</v>
      </c>
      <c r="G198" s="25"/>
      <c r="H198" s="23">
        <f>IFERROR(B198-E198, "NA")</f>
        <v>-15596.839999999997</v>
      </c>
      <c r="I198" s="24">
        <f>IFERROR(H198/H445, "NA")</f>
        <v>0.74292423733617186</v>
      </c>
      <c r="J198" s="25"/>
      <c r="K198" s="23">
        <f>IFERROR(K172-K197, "NA")</f>
        <v>60010.120000000068</v>
      </c>
      <c r="L198" s="24">
        <f>IFERROR(K198/K445, "NA")</f>
        <v>0.45960021830392367</v>
      </c>
      <c r="M198" s="25"/>
      <c r="N198" s="23">
        <f>IFERROR(B198-K198, "NA")</f>
        <v>-3732.7800000000425</v>
      </c>
      <c r="O198" s="24">
        <f>IFERROR(N198/N445, "NA")</f>
        <v>0.41865613889481346</v>
      </c>
      <c r="P198" s="25"/>
      <c r="Q198" s="23">
        <f>IFERROR(Q172-Q197, "NA")</f>
        <v>228778.88000000006</v>
      </c>
      <c r="R198" s="24">
        <f>IFERROR(Q198/Q445, "NA")</f>
        <v>0.43883486184278064</v>
      </c>
      <c r="S198" s="25"/>
      <c r="T198" s="23">
        <f>IFERROR(T172-T197, "NA")</f>
        <v>276981.91999999987</v>
      </c>
      <c r="U198" s="24">
        <f>IFERROR(T198/T445, "NA")</f>
        <v>0.4668630574807795</v>
      </c>
      <c r="V198" s="25"/>
      <c r="W198" s="23">
        <f>IFERROR(Q198-T198, "NA")</f>
        <v>-48203.039999999804</v>
      </c>
      <c r="X198" s="24">
        <f>IFERROR(W198/W445, "NA")</f>
        <v>0.66994725540475475</v>
      </c>
      <c r="Y198" s="25"/>
      <c r="Z198" s="23">
        <f>IFERROR(Z172-Z197, "NA")</f>
        <v>236262.36000000002</v>
      </c>
      <c r="AA198" s="24">
        <f>IFERROR(Z198/Z445, "NA")</f>
        <v>0.42838321402238411</v>
      </c>
      <c r="AB198" s="25"/>
      <c r="AC198" s="23">
        <f>IFERROR(Q198-Z198, "NA")</f>
        <v>-7483.4799999999523</v>
      </c>
      <c r="AD198" s="24">
        <f>IFERROR(AC198/AC445, "NA")</f>
        <v>0.24789141839916548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IFERROR(B201/B445, "NA")</f>
        <v>0</v>
      </c>
      <c r="D201" s="9"/>
      <c r="E201" s="7">
        <v>0</v>
      </c>
      <c r="F201" s="8">
        <f>IFERROR(E201/E445, "NA")</f>
        <v>0</v>
      </c>
      <c r="G201" s="9"/>
      <c r="H201" s="10">
        <f t="shared" ref="H201:H209" si="52">IFERROR(-(B201-E201), "NA")</f>
        <v>0</v>
      </c>
      <c r="I201" s="8">
        <f>IFERROR(H201/H445, "NA")</f>
        <v>0</v>
      </c>
      <c r="J201" s="9"/>
      <c r="K201" s="7">
        <v>0</v>
      </c>
      <c r="L201" s="8">
        <f>IFERROR(K201/K445, "NA")</f>
        <v>0</v>
      </c>
      <c r="M201" s="9"/>
      <c r="N201" s="10">
        <f t="shared" ref="N201:N209" si="53">IFERROR(-(B201-K201), "NA")</f>
        <v>0</v>
      </c>
      <c r="O201" s="8">
        <f>IFERROR(N201/N445, "NA")</f>
        <v>0</v>
      </c>
      <c r="P201" s="9"/>
      <c r="Q201" s="7">
        <v>0</v>
      </c>
      <c r="R201" s="8">
        <f>IFERROR(Q201/Q445, "NA")</f>
        <v>0</v>
      </c>
      <c r="S201" s="9"/>
      <c r="T201" s="7">
        <v>0</v>
      </c>
      <c r="U201" s="8">
        <f>IFERROR(T201/T445, "NA")</f>
        <v>0</v>
      </c>
      <c r="V201" s="9"/>
      <c r="W201" s="10">
        <f t="shared" ref="W201:W209" si="54">IFERROR(-(Q201-T201), "NA")</f>
        <v>0</v>
      </c>
      <c r="X201" s="8">
        <f>IFERROR(W201/W445, "NA")</f>
        <v>0</v>
      </c>
      <c r="Y201" s="9"/>
      <c r="Z201" s="7">
        <v>0</v>
      </c>
      <c r="AA201" s="8">
        <f>IFERROR(Z201/Z445, "NA")</f>
        <v>0</v>
      </c>
      <c r="AB201" s="9"/>
      <c r="AC201" s="10">
        <f t="shared" ref="AC201:AC209" si="55">IFERROR(-(Q201-Z201), "NA")</f>
        <v>0</v>
      </c>
      <c r="AD201" s="8">
        <f>IFERROR(AC201/AC445, "NA")</f>
        <v>0</v>
      </c>
    </row>
    <row r="202" spans="1:30" ht="16.5" customHeight="1" x14ac:dyDescent="0.45">
      <c r="A202" s="6" t="s">
        <v>184</v>
      </c>
      <c r="B202" s="7">
        <v>1326.17</v>
      </c>
      <c r="C202" s="8">
        <f>IFERROR(B202/B445, "NA")</f>
        <v>1.0901147975539842E-2</v>
      </c>
      <c r="D202" s="9"/>
      <c r="E202" s="7">
        <v>1283.83</v>
      </c>
      <c r="F202" s="8">
        <f>IFERROR(E202/E445, "NA")</f>
        <v>8.9999853485513044E-3</v>
      </c>
      <c r="G202" s="9"/>
      <c r="H202" s="10">
        <f t="shared" si="52"/>
        <v>-42.340000000000146</v>
      </c>
      <c r="I202" s="8">
        <f>IFERROR(H202/H445, "NA")</f>
        <v>2.0167811049426445E-3</v>
      </c>
      <c r="J202" s="9"/>
      <c r="K202" s="7">
        <v>1627.45</v>
      </c>
      <c r="L202" s="8">
        <f>IFERROR(K202/K445, "NA")</f>
        <v>1.2464170631198866E-2</v>
      </c>
      <c r="M202" s="9"/>
      <c r="N202" s="10">
        <f t="shared" si="53"/>
        <v>301.27999999999997</v>
      </c>
      <c r="O202" s="8">
        <f>IFERROR(N202/N445, "NA")</f>
        <v>-3.3790558652325602E-2</v>
      </c>
      <c r="P202" s="9"/>
      <c r="Q202" s="7">
        <v>6830.13</v>
      </c>
      <c r="R202" s="8">
        <f>IFERROR(Q202/Q445, "NA")</f>
        <v>1.3101293069177674E-2</v>
      </c>
      <c r="S202" s="9"/>
      <c r="T202" s="7">
        <v>5339.55</v>
      </c>
      <c r="U202" s="8">
        <f>IFERROR(T202/T445, "NA")</f>
        <v>9.0000049049103904E-3</v>
      </c>
      <c r="V202" s="9"/>
      <c r="W202" s="10">
        <f t="shared" si="54"/>
        <v>-1490.58</v>
      </c>
      <c r="X202" s="8">
        <f>IFERROR(W202/W445, "NA")</f>
        <v>2.0716742760647944E-2</v>
      </c>
      <c r="Y202" s="9"/>
      <c r="Z202" s="7">
        <v>8261.6</v>
      </c>
      <c r="AA202" s="8">
        <f>IFERROR(Z202/Z445, "NA")</f>
        <v>1.4979663967494984E-2</v>
      </c>
      <c r="AB202" s="9"/>
      <c r="AC202" s="10">
        <f t="shared" si="55"/>
        <v>1431.4700000000003</v>
      </c>
      <c r="AD202" s="8">
        <f>IFERROR(AC202/AC445, "NA")</f>
        <v>-4.7417662463968065E-2</v>
      </c>
    </row>
    <row r="203" spans="1:30" ht="16.5" customHeight="1" x14ac:dyDescent="0.45">
      <c r="A203" s="6" t="s">
        <v>185</v>
      </c>
      <c r="B203" s="7">
        <v>2177.65</v>
      </c>
      <c r="C203" s="8">
        <f>IFERROR(B203/B445, "NA")</f>
        <v>1.790033320685458E-2</v>
      </c>
      <c r="D203" s="9"/>
      <c r="E203" s="7">
        <v>855.89</v>
      </c>
      <c r="F203" s="8">
        <f>IFERROR(E203/E445, "NA")</f>
        <v>6.0000135999093152E-3</v>
      </c>
      <c r="G203" s="9"/>
      <c r="H203" s="10">
        <f t="shared" si="52"/>
        <v>-1321.7600000000002</v>
      </c>
      <c r="I203" s="8">
        <f>IFERROR(H203/H445, "NA")</f>
        <v>6.2959390488166761E-2</v>
      </c>
      <c r="J203" s="9"/>
      <c r="K203" s="7">
        <v>601.73</v>
      </c>
      <c r="L203" s="8">
        <f>IFERROR(K203/K445, "NA")</f>
        <v>4.6084766929314538E-3</v>
      </c>
      <c r="M203" s="9"/>
      <c r="N203" s="10">
        <f t="shared" si="53"/>
        <v>-1575.92</v>
      </c>
      <c r="O203" s="8">
        <f>IFERROR(N203/N445, "NA")</f>
        <v>0.1767499242942544</v>
      </c>
      <c r="P203" s="9"/>
      <c r="Q203" s="7">
        <v>4527.25</v>
      </c>
      <c r="R203" s="8">
        <f>IFERROR(Q203/Q445, "NA")</f>
        <v>8.6839970904557633E-3</v>
      </c>
      <c r="S203" s="9"/>
      <c r="T203" s="7">
        <v>3559.7</v>
      </c>
      <c r="U203" s="8">
        <f>IFERROR(T203/T445, "NA")</f>
        <v>6.0000032699402597E-3</v>
      </c>
      <c r="V203" s="9"/>
      <c r="W203" s="10">
        <f t="shared" si="54"/>
        <v>-967.55000000000018</v>
      </c>
      <c r="X203" s="8">
        <f>IFERROR(W203/W445, "NA")</f>
        <v>1.3447439559141357E-2</v>
      </c>
      <c r="Y203" s="9"/>
      <c r="Z203" s="7">
        <v>3942.31</v>
      </c>
      <c r="AA203" s="8">
        <f>IFERROR(Z203/Z445, "NA")</f>
        <v>7.1480680565138895E-3</v>
      </c>
      <c r="AB203" s="9"/>
      <c r="AC203" s="10">
        <f t="shared" si="55"/>
        <v>-584.94000000000005</v>
      </c>
      <c r="AD203" s="8">
        <f>IFERROR(AC203/AC445, "NA")</f>
        <v>1.937622687284643E-2</v>
      </c>
    </row>
    <row r="204" spans="1:30" ht="16.5" customHeight="1" x14ac:dyDescent="0.45">
      <c r="A204" s="6" t="s">
        <v>186</v>
      </c>
      <c r="B204" s="7">
        <v>417.08</v>
      </c>
      <c r="C204" s="8">
        <f>IFERROR(B204/B445, "NA")</f>
        <v>3.4284072159965592E-3</v>
      </c>
      <c r="D204" s="9"/>
      <c r="E204" s="7">
        <v>285.3</v>
      </c>
      <c r="F204" s="8">
        <f>IFERROR(E204/E445, "NA")</f>
        <v>2.0000279008448836E-3</v>
      </c>
      <c r="G204" s="9"/>
      <c r="H204" s="10">
        <f t="shared" si="52"/>
        <v>-131.77999999999997</v>
      </c>
      <c r="I204" s="8">
        <f>IFERROR(H204/H445, "NA")</f>
        <v>6.2770763818927895E-3</v>
      </c>
      <c r="J204" s="9"/>
      <c r="K204" s="7">
        <v>364.01</v>
      </c>
      <c r="L204" s="8">
        <f>IFERROR(K204/K445, "NA")</f>
        <v>2.7878477074335306E-3</v>
      </c>
      <c r="M204" s="9"/>
      <c r="N204" s="10">
        <f t="shared" si="53"/>
        <v>-53.069999999999993</v>
      </c>
      <c r="O204" s="8">
        <f>IFERROR(N204/N445, "NA")</f>
        <v>5.9521539686634341E-3</v>
      </c>
      <c r="P204" s="9"/>
      <c r="Q204" s="7">
        <v>1027.76</v>
      </c>
      <c r="R204" s="8">
        <f>IFERROR(Q204/Q445, "NA")</f>
        <v>1.9714097630320424E-3</v>
      </c>
      <c r="S204" s="9"/>
      <c r="T204" s="7">
        <v>1186.57</v>
      </c>
      <c r="U204" s="8">
        <f>IFERROR(T204/T445, "NA")</f>
        <v>2.0000067084341416E-3</v>
      </c>
      <c r="V204" s="9"/>
      <c r="W204" s="10">
        <f t="shared" si="54"/>
        <v>158.80999999999995</v>
      </c>
      <c r="X204" s="8">
        <f>IFERROR(W204/W445, "NA")</f>
        <v>-2.2072119026275002E-3</v>
      </c>
      <c r="Y204" s="9"/>
      <c r="Z204" s="7">
        <v>981.14</v>
      </c>
      <c r="AA204" s="8">
        <f>IFERROR(Z204/Z445, "NA")</f>
        <v>1.7789710836966239E-3</v>
      </c>
      <c r="AB204" s="9"/>
      <c r="AC204" s="10">
        <f t="shared" si="55"/>
        <v>-46.620000000000005</v>
      </c>
      <c r="AD204" s="8">
        <f>IFERROR(AC204/AC445, "NA")</f>
        <v>1.5442946230589472E-3</v>
      </c>
    </row>
    <row r="205" spans="1:30" ht="16.5" customHeight="1" x14ac:dyDescent="0.45">
      <c r="A205" s="6" t="s">
        <v>187</v>
      </c>
      <c r="B205" s="7">
        <v>237.64</v>
      </c>
      <c r="C205" s="8">
        <f>IFERROR(B205/B445, "NA")</f>
        <v>1.953406278913931E-3</v>
      </c>
      <c r="D205" s="9"/>
      <c r="E205" s="7">
        <v>427.94</v>
      </c>
      <c r="F205" s="8">
        <f>IFERROR(E205/E445, "NA")</f>
        <v>2.9999717486419893E-3</v>
      </c>
      <c r="G205" s="9"/>
      <c r="H205" s="10">
        <f t="shared" si="52"/>
        <v>190.3</v>
      </c>
      <c r="I205" s="8">
        <f>IFERROR(H205/H445, "NA")</f>
        <v>-9.0645593828668856E-3</v>
      </c>
      <c r="J205" s="9"/>
      <c r="K205" s="7">
        <v>242.39</v>
      </c>
      <c r="L205" s="8">
        <f>IFERROR(K205/K445, "NA")</f>
        <v>1.8563951699261379E-3</v>
      </c>
      <c r="M205" s="9"/>
      <c r="N205" s="10">
        <f t="shared" si="53"/>
        <v>4.75</v>
      </c>
      <c r="O205" s="8">
        <f>IFERROR(N205/N445, "NA")</f>
        <v>-5.3274413701057685E-4</v>
      </c>
      <c r="P205" s="9"/>
      <c r="Q205" s="7">
        <v>1261.76</v>
      </c>
      <c r="R205" s="8">
        <f>IFERROR(Q205/Q445, "NA")</f>
        <v>2.4202595767526562E-3</v>
      </c>
      <c r="S205" s="9"/>
      <c r="T205" s="7">
        <v>1779.84</v>
      </c>
      <c r="U205" s="8">
        <f>IFERROR(T205/T445, "NA")</f>
        <v>2.9999847796079648E-3</v>
      </c>
      <c r="V205" s="9"/>
      <c r="W205" s="10">
        <f t="shared" si="54"/>
        <v>518.07999999999993</v>
      </c>
      <c r="X205" s="8">
        <f>IFERROR(W205/W445, "NA")</f>
        <v>-7.2005059033641173E-3</v>
      </c>
      <c r="Y205" s="9"/>
      <c r="Z205" s="7">
        <v>1214.77</v>
      </c>
      <c r="AA205" s="8">
        <f>IFERROR(Z205/Z445, "NA")</f>
        <v>2.2025813883259759E-3</v>
      </c>
      <c r="AB205" s="9"/>
      <c r="AC205" s="10">
        <f t="shared" si="55"/>
        <v>-46.990000000000009</v>
      </c>
      <c r="AD205" s="8">
        <f>IFERROR(AC205/AC445, "NA")</f>
        <v>1.5565509295911611E-3</v>
      </c>
    </row>
    <row r="206" spans="1:30" ht="16.5" customHeight="1" x14ac:dyDescent="0.45">
      <c r="A206" s="6" t="s">
        <v>188</v>
      </c>
      <c r="B206" s="7">
        <v>0</v>
      </c>
      <c r="C206" s="8">
        <f>IFERROR(B206/B445, "NA")</f>
        <v>0</v>
      </c>
      <c r="D206" s="9"/>
      <c r="E206" s="7">
        <v>142.65</v>
      </c>
      <c r="F206" s="8">
        <f>IFERROR(E206/E445, "NA")</f>
        <v>1.0000139504224418E-3</v>
      </c>
      <c r="G206" s="9"/>
      <c r="H206" s="10">
        <f t="shared" si="52"/>
        <v>142.65</v>
      </c>
      <c r="I206" s="8">
        <f>IFERROR(H206/H445, "NA")</f>
        <v>-6.7948470623539732E-3</v>
      </c>
      <c r="J206" s="9"/>
      <c r="K206" s="7">
        <v>238.53</v>
      </c>
      <c r="L206" s="8">
        <f>IFERROR(K206/K445, "NA")</f>
        <v>1.8268325421118103E-3</v>
      </c>
      <c r="M206" s="9"/>
      <c r="N206" s="10">
        <f t="shared" si="53"/>
        <v>238.53</v>
      </c>
      <c r="O206" s="8">
        <f>IFERROR(N206/N445, "NA")</f>
        <v>-2.6752728210764822E-2</v>
      </c>
      <c r="P206" s="9"/>
      <c r="Q206" s="7">
        <v>248.1</v>
      </c>
      <c r="R206" s="8">
        <f>IFERROR(Q206/Q445, "NA")</f>
        <v>4.7589589223967634E-4</v>
      </c>
      <c r="S206" s="9"/>
      <c r="T206" s="7">
        <v>593.28</v>
      </c>
      <c r="U206" s="8">
        <f>IFERROR(T206/T445, "NA")</f>
        <v>9.9999492653598827E-4</v>
      </c>
      <c r="V206" s="9"/>
      <c r="W206" s="10">
        <f t="shared" si="54"/>
        <v>345.17999999999995</v>
      </c>
      <c r="X206" s="8">
        <f>IFERROR(W206/W445, "NA")</f>
        <v>-4.7974649238017794E-3</v>
      </c>
      <c r="Y206" s="9"/>
      <c r="Z206" s="7">
        <v>271.58</v>
      </c>
      <c r="AA206" s="8">
        <f>IFERROR(Z206/Z445, "NA")</f>
        <v>4.9242000826623018E-4</v>
      </c>
      <c r="AB206" s="9"/>
      <c r="AC206" s="10">
        <f t="shared" si="55"/>
        <v>23.47999999999999</v>
      </c>
      <c r="AD206" s="8">
        <f>IFERROR(AC206/AC445, "NA")</f>
        <v>-7.7777858750373362E-4</v>
      </c>
    </row>
    <row r="207" spans="1:30" ht="16.5" customHeight="1" x14ac:dyDescent="0.45">
      <c r="A207" s="6" t="s">
        <v>189</v>
      </c>
      <c r="B207" s="7">
        <v>193.24</v>
      </c>
      <c r="C207" s="8">
        <f>IFERROR(B207/B445, "NA")</f>
        <v>1.5884372552488135E-3</v>
      </c>
      <c r="D207" s="9"/>
      <c r="E207" s="7">
        <v>100</v>
      </c>
      <c r="F207" s="8">
        <f>IFERROR(E207/E445, "NA")</f>
        <v>7.0102625336308582E-4</v>
      </c>
      <c r="G207" s="9"/>
      <c r="H207" s="10">
        <f t="shared" si="52"/>
        <v>-93.240000000000009</v>
      </c>
      <c r="I207" s="8">
        <f>IFERROR(H207/H445, "NA")</f>
        <v>4.4413006666237966E-3</v>
      </c>
      <c r="J207" s="9"/>
      <c r="K207" s="7">
        <v>488.7</v>
      </c>
      <c r="L207" s="8">
        <f>IFERROR(K207/K445, "NA")</f>
        <v>3.7428124903787431E-3</v>
      </c>
      <c r="M207" s="9"/>
      <c r="N207" s="10">
        <f t="shared" si="53"/>
        <v>295.45999999999998</v>
      </c>
      <c r="O207" s="8">
        <f>IFERROR(N207/N445, "NA")</f>
        <v>-3.3137806888662115E-2</v>
      </c>
      <c r="P207" s="9"/>
      <c r="Q207" s="7">
        <v>594.22</v>
      </c>
      <c r="R207" s="8">
        <f>IFERROR(Q207/Q445, "NA")</f>
        <v>1.1398099842267655E-3</v>
      </c>
      <c r="S207" s="9"/>
      <c r="T207" s="7">
        <v>500</v>
      </c>
      <c r="U207" s="8">
        <f>IFERROR(T207/T445, "NA")</f>
        <v>8.4276810825915948E-4</v>
      </c>
      <c r="V207" s="9"/>
      <c r="W207" s="10">
        <f t="shared" si="54"/>
        <v>-94.220000000000027</v>
      </c>
      <c r="X207" s="8">
        <f>IFERROR(W207/W445, "NA")</f>
        <v>1.3095114001987482E-3</v>
      </c>
      <c r="Y207" s="9"/>
      <c r="Z207" s="7">
        <v>588.29999999999995</v>
      </c>
      <c r="AA207" s="8">
        <f>IFERROR(Z207/Z445, "NA")</f>
        <v>1.0666863939282098E-3</v>
      </c>
      <c r="AB207" s="9"/>
      <c r="AC207" s="10">
        <f t="shared" si="55"/>
        <v>-5.9200000000000728</v>
      </c>
      <c r="AD207" s="8">
        <f>IFERROR(AC207/AC445, "NA")</f>
        <v>1.9610090451542425E-4</v>
      </c>
    </row>
    <row r="208" spans="1:30" ht="16.5" customHeight="1" x14ac:dyDescent="0.45">
      <c r="A208" s="6" t="s">
        <v>190</v>
      </c>
      <c r="B208" s="7">
        <v>166.34</v>
      </c>
      <c r="C208" s="8">
        <f>IFERROR(B208/B445, "NA")</f>
        <v>1.3673186350553076E-3</v>
      </c>
      <c r="D208" s="9"/>
      <c r="E208" s="7">
        <v>100</v>
      </c>
      <c r="F208" s="8">
        <f>IFERROR(E208/E445, "NA")</f>
        <v>7.0102625336308582E-4</v>
      </c>
      <c r="G208" s="9"/>
      <c r="H208" s="10">
        <f t="shared" si="52"/>
        <v>-66.34</v>
      </c>
      <c r="I208" s="8">
        <f>IFERROR(H208/H445, "NA")</f>
        <v>3.1599730397235373E-3</v>
      </c>
      <c r="J208" s="9"/>
      <c r="K208" s="7">
        <v>12.84</v>
      </c>
      <c r="L208" s="8">
        <f>IFERROR(K208/K445, "NA")</f>
        <v>9.8337860397919094E-5</v>
      </c>
      <c r="M208" s="9"/>
      <c r="N208" s="10">
        <f t="shared" si="53"/>
        <v>-153.5</v>
      </c>
      <c r="O208" s="8">
        <f>IFERROR(N208/N445, "NA")</f>
        <v>1.721604737497338E-2</v>
      </c>
      <c r="P208" s="9"/>
      <c r="Q208" s="7">
        <v>269.18</v>
      </c>
      <c r="R208" s="8">
        <f>IFERROR(Q208/Q445, "NA")</f>
        <v>5.1633073870647355E-4</v>
      </c>
      <c r="S208" s="9"/>
      <c r="T208" s="7">
        <v>500</v>
      </c>
      <c r="U208" s="8">
        <f>IFERROR(T208/T445, "NA")</f>
        <v>8.4276810825915948E-4</v>
      </c>
      <c r="V208" s="9"/>
      <c r="W208" s="10">
        <f t="shared" si="54"/>
        <v>230.82</v>
      </c>
      <c r="X208" s="8">
        <f>IFERROR(W208/W445, "NA")</f>
        <v>-3.2080388600496173E-3</v>
      </c>
      <c r="Y208" s="9"/>
      <c r="Z208" s="7">
        <v>589.79</v>
      </c>
      <c r="AA208" s="8">
        <f>IFERROR(Z208/Z445, "NA")</f>
        <v>1.0693880133858897E-3</v>
      </c>
      <c r="AB208" s="9"/>
      <c r="AC208" s="10">
        <f t="shared" si="55"/>
        <v>320.60999999999996</v>
      </c>
      <c r="AD208" s="8">
        <f>IFERROR(AC208/AC445, "NA")</f>
        <v>-1.0620255235927261E-2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4518.12</v>
      </c>
      <c r="C209" s="15">
        <f>IFERROR(B209/B445, "NA")</f>
        <v>3.7139050567609029E-2</v>
      </c>
      <c r="D209" s="2"/>
      <c r="E209" s="14">
        <f>IFERROR(E201+E202+E203+E204+E205+E206+E207+E208, "NA")</f>
        <v>3195.61</v>
      </c>
      <c r="F209" s="15">
        <f>IFERROR(E209/E445, "NA")</f>
        <v>2.2402065055096107E-2</v>
      </c>
      <c r="G209" s="2"/>
      <c r="H209" s="14">
        <f t="shared" si="52"/>
        <v>-1322.5099999999998</v>
      </c>
      <c r="I209" s="15">
        <f>IFERROR(H209/H445, "NA")</f>
        <v>6.2995115236128649E-2</v>
      </c>
      <c r="J209" s="2"/>
      <c r="K209" s="14">
        <f>IFERROR(K201+K202+K203+K204+K205+K206+K207+K208, "NA")</f>
        <v>3575.6500000000005</v>
      </c>
      <c r="L209" s="15">
        <f>IFERROR(K209/K445, "NA")</f>
        <v>2.7384873094378464E-2</v>
      </c>
      <c r="M209" s="2"/>
      <c r="N209" s="14">
        <f t="shared" si="53"/>
        <v>-942.46999999999935</v>
      </c>
      <c r="O209" s="15">
        <f>IFERROR(N209/N445, "NA")</f>
        <v>0.10570428774912802</v>
      </c>
      <c r="P209" s="2"/>
      <c r="Q209" s="14">
        <f>IFERROR(Q201+Q202+Q203+Q204+Q205+Q206+Q207+Q208, "NA")</f>
        <v>14758.400000000001</v>
      </c>
      <c r="R209" s="15">
        <f>IFERROR(Q209/Q445, "NA")</f>
        <v>2.8308996114591051E-2</v>
      </c>
      <c r="S209" s="2"/>
      <c r="T209" s="14">
        <f>IFERROR(T201+T202+T203+T204+T205+T206+T207+T208, "NA")</f>
        <v>13458.94</v>
      </c>
      <c r="U209" s="15">
        <f>IFERROR(T209/T445, "NA")</f>
        <v>2.2685530805947065E-2</v>
      </c>
      <c r="V209" s="2"/>
      <c r="W209" s="14">
        <f t="shared" si="54"/>
        <v>-1299.4600000000009</v>
      </c>
      <c r="X209" s="15">
        <f>IFERROR(W209/W445, "NA")</f>
        <v>1.8060472130145045E-2</v>
      </c>
      <c r="Y209" s="2"/>
      <c r="Z209" s="14">
        <f>IFERROR(Z201+Z202+Z203+Z204+Z205+Z206+Z207+Z208, "NA")</f>
        <v>15849.489999999998</v>
      </c>
      <c r="AA209" s="15">
        <f>IFERROR(Z209/Z445, "NA")</f>
        <v>2.8737778911611798E-2</v>
      </c>
      <c r="AB209" s="2"/>
      <c r="AC209" s="14">
        <f t="shared" si="55"/>
        <v>1091.0899999999965</v>
      </c>
      <c r="AD209" s="15">
        <f>IFERROR(AC209/AC445, "NA")</f>
        <v>-3.6142522957386979E-2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IFERROR(B211/B445, "NA")</f>
        <v>0</v>
      </c>
      <c r="D211" s="9"/>
      <c r="E211" s="7">
        <v>0</v>
      </c>
      <c r="F211" s="8">
        <f>IFERROR(E211/E445, "NA")</f>
        <v>0</v>
      </c>
      <c r="G211" s="9"/>
      <c r="H211" s="10">
        <f>IFERROR(-(B211-E211), "NA")</f>
        <v>0</v>
      </c>
      <c r="I211" s="8">
        <f>IFERROR(H211/H445, "NA")</f>
        <v>0</v>
      </c>
      <c r="J211" s="9"/>
      <c r="K211" s="7">
        <v>0</v>
      </c>
      <c r="L211" s="8">
        <f>IFERROR(K211/K445, "NA")</f>
        <v>0</v>
      </c>
      <c r="M211" s="9"/>
      <c r="N211" s="10">
        <f>IFERROR(-(B211-K211), "NA")</f>
        <v>0</v>
      </c>
      <c r="O211" s="8">
        <f>IFERROR(N211/N445, "NA")</f>
        <v>0</v>
      </c>
      <c r="P211" s="9"/>
      <c r="Q211" s="7">
        <v>0</v>
      </c>
      <c r="R211" s="8">
        <f>IFERROR(Q211/Q445, "NA")</f>
        <v>0</v>
      </c>
      <c r="S211" s="9"/>
      <c r="T211" s="7">
        <v>0</v>
      </c>
      <c r="U211" s="8">
        <f>IFERROR(T211/T445, "NA")</f>
        <v>0</v>
      </c>
      <c r="V211" s="9"/>
      <c r="W211" s="10">
        <f>IFERROR(-(Q211-T211), "NA")</f>
        <v>0</v>
      </c>
      <c r="X211" s="8">
        <f>IFERROR(W211/W445, "NA")</f>
        <v>0</v>
      </c>
      <c r="Y211" s="9"/>
      <c r="Z211" s="7">
        <v>0</v>
      </c>
      <c r="AA211" s="8">
        <f>IFERROR(Z211/Z445, "NA")</f>
        <v>0</v>
      </c>
      <c r="AB211" s="9"/>
      <c r="AC211" s="10">
        <f>IFERROR(-(Q211-Z211), "NA")</f>
        <v>0</v>
      </c>
      <c r="AD211" s="8">
        <f>IFERROR(AC211/AC445,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-14</v>
      </c>
      <c r="C213" s="8">
        <f>IFERROR(B213/B445, "NA")</f>
        <v>-1.1508032277728933E-4</v>
      </c>
      <c r="D213" s="9"/>
      <c r="E213" s="7">
        <v>4136.79</v>
      </c>
      <c r="F213" s="8">
        <f>IFERROR(E213/E445, "NA")</f>
        <v>2.8999983946498796E-2</v>
      </c>
      <c r="G213" s="9"/>
      <c r="H213" s="10">
        <f t="shared" ref="H213:H227" si="56">IFERROR(-(B213-E213), "NA")</f>
        <v>4150.79</v>
      </c>
      <c r="I213" s="8">
        <f>IFERROR(H213/H445, "NA")</f>
        <v>-0.19771456879038379</v>
      </c>
      <c r="J213" s="9"/>
      <c r="K213" s="7">
        <v>0</v>
      </c>
      <c r="L213" s="8">
        <f>IFERROR(K213/K445, "NA")</f>
        <v>0</v>
      </c>
      <c r="M213" s="9"/>
      <c r="N213" s="10">
        <f t="shared" ref="N213:N227" si="57">IFERROR(-(B213-K213), "NA")</f>
        <v>14</v>
      </c>
      <c r="O213" s="8">
        <f>IFERROR(N213/N445, "NA")</f>
        <v>-1.5701932459259108E-3</v>
      </c>
      <c r="P213" s="9"/>
      <c r="Q213" s="7">
        <v>-14</v>
      </c>
      <c r="R213" s="8">
        <f>IFERROR(Q213/Q445, "NA")</f>
        <v>-2.685426235935296E-5</v>
      </c>
      <c r="S213" s="9"/>
      <c r="T213" s="7">
        <v>17205.21</v>
      </c>
      <c r="U213" s="8">
        <f>IFERROR(T213/T445, "NA")</f>
        <v>2.9000004567803144E-2</v>
      </c>
      <c r="V213" s="9"/>
      <c r="W213" s="10">
        <f t="shared" ref="W213:W227" si="58">IFERROR(-(Q213-T213), "NA")</f>
        <v>17219.21</v>
      </c>
      <c r="X213" s="8">
        <f>IFERROR(W213/W445, "NA")</f>
        <v>-0.23932022710057607</v>
      </c>
      <c r="Y213" s="9"/>
      <c r="Z213" s="7">
        <v>0</v>
      </c>
      <c r="AA213" s="8">
        <f>IFERROR(Z213/Z445, "NA")</f>
        <v>0</v>
      </c>
      <c r="AB213" s="9"/>
      <c r="AC213" s="10">
        <f t="shared" ref="AC213:AC227" si="59">IFERROR(-(Q213-Z213), "NA")</f>
        <v>14</v>
      </c>
      <c r="AD213" s="8">
        <f>IFERROR(AC213/AC445, "NA")</f>
        <v>-4.6375213905674084E-4</v>
      </c>
    </row>
    <row r="214" spans="1:30" ht="16.5" customHeight="1" x14ac:dyDescent="0.45">
      <c r="A214" s="12" t="s">
        <v>194</v>
      </c>
      <c r="B214" s="7">
        <v>1104.6300000000001</v>
      </c>
      <c r="C214" s="8">
        <f>IFERROR(B214/B445, "NA")</f>
        <v>9.0800840678197936E-3</v>
      </c>
      <c r="D214" s="9"/>
      <c r="E214" s="7">
        <v>0</v>
      </c>
      <c r="F214" s="8">
        <f>IFERROR(E214/E445, "NA")</f>
        <v>0</v>
      </c>
      <c r="G214" s="9"/>
      <c r="H214" s="10">
        <f t="shared" si="56"/>
        <v>-1104.6300000000001</v>
      </c>
      <c r="I214" s="8">
        <f>IFERROR(H214/H445, "NA")</f>
        <v>5.2616837788209393E-2</v>
      </c>
      <c r="J214" s="9"/>
      <c r="K214" s="7">
        <v>747.06</v>
      </c>
      <c r="L214" s="8">
        <f>IFERROR(K214/K445, "NA")</f>
        <v>5.72151728885276E-3</v>
      </c>
      <c r="M214" s="9"/>
      <c r="N214" s="10">
        <f t="shared" si="57"/>
        <v>-357.57000000000016</v>
      </c>
      <c r="O214" s="8">
        <f>IFERROR(N214/N445, "NA")</f>
        <v>4.0103857067552012E-2</v>
      </c>
      <c r="P214" s="9"/>
      <c r="Q214" s="7">
        <v>5657.34</v>
      </c>
      <c r="R214" s="8">
        <f>IFERROR(Q214/Q445, "NA")</f>
        <v>1.0851692329718705E-2</v>
      </c>
      <c r="S214" s="9"/>
      <c r="T214" s="7">
        <v>0</v>
      </c>
      <c r="U214" s="8">
        <f>IFERROR(T214/T445, "NA")</f>
        <v>0</v>
      </c>
      <c r="V214" s="9"/>
      <c r="W214" s="10">
        <f t="shared" si="58"/>
        <v>-5657.34</v>
      </c>
      <c r="X214" s="8">
        <f>IFERROR(W214/W445, "NA")</f>
        <v>7.8628223570371303E-2</v>
      </c>
      <c r="Y214" s="9"/>
      <c r="Z214" s="7">
        <v>11257.65</v>
      </c>
      <c r="AA214" s="8">
        <f>IFERROR(Z214/Z445, "NA")</f>
        <v>2.0412004219965856E-2</v>
      </c>
      <c r="AB214" s="9"/>
      <c r="AC214" s="10">
        <f t="shared" si="59"/>
        <v>5600.3099999999995</v>
      </c>
      <c r="AD214" s="8">
        <f>IFERROR(AC214/AC445, "NA")</f>
        <v>-0.18551112442006115</v>
      </c>
    </row>
    <row r="215" spans="1:30" ht="16.5" customHeight="1" x14ac:dyDescent="0.45">
      <c r="A215" s="12" t="s">
        <v>195</v>
      </c>
      <c r="B215" s="7">
        <v>359.27</v>
      </c>
      <c r="C215" s="8">
        <f>IFERROR(B215/B445, "NA")</f>
        <v>2.9532076831569093E-3</v>
      </c>
      <c r="D215" s="9"/>
      <c r="E215" s="7">
        <v>0</v>
      </c>
      <c r="F215" s="8">
        <f>IFERROR(E215/E445, "NA")</f>
        <v>0</v>
      </c>
      <c r="G215" s="9"/>
      <c r="H215" s="10">
        <f t="shared" si="56"/>
        <v>-359.27</v>
      </c>
      <c r="I215" s="8">
        <f>IFERROR(H215/H445, "NA")</f>
        <v>1.7113106933697244E-2</v>
      </c>
      <c r="J215" s="9"/>
      <c r="K215" s="7">
        <v>0</v>
      </c>
      <c r="L215" s="8">
        <f>IFERROR(K215/K445, "NA")</f>
        <v>0</v>
      </c>
      <c r="M215" s="9"/>
      <c r="N215" s="10">
        <f t="shared" si="57"/>
        <v>-359.27</v>
      </c>
      <c r="O215" s="8">
        <f>IFERROR(N215/N445, "NA")</f>
        <v>4.0294523390271571E-2</v>
      </c>
      <c r="P215" s="9"/>
      <c r="Q215" s="7">
        <v>1583.27</v>
      </c>
      <c r="R215" s="8">
        <f>IFERROR(Q215/Q445, "NA")</f>
        <v>3.0369677118351969E-3</v>
      </c>
      <c r="S215" s="9"/>
      <c r="T215" s="7">
        <v>0</v>
      </c>
      <c r="U215" s="8">
        <f>IFERROR(T215/T445, "NA")</f>
        <v>0</v>
      </c>
      <c r="V215" s="9"/>
      <c r="W215" s="10">
        <f t="shared" si="58"/>
        <v>-1583.27</v>
      </c>
      <c r="X215" s="8">
        <f>IFERROR(W215/W445, "NA")</f>
        <v>2.2004989541420838E-2</v>
      </c>
      <c r="Y215" s="9"/>
      <c r="Z215" s="7">
        <v>0</v>
      </c>
      <c r="AA215" s="8">
        <f>IFERROR(Z215/Z445, "NA")</f>
        <v>0</v>
      </c>
      <c r="AB215" s="9"/>
      <c r="AC215" s="10">
        <f t="shared" si="59"/>
        <v>-1583.27</v>
      </c>
      <c r="AD215" s="8">
        <f>IFERROR(AC215/AC445, "NA")</f>
        <v>5.2446060657454718E-2</v>
      </c>
    </row>
    <row r="216" spans="1:30" ht="16.5" customHeight="1" x14ac:dyDescent="0.45">
      <c r="A216" s="12" t="s">
        <v>196</v>
      </c>
      <c r="B216" s="7">
        <v>60</v>
      </c>
      <c r="C216" s="8">
        <f>IFERROR(B216/B445, "NA")</f>
        <v>4.9320138333123998E-4</v>
      </c>
      <c r="D216" s="9"/>
      <c r="E216" s="7">
        <v>0</v>
      </c>
      <c r="F216" s="8">
        <f>IFERROR(E216/E445, "NA")</f>
        <v>0</v>
      </c>
      <c r="G216" s="9"/>
      <c r="H216" s="10">
        <f t="shared" si="56"/>
        <v>-60</v>
      </c>
      <c r="I216" s="8">
        <f>IFERROR(H216/H445, "NA")</f>
        <v>2.8579798369522493E-3</v>
      </c>
      <c r="J216" s="9"/>
      <c r="K216" s="7">
        <v>0</v>
      </c>
      <c r="L216" s="8">
        <f>IFERROR(K216/K445, "NA")</f>
        <v>0</v>
      </c>
      <c r="M216" s="9"/>
      <c r="N216" s="10">
        <f t="shared" si="57"/>
        <v>-60</v>
      </c>
      <c r="O216" s="8">
        <f>IFERROR(N216/N445, "NA")</f>
        <v>6.7293996253967609E-3</v>
      </c>
      <c r="P216" s="9"/>
      <c r="Q216" s="7">
        <v>170</v>
      </c>
      <c r="R216" s="8">
        <f>IFERROR(Q216/Q445, "NA")</f>
        <v>3.2608747150642876E-4</v>
      </c>
      <c r="S216" s="9"/>
      <c r="T216" s="7">
        <v>0</v>
      </c>
      <c r="U216" s="8">
        <f>IFERROR(T216/T445, "NA")</f>
        <v>0</v>
      </c>
      <c r="V216" s="9"/>
      <c r="W216" s="10">
        <f t="shared" si="58"/>
        <v>-170</v>
      </c>
      <c r="X216" s="8">
        <f>IFERROR(W216/W445, "NA")</f>
        <v>2.3627354917616973E-3</v>
      </c>
      <c r="Y216" s="9"/>
      <c r="Z216" s="7">
        <v>2.41</v>
      </c>
      <c r="AA216" s="8">
        <f>IFERROR(Z216/Z445, "NA")</f>
        <v>4.3697334852404998E-6</v>
      </c>
      <c r="AB216" s="9"/>
      <c r="AC216" s="10">
        <f t="shared" si="59"/>
        <v>-167.59</v>
      </c>
      <c r="AD216" s="8">
        <f>IFERROR(AC216/AC445, "NA")</f>
        <v>5.5514443560370852E-3</v>
      </c>
    </row>
    <row r="217" spans="1:30" ht="16.5" customHeight="1" x14ac:dyDescent="0.45">
      <c r="A217" s="12" t="s">
        <v>197</v>
      </c>
      <c r="B217" s="7">
        <v>1027.08</v>
      </c>
      <c r="C217" s="8">
        <f>IFERROR(B217/B445, "NA")</f>
        <v>8.4426212798641657E-3</v>
      </c>
      <c r="D217" s="9"/>
      <c r="E217" s="7">
        <v>0</v>
      </c>
      <c r="F217" s="8">
        <f>IFERROR(E217/E445, "NA")</f>
        <v>0</v>
      </c>
      <c r="G217" s="9"/>
      <c r="H217" s="10">
        <f t="shared" si="56"/>
        <v>-1027.08</v>
      </c>
      <c r="I217" s="8">
        <f>IFERROR(H217/H445, "NA")</f>
        <v>4.8922898848948605E-2</v>
      </c>
      <c r="J217" s="9"/>
      <c r="K217" s="7">
        <v>1237.29</v>
      </c>
      <c r="L217" s="8">
        <f>IFERROR(K217/K445, "NA")</f>
        <v>9.476047608391068E-3</v>
      </c>
      <c r="M217" s="9"/>
      <c r="N217" s="10">
        <f t="shared" si="57"/>
        <v>210.21000000000004</v>
      </c>
      <c r="O217" s="8">
        <f>IFERROR(N217/N445, "NA")</f>
        <v>-2.3576451587577554E-2</v>
      </c>
      <c r="P217" s="9"/>
      <c r="Q217" s="7">
        <v>6751.58</v>
      </c>
      <c r="R217" s="8">
        <f>IFERROR(Q217/Q445, "NA")</f>
        <v>1.2950621475725732E-2</v>
      </c>
      <c r="S217" s="9"/>
      <c r="T217" s="7">
        <v>0</v>
      </c>
      <c r="U217" s="8">
        <f>IFERROR(T217/T445, "NA")</f>
        <v>0</v>
      </c>
      <c r="V217" s="9"/>
      <c r="W217" s="10">
        <f t="shared" si="58"/>
        <v>-6751.58</v>
      </c>
      <c r="X217" s="8">
        <f>IFERROR(W217/W445, "NA")</f>
        <v>9.383645700863788E-2</v>
      </c>
      <c r="Y217" s="9"/>
      <c r="Z217" s="7">
        <v>9584.9599999999991</v>
      </c>
      <c r="AA217" s="8">
        <f>IFERROR(Z217/Z445, "NA")</f>
        <v>1.7379137206095758E-2</v>
      </c>
      <c r="AB217" s="9"/>
      <c r="AC217" s="10">
        <f t="shared" si="59"/>
        <v>2833.3799999999992</v>
      </c>
      <c r="AD217" s="8">
        <f>IFERROR(AC217/AC445, "NA")</f>
        <v>-9.3856145411470568E-2</v>
      </c>
    </row>
    <row r="218" spans="1:30" ht="16.5" customHeight="1" x14ac:dyDescent="0.45">
      <c r="A218" s="13" t="s">
        <v>198</v>
      </c>
      <c r="B218" s="14">
        <f>IFERROR(B213+B214+B215+B216+B217, "NA")</f>
        <v>2536.98</v>
      </c>
      <c r="C218" s="15">
        <f>IFERROR(B218/B445, "NA")</f>
        <v>2.0854034091394819E-2</v>
      </c>
      <c r="D218" s="2"/>
      <c r="E218" s="14">
        <f>IFERROR(E213+E214+E215+E216+E217, "NA")</f>
        <v>4136.79</v>
      </c>
      <c r="F218" s="15">
        <f>IFERROR(E218/E445, "NA")</f>
        <v>2.8999983946498796E-2</v>
      </c>
      <c r="G218" s="2"/>
      <c r="H218" s="14">
        <f t="shared" si="56"/>
        <v>1599.81</v>
      </c>
      <c r="I218" s="15">
        <f>IFERROR(H218/H445, "NA")</f>
        <v>-7.6203745382576307E-2</v>
      </c>
      <c r="J218" s="2"/>
      <c r="K218" s="14">
        <f>IFERROR(K213+K214+K215+K216+K217, "NA")</f>
        <v>1984.35</v>
      </c>
      <c r="L218" s="15">
        <f>IFERROR(K218/K445, "NA")</f>
        <v>1.5197564897243828E-2</v>
      </c>
      <c r="M218" s="2"/>
      <c r="N218" s="14">
        <f t="shared" si="57"/>
        <v>-552.63000000000011</v>
      </c>
      <c r="O218" s="15">
        <f>IFERROR(N218/N445, "NA")</f>
        <v>6.1981135249716879E-2</v>
      </c>
      <c r="P218" s="2"/>
      <c r="Q218" s="14">
        <f>IFERROR(Q213+Q214+Q215+Q216+Q217, "NA")</f>
        <v>14148.19</v>
      </c>
      <c r="R218" s="15">
        <f>IFERROR(Q218/Q445, "NA")</f>
        <v>2.7138514726426709E-2</v>
      </c>
      <c r="S218" s="2"/>
      <c r="T218" s="14">
        <f>IFERROR(T213+T214+T215+T216+T217, "NA")</f>
        <v>17205.21</v>
      </c>
      <c r="U218" s="15">
        <f>IFERROR(T218/T445, "NA")</f>
        <v>2.9000004567803144E-2</v>
      </c>
      <c r="V218" s="2"/>
      <c r="W218" s="14">
        <f t="shared" si="58"/>
        <v>3057.0199999999986</v>
      </c>
      <c r="X218" s="15">
        <f>IFERROR(W218/W445, "NA")</f>
        <v>-4.2487821488384356E-2</v>
      </c>
      <c r="Y218" s="2"/>
      <c r="Z218" s="14">
        <f>IFERROR(Z213+Z214+Z215+Z216+Z217, "NA")</f>
        <v>20845.019999999997</v>
      </c>
      <c r="AA218" s="15">
        <f>IFERROR(Z218/Z445, "NA")</f>
        <v>3.7795511159546845E-2</v>
      </c>
      <c r="AB218" s="2"/>
      <c r="AC218" s="14">
        <f t="shared" si="59"/>
        <v>6696.8299999999963</v>
      </c>
      <c r="AD218" s="15">
        <f>IFERROR(AC218/AC445, "NA")</f>
        <v>-0.22183351695709658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IFERROR(B219/B445, "NA")</f>
        <v>0</v>
      </c>
      <c r="D219" s="9"/>
      <c r="E219" s="7">
        <v>0</v>
      </c>
      <c r="F219" s="8">
        <f>IFERROR(E219/E445, "NA")</f>
        <v>0</v>
      </c>
      <c r="G219" s="9"/>
      <c r="H219" s="10">
        <f t="shared" si="56"/>
        <v>0</v>
      </c>
      <c r="I219" s="8">
        <f>IFERROR(H219/H445, "NA")</f>
        <v>0</v>
      </c>
      <c r="J219" s="9"/>
      <c r="K219" s="7">
        <v>0</v>
      </c>
      <c r="L219" s="8">
        <f>IFERROR(K219/K445, "NA")</f>
        <v>0</v>
      </c>
      <c r="M219" s="9"/>
      <c r="N219" s="10">
        <f t="shared" si="57"/>
        <v>0</v>
      </c>
      <c r="O219" s="8">
        <f>IFERROR(N219/N445, "NA")</f>
        <v>0</v>
      </c>
      <c r="P219" s="9"/>
      <c r="Q219" s="7">
        <v>0</v>
      </c>
      <c r="R219" s="8">
        <f>IFERROR(Q219/Q445, "NA")</f>
        <v>0</v>
      </c>
      <c r="S219" s="9"/>
      <c r="T219" s="7">
        <v>0</v>
      </c>
      <c r="U219" s="8">
        <f>IFERROR(T219/T445, "NA")</f>
        <v>0</v>
      </c>
      <c r="V219" s="9"/>
      <c r="W219" s="10">
        <f t="shared" si="58"/>
        <v>0</v>
      </c>
      <c r="X219" s="8">
        <f>IFERROR(W219/W445, "NA")</f>
        <v>0</v>
      </c>
      <c r="Y219" s="9"/>
      <c r="Z219" s="7">
        <v>0</v>
      </c>
      <c r="AA219" s="8">
        <f>IFERROR(Z219/Z445, "NA")</f>
        <v>0</v>
      </c>
      <c r="AB219" s="9"/>
      <c r="AC219" s="10">
        <f t="shared" si="59"/>
        <v>0</v>
      </c>
      <c r="AD219" s="8">
        <f>IFERROR(AC219/AC445,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IFERROR(B220/B445, "NA")</f>
        <v>0</v>
      </c>
      <c r="D220" s="9"/>
      <c r="E220" s="7">
        <v>0</v>
      </c>
      <c r="F220" s="8">
        <f>IFERROR(E220/E445, "NA")</f>
        <v>0</v>
      </c>
      <c r="G220" s="9"/>
      <c r="H220" s="10">
        <f t="shared" si="56"/>
        <v>0</v>
      </c>
      <c r="I220" s="8">
        <f>IFERROR(H220/H445, "NA")</f>
        <v>0</v>
      </c>
      <c r="J220" s="9"/>
      <c r="K220" s="7">
        <v>0</v>
      </c>
      <c r="L220" s="8">
        <f>IFERROR(K220/K445, "NA")</f>
        <v>0</v>
      </c>
      <c r="M220" s="9"/>
      <c r="N220" s="10">
        <f t="shared" si="57"/>
        <v>0</v>
      </c>
      <c r="O220" s="8">
        <f>IFERROR(N220/N445, "NA")</f>
        <v>0</v>
      </c>
      <c r="P220" s="9"/>
      <c r="Q220" s="7">
        <v>0</v>
      </c>
      <c r="R220" s="8">
        <f>IFERROR(Q220/Q445, "NA")</f>
        <v>0</v>
      </c>
      <c r="S220" s="9"/>
      <c r="T220" s="7">
        <v>0</v>
      </c>
      <c r="U220" s="8">
        <f>IFERROR(T220/T445, "NA")</f>
        <v>0</v>
      </c>
      <c r="V220" s="9"/>
      <c r="W220" s="10">
        <f t="shared" si="58"/>
        <v>0</v>
      </c>
      <c r="X220" s="8">
        <f>IFERROR(W220/W445, "NA")</f>
        <v>0</v>
      </c>
      <c r="Y220" s="9"/>
      <c r="Z220" s="7">
        <v>0</v>
      </c>
      <c r="AA220" s="8">
        <f>IFERROR(Z220/Z445, "NA")</f>
        <v>0</v>
      </c>
      <c r="AB220" s="9"/>
      <c r="AC220" s="10">
        <f t="shared" si="59"/>
        <v>0</v>
      </c>
      <c r="AD220" s="8">
        <f>IFERROR(AC220/AC445,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IFERROR(B221/B445, "NA")</f>
        <v>0</v>
      </c>
      <c r="D221" s="9"/>
      <c r="E221" s="7">
        <v>0</v>
      </c>
      <c r="F221" s="8">
        <f>IFERROR(E221/E445, "NA")</f>
        <v>0</v>
      </c>
      <c r="G221" s="9"/>
      <c r="H221" s="10">
        <f t="shared" si="56"/>
        <v>0</v>
      </c>
      <c r="I221" s="8">
        <f>IFERROR(H221/H445, "NA")</f>
        <v>0</v>
      </c>
      <c r="J221" s="9"/>
      <c r="K221" s="7">
        <v>0</v>
      </c>
      <c r="L221" s="8">
        <f>IFERROR(K221/K445, "NA")</f>
        <v>0</v>
      </c>
      <c r="M221" s="9"/>
      <c r="N221" s="10">
        <f t="shared" si="57"/>
        <v>0</v>
      </c>
      <c r="O221" s="8">
        <f>IFERROR(N221/N445, "NA")</f>
        <v>0</v>
      </c>
      <c r="P221" s="9"/>
      <c r="Q221" s="7">
        <v>0</v>
      </c>
      <c r="R221" s="8">
        <f>IFERROR(Q221/Q445, "NA")</f>
        <v>0</v>
      </c>
      <c r="S221" s="9"/>
      <c r="T221" s="7">
        <v>0</v>
      </c>
      <c r="U221" s="8">
        <f>IFERROR(T221/T445, "NA")</f>
        <v>0</v>
      </c>
      <c r="V221" s="9"/>
      <c r="W221" s="10">
        <f t="shared" si="58"/>
        <v>0</v>
      </c>
      <c r="X221" s="8">
        <f>IFERROR(W221/W445, "NA")</f>
        <v>0</v>
      </c>
      <c r="Y221" s="9"/>
      <c r="Z221" s="7">
        <v>0</v>
      </c>
      <c r="AA221" s="8">
        <f>IFERROR(Z221/Z445, "NA")</f>
        <v>0</v>
      </c>
      <c r="AB221" s="9"/>
      <c r="AC221" s="10">
        <f t="shared" si="59"/>
        <v>0</v>
      </c>
      <c r="AD221" s="8">
        <f>IFERROR(AC221/AC445, "NA")</f>
        <v>0</v>
      </c>
    </row>
    <row r="222" spans="1:30" ht="16.5" customHeight="1" x14ac:dyDescent="0.45">
      <c r="A222" s="6" t="s">
        <v>202</v>
      </c>
      <c r="B222" s="7">
        <v>301.51</v>
      </c>
      <c r="C222" s="8">
        <f>IFERROR(B222/B445, "NA")</f>
        <v>2.4784191514700361E-3</v>
      </c>
      <c r="D222" s="9"/>
      <c r="E222" s="7">
        <v>100</v>
      </c>
      <c r="F222" s="8">
        <f>IFERROR(E222/E445, "NA")</f>
        <v>7.0102625336308582E-4</v>
      </c>
      <c r="G222" s="9"/>
      <c r="H222" s="10">
        <f t="shared" si="56"/>
        <v>-201.51</v>
      </c>
      <c r="I222" s="8">
        <f>IFERROR(H222/H445, "NA")</f>
        <v>9.5985252824041297E-3</v>
      </c>
      <c r="J222" s="9"/>
      <c r="K222" s="7">
        <v>185.98</v>
      </c>
      <c r="L222" s="8">
        <f>IFERROR(K222/K445, "NA")</f>
        <v>1.4243672333960275E-3</v>
      </c>
      <c r="M222" s="9"/>
      <c r="N222" s="10">
        <f t="shared" si="57"/>
        <v>-115.53</v>
      </c>
      <c r="O222" s="8">
        <f>IFERROR(N222/N445, "NA")</f>
        <v>1.2957458978701463E-2</v>
      </c>
      <c r="P222" s="9"/>
      <c r="Q222" s="7">
        <v>2045.19</v>
      </c>
      <c r="R222" s="8">
        <f>IFERROR(Q222/Q445, "NA")</f>
        <v>3.923004916766077E-3</v>
      </c>
      <c r="S222" s="9"/>
      <c r="T222" s="7">
        <v>500</v>
      </c>
      <c r="U222" s="8">
        <f>IFERROR(T222/T445, "NA")</f>
        <v>8.4276810825915948E-4</v>
      </c>
      <c r="V222" s="9"/>
      <c r="W222" s="10">
        <f t="shared" si="58"/>
        <v>-1545.19</v>
      </c>
      <c r="X222" s="8">
        <f>IFERROR(W222/W445, "NA")</f>
        <v>2.1475736791266218E-2</v>
      </c>
      <c r="Y222" s="9"/>
      <c r="Z222" s="7">
        <v>1427.24</v>
      </c>
      <c r="AA222" s="8">
        <f>IFERROR(Z222/Z445, "NA")</f>
        <v>2.5878250703214316E-3</v>
      </c>
      <c r="AB222" s="9"/>
      <c r="AC222" s="10">
        <f t="shared" si="59"/>
        <v>-617.95000000000005</v>
      </c>
      <c r="AD222" s="8">
        <f>IFERROR(AC222/AC445, "NA")</f>
        <v>2.0469688166436645E-2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IFERROR(B223/B445, "NA")</f>
        <v>0</v>
      </c>
      <c r="D223" s="9"/>
      <c r="E223" s="7">
        <v>0</v>
      </c>
      <c r="F223" s="8">
        <f>IFERROR(E223/E445, "NA")</f>
        <v>0</v>
      </c>
      <c r="G223" s="9"/>
      <c r="H223" s="10">
        <f t="shared" si="56"/>
        <v>0</v>
      </c>
      <c r="I223" s="8">
        <f>IFERROR(H223/H445, "NA")</f>
        <v>0</v>
      </c>
      <c r="J223" s="9"/>
      <c r="K223" s="7">
        <v>0</v>
      </c>
      <c r="L223" s="8">
        <f>IFERROR(K223/K445, "NA")</f>
        <v>0</v>
      </c>
      <c r="M223" s="9"/>
      <c r="N223" s="10">
        <f t="shared" si="57"/>
        <v>0</v>
      </c>
      <c r="O223" s="8">
        <f>IFERROR(N223/N445, "NA")</f>
        <v>0</v>
      </c>
      <c r="P223" s="9"/>
      <c r="Q223" s="7">
        <v>0</v>
      </c>
      <c r="R223" s="8">
        <f>IFERROR(Q223/Q445, "NA")</f>
        <v>0</v>
      </c>
      <c r="S223" s="9"/>
      <c r="T223" s="7">
        <v>0</v>
      </c>
      <c r="U223" s="8">
        <f>IFERROR(T223/T445, "NA")</f>
        <v>0</v>
      </c>
      <c r="V223" s="9"/>
      <c r="W223" s="10">
        <f t="shared" si="58"/>
        <v>0</v>
      </c>
      <c r="X223" s="8">
        <f>IFERROR(W223/W445, "NA")</f>
        <v>0</v>
      </c>
      <c r="Y223" s="9"/>
      <c r="Z223" s="7">
        <v>0</v>
      </c>
      <c r="AA223" s="8">
        <f>IFERROR(Z223/Z445, "NA")</f>
        <v>0</v>
      </c>
      <c r="AB223" s="9"/>
      <c r="AC223" s="10">
        <f t="shared" si="59"/>
        <v>0</v>
      </c>
      <c r="AD223" s="8">
        <f>IFERROR(AC223/AC445,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IFERROR(B224/B445, "NA")</f>
        <v>0</v>
      </c>
      <c r="D224" s="9"/>
      <c r="E224" s="7">
        <v>0</v>
      </c>
      <c r="F224" s="8">
        <f>IFERROR(E224/E445, "NA")</f>
        <v>0</v>
      </c>
      <c r="G224" s="9"/>
      <c r="H224" s="10">
        <f t="shared" si="56"/>
        <v>0</v>
      </c>
      <c r="I224" s="8">
        <f>IFERROR(H224/H445, "NA")</f>
        <v>0</v>
      </c>
      <c r="J224" s="9"/>
      <c r="K224" s="7">
        <v>0</v>
      </c>
      <c r="L224" s="8">
        <f>IFERROR(K224/K445, "NA")</f>
        <v>0</v>
      </c>
      <c r="M224" s="9"/>
      <c r="N224" s="10">
        <f t="shared" si="57"/>
        <v>0</v>
      </c>
      <c r="O224" s="8">
        <f>IFERROR(N224/N445, "NA")</f>
        <v>0</v>
      </c>
      <c r="P224" s="9"/>
      <c r="Q224" s="7">
        <v>0</v>
      </c>
      <c r="R224" s="8">
        <f>IFERROR(Q224/Q445, "NA")</f>
        <v>0</v>
      </c>
      <c r="S224" s="9"/>
      <c r="T224" s="7">
        <v>0</v>
      </c>
      <c r="U224" s="8">
        <f>IFERROR(T224/T445, "NA")</f>
        <v>0</v>
      </c>
      <c r="V224" s="9"/>
      <c r="W224" s="10">
        <f t="shared" si="58"/>
        <v>0</v>
      </c>
      <c r="X224" s="8">
        <f>IFERROR(W224/W445, "NA")</f>
        <v>0</v>
      </c>
      <c r="Y224" s="9"/>
      <c r="Z224" s="7">
        <v>0</v>
      </c>
      <c r="AA224" s="8">
        <f>IFERROR(Z224/Z445, "NA")</f>
        <v>0</v>
      </c>
      <c r="AB224" s="9"/>
      <c r="AC224" s="10">
        <f t="shared" si="59"/>
        <v>0</v>
      </c>
      <c r="AD224" s="8">
        <f>IFERROR(AC224/AC445,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IFERROR(B225/B445, "NA")</f>
        <v>0</v>
      </c>
      <c r="D225" s="9"/>
      <c r="E225" s="7">
        <v>0</v>
      </c>
      <c r="F225" s="8">
        <f>IFERROR(E225/E445, "NA")</f>
        <v>0</v>
      </c>
      <c r="G225" s="9"/>
      <c r="H225" s="10">
        <f t="shared" si="56"/>
        <v>0</v>
      </c>
      <c r="I225" s="8">
        <f>IFERROR(H225/H445, "NA")</f>
        <v>0</v>
      </c>
      <c r="J225" s="9"/>
      <c r="K225" s="7">
        <v>0</v>
      </c>
      <c r="L225" s="8">
        <f>IFERROR(K225/K445, "NA")</f>
        <v>0</v>
      </c>
      <c r="M225" s="9"/>
      <c r="N225" s="10">
        <f t="shared" si="57"/>
        <v>0</v>
      </c>
      <c r="O225" s="8">
        <f>IFERROR(N225/N445, "NA")</f>
        <v>0</v>
      </c>
      <c r="P225" s="9"/>
      <c r="Q225" s="7">
        <v>0</v>
      </c>
      <c r="R225" s="8">
        <f>IFERROR(Q225/Q445, "NA")</f>
        <v>0</v>
      </c>
      <c r="S225" s="9"/>
      <c r="T225" s="7">
        <v>0</v>
      </c>
      <c r="U225" s="8">
        <f>IFERROR(T225/T445, "NA")</f>
        <v>0</v>
      </c>
      <c r="V225" s="9"/>
      <c r="W225" s="10">
        <f t="shared" si="58"/>
        <v>0</v>
      </c>
      <c r="X225" s="8">
        <f>IFERROR(W225/W445, "NA")</f>
        <v>0</v>
      </c>
      <c r="Y225" s="9"/>
      <c r="Z225" s="7">
        <v>0</v>
      </c>
      <c r="AA225" s="8">
        <f>IFERROR(Z225/Z445, "NA")</f>
        <v>0</v>
      </c>
      <c r="AB225" s="9"/>
      <c r="AC225" s="10">
        <f t="shared" si="59"/>
        <v>0</v>
      </c>
      <c r="AD225" s="8">
        <f>IFERROR(AC225/AC445,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IFERROR(B226/B445, "NA")</f>
        <v>0</v>
      </c>
      <c r="D226" s="9"/>
      <c r="E226" s="7">
        <v>0</v>
      </c>
      <c r="F226" s="8">
        <f>IFERROR(E226/E445, "NA")</f>
        <v>0</v>
      </c>
      <c r="G226" s="9"/>
      <c r="H226" s="10">
        <f t="shared" si="56"/>
        <v>0</v>
      </c>
      <c r="I226" s="8">
        <f>IFERROR(H226/H445, "NA")</f>
        <v>0</v>
      </c>
      <c r="J226" s="9"/>
      <c r="K226" s="7">
        <v>0</v>
      </c>
      <c r="L226" s="8">
        <f>IFERROR(K226/K445, "NA")</f>
        <v>0</v>
      </c>
      <c r="M226" s="9"/>
      <c r="N226" s="10">
        <f t="shared" si="57"/>
        <v>0</v>
      </c>
      <c r="O226" s="8">
        <f>IFERROR(N226/N445, "NA")</f>
        <v>0</v>
      </c>
      <c r="P226" s="9"/>
      <c r="Q226" s="7">
        <v>0</v>
      </c>
      <c r="R226" s="8">
        <f>IFERROR(Q226/Q445, "NA")</f>
        <v>0</v>
      </c>
      <c r="S226" s="9"/>
      <c r="T226" s="7">
        <v>0</v>
      </c>
      <c r="U226" s="8">
        <f>IFERROR(T226/T445, "NA")</f>
        <v>0</v>
      </c>
      <c r="V226" s="9"/>
      <c r="W226" s="10">
        <f t="shared" si="58"/>
        <v>0</v>
      </c>
      <c r="X226" s="8">
        <f>IFERROR(W226/W445, "NA")</f>
        <v>0</v>
      </c>
      <c r="Y226" s="9"/>
      <c r="Z226" s="7">
        <v>0</v>
      </c>
      <c r="AA226" s="8">
        <f>IFERROR(Z226/Z445, "NA")</f>
        <v>0</v>
      </c>
      <c r="AB226" s="9"/>
      <c r="AC226" s="10">
        <f t="shared" si="59"/>
        <v>0</v>
      </c>
      <c r="AD226" s="8">
        <f>IFERROR(AC226/AC445,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2838.49</v>
      </c>
      <c r="C227" s="15">
        <f>IFERROR(B227/B445, "NA")</f>
        <v>2.3332453242864853E-2</v>
      </c>
      <c r="D227" s="2"/>
      <c r="E227" s="14">
        <f>IFERROR(E211+E213+E214+E215+E216+E217+E219+E220+E221+E222+E223+E224+E225+E226, "NA")</f>
        <v>4236.79</v>
      </c>
      <c r="F227" s="15">
        <f>IFERROR(E227/E445, "NA")</f>
        <v>2.970101019986188E-2</v>
      </c>
      <c r="G227" s="2"/>
      <c r="H227" s="14">
        <f t="shared" si="56"/>
        <v>1398.3000000000002</v>
      </c>
      <c r="I227" s="15">
        <f>IFERROR(H227/H445, "NA")</f>
        <v>-6.6605220100172183E-2</v>
      </c>
      <c r="J227" s="2"/>
      <c r="K227" s="14">
        <f>IFERROR(K211+K213+K214+K215+K216+K217+K219+K220+K221+K222+K223+K224+K225+K226, "NA")</f>
        <v>2170.33</v>
      </c>
      <c r="L227" s="15">
        <f>IFERROR(K227/K445, "NA")</f>
        <v>1.6621932130639856E-2</v>
      </c>
      <c r="M227" s="2"/>
      <c r="N227" s="14">
        <f t="shared" si="57"/>
        <v>-668.15999999999985</v>
      </c>
      <c r="O227" s="15">
        <f>IFERROR(N227/N445, "NA")</f>
        <v>7.4938594228418309E-2</v>
      </c>
      <c r="P227" s="2"/>
      <c r="Q227" s="14">
        <f>IFERROR(Q211+Q213+Q214+Q215+Q216+Q217+Q219+Q220+Q221+Q222+Q223+Q224+Q225+Q226, "NA")</f>
        <v>16193.380000000001</v>
      </c>
      <c r="R227" s="15">
        <f>IFERROR(Q227/Q445, "NA")</f>
        <v>3.106151964319279E-2</v>
      </c>
      <c r="S227" s="2"/>
      <c r="T227" s="14">
        <f>IFERROR(T211+T213+T214+T215+T216+T217+T219+T220+T221+T222+T223+T224+T225+T226, "NA")</f>
        <v>17705.21</v>
      </c>
      <c r="U227" s="15">
        <f>IFERROR(T227/T445, "NA")</f>
        <v>2.9842772676062303E-2</v>
      </c>
      <c r="V227" s="2"/>
      <c r="W227" s="14">
        <f t="shared" si="58"/>
        <v>1511.8299999999981</v>
      </c>
      <c r="X227" s="15">
        <f>IFERROR(W227/W445, "NA")</f>
        <v>-2.1012084697118131E-2</v>
      </c>
      <c r="Y227" s="2"/>
      <c r="Z227" s="14">
        <f>IFERROR(Z211+Z213+Z214+Z215+Z216+Z217+Z219+Z220+Z221+Z222+Z223+Z224+Z225+Z226, "NA")</f>
        <v>22272.26</v>
      </c>
      <c r="AA227" s="15">
        <f>IFERROR(Z227/Z445, "NA")</f>
        <v>4.0383336229868283E-2</v>
      </c>
      <c r="AB227" s="2"/>
      <c r="AC227" s="14">
        <f t="shared" si="59"/>
        <v>6078.8799999999974</v>
      </c>
      <c r="AD227" s="15">
        <f>IFERROR(AC227/AC445, "NA")</f>
        <v>-0.20136382879065995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IFERROR(B229/B445, "NA")</f>
        <v>0</v>
      </c>
      <c r="D229" s="9"/>
      <c r="E229" s="7">
        <v>1854.42</v>
      </c>
      <c r="F229" s="8">
        <f>IFERROR(E229/E445, "NA")</f>
        <v>1.2999971047615735E-2</v>
      </c>
      <c r="G229" s="9"/>
      <c r="H229" s="10">
        <f t="shared" ref="H229:H236" si="60">IFERROR(-(B229-E229), "NA")</f>
        <v>1854.42</v>
      </c>
      <c r="I229" s="8">
        <f>IFERROR(H229/H445, "NA")</f>
        <v>-8.833158282068318E-2</v>
      </c>
      <c r="J229" s="9"/>
      <c r="K229" s="7">
        <v>0</v>
      </c>
      <c r="L229" s="8">
        <f>IFERROR(K229/K445, "NA")</f>
        <v>0</v>
      </c>
      <c r="M229" s="9"/>
      <c r="N229" s="10">
        <f t="shared" ref="N229:N236" si="61">IFERROR(-(B229-K229), "NA")</f>
        <v>0</v>
      </c>
      <c r="O229" s="8">
        <f>IFERROR(N229/N445, "NA")</f>
        <v>0</v>
      </c>
      <c r="P229" s="9"/>
      <c r="Q229" s="7">
        <v>0</v>
      </c>
      <c r="R229" s="8">
        <f>IFERROR(Q229/Q445, "NA")</f>
        <v>0</v>
      </c>
      <c r="S229" s="9"/>
      <c r="T229" s="7">
        <v>7712.68</v>
      </c>
      <c r="U229" s="8">
        <f>IFERROR(T229/T445, "NA")</f>
        <v>1.3000001466416508E-2</v>
      </c>
      <c r="V229" s="9"/>
      <c r="W229" s="10">
        <f t="shared" ref="W229:W236" si="62">IFERROR(-(Q229-T229), "NA")</f>
        <v>7712.68</v>
      </c>
      <c r="X229" s="8">
        <f>IFERROR(W229/W445, "NA")</f>
        <v>-0.10719425160353299</v>
      </c>
      <c r="Y229" s="9"/>
      <c r="Z229" s="7">
        <v>0</v>
      </c>
      <c r="AA229" s="8">
        <f>IFERROR(Z229/Z445, "NA")</f>
        <v>0</v>
      </c>
      <c r="AB229" s="9"/>
      <c r="AC229" s="10">
        <f t="shared" ref="AC229:AC236" si="63">IFERROR(-(Q229-Z229), "NA")</f>
        <v>0</v>
      </c>
      <c r="AD229" s="8">
        <f>IFERROR(AC229/AC445,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IFERROR(B230/B445, "NA")</f>
        <v>0</v>
      </c>
      <c r="D230" s="9"/>
      <c r="E230" s="7">
        <v>0</v>
      </c>
      <c r="F230" s="8">
        <f>IFERROR(E230/E445, "NA")</f>
        <v>0</v>
      </c>
      <c r="G230" s="9"/>
      <c r="H230" s="10">
        <f t="shared" si="60"/>
        <v>0</v>
      </c>
      <c r="I230" s="8">
        <f>IFERROR(H230/H445, "NA")</f>
        <v>0</v>
      </c>
      <c r="J230" s="9"/>
      <c r="K230" s="7">
        <v>0</v>
      </c>
      <c r="L230" s="8">
        <f>IFERROR(K230/K445, "NA")</f>
        <v>0</v>
      </c>
      <c r="M230" s="9"/>
      <c r="N230" s="10">
        <f t="shared" si="61"/>
        <v>0</v>
      </c>
      <c r="O230" s="8">
        <f>IFERROR(N230/N445, "NA")</f>
        <v>0</v>
      </c>
      <c r="P230" s="9"/>
      <c r="Q230" s="7">
        <v>0</v>
      </c>
      <c r="R230" s="8">
        <f>IFERROR(Q230/Q445, "NA")</f>
        <v>0</v>
      </c>
      <c r="S230" s="9"/>
      <c r="T230" s="7">
        <v>0</v>
      </c>
      <c r="U230" s="8">
        <f>IFERROR(T230/T445, "NA")</f>
        <v>0</v>
      </c>
      <c r="V230" s="9"/>
      <c r="W230" s="10">
        <f t="shared" si="62"/>
        <v>0</v>
      </c>
      <c r="X230" s="8">
        <f>IFERROR(W230/W445, "NA")</f>
        <v>0</v>
      </c>
      <c r="Y230" s="9"/>
      <c r="Z230" s="7">
        <v>0</v>
      </c>
      <c r="AA230" s="8">
        <f>IFERROR(Z230/Z445, "NA")</f>
        <v>0</v>
      </c>
      <c r="AB230" s="9"/>
      <c r="AC230" s="10">
        <f t="shared" si="63"/>
        <v>0</v>
      </c>
      <c r="AD230" s="8">
        <f>IFERROR(AC230/AC445,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IFERROR(B231/B445, "NA")</f>
        <v>0</v>
      </c>
      <c r="D231" s="9"/>
      <c r="E231" s="7">
        <v>0</v>
      </c>
      <c r="F231" s="8">
        <f>IFERROR(E231/E445, "NA")</f>
        <v>0</v>
      </c>
      <c r="G231" s="9"/>
      <c r="H231" s="10">
        <f t="shared" si="60"/>
        <v>0</v>
      </c>
      <c r="I231" s="8">
        <f>IFERROR(H231/H445, "NA")</f>
        <v>0</v>
      </c>
      <c r="J231" s="9"/>
      <c r="K231" s="7">
        <v>126</v>
      </c>
      <c r="L231" s="8">
        <f>IFERROR(K231/K445, "NA")</f>
        <v>9.6499769549359868E-4</v>
      </c>
      <c r="M231" s="9"/>
      <c r="N231" s="10">
        <f t="shared" si="61"/>
        <v>126</v>
      </c>
      <c r="O231" s="8">
        <f>IFERROR(N231/N445, "NA")</f>
        <v>-1.4131739213333197E-2</v>
      </c>
      <c r="P231" s="9"/>
      <c r="Q231" s="7">
        <v>0</v>
      </c>
      <c r="R231" s="8">
        <f>IFERROR(Q231/Q445, "NA")</f>
        <v>0</v>
      </c>
      <c r="S231" s="9"/>
      <c r="T231" s="7">
        <v>0</v>
      </c>
      <c r="U231" s="8">
        <f>IFERROR(T231/T445, "NA")</f>
        <v>0</v>
      </c>
      <c r="V231" s="9"/>
      <c r="W231" s="10">
        <f t="shared" si="62"/>
        <v>0</v>
      </c>
      <c r="X231" s="8">
        <f>IFERROR(W231/W445, "NA")</f>
        <v>0</v>
      </c>
      <c r="Y231" s="9"/>
      <c r="Z231" s="7">
        <v>780.26</v>
      </c>
      <c r="AA231" s="8">
        <f>IFERROR(Z231/Z445, "NA")</f>
        <v>1.4147420121135902E-3</v>
      </c>
      <c r="AB231" s="9"/>
      <c r="AC231" s="10">
        <f t="shared" si="63"/>
        <v>780.26</v>
      </c>
      <c r="AD231" s="8">
        <f>IFERROR(AC231/AC445, "NA")</f>
        <v>-2.5846231715743757E-2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IFERROR(B232/B445, "NA")</f>
        <v>0</v>
      </c>
      <c r="D232" s="9"/>
      <c r="E232" s="7">
        <v>0</v>
      </c>
      <c r="F232" s="8">
        <f>IFERROR(E232/E445, "NA")</f>
        <v>0</v>
      </c>
      <c r="G232" s="9"/>
      <c r="H232" s="10">
        <f t="shared" si="60"/>
        <v>0</v>
      </c>
      <c r="I232" s="8">
        <f>IFERROR(H232/H445, "NA")</f>
        <v>0</v>
      </c>
      <c r="J232" s="9"/>
      <c r="K232" s="7">
        <v>0</v>
      </c>
      <c r="L232" s="8">
        <f>IFERROR(K232/K445, "NA")</f>
        <v>0</v>
      </c>
      <c r="M232" s="9"/>
      <c r="N232" s="10">
        <f t="shared" si="61"/>
        <v>0</v>
      </c>
      <c r="O232" s="8">
        <f>IFERROR(N232/N445, "NA")</f>
        <v>0</v>
      </c>
      <c r="P232" s="9"/>
      <c r="Q232" s="7">
        <v>0</v>
      </c>
      <c r="R232" s="8">
        <f>IFERROR(Q232/Q445, "NA")</f>
        <v>0</v>
      </c>
      <c r="S232" s="9"/>
      <c r="T232" s="7">
        <v>0</v>
      </c>
      <c r="U232" s="8">
        <f>IFERROR(T232/T445, "NA")</f>
        <v>0</v>
      </c>
      <c r="V232" s="9"/>
      <c r="W232" s="10">
        <f t="shared" si="62"/>
        <v>0</v>
      </c>
      <c r="X232" s="8">
        <f>IFERROR(W232/W445, "NA")</f>
        <v>0</v>
      </c>
      <c r="Y232" s="9"/>
      <c r="Z232" s="7">
        <v>0</v>
      </c>
      <c r="AA232" s="8">
        <f>IFERROR(Z232/Z445, "NA")</f>
        <v>0</v>
      </c>
      <c r="AB232" s="9"/>
      <c r="AC232" s="10">
        <f t="shared" si="63"/>
        <v>0</v>
      </c>
      <c r="AD232" s="8">
        <f>IFERROR(AC232/AC445,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IFERROR(B233/B445, "NA")</f>
        <v>0</v>
      </c>
      <c r="D233" s="9"/>
      <c r="E233" s="7">
        <v>0</v>
      </c>
      <c r="F233" s="8">
        <f>IFERROR(E233/E445, "NA")</f>
        <v>0</v>
      </c>
      <c r="G233" s="9"/>
      <c r="H233" s="10">
        <f t="shared" si="60"/>
        <v>0</v>
      </c>
      <c r="I233" s="8">
        <f>IFERROR(H233/H445, "NA")</f>
        <v>0</v>
      </c>
      <c r="J233" s="9"/>
      <c r="K233" s="7">
        <v>0</v>
      </c>
      <c r="L233" s="8">
        <f>IFERROR(K233/K445, "NA")</f>
        <v>0</v>
      </c>
      <c r="M233" s="9"/>
      <c r="N233" s="10">
        <f t="shared" si="61"/>
        <v>0</v>
      </c>
      <c r="O233" s="8">
        <f>IFERROR(N233/N445, "NA")</f>
        <v>0</v>
      </c>
      <c r="P233" s="9"/>
      <c r="Q233" s="7">
        <v>0</v>
      </c>
      <c r="R233" s="8">
        <f>IFERROR(Q233/Q445, "NA")</f>
        <v>0</v>
      </c>
      <c r="S233" s="9"/>
      <c r="T233" s="7">
        <v>0</v>
      </c>
      <c r="U233" s="8">
        <f>IFERROR(T233/T445, "NA")</f>
        <v>0</v>
      </c>
      <c r="V233" s="9"/>
      <c r="W233" s="10">
        <f t="shared" si="62"/>
        <v>0</v>
      </c>
      <c r="X233" s="8">
        <f>IFERROR(W233/W445, "NA")</f>
        <v>0</v>
      </c>
      <c r="Y233" s="9"/>
      <c r="Z233" s="7">
        <v>0</v>
      </c>
      <c r="AA233" s="8">
        <f>IFERROR(Z233/Z445, "NA")</f>
        <v>0</v>
      </c>
      <c r="AB233" s="9"/>
      <c r="AC233" s="10">
        <f t="shared" si="63"/>
        <v>0</v>
      </c>
      <c r="AD233" s="8">
        <f>IFERROR(AC233/AC445, "NA")</f>
        <v>0</v>
      </c>
    </row>
    <row r="234" spans="1:30" ht="16.5" customHeight="1" x14ac:dyDescent="0.45">
      <c r="A234" s="6" t="s">
        <v>213</v>
      </c>
      <c r="B234" s="7">
        <v>1625.95</v>
      </c>
      <c r="C234" s="8">
        <f>IFERROR(B234/B445, "NA")</f>
        <v>1.3365346487123828E-2</v>
      </c>
      <c r="D234" s="9"/>
      <c r="E234" s="7">
        <v>0</v>
      </c>
      <c r="F234" s="8">
        <f>IFERROR(E234/E445, "NA")</f>
        <v>0</v>
      </c>
      <c r="G234" s="9"/>
      <c r="H234" s="10">
        <f t="shared" si="60"/>
        <v>-1625.95</v>
      </c>
      <c r="I234" s="8">
        <f>IFERROR(H234/H445, "NA")</f>
        <v>7.7448871931541832E-2</v>
      </c>
      <c r="J234" s="9"/>
      <c r="K234" s="7">
        <v>1294.29</v>
      </c>
      <c r="L234" s="8">
        <f>IFERROR(K234/K445, "NA")</f>
        <v>9.9125941849238872E-3</v>
      </c>
      <c r="M234" s="9"/>
      <c r="N234" s="10">
        <f t="shared" si="61"/>
        <v>-331.66000000000008</v>
      </c>
      <c r="O234" s="8">
        <f>IFERROR(N234/N445, "NA")</f>
        <v>3.719787799598484E-2</v>
      </c>
      <c r="P234" s="9"/>
      <c r="Q234" s="7">
        <v>7574.82</v>
      </c>
      <c r="R234" s="8">
        <f>IFERROR(Q234/Q445, "NA")</f>
        <v>1.4529728828919569E-2</v>
      </c>
      <c r="S234" s="9"/>
      <c r="T234" s="7">
        <v>0</v>
      </c>
      <c r="U234" s="8">
        <f>IFERROR(T234/T445, "NA")</f>
        <v>0</v>
      </c>
      <c r="V234" s="9"/>
      <c r="W234" s="10">
        <f t="shared" si="62"/>
        <v>-7574.82</v>
      </c>
      <c r="X234" s="8">
        <f>IFERROR(W234/W445, "NA")</f>
        <v>0.10527821210415493</v>
      </c>
      <c r="Y234" s="9"/>
      <c r="Z234" s="7">
        <v>7406.5</v>
      </c>
      <c r="AA234" s="8">
        <f>IFERROR(Z234/Z445, "NA")</f>
        <v>1.3429224505574175E-2</v>
      </c>
      <c r="AB234" s="9"/>
      <c r="AC234" s="10">
        <f t="shared" si="63"/>
        <v>-168.31999999999971</v>
      </c>
      <c r="AD234" s="8">
        <f>IFERROR(AC234/AC445, "NA")</f>
        <v>5.5756257175736054E-3</v>
      </c>
    </row>
    <row r="235" spans="1:30" ht="16.5" customHeight="1" x14ac:dyDescent="0.45">
      <c r="A235" s="6" t="s">
        <v>214</v>
      </c>
      <c r="B235" s="7">
        <v>30.84</v>
      </c>
      <c r="C235" s="8">
        <f>IFERROR(B235/B445, "NA")</f>
        <v>2.5350551103225732E-4</v>
      </c>
      <c r="D235" s="9"/>
      <c r="E235" s="7">
        <v>0</v>
      </c>
      <c r="F235" s="8">
        <f>IFERROR(E235/E445, "NA")</f>
        <v>0</v>
      </c>
      <c r="G235" s="9"/>
      <c r="H235" s="10">
        <f t="shared" si="60"/>
        <v>-30.84</v>
      </c>
      <c r="I235" s="8">
        <f>IFERROR(H235/H445, "NA")</f>
        <v>1.4690016361934561E-3</v>
      </c>
      <c r="J235" s="9"/>
      <c r="K235" s="7">
        <v>0</v>
      </c>
      <c r="L235" s="8">
        <f>IFERROR(K235/K445, "NA")</f>
        <v>0</v>
      </c>
      <c r="M235" s="9"/>
      <c r="N235" s="10">
        <f t="shared" si="61"/>
        <v>-30.84</v>
      </c>
      <c r="O235" s="8">
        <f>IFERROR(N235/N445, "NA")</f>
        <v>3.458911407453935E-3</v>
      </c>
      <c r="P235" s="9"/>
      <c r="Q235" s="7">
        <v>103.85</v>
      </c>
      <c r="R235" s="8">
        <f>IFERROR(Q235/Q445, "NA")</f>
        <v>1.9920108185848603E-4</v>
      </c>
      <c r="S235" s="9"/>
      <c r="T235" s="7">
        <v>0</v>
      </c>
      <c r="U235" s="8">
        <f>IFERROR(T235/T445, "NA")</f>
        <v>0</v>
      </c>
      <c r="V235" s="9"/>
      <c r="W235" s="10">
        <f t="shared" si="62"/>
        <v>-103.85</v>
      </c>
      <c r="X235" s="8">
        <f>IFERROR(W235/W445, "NA")</f>
        <v>1.4433534165850133E-3</v>
      </c>
      <c r="Y235" s="9"/>
      <c r="Z235" s="7">
        <v>0</v>
      </c>
      <c r="AA235" s="8">
        <f>IFERROR(Z235/Z445, "NA")</f>
        <v>0</v>
      </c>
      <c r="AB235" s="9"/>
      <c r="AC235" s="10">
        <f t="shared" si="63"/>
        <v>-103.85</v>
      </c>
      <c r="AD235" s="8">
        <f>IFERROR(AC235/AC445, "NA")</f>
        <v>3.4400471172173239E-3</v>
      </c>
    </row>
    <row r="236" spans="1:30" ht="16.5" customHeight="1" x14ac:dyDescent="0.45">
      <c r="A236" s="19" t="s">
        <v>215</v>
      </c>
      <c r="B236" s="14">
        <f>IFERROR(B229+B230+B231+B232+B233+B234+B235, "NA")</f>
        <v>1656.79</v>
      </c>
      <c r="C236" s="15">
        <f>IFERROR(B236/B445, "NA")</f>
        <v>1.3618851998156083E-2</v>
      </c>
      <c r="D236" s="2"/>
      <c r="E236" s="14">
        <f>IFERROR(E229+E230+E231+E232+E233+E234+E235, "NA")</f>
        <v>1854.42</v>
      </c>
      <c r="F236" s="15">
        <f>IFERROR(E236/E445, "NA")</f>
        <v>1.2999971047615735E-2</v>
      </c>
      <c r="G236" s="2"/>
      <c r="H236" s="14">
        <f t="shared" si="60"/>
        <v>197.63000000000011</v>
      </c>
      <c r="I236" s="15">
        <f>IFERROR(H236/H445, "NA")</f>
        <v>-9.4137092529478893E-3</v>
      </c>
      <c r="J236" s="2"/>
      <c r="K236" s="14">
        <f>IFERROR(K229+K230+K231+K232+K233+K234+K235, "NA")</f>
        <v>1420.29</v>
      </c>
      <c r="L236" s="15">
        <f>IFERROR(K236/K445, "NA")</f>
        <v>1.0877591880417486E-2</v>
      </c>
      <c r="M236" s="2"/>
      <c r="N236" s="14">
        <f t="shared" si="61"/>
        <v>-236.5</v>
      </c>
      <c r="O236" s="15">
        <f>IFERROR(N236/N445, "NA")</f>
        <v>2.6525050190105565E-2</v>
      </c>
      <c r="P236" s="2"/>
      <c r="Q236" s="14">
        <f>IFERROR(Q229+Q230+Q231+Q232+Q233+Q234+Q235, "NA")</f>
        <v>7678.67</v>
      </c>
      <c r="R236" s="15">
        <f>IFERROR(Q236/Q445, "NA")</f>
        <v>1.4728929910778055E-2</v>
      </c>
      <c r="S236" s="2"/>
      <c r="T236" s="14">
        <f>IFERROR(T229+T230+T231+T232+T233+T234+T235, "NA")</f>
        <v>7712.68</v>
      </c>
      <c r="U236" s="15">
        <f>IFERROR(T236/T445, "NA")</f>
        <v>1.3000001466416508E-2</v>
      </c>
      <c r="V236" s="2"/>
      <c r="W236" s="14">
        <f t="shared" si="62"/>
        <v>34.010000000000218</v>
      </c>
      <c r="X236" s="15">
        <f>IFERROR(W236/W445, "NA")</f>
        <v>-4.7268608279303436E-4</v>
      </c>
      <c r="Y236" s="2"/>
      <c r="Z236" s="14">
        <f>IFERROR(Z229+Z230+Z231+Z232+Z233+Z234+Z235, "NA")</f>
        <v>8186.76</v>
      </c>
      <c r="AA236" s="15">
        <f>IFERROR(Z236/Z445, "NA")</f>
        <v>1.4843966517687764E-2</v>
      </c>
      <c r="AB236" s="2"/>
      <c r="AC236" s="14">
        <f t="shared" si="63"/>
        <v>508.09000000000015</v>
      </c>
      <c r="AD236" s="15">
        <f>IFERROR(AC236/AC445, "NA")</f>
        <v>-1.6830558880952824E-2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IFERROR(B238/B445, "NA")</f>
        <v>0</v>
      </c>
      <c r="D238" s="9"/>
      <c r="E238" s="7">
        <v>0</v>
      </c>
      <c r="F238" s="8">
        <f>IFERROR(E238/E445, "NA")</f>
        <v>0</v>
      </c>
      <c r="G238" s="9"/>
      <c r="H238" s="10">
        <f>IFERROR(-(B238-E238), "NA")</f>
        <v>0</v>
      </c>
      <c r="I238" s="8">
        <f>IFERROR(H238/H445, "NA")</f>
        <v>0</v>
      </c>
      <c r="J238" s="9"/>
      <c r="K238" s="7">
        <v>0</v>
      </c>
      <c r="L238" s="8">
        <f>IFERROR(K238/K445, "NA")</f>
        <v>0</v>
      </c>
      <c r="M238" s="9"/>
      <c r="N238" s="10">
        <f>IFERROR(-(B238-K238), "NA")</f>
        <v>0</v>
      </c>
      <c r="O238" s="8">
        <f>IFERROR(N238/N445, "NA")</f>
        <v>0</v>
      </c>
      <c r="P238" s="9"/>
      <c r="Q238" s="7">
        <v>0</v>
      </c>
      <c r="R238" s="8">
        <f>IFERROR(Q238/Q445, "NA")</f>
        <v>0</v>
      </c>
      <c r="S238" s="9"/>
      <c r="T238" s="7">
        <v>0</v>
      </c>
      <c r="U238" s="8">
        <f>IFERROR(T238/T445, "NA")</f>
        <v>0</v>
      </c>
      <c r="V238" s="9"/>
      <c r="W238" s="10">
        <f>IFERROR(-(Q238-T238), "NA")</f>
        <v>0</v>
      </c>
      <c r="X238" s="8">
        <f>IFERROR(W238/W445, "NA")</f>
        <v>0</v>
      </c>
      <c r="Y238" s="9"/>
      <c r="Z238" s="7">
        <v>0</v>
      </c>
      <c r="AA238" s="8">
        <f>IFERROR(Z238/Z445, "NA")</f>
        <v>0</v>
      </c>
      <c r="AB238" s="9"/>
      <c r="AC238" s="10">
        <f>IFERROR(-(Q238-Z238), "NA")</f>
        <v>0</v>
      </c>
      <c r="AD238" s="8">
        <f>IFERROR(AC238/AC445,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IFERROR(B240/B445, "NA")</f>
        <v>0</v>
      </c>
      <c r="D240" s="9"/>
      <c r="E240" s="7">
        <v>7560.34</v>
      </c>
      <c r="F240" s="8">
        <f>IFERROR(E240/E445, "NA")</f>
        <v>5.299996824351072E-2</v>
      </c>
      <c r="G240" s="9"/>
      <c r="H240" s="10">
        <f t="shared" ref="H240:H264" si="64">IFERROR(-(B240-E240), "NA")</f>
        <v>7560.34</v>
      </c>
      <c r="I240" s="8">
        <f>IFERROR(H240/H445, "NA")</f>
        <v>-0.36012165467505952</v>
      </c>
      <c r="J240" s="9"/>
      <c r="K240" s="7">
        <v>0</v>
      </c>
      <c r="L240" s="8">
        <f>IFERROR(K240/K445, "NA")</f>
        <v>0</v>
      </c>
      <c r="M240" s="9"/>
      <c r="N240" s="10">
        <f t="shared" ref="N240:N264" si="65">IFERROR(-(B240-K240), "NA")</f>
        <v>0</v>
      </c>
      <c r="O240" s="8">
        <f>IFERROR(N240/N445, "NA")</f>
        <v>0</v>
      </c>
      <c r="P240" s="9"/>
      <c r="Q240" s="7">
        <v>0</v>
      </c>
      <c r="R240" s="8">
        <f>IFERROR(Q240/Q445, "NA")</f>
        <v>0</v>
      </c>
      <c r="S240" s="9"/>
      <c r="T240" s="7">
        <v>31443.99</v>
      </c>
      <c r="U240" s="8">
        <f>IFERROR(T240/T445, "NA")</f>
        <v>5.2999983936839856E-2</v>
      </c>
      <c r="V240" s="9"/>
      <c r="W240" s="10">
        <f t="shared" ref="W240:W264" si="66">IFERROR(-(Q240-T240), "NA")</f>
        <v>31443.99</v>
      </c>
      <c r="X240" s="8">
        <f>IFERROR(W240/W445, "NA")</f>
        <v>-0.43702253632705823</v>
      </c>
      <c r="Y240" s="9"/>
      <c r="Z240" s="7">
        <v>0</v>
      </c>
      <c r="AA240" s="8">
        <f>IFERROR(Z240/Z445, "NA")</f>
        <v>0</v>
      </c>
      <c r="AB240" s="9"/>
      <c r="AC240" s="10">
        <f t="shared" ref="AC240:AC264" si="67">IFERROR(-(Q240-Z240), "NA")</f>
        <v>0</v>
      </c>
      <c r="AD240" s="8">
        <f>IFERROR(AC240/AC445,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IFERROR(B241/B445, "NA")</f>
        <v>0</v>
      </c>
      <c r="D241" s="9"/>
      <c r="E241" s="7">
        <v>0</v>
      </c>
      <c r="F241" s="8">
        <f>IFERROR(E241/E445, "NA")</f>
        <v>0</v>
      </c>
      <c r="G241" s="9"/>
      <c r="H241" s="10">
        <f t="shared" si="64"/>
        <v>0</v>
      </c>
      <c r="I241" s="8">
        <f>IFERROR(H241/H445, "NA")</f>
        <v>0</v>
      </c>
      <c r="J241" s="9"/>
      <c r="K241" s="7">
        <v>0</v>
      </c>
      <c r="L241" s="8">
        <f>IFERROR(K241/K445, "NA")</f>
        <v>0</v>
      </c>
      <c r="M241" s="9"/>
      <c r="N241" s="10">
        <f t="shared" si="65"/>
        <v>0</v>
      </c>
      <c r="O241" s="8">
        <f>IFERROR(N241/N445, "NA")</f>
        <v>0</v>
      </c>
      <c r="P241" s="9"/>
      <c r="Q241" s="7">
        <v>0</v>
      </c>
      <c r="R241" s="8">
        <f>IFERROR(Q241/Q445, "NA")</f>
        <v>0</v>
      </c>
      <c r="S241" s="9"/>
      <c r="T241" s="7">
        <v>0</v>
      </c>
      <c r="U241" s="8">
        <f>IFERROR(T241/T445, "NA")</f>
        <v>0</v>
      </c>
      <c r="V241" s="9"/>
      <c r="W241" s="10">
        <f t="shared" si="66"/>
        <v>0</v>
      </c>
      <c r="X241" s="8">
        <f>IFERROR(W241/W445, "NA")</f>
        <v>0</v>
      </c>
      <c r="Y241" s="9"/>
      <c r="Z241" s="7">
        <v>0</v>
      </c>
      <c r="AA241" s="8">
        <f>IFERROR(Z241/Z445, "NA")</f>
        <v>0</v>
      </c>
      <c r="AB241" s="9"/>
      <c r="AC241" s="10">
        <f t="shared" si="67"/>
        <v>0</v>
      </c>
      <c r="AD241" s="8">
        <f>IFERROR(AC241/AC445, "NA")</f>
        <v>0</v>
      </c>
    </row>
    <row r="242" spans="1:30" ht="16.5" customHeight="1" x14ac:dyDescent="0.45">
      <c r="A242" s="12" t="s">
        <v>219</v>
      </c>
      <c r="B242" s="7">
        <v>1422.71</v>
      </c>
      <c r="C242" s="8">
        <f>IFERROR(B242/B445, "NA")</f>
        <v>1.1694709001319806E-2</v>
      </c>
      <c r="D242" s="9"/>
      <c r="E242" s="7">
        <v>0</v>
      </c>
      <c r="F242" s="8">
        <f>IFERROR(E242/E445, "NA")</f>
        <v>0</v>
      </c>
      <c r="G242" s="9"/>
      <c r="H242" s="10">
        <f t="shared" si="64"/>
        <v>-1422.71</v>
      </c>
      <c r="I242" s="8">
        <f>IFERROR(H242/H445, "NA")</f>
        <v>6.7767941563838918E-2</v>
      </c>
      <c r="J242" s="9"/>
      <c r="K242" s="7">
        <v>1165.1199999999999</v>
      </c>
      <c r="L242" s="8">
        <f>IFERROR(K242/K445, "NA")</f>
        <v>8.9233183728055672E-3</v>
      </c>
      <c r="M242" s="9"/>
      <c r="N242" s="10">
        <f t="shared" si="65"/>
        <v>-257.59000000000015</v>
      </c>
      <c r="O242" s="8">
        <f>IFERROR(N242/N445, "NA")</f>
        <v>2.8890434158432544E-2</v>
      </c>
      <c r="P242" s="9"/>
      <c r="Q242" s="7">
        <v>7185.18</v>
      </c>
      <c r="R242" s="8">
        <f>IFERROR(Q242/Q445, "NA")</f>
        <v>1.3782336344226835E-2</v>
      </c>
      <c r="S242" s="9"/>
      <c r="T242" s="7">
        <v>0</v>
      </c>
      <c r="U242" s="8">
        <f>IFERROR(T242/T445, "NA")</f>
        <v>0</v>
      </c>
      <c r="V242" s="9"/>
      <c r="W242" s="10">
        <f t="shared" si="66"/>
        <v>-7185.18</v>
      </c>
      <c r="X242" s="8">
        <f>IFERROR(W242/W445, "NA")</f>
        <v>9.986282235703714E-2</v>
      </c>
      <c r="Y242" s="9"/>
      <c r="Z242" s="7">
        <v>5710.94</v>
      </c>
      <c r="AA242" s="8">
        <f>IFERROR(Z242/Z445, "NA")</f>
        <v>1.0354890352779825E-2</v>
      </c>
      <c r="AB242" s="9"/>
      <c r="AC242" s="10">
        <f t="shared" si="67"/>
        <v>-1474.2400000000007</v>
      </c>
      <c r="AD242" s="8">
        <f>IFERROR(AC242/AC445, "NA")</f>
        <v>4.8834425248786423E-2</v>
      </c>
    </row>
    <row r="243" spans="1:30" ht="16.5" customHeight="1" x14ac:dyDescent="0.45">
      <c r="A243" s="12" t="s">
        <v>220</v>
      </c>
      <c r="B243" s="7">
        <v>2656.53</v>
      </c>
      <c r="C243" s="8">
        <f>IFERROR(B243/B445, "NA")</f>
        <v>2.1836737847682315E-2</v>
      </c>
      <c r="D243" s="9"/>
      <c r="E243" s="7">
        <v>0</v>
      </c>
      <c r="F243" s="8">
        <f>IFERROR(E243/E445, "NA")</f>
        <v>0</v>
      </c>
      <c r="G243" s="9"/>
      <c r="H243" s="10">
        <f t="shared" si="64"/>
        <v>-2656.53</v>
      </c>
      <c r="I243" s="8">
        <f>IFERROR(H243/H445, "NA")</f>
        <v>0.12653848627097933</v>
      </c>
      <c r="J243" s="9"/>
      <c r="K243" s="7">
        <v>2047.22</v>
      </c>
      <c r="L243" s="8">
        <f>IFERROR(K243/K445, "NA")</f>
        <v>1.567906811244766E-2</v>
      </c>
      <c r="M243" s="9"/>
      <c r="N243" s="10">
        <f t="shared" si="65"/>
        <v>-609.31000000000017</v>
      </c>
      <c r="O243" s="8">
        <f>IFERROR(N243/N445, "NA")</f>
        <v>6.8338174762508364E-2</v>
      </c>
      <c r="P243" s="9"/>
      <c r="Q243" s="7">
        <v>13594.26</v>
      </c>
      <c r="R243" s="8">
        <f>IFERROR(Q243/Q445, "NA")</f>
        <v>2.6075987472946968E-2</v>
      </c>
      <c r="S243" s="9"/>
      <c r="T243" s="7">
        <v>0</v>
      </c>
      <c r="U243" s="8">
        <f>IFERROR(T243/T445, "NA")</f>
        <v>0</v>
      </c>
      <c r="V243" s="9"/>
      <c r="W243" s="10">
        <f t="shared" si="66"/>
        <v>-13594.26</v>
      </c>
      <c r="X243" s="8">
        <f>IFERROR(W243/W445, "NA")</f>
        <v>0.18893906227197865</v>
      </c>
      <c r="Y243" s="9"/>
      <c r="Z243" s="7">
        <v>12508.31</v>
      </c>
      <c r="AA243" s="8">
        <f>IFERROR(Z243/Z445, "NA")</f>
        <v>2.2679660187040908E-2</v>
      </c>
      <c r="AB243" s="9"/>
      <c r="AC243" s="10">
        <f t="shared" si="67"/>
        <v>-1085.9500000000007</v>
      </c>
      <c r="AD243" s="8">
        <f>IFERROR(AC243/AC445, "NA")</f>
        <v>3.5972259672047716E-2</v>
      </c>
    </row>
    <row r="244" spans="1:30" ht="16.5" customHeight="1" x14ac:dyDescent="0.45">
      <c r="A244" s="12" t="s">
        <v>221</v>
      </c>
      <c r="B244" s="7">
        <v>265.06</v>
      </c>
      <c r="C244" s="8">
        <f>IFERROR(B244/B445, "NA")</f>
        <v>2.1787993110963079E-3</v>
      </c>
      <c r="D244" s="9"/>
      <c r="E244" s="7">
        <v>0</v>
      </c>
      <c r="F244" s="8">
        <f>IFERROR(E244/E445, "NA")</f>
        <v>0</v>
      </c>
      <c r="G244" s="9"/>
      <c r="H244" s="10">
        <f t="shared" si="64"/>
        <v>-265.06</v>
      </c>
      <c r="I244" s="8">
        <f>IFERROR(H244/H445, "NA")</f>
        <v>1.2625602259709387E-2</v>
      </c>
      <c r="J244" s="9"/>
      <c r="K244" s="7">
        <v>0</v>
      </c>
      <c r="L244" s="8">
        <f>IFERROR(K244/K445, "NA")</f>
        <v>0</v>
      </c>
      <c r="M244" s="9"/>
      <c r="N244" s="10">
        <f t="shared" si="65"/>
        <v>-265.06</v>
      </c>
      <c r="O244" s="8">
        <f>IFERROR(N244/N445, "NA")</f>
        <v>2.9728244411794422E-2</v>
      </c>
      <c r="P244" s="9"/>
      <c r="Q244" s="7">
        <v>2820.29</v>
      </c>
      <c r="R244" s="8">
        <f>IFERROR(Q244/Q445, "NA")</f>
        <v>5.409771970675682E-3</v>
      </c>
      <c r="S244" s="9"/>
      <c r="T244" s="7">
        <v>0</v>
      </c>
      <c r="U244" s="8">
        <f>IFERROR(T244/T445, "NA")</f>
        <v>0</v>
      </c>
      <c r="V244" s="9"/>
      <c r="W244" s="10">
        <f t="shared" si="66"/>
        <v>-2820.29</v>
      </c>
      <c r="X244" s="8">
        <f>IFERROR(W244/W445, "NA")</f>
        <v>3.9197642823885867E-2</v>
      </c>
      <c r="Y244" s="9"/>
      <c r="Z244" s="7">
        <v>336.64</v>
      </c>
      <c r="AA244" s="8">
        <f>IFERROR(Z244/Z445, "NA")</f>
        <v>6.1038468069351105E-4</v>
      </c>
      <c r="AB244" s="9"/>
      <c r="AC244" s="10">
        <f t="shared" si="67"/>
        <v>-2483.65</v>
      </c>
      <c r="AD244" s="8">
        <f>IFERROR(AC244/AC445, "NA")</f>
        <v>8.2271285726305321E-2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IFERROR(B245/B445, "NA")</f>
        <v>0</v>
      </c>
      <c r="D245" s="9"/>
      <c r="E245" s="7">
        <v>0</v>
      </c>
      <c r="F245" s="8">
        <f>IFERROR(E245/E445, "NA")</f>
        <v>0</v>
      </c>
      <c r="G245" s="9"/>
      <c r="H245" s="10">
        <f t="shared" si="64"/>
        <v>0</v>
      </c>
      <c r="I245" s="8">
        <f>IFERROR(H245/H445, "NA")</f>
        <v>0</v>
      </c>
      <c r="J245" s="9"/>
      <c r="K245" s="7">
        <v>0</v>
      </c>
      <c r="L245" s="8">
        <f>IFERROR(K245/K445, "NA")</f>
        <v>0</v>
      </c>
      <c r="M245" s="9"/>
      <c r="N245" s="10">
        <f t="shared" si="65"/>
        <v>0</v>
      </c>
      <c r="O245" s="8">
        <f>IFERROR(N245/N445, "NA")</f>
        <v>0</v>
      </c>
      <c r="P245" s="9"/>
      <c r="Q245" s="7">
        <v>0</v>
      </c>
      <c r="R245" s="8">
        <f>IFERROR(Q245/Q445, "NA")</f>
        <v>0</v>
      </c>
      <c r="S245" s="9"/>
      <c r="T245" s="7">
        <v>0</v>
      </c>
      <c r="U245" s="8">
        <f>IFERROR(T245/T445, "NA")</f>
        <v>0</v>
      </c>
      <c r="V245" s="9"/>
      <c r="W245" s="10">
        <f t="shared" si="66"/>
        <v>0</v>
      </c>
      <c r="X245" s="8">
        <f>IFERROR(W245/W445, "NA")</f>
        <v>0</v>
      </c>
      <c r="Y245" s="9"/>
      <c r="Z245" s="7">
        <v>0</v>
      </c>
      <c r="AA245" s="8">
        <f>IFERROR(Z245/Z445, "NA")</f>
        <v>0</v>
      </c>
      <c r="AB245" s="9"/>
      <c r="AC245" s="10">
        <f t="shared" si="67"/>
        <v>0</v>
      </c>
      <c r="AD245" s="8">
        <f>IFERROR(AC245/AC445, "NA")</f>
        <v>0</v>
      </c>
    </row>
    <row r="246" spans="1:30" ht="16.5" customHeight="1" x14ac:dyDescent="0.45">
      <c r="A246" s="12" t="s">
        <v>223</v>
      </c>
      <c r="B246" s="7">
        <v>118.8</v>
      </c>
      <c r="C246" s="8">
        <f>IFERROR(B246/B445, "NA")</f>
        <v>9.7653873899585506E-4</v>
      </c>
      <c r="D246" s="9"/>
      <c r="E246" s="7">
        <v>0</v>
      </c>
      <c r="F246" s="8">
        <f>IFERROR(E246/E445, "NA")</f>
        <v>0</v>
      </c>
      <c r="G246" s="9"/>
      <c r="H246" s="10">
        <f t="shared" si="64"/>
        <v>-118.8</v>
      </c>
      <c r="I246" s="8">
        <f>IFERROR(H246/H445, "NA")</f>
        <v>5.658800077165454E-3</v>
      </c>
      <c r="J246" s="9"/>
      <c r="K246" s="7">
        <v>263.73</v>
      </c>
      <c r="L246" s="8">
        <f>IFERROR(K246/K445, "NA")</f>
        <v>2.0198320812105301E-3</v>
      </c>
      <c r="M246" s="9"/>
      <c r="N246" s="10">
        <f t="shared" si="65"/>
        <v>144.93</v>
      </c>
      <c r="O246" s="8">
        <f>IFERROR(N246/N445, "NA")</f>
        <v>-1.6254864795145877E-2</v>
      </c>
      <c r="P246" s="9"/>
      <c r="Q246" s="7">
        <v>524.33000000000004</v>
      </c>
      <c r="R246" s="8">
        <f>IFERROR(Q246/Q445, "NA")</f>
        <v>1.0057496702056813E-3</v>
      </c>
      <c r="S246" s="9"/>
      <c r="T246" s="7">
        <v>0</v>
      </c>
      <c r="U246" s="8">
        <f>IFERROR(T246/T445, "NA")</f>
        <v>0</v>
      </c>
      <c r="V246" s="9"/>
      <c r="W246" s="10">
        <f t="shared" si="66"/>
        <v>-524.33000000000004</v>
      </c>
      <c r="X246" s="8">
        <f>IFERROR(W246/W445, "NA")</f>
        <v>7.287371178796534E-3</v>
      </c>
      <c r="Y246" s="9"/>
      <c r="Z246" s="7">
        <v>1534.68</v>
      </c>
      <c r="AA246" s="8">
        <f>IFERROR(Z246/Z445, "NA")</f>
        <v>2.7826317780617802E-3</v>
      </c>
      <c r="AB246" s="9"/>
      <c r="AC246" s="10">
        <f t="shared" si="67"/>
        <v>1010.35</v>
      </c>
      <c r="AD246" s="8">
        <f>IFERROR(AC246/AC445, "NA")</f>
        <v>-3.346799812114129E-2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IFERROR(B247/B445, "NA")</f>
        <v>0</v>
      </c>
      <c r="D247" s="9"/>
      <c r="E247" s="7">
        <v>0</v>
      </c>
      <c r="F247" s="8">
        <f>IFERROR(E247/E445, "NA")</f>
        <v>0</v>
      </c>
      <c r="G247" s="9"/>
      <c r="H247" s="10">
        <f t="shared" si="64"/>
        <v>0</v>
      </c>
      <c r="I247" s="8">
        <f>IFERROR(H247/H445, "NA")</f>
        <v>0</v>
      </c>
      <c r="J247" s="9"/>
      <c r="K247" s="7">
        <v>0</v>
      </c>
      <c r="L247" s="8">
        <f>IFERROR(K247/K445, "NA")</f>
        <v>0</v>
      </c>
      <c r="M247" s="9"/>
      <c r="N247" s="10">
        <f t="shared" si="65"/>
        <v>0</v>
      </c>
      <c r="O247" s="8">
        <f>IFERROR(N247/N445, "NA")</f>
        <v>0</v>
      </c>
      <c r="P247" s="9"/>
      <c r="Q247" s="7">
        <v>0</v>
      </c>
      <c r="R247" s="8">
        <f>IFERROR(Q247/Q445, "NA")</f>
        <v>0</v>
      </c>
      <c r="S247" s="9"/>
      <c r="T247" s="7">
        <v>0</v>
      </c>
      <c r="U247" s="8">
        <f>IFERROR(T247/T445, "NA")</f>
        <v>0</v>
      </c>
      <c r="V247" s="9"/>
      <c r="W247" s="10">
        <f t="shared" si="66"/>
        <v>0</v>
      </c>
      <c r="X247" s="8">
        <f>IFERROR(W247/W445, "NA")</f>
        <v>0</v>
      </c>
      <c r="Y247" s="9"/>
      <c r="Z247" s="7">
        <v>0</v>
      </c>
      <c r="AA247" s="8">
        <f>IFERROR(Z247/Z445, "NA")</f>
        <v>0</v>
      </c>
      <c r="AB247" s="9"/>
      <c r="AC247" s="10">
        <f t="shared" si="67"/>
        <v>0</v>
      </c>
      <c r="AD247" s="8">
        <f>IFERROR(AC247/AC445, "NA")</f>
        <v>0</v>
      </c>
    </row>
    <row r="248" spans="1:30" ht="16.5" customHeight="1" x14ac:dyDescent="0.45">
      <c r="A248" s="12" t="s">
        <v>225</v>
      </c>
      <c r="B248" s="7">
        <v>229.12</v>
      </c>
      <c r="C248" s="8">
        <f>IFERROR(B248/B445, "NA")</f>
        <v>1.8833716824808949E-3</v>
      </c>
      <c r="D248" s="9"/>
      <c r="E248" s="7">
        <v>0</v>
      </c>
      <c r="F248" s="8">
        <f>IFERROR(E248/E445, "NA")</f>
        <v>0</v>
      </c>
      <c r="G248" s="9"/>
      <c r="H248" s="10">
        <f t="shared" si="64"/>
        <v>-229.12</v>
      </c>
      <c r="I248" s="8">
        <f>IFERROR(H248/H445, "NA")</f>
        <v>1.091367233737499E-2</v>
      </c>
      <c r="J248" s="9"/>
      <c r="K248" s="7">
        <v>275.66000000000003</v>
      </c>
      <c r="L248" s="8">
        <f>IFERROR(K248/K445, "NA")</f>
        <v>2.1112005138076624E-3</v>
      </c>
      <c r="M248" s="9"/>
      <c r="N248" s="10">
        <f t="shared" si="65"/>
        <v>46.54000000000002</v>
      </c>
      <c r="O248" s="8">
        <f>IFERROR(N248/N445, "NA")</f>
        <v>-5.219770976099423E-3</v>
      </c>
      <c r="P248" s="9"/>
      <c r="Q248" s="7">
        <v>1192.07</v>
      </c>
      <c r="R248" s="8">
        <f>IFERROR(Q248/Q445, "NA")</f>
        <v>2.2865828950509913E-3</v>
      </c>
      <c r="S248" s="9"/>
      <c r="T248" s="7">
        <v>0</v>
      </c>
      <c r="U248" s="8">
        <f>IFERROR(T248/T445, "NA")</f>
        <v>0</v>
      </c>
      <c r="V248" s="9"/>
      <c r="W248" s="10">
        <f t="shared" si="66"/>
        <v>-1192.07</v>
      </c>
      <c r="X248" s="8">
        <f>IFERROR(W248/W445, "NA")</f>
        <v>1.6567918221555095E-2</v>
      </c>
      <c r="Y248" s="9"/>
      <c r="Z248" s="7">
        <v>1383.6</v>
      </c>
      <c r="AA248" s="8">
        <f>IFERROR(Z248/Z445, "NA")</f>
        <v>2.5086984440575747E-3</v>
      </c>
      <c r="AB248" s="9"/>
      <c r="AC248" s="10">
        <f t="shared" si="67"/>
        <v>191.52999999999997</v>
      </c>
      <c r="AD248" s="8">
        <f>IFERROR(AC248/AC445, "NA")</f>
        <v>-6.3444605138241114E-3</v>
      </c>
    </row>
    <row r="249" spans="1:30" ht="16.5" customHeight="1" x14ac:dyDescent="0.45">
      <c r="A249" s="12" t="s">
        <v>226</v>
      </c>
      <c r="B249" s="7">
        <v>1356.98</v>
      </c>
      <c r="C249" s="8">
        <f>IFERROR(B249/B445, "NA")</f>
        <v>1.1154406885880434E-2</v>
      </c>
      <c r="D249" s="9"/>
      <c r="E249" s="7">
        <v>0</v>
      </c>
      <c r="F249" s="8">
        <f>IFERROR(E249/E445, "NA")</f>
        <v>0</v>
      </c>
      <c r="G249" s="9"/>
      <c r="H249" s="10">
        <f t="shared" si="64"/>
        <v>-1356.98</v>
      </c>
      <c r="I249" s="8">
        <f>IFERROR(H249/H445, "NA")</f>
        <v>6.4637024652457728E-2</v>
      </c>
      <c r="J249" s="9"/>
      <c r="K249" s="7">
        <v>814.84</v>
      </c>
      <c r="L249" s="8">
        <f>IFERROR(K249/K445, "NA")</f>
        <v>6.2406247793333645E-3</v>
      </c>
      <c r="M249" s="9"/>
      <c r="N249" s="10">
        <f t="shared" si="65"/>
        <v>-542.14</v>
      </c>
      <c r="O249" s="8">
        <f>IFERROR(N249/N445, "NA")</f>
        <v>6.0804611881876663E-2</v>
      </c>
      <c r="P249" s="9"/>
      <c r="Q249" s="7">
        <v>6355.05</v>
      </c>
      <c r="R249" s="8">
        <f>IFERROR(Q249/Q445, "NA")</f>
        <v>1.2190012857629001E-2</v>
      </c>
      <c r="S249" s="9"/>
      <c r="T249" s="7">
        <v>0</v>
      </c>
      <c r="U249" s="8">
        <f>IFERROR(T249/T445, "NA")</f>
        <v>0</v>
      </c>
      <c r="V249" s="9"/>
      <c r="W249" s="10">
        <f t="shared" si="66"/>
        <v>-6355.05</v>
      </c>
      <c r="X249" s="8">
        <f>IFERROR(W249/W445, "NA")</f>
        <v>8.8325306981883386E-2</v>
      </c>
      <c r="Y249" s="9"/>
      <c r="Z249" s="7">
        <v>5390.38</v>
      </c>
      <c r="AA249" s="8">
        <f>IFERROR(Z249/Z445, "NA")</f>
        <v>9.7736614042202002E-3</v>
      </c>
      <c r="AB249" s="9"/>
      <c r="AC249" s="10">
        <f t="shared" si="67"/>
        <v>-964.67000000000007</v>
      </c>
      <c r="AD249" s="8">
        <f>IFERROR(AC249/AC445, "NA")</f>
        <v>3.1954841141704729E-2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IFERROR(B250/B445, "NA")</f>
        <v>0</v>
      </c>
      <c r="D250" s="9"/>
      <c r="E250" s="7">
        <v>0</v>
      </c>
      <c r="F250" s="8">
        <f>IFERROR(E250/E445, "NA")</f>
        <v>0</v>
      </c>
      <c r="G250" s="9"/>
      <c r="H250" s="10">
        <f t="shared" si="64"/>
        <v>0</v>
      </c>
      <c r="I250" s="8">
        <f>IFERROR(H250/H445, "NA")</f>
        <v>0</v>
      </c>
      <c r="J250" s="9"/>
      <c r="K250" s="7">
        <v>0</v>
      </c>
      <c r="L250" s="8">
        <f>IFERROR(K250/K445, "NA")</f>
        <v>0</v>
      </c>
      <c r="M250" s="9"/>
      <c r="N250" s="10">
        <f t="shared" si="65"/>
        <v>0</v>
      </c>
      <c r="O250" s="8">
        <f>IFERROR(N250/N445, "NA")</f>
        <v>0</v>
      </c>
      <c r="P250" s="9"/>
      <c r="Q250" s="7">
        <v>0</v>
      </c>
      <c r="R250" s="8">
        <f>IFERROR(Q250/Q445, "NA")</f>
        <v>0</v>
      </c>
      <c r="S250" s="9"/>
      <c r="T250" s="7">
        <v>0</v>
      </c>
      <c r="U250" s="8">
        <f>IFERROR(T250/T445, "NA")</f>
        <v>0</v>
      </c>
      <c r="V250" s="9"/>
      <c r="W250" s="10">
        <f t="shared" si="66"/>
        <v>0</v>
      </c>
      <c r="X250" s="8">
        <f>IFERROR(W250/W445, "NA")</f>
        <v>0</v>
      </c>
      <c r="Y250" s="9"/>
      <c r="Z250" s="7">
        <v>0</v>
      </c>
      <c r="AA250" s="8">
        <f>IFERROR(Z250/Z445, "NA")</f>
        <v>0</v>
      </c>
      <c r="AB250" s="9"/>
      <c r="AC250" s="10">
        <f t="shared" si="67"/>
        <v>0</v>
      </c>
      <c r="AD250" s="8">
        <f>IFERROR(AC250/AC445,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IFERROR(B251/B445, "NA")</f>
        <v>0</v>
      </c>
      <c r="D251" s="9"/>
      <c r="E251" s="7">
        <v>0</v>
      </c>
      <c r="F251" s="8">
        <f>IFERROR(E251/E445, "NA")</f>
        <v>0</v>
      </c>
      <c r="G251" s="9"/>
      <c r="H251" s="10">
        <f t="shared" si="64"/>
        <v>0</v>
      </c>
      <c r="I251" s="8">
        <f>IFERROR(H251/H445, "NA")</f>
        <v>0</v>
      </c>
      <c r="J251" s="9"/>
      <c r="K251" s="7">
        <v>0</v>
      </c>
      <c r="L251" s="8">
        <f>IFERROR(K251/K445, "NA")</f>
        <v>0</v>
      </c>
      <c r="M251" s="9"/>
      <c r="N251" s="10">
        <f t="shared" si="65"/>
        <v>0</v>
      </c>
      <c r="O251" s="8">
        <f>IFERROR(N251/N445, "NA")</f>
        <v>0</v>
      </c>
      <c r="P251" s="9"/>
      <c r="Q251" s="7">
        <v>0</v>
      </c>
      <c r="R251" s="8">
        <f>IFERROR(Q251/Q445, "NA")</f>
        <v>0</v>
      </c>
      <c r="S251" s="9"/>
      <c r="T251" s="7">
        <v>0</v>
      </c>
      <c r="U251" s="8">
        <f>IFERROR(T251/T445, "NA")</f>
        <v>0</v>
      </c>
      <c r="V251" s="9"/>
      <c r="W251" s="10">
        <f t="shared" si="66"/>
        <v>0</v>
      </c>
      <c r="X251" s="8">
        <f>IFERROR(W251/W445, "NA")</f>
        <v>0</v>
      </c>
      <c r="Y251" s="9"/>
      <c r="Z251" s="7">
        <v>0</v>
      </c>
      <c r="AA251" s="8">
        <f>IFERROR(Z251/Z445, "NA")</f>
        <v>0</v>
      </c>
      <c r="AB251" s="9"/>
      <c r="AC251" s="10">
        <f t="shared" si="67"/>
        <v>0</v>
      </c>
      <c r="AD251" s="8">
        <f>IFERROR(AC251/AC445,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IFERROR(B252/B445, "NA")</f>
        <v>0</v>
      </c>
      <c r="D252" s="9"/>
      <c r="E252" s="7">
        <v>0</v>
      </c>
      <c r="F252" s="8">
        <f>IFERROR(E252/E445, "NA")</f>
        <v>0</v>
      </c>
      <c r="G252" s="9"/>
      <c r="H252" s="10">
        <f t="shared" si="64"/>
        <v>0</v>
      </c>
      <c r="I252" s="8">
        <f>IFERROR(H252/H445, "NA")</f>
        <v>0</v>
      </c>
      <c r="J252" s="9"/>
      <c r="K252" s="7">
        <v>0</v>
      </c>
      <c r="L252" s="8">
        <f>IFERROR(K252/K445, "NA")</f>
        <v>0</v>
      </c>
      <c r="M252" s="9"/>
      <c r="N252" s="10">
        <f t="shared" si="65"/>
        <v>0</v>
      </c>
      <c r="O252" s="8">
        <f>IFERROR(N252/N445, "NA")</f>
        <v>0</v>
      </c>
      <c r="P252" s="9"/>
      <c r="Q252" s="7">
        <v>0</v>
      </c>
      <c r="R252" s="8">
        <f>IFERROR(Q252/Q445, "NA")</f>
        <v>0</v>
      </c>
      <c r="S252" s="9"/>
      <c r="T252" s="7">
        <v>0</v>
      </c>
      <c r="U252" s="8">
        <f>IFERROR(T252/T445, "NA")</f>
        <v>0</v>
      </c>
      <c r="V252" s="9"/>
      <c r="W252" s="10">
        <f t="shared" si="66"/>
        <v>0</v>
      </c>
      <c r="X252" s="8">
        <f>IFERROR(W252/W445, "NA")</f>
        <v>0</v>
      </c>
      <c r="Y252" s="9"/>
      <c r="Z252" s="7">
        <v>0</v>
      </c>
      <c r="AA252" s="8">
        <f>IFERROR(Z252/Z445, "NA")</f>
        <v>0</v>
      </c>
      <c r="AB252" s="9"/>
      <c r="AC252" s="10">
        <f t="shared" si="67"/>
        <v>0</v>
      </c>
      <c r="AD252" s="8">
        <f>IFERROR(AC252/AC445,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IFERROR(B253/B445, "NA")</f>
        <v>0</v>
      </c>
      <c r="D253" s="9"/>
      <c r="E253" s="7">
        <v>0</v>
      </c>
      <c r="F253" s="8">
        <f>IFERROR(E253/E445, "NA")</f>
        <v>0</v>
      </c>
      <c r="G253" s="9"/>
      <c r="H253" s="10">
        <f t="shared" si="64"/>
        <v>0</v>
      </c>
      <c r="I253" s="8">
        <f>IFERROR(H253/H445, "NA")</f>
        <v>0</v>
      </c>
      <c r="J253" s="9"/>
      <c r="K253" s="7">
        <v>0</v>
      </c>
      <c r="L253" s="8">
        <f>IFERROR(K253/K445, "NA")</f>
        <v>0</v>
      </c>
      <c r="M253" s="9"/>
      <c r="N253" s="10">
        <f t="shared" si="65"/>
        <v>0</v>
      </c>
      <c r="O253" s="8">
        <f>IFERROR(N253/N445, "NA")</f>
        <v>0</v>
      </c>
      <c r="P253" s="9"/>
      <c r="Q253" s="7">
        <v>0</v>
      </c>
      <c r="R253" s="8">
        <f>IFERROR(Q253/Q445, "NA")</f>
        <v>0</v>
      </c>
      <c r="S253" s="9"/>
      <c r="T253" s="7">
        <v>0</v>
      </c>
      <c r="U253" s="8">
        <f>IFERROR(T253/T445, "NA")</f>
        <v>0</v>
      </c>
      <c r="V253" s="9"/>
      <c r="W253" s="10">
        <f t="shared" si="66"/>
        <v>0</v>
      </c>
      <c r="X253" s="8">
        <f>IFERROR(W253/W445, "NA")</f>
        <v>0</v>
      </c>
      <c r="Y253" s="9"/>
      <c r="Z253" s="7">
        <v>0</v>
      </c>
      <c r="AA253" s="8">
        <f>IFERROR(Z253/Z445, "NA")</f>
        <v>0</v>
      </c>
      <c r="AB253" s="9"/>
      <c r="AC253" s="10">
        <f t="shared" si="67"/>
        <v>0</v>
      </c>
      <c r="AD253" s="8">
        <f>IFERROR(AC253/AC445,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IFERROR(B254/B445, "NA")</f>
        <v>0</v>
      </c>
      <c r="D254" s="9"/>
      <c r="E254" s="7">
        <v>0</v>
      </c>
      <c r="F254" s="8">
        <f>IFERROR(E254/E445, "NA")</f>
        <v>0</v>
      </c>
      <c r="G254" s="9"/>
      <c r="H254" s="10">
        <f t="shared" si="64"/>
        <v>0</v>
      </c>
      <c r="I254" s="8">
        <f>IFERROR(H254/H445, "NA")</f>
        <v>0</v>
      </c>
      <c r="J254" s="9"/>
      <c r="K254" s="7">
        <v>0</v>
      </c>
      <c r="L254" s="8">
        <f>IFERROR(K254/K445, "NA")</f>
        <v>0</v>
      </c>
      <c r="M254" s="9"/>
      <c r="N254" s="10">
        <f t="shared" si="65"/>
        <v>0</v>
      </c>
      <c r="O254" s="8">
        <f>IFERROR(N254/N445, "NA")</f>
        <v>0</v>
      </c>
      <c r="P254" s="9"/>
      <c r="Q254" s="7">
        <v>0</v>
      </c>
      <c r="R254" s="8">
        <f>IFERROR(Q254/Q445, "NA")</f>
        <v>0</v>
      </c>
      <c r="S254" s="9"/>
      <c r="T254" s="7">
        <v>0</v>
      </c>
      <c r="U254" s="8">
        <f>IFERROR(T254/T445, "NA")</f>
        <v>0</v>
      </c>
      <c r="V254" s="9"/>
      <c r="W254" s="10">
        <f t="shared" si="66"/>
        <v>0</v>
      </c>
      <c r="X254" s="8">
        <f>IFERROR(W254/W445, "NA")</f>
        <v>0</v>
      </c>
      <c r="Y254" s="9"/>
      <c r="Z254" s="7">
        <v>0</v>
      </c>
      <c r="AA254" s="8">
        <f>IFERROR(Z254/Z445, "NA")</f>
        <v>0</v>
      </c>
      <c r="AB254" s="9"/>
      <c r="AC254" s="10">
        <f t="shared" si="67"/>
        <v>0</v>
      </c>
      <c r="AD254" s="8">
        <f>IFERROR(AC254/AC445,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IFERROR(B255/B445, "NA")</f>
        <v>0</v>
      </c>
      <c r="D255" s="9"/>
      <c r="E255" s="7">
        <v>0</v>
      </c>
      <c r="F255" s="8">
        <f>IFERROR(E255/E445, "NA")</f>
        <v>0</v>
      </c>
      <c r="G255" s="9"/>
      <c r="H255" s="10">
        <f t="shared" si="64"/>
        <v>0</v>
      </c>
      <c r="I255" s="8">
        <f>IFERROR(H255/H445, "NA")</f>
        <v>0</v>
      </c>
      <c r="J255" s="9"/>
      <c r="K255" s="7">
        <v>0</v>
      </c>
      <c r="L255" s="8">
        <f>IFERROR(K255/K445, "NA")</f>
        <v>0</v>
      </c>
      <c r="M255" s="9"/>
      <c r="N255" s="10">
        <f t="shared" si="65"/>
        <v>0</v>
      </c>
      <c r="O255" s="8">
        <f>IFERROR(N255/N445, "NA")</f>
        <v>0</v>
      </c>
      <c r="P255" s="9"/>
      <c r="Q255" s="7">
        <v>0</v>
      </c>
      <c r="R255" s="8">
        <f>IFERROR(Q255/Q445, "NA")</f>
        <v>0</v>
      </c>
      <c r="S255" s="9"/>
      <c r="T255" s="7">
        <v>0</v>
      </c>
      <c r="U255" s="8">
        <f>IFERROR(T255/T445, "NA")</f>
        <v>0</v>
      </c>
      <c r="V255" s="9"/>
      <c r="W255" s="10">
        <f t="shared" si="66"/>
        <v>0</v>
      </c>
      <c r="X255" s="8">
        <f>IFERROR(W255/W445, "NA")</f>
        <v>0</v>
      </c>
      <c r="Y255" s="9"/>
      <c r="Z255" s="7">
        <v>0</v>
      </c>
      <c r="AA255" s="8">
        <f>IFERROR(Z255/Z445, "NA")</f>
        <v>0</v>
      </c>
      <c r="AB255" s="9"/>
      <c r="AC255" s="10">
        <f t="shared" si="67"/>
        <v>0</v>
      </c>
      <c r="AD255" s="8">
        <f>IFERROR(AC255/AC445,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IFERROR(B256/B445, "NA")</f>
        <v>0</v>
      </c>
      <c r="D256" s="9"/>
      <c r="E256" s="7">
        <v>0</v>
      </c>
      <c r="F256" s="8">
        <f>IFERROR(E256/E445, "NA")</f>
        <v>0</v>
      </c>
      <c r="G256" s="9"/>
      <c r="H256" s="10">
        <f t="shared" si="64"/>
        <v>0</v>
      </c>
      <c r="I256" s="8">
        <f>IFERROR(H256/H445, "NA")</f>
        <v>0</v>
      </c>
      <c r="J256" s="9"/>
      <c r="K256" s="7">
        <v>0</v>
      </c>
      <c r="L256" s="8">
        <f>IFERROR(K256/K445, "NA")</f>
        <v>0</v>
      </c>
      <c r="M256" s="9"/>
      <c r="N256" s="10">
        <f t="shared" si="65"/>
        <v>0</v>
      </c>
      <c r="O256" s="8">
        <f>IFERROR(N256/N445, "NA")</f>
        <v>0</v>
      </c>
      <c r="P256" s="9"/>
      <c r="Q256" s="7">
        <v>0</v>
      </c>
      <c r="R256" s="8">
        <f>IFERROR(Q256/Q445, "NA")</f>
        <v>0</v>
      </c>
      <c r="S256" s="9"/>
      <c r="T256" s="7">
        <v>0</v>
      </c>
      <c r="U256" s="8">
        <f>IFERROR(T256/T445, "NA")</f>
        <v>0</v>
      </c>
      <c r="V256" s="9"/>
      <c r="W256" s="10">
        <f t="shared" si="66"/>
        <v>0</v>
      </c>
      <c r="X256" s="8">
        <f>IFERROR(W256/W445, "NA")</f>
        <v>0</v>
      </c>
      <c r="Y256" s="9"/>
      <c r="Z256" s="7">
        <v>0</v>
      </c>
      <c r="AA256" s="8">
        <f>IFERROR(Z256/Z445, "NA")</f>
        <v>0</v>
      </c>
      <c r="AB256" s="9"/>
      <c r="AC256" s="10">
        <f t="shared" si="67"/>
        <v>0</v>
      </c>
      <c r="AD256" s="8">
        <f>IFERROR(AC256/AC445,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IFERROR(B257/B445, "NA")</f>
        <v>0</v>
      </c>
      <c r="D257" s="9"/>
      <c r="E257" s="7">
        <v>0</v>
      </c>
      <c r="F257" s="8">
        <f>IFERROR(E257/E445, "NA")</f>
        <v>0</v>
      </c>
      <c r="G257" s="9"/>
      <c r="H257" s="10">
        <f t="shared" si="64"/>
        <v>0</v>
      </c>
      <c r="I257" s="8">
        <f>IFERROR(H257/H445, "NA")</f>
        <v>0</v>
      </c>
      <c r="J257" s="9"/>
      <c r="K257" s="7">
        <v>2261.25</v>
      </c>
      <c r="L257" s="8">
        <f>IFERROR(K257/K445, "NA")</f>
        <v>1.7318262213769049E-2</v>
      </c>
      <c r="M257" s="9"/>
      <c r="N257" s="10">
        <f t="shared" si="65"/>
        <v>2261.25</v>
      </c>
      <c r="O257" s="8">
        <f>IFERROR(N257/N445, "NA")</f>
        <v>-0.25361424838214042</v>
      </c>
      <c r="P257" s="9"/>
      <c r="Q257" s="7">
        <v>0</v>
      </c>
      <c r="R257" s="8">
        <f>IFERROR(Q257/Q445, "NA")</f>
        <v>0</v>
      </c>
      <c r="S257" s="9"/>
      <c r="T257" s="7">
        <v>0</v>
      </c>
      <c r="U257" s="8">
        <f>IFERROR(T257/T445, "NA")</f>
        <v>0</v>
      </c>
      <c r="V257" s="9"/>
      <c r="W257" s="10">
        <f t="shared" si="66"/>
        <v>0</v>
      </c>
      <c r="X257" s="8">
        <f>IFERROR(W257/W445, "NA")</f>
        <v>0</v>
      </c>
      <c r="Y257" s="9"/>
      <c r="Z257" s="7">
        <v>2261.25</v>
      </c>
      <c r="AA257" s="8">
        <f>IFERROR(Z257/Z445, "NA")</f>
        <v>4.1000248313278337E-3</v>
      </c>
      <c r="AB257" s="9"/>
      <c r="AC257" s="10">
        <f t="shared" si="67"/>
        <v>2261.25</v>
      </c>
      <c r="AD257" s="8">
        <f>IFERROR(AC257/AC445, "NA")</f>
        <v>-7.4904251745861086E-2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IFERROR(B258/B445, "NA")</f>
        <v>0</v>
      </c>
      <c r="D258" s="9"/>
      <c r="E258" s="7">
        <v>0</v>
      </c>
      <c r="F258" s="8">
        <f>IFERROR(E258/E445, "NA")</f>
        <v>0</v>
      </c>
      <c r="G258" s="9"/>
      <c r="H258" s="10">
        <f t="shared" si="64"/>
        <v>0</v>
      </c>
      <c r="I258" s="8">
        <f>IFERROR(H258/H445, "NA")</f>
        <v>0</v>
      </c>
      <c r="J258" s="9"/>
      <c r="K258" s="7">
        <v>0</v>
      </c>
      <c r="L258" s="8">
        <f>IFERROR(K258/K445, "NA")</f>
        <v>0</v>
      </c>
      <c r="M258" s="9"/>
      <c r="N258" s="10">
        <f t="shared" si="65"/>
        <v>0</v>
      </c>
      <c r="O258" s="8">
        <f>IFERROR(N258/N445, "NA")</f>
        <v>0</v>
      </c>
      <c r="P258" s="9"/>
      <c r="Q258" s="7">
        <v>0</v>
      </c>
      <c r="R258" s="8">
        <f>IFERROR(Q258/Q445, "NA")</f>
        <v>0</v>
      </c>
      <c r="S258" s="9"/>
      <c r="T258" s="7">
        <v>0</v>
      </c>
      <c r="U258" s="8">
        <f>IFERROR(T258/T445, "NA")</f>
        <v>0</v>
      </c>
      <c r="V258" s="9"/>
      <c r="W258" s="10">
        <f t="shared" si="66"/>
        <v>0</v>
      </c>
      <c r="X258" s="8">
        <f>IFERROR(W258/W445, "NA")</f>
        <v>0</v>
      </c>
      <c r="Y258" s="9"/>
      <c r="Z258" s="7">
        <v>0</v>
      </c>
      <c r="AA258" s="8">
        <f>IFERROR(Z258/Z445, "NA")</f>
        <v>0</v>
      </c>
      <c r="AB258" s="9"/>
      <c r="AC258" s="10">
        <f t="shared" si="67"/>
        <v>0</v>
      </c>
      <c r="AD258" s="8">
        <f>IFERROR(AC258/AC445,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IFERROR(B259/B445, "NA")</f>
        <v>0</v>
      </c>
      <c r="D259" s="9"/>
      <c r="E259" s="7">
        <v>0</v>
      </c>
      <c r="F259" s="8">
        <f>IFERROR(E259/E445, "NA")</f>
        <v>0</v>
      </c>
      <c r="G259" s="9"/>
      <c r="H259" s="10">
        <f t="shared" si="64"/>
        <v>0</v>
      </c>
      <c r="I259" s="8">
        <f>IFERROR(H259/H445, "NA")</f>
        <v>0</v>
      </c>
      <c r="J259" s="9"/>
      <c r="K259" s="7">
        <v>0</v>
      </c>
      <c r="L259" s="8">
        <f>IFERROR(K259/K445, "NA")</f>
        <v>0</v>
      </c>
      <c r="M259" s="9"/>
      <c r="N259" s="10">
        <f t="shared" si="65"/>
        <v>0</v>
      </c>
      <c r="O259" s="8">
        <f>IFERROR(N259/N445, "NA")</f>
        <v>0</v>
      </c>
      <c r="P259" s="9"/>
      <c r="Q259" s="7">
        <v>0</v>
      </c>
      <c r="R259" s="8">
        <f>IFERROR(Q259/Q445, "NA")</f>
        <v>0</v>
      </c>
      <c r="S259" s="9"/>
      <c r="T259" s="7">
        <v>0</v>
      </c>
      <c r="U259" s="8">
        <f>IFERROR(T259/T445, "NA")</f>
        <v>0</v>
      </c>
      <c r="V259" s="9"/>
      <c r="W259" s="10">
        <f t="shared" si="66"/>
        <v>0</v>
      </c>
      <c r="X259" s="8">
        <f>IFERROR(W259/W445, "NA")</f>
        <v>0</v>
      </c>
      <c r="Y259" s="9"/>
      <c r="Z259" s="7">
        <v>0</v>
      </c>
      <c r="AA259" s="8">
        <f>IFERROR(Z259/Z445, "NA")</f>
        <v>0</v>
      </c>
      <c r="AB259" s="9"/>
      <c r="AC259" s="10">
        <f t="shared" si="67"/>
        <v>0</v>
      </c>
      <c r="AD259" s="8">
        <f>IFERROR(AC259/AC445,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IFERROR(B260/B445, "NA")</f>
        <v>0</v>
      </c>
      <c r="D260" s="9"/>
      <c r="E260" s="7">
        <v>0</v>
      </c>
      <c r="F260" s="8">
        <f>IFERROR(E260/E445, "NA")</f>
        <v>0</v>
      </c>
      <c r="G260" s="9"/>
      <c r="H260" s="10">
        <f t="shared" si="64"/>
        <v>0</v>
      </c>
      <c r="I260" s="8">
        <f>IFERROR(H260/H445, "NA")</f>
        <v>0</v>
      </c>
      <c r="J260" s="9"/>
      <c r="K260" s="7">
        <v>0</v>
      </c>
      <c r="L260" s="8">
        <f>IFERROR(K260/K445, "NA")</f>
        <v>0</v>
      </c>
      <c r="M260" s="9"/>
      <c r="N260" s="10">
        <f t="shared" si="65"/>
        <v>0</v>
      </c>
      <c r="O260" s="8">
        <f>IFERROR(N260/N445, "NA")</f>
        <v>0</v>
      </c>
      <c r="P260" s="9"/>
      <c r="Q260" s="7">
        <v>0</v>
      </c>
      <c r="R260" s="8">
        <f>IFERROR(Q260/Q445, "NA")</f>
        <v>0</v>
      </c>
      <c r="S260" s="9"/>
      <c r="T260" s="7">
        <v>0</v>
      </c>
      <c r="U260" s="8">
        <f>IFERROR(T260/T445, "NA")</f>
        <v>0</v>
      </c>
      <c r="V260" s="9"/>
      <c r="W260" s="10">
        <f t="shared" si="66"/>
        <v>0</v>
      </c>
      <c r="X260" s="8">
        <f>IFERROR(W260/W445, "NA")</f>
        <v>0</v>
      </c>
      <c r="Y260" s="9"/>
      <c r="Z260" s="7">
        <v>0</v>
      </c>
      <c r="AA260" s="8">
        <f>IFERROR(Z260/Z445, "NA")</f>
        <v>0</v>
      </c>
      <c r="AB260" s="9"/>
      <c r="AC260" s="10">
        <f t="shared" si="67"/>
        <v>0</v>
      </c>
      <c r="AD260" s="8">
        <f>IFERROR(AC260/AC445, "NA")</f>
        <v>0</v>
      </c>
    </row>
    <row r="261" spans="1:30" ht="16.5" customHeight="1" x14ac:dyDescent="0.45">
      <c r="A261" s="12" t="s">
        <v>238</v>
      </c>
      <c r="B261" s="7">
        <v>1008.64</v>
      </c>
      <c r="C261" s="8">
        <f>IFERROR(B261/B445, "NA")</f>
        <v>8.2910440547203645E-3</v>
      </c>
      <c r="D261" s="9"/>
      <c r="E261" s="7">
        <v>0</v>
      </c>
      <c r="F261" s="8">
        <f>IFERROR(E261/E445, "NA")</f>
        <v>0</v>
      </c>
      <c r="G261" s="9"/>
      <c r="H261" s="10">
        <f t="shared" si="64"/>
        <v>-1008.64</v>
      </c>
      <c r="I261" s="8">
        <f>IFERROR(H261/H445, "NA")</f>
        <v>4.8044546379058618E-2</v>
      </c>
      <c r="J261" s="9"/>
      <c r="K261" s="7">
        <v>0</v>
      </c>
      <c r="L261" s="8">
        <f>IFERROR(K261/K445, "NA")</f>
        <v>0</v>
      </c>
      <c r="M261" s="9"/>
      <c r="N261" s="10">
        <f t="shared" si="65"/>
        <v>-1008.64</v>
      </c>
      <c r="O261" s="8">
        <f>IFERROR(N261/N445, "NA")</f>
        <v>0.11312569396933647</v>
      </c>
      <c r="P261" s="9"/>
      <c r="Q261" s="7">
        <v>1442.35</v>
      </c>
      <c r="R261" s="8">
        <f>IFERROR(Q261/Q445, "NA")</f>
        <v>2.7666603795723382E-3</v>
      </c>
      <c r="S261" s="9"/>
      <c r="T261" s="7">
        <v>0</v>
      </c>
      <c r="U261" s="8">
        <f>IFERROR(T261/T445, "NA")</f>
        <v>0</v>
      </c>
      <c r="V261" s="9"/>
      <c r="W261" s="10">
        <f t="shared" si="66"/>
        <v>-1442.35</v>
      </c>
      <c r="X261" s="8">
        <f>IFERROR(W261/W445, "NA")</f>
        <v>2.0046420803191082E-2</v>
      </c>
      <c r="Y261" s="9"/>
      <c r="Z261" s="7">
        <v>0</v>
      </c>
      <c r="AA261" s="8">
        <f>IFERROR(Z261/Z445, "NA")</f>
        <v>0</v>
      </c>
      <c r="AB261" s="9"/>
      <c r="AC261" s="10">
        <f t="shared" si="67"/>
        <v>-1442.35</v>
      </c>
      <c r="AD261" s="8">
        <f>IFERROR(AC261/AC445, "NA")</f>
        <v>4.777806412632072E-2</v>
      </c>
    </row>
    <row r="262" spans="1:30" ht="16.5" customHeight="1" x14ac:dyDescent="0.45">
      <c r="A262" s="12" t="s">
        <v>239</v>
      </c>
      <c r="B262" s="7">
        <v>445.68</v>
      </c>
      <c r="C262" s="8">
        <f>IFERROR(B262/B445, "NA")</f>
        <v>3.6634998753844504E-3</v>
      </c>
      <c r="D262" s="9"/>
      <c r="E262" s="7">
        <v>0</v>
      </c>
      <c r="F262" s="8">
        <f>IFERROR(E262/E445, "NA")</f>
        <v>0</v>
      </c>
      <c r="G262" s="9"/>
      <c r="H262" s="10">
        <f t="shared" si="64"/>
        <v>-445.68</v>
      </c>
      <c r="I262" s="8">
        <f>IFERROR(H262/H445, "NA")</f>
        <v>2.122907422888131E-2</v>
      </c>
      <c r="J262" s="9"/>
      <c r="K262" s="7">
        <v>0</v>
      </c>
      <c r="L262" s="8">
        <f>IFERROR(K262/K445, "NA")</f>
        <v>0</v>
      </c>
      <c r="M262" s="9"/>
      <c r="N262" s="10">
        <f t="shared" si="65"/>
        <v>-445.68</v>
      </c>
      <c r="O262" s="8">
        <f>IFERROR(N262/N445, "NA")</f>
        <v>4.9985980417447139E-2</v>
      </c>
      <c r="P262" s="9"/>
      <c r="Q262" s="7">
        <v>445.68</v>
      </c>
      <c r="R262" s="8">
        <f>IFERROR(Q262/Q445, "NA")</f>
        <v>8.5488626059403053E-4</v>
      </c>
      <c r="S262" s="9"/>
      <c r="T262" s="7">
        <v>0</v>
      </c>
      <c r="U262" s="8">
        <f>IFERROR(T262/T445, "NA")</f>
        <v>0</v>
      </c>
      <c r="V262" s="9"/>
      <c r="W262" s="10">
        <f t="shared" si="66"/>
        <v>-445.68</v>
      </c>
      <c r="X262" s="8">
        <f>IFERROR(W262/W445, "NA")</f>
        <v>6.1942585527550191E-3</v>
      </c>
      <c r="Y262" s="9"/>
      <c r="Z262" s="7">
        <v>0</v>
      </c>
      <c r="AA262" s="8">
        <f>IFERROR(Z262/Z445, "NA")</f>
        <v>0</v>
      </c>
      <c r="AB262" s="9"/>
      <c r="AC262" s="10">
        <f t="shared" si="67"/>
        <v>-445.68</v>
      </c>
      <c r="AD262" s="8">
        <f>IFERROR(AC262/AC445, "NA")</f>
        <v>1.4763218095343447E-2</v>
      </c>
    </row>
    <row r="263" spans="1:30" ht="16.5" customHeight="1" x14ac:dyDescent="0.45">
      <c r="A263" s="13" t="s">
        <v>240</v>
      </c>
      <c r="B263" s="14">
        <f>IFERROR(B240+B241+B242+B243+B244+B245+B246+B247+B248+B249+B250+B251+B252+B253+B254+B255+B256+B257+B258+B259+B260+B261+B262, "NA")</f>
        <v>7503.5200000000013</v>
      </c>
      <c r="C263" s="15">
        <f>IFERROR(B263/B445, "NA")</f>
        <v>6.167910739756044E-2</v>
      </c>
      <c r="D263" s="2"/>
      <c r="E263" s="14">
        <f>IFERROR(E240+E241+E242+E243+E244+E245+E246+E247+E248+E249+E250+E251+E252+E253+E254+E255+E256+E257+E258+E259+E260+E261+E262, "NA")</f>
        <v>7560.34</v>
      </c>
      <c r="F263" s="15">
        <f>IFERROR(E263/E445, "NA")</f>
        <v>5.299996824351072E-2</v>
      </c>
      <c r="G263" s="2"/>
      <c r="H263" s="14">
        <f t="shared" si="64"/>
        <v>56.819999999998799</v>
      </c>
      <c r="I263" s="15">
        <f>IFERROR(H263/H445, "NA")</f>
        <v>-2.7065069055937233E-3</v>
      </c>
      <c r="J263" s="2"/>
      <c r="K263" s="14">
        <f>IFERROR(K240+K241+K242+K243+K244+K245+K246+K247+K248+K249+K250+K251+K252+K253+K254+K255+K256+K257+K258+K259+K260+K261+K262, "NA")</f>
        <v>6827.82</v>
      </c>
      <c r="L263" s="15">
        <f>IFERROR(K263/K445, "NA")</f>
        <v>5.2292306073373832E-2</v>
      </c>
      <c r="M263" s="2"/>
      <c r="N263" s="14">
        <f t="shared" si="65"/>
        <v>-675.70000000000164</v>
      </c>
      <c r="O263" s="15">
        <f>IFERROR(N263/N445, "NA")</f>
        <v>7.5784255448010041E-2</v>
      </c>
      <c r="P263" s="2"/>
      <c r="Q263" s="14">
        <f>IFERROR(Q240+Q241+Q242+Q243+Q244+Q245+Q246+Q247+Q248+Q249+Q250+Q251+Q252+Q253+Q254+Q255+Q256+Q257+Q258+Q259+Q260+Q261+Q262, "NA")</f>
        <v>33559.210000000006</v>
      </c>
      <c r="R263" s="15">
        <f>IFERROR(Q263/Q445, "NA")</f>
        <v>6.4371987850901535E-2</v>
      </c>
      <c r="S263" s="2"/>
      <c r="T263" s="14">
        <f>IFERROR(T240+T241+T242+T243+T244+T245+T246+T247+T248+T249+T250+T251+T252+T253+T254+T255+T256+T257+T258+T259+T260+T261+T262, "NA")</f>
        <v>31443.99</v>
      </c>
      <c r="U263" s="15">
        <f>IFERROR(T263/T445, "NA")</f>
        <v>5.2999983936839856E-2</v>
      </c>
      <c r="V263" s="2"/>
      <c r="W263" s="14">
        <f t="shared" si="66"/>
        <v>-2115.2200000000048</v>
      </c>
      <c r="X263" s="15">
        <f>IFERROR(W263/W445, "NA")</f>
        <v>2.9398266864024639E-2</v>
      </c>
      <c r="Y263" s="2"/>
      <c r="Z263" s="14">
        <f>IFERROR(Z240+Z241+Z242+Z243+Z244+Z245+Z246+Z247+Z248+Z249+Z250+Z251+Z252+Z253+Z254+Z255+Z256+Z257+Z258+Z259+Z260+Z261+Z262, "NA")</f>
        <v>29125.8</v>
      </c>
      <c r="AA263" s="15">
        <f>IFERROR(Z263/Z445, "NA")</f>
        <v>5.2809951678181637E-2</v>
      </c>
      <c r="AB263" s="2"/>
      <c r="AC263" s="14">
        <f t="shared" si="67"/>
        <v>-4433.4100000000071</v>
      </c>
      <c r="AD263" s="15">
        <f>IFERROR(AC263/AC445, "NA")</f>
        <v>0.14685738362968204</v>
      </c>
    </row>
    <row r="264" spans="1:30" ht="16.5" customHeight="1" x14ac:dyDescent="0.45">
      <c r="A264" s="19" t="s">
        <v>241</v>
      </c>
      <c r="B264" s="14">
        <f>IFERROR(B238+B240+B241+B242+B243+B244+B245+B246+B247+B248+B249+B250+B251+B252+B253+B254+B255+B256+B257+B258+B259+B260+B261+B262, "NA")</f>
        <v>7503.5200000000013</v>
      </c>
      <c r="C264" s="15">
        <f>IFERROR(B264/B445, "NA")</f>
        <v>6.167910739756044E-2</v>
      </c>
      <c r="D264" s="2"/>
      <c r="E264" s="14">
        <f>IFERROR(E238+E240+E241+E242+E243+E244+E245+E246+E247+E248+E249+E250+E251+E252+E253+E254+E255+E256+E257+E258+E259+E260+E261+E262, "NA")</f>
        <v>7560.34</v>
      </c>
      <c r="F264" s="15">
        <f>IFERROR(E264/E445, "NA")</f>
        <v>5.299996824351072E-2</v>
      </c>
      <c r="G264" s="2"/>
      <c r="H264" s="14">
        <f t="shared" si="64"/>
        <v>56.819999999998799</v>
      </c>
      <c r="I264" s="15">
        <f>IFERROR(H264/H445, "NA")</f>
        <v>-2.7065069055937233E-3</v>
      </c>
      <c r="J264" s="2"/>
      <c r="K264" s="14">
        <f>IFERROR(K238+K240+K241+K242+K243+K244+K245+K246+K247+K248+K249+K250+K251+K252+K253+K254+K255+K256+K257+K258+K259+K260+K261+K262, "NA")</f>
        <v>6827.82</v>
      </c>
      <c r="L264" s="15">
        <f>IFERROR(K264/K445, "NA")</f>
        <v>5.2292306073373832E-2</v>
      </c>
      <c r="M264" s="2"/>
      <c r="N264" s="14">
        <f t="shared" si="65"/>
        <v>-675.70000000000164</v>
      </c>
      <c r="O264" s="15">
        <f>IFERROR(N264/N445, "NA")</f>
        <v>7.5784255448010041E-2</v>
      </c>
      <c r="P264" s="2"/>
      <c r="Q264" s="14">
        <f>IFERROR(Q238+Q240+Q241+Q242+Q243+Q244+Q245+Q246+Q247+Q248+Q249+Q250+Q251+Q252+Q253+Q254+Q255+Q256+Q257+Q258+Q259+Q260+Q261+Q262, "NA")</f>
        <v>33559.210000000006</v>
      </c>
      <c r="R264" s="15">
        <f>IFERROR(Q264/Q445, "NA")</f>
        <v>6.4371987850901535E-2</v>
      </c>
      <c r="S264" s="2"/>
      <c r="T264" s="14">
        <f>IFERROR(T238+T240+T241+T242+T243+T244+T245+T246+T247+T248+T249+T250+T251+T252+T253+T254+T255+T256+T257+T258+T259+T260+T261+T262, "NA")</f>
        <v>31443.99</v>
      </c>
      <c r="U264" s="15">
        <f>IFERROR(T264/T445, "NA")</f>
        <v>5.2999983936839856E-2</v>
      </c>
      <c r="V264" s="2"/>
      <c r="W264" s="14">
        <f t="shared" si="66"/>
        <v>-2115.2200000000048</v>
      </c>
      <c r="X264" s="15">
        <f>IFERROR(W264/W445, "NA")</f>
        <v>2.9398266864024639E-2</v>
      </c>
      <c r="Y264" s="2"/>
      <c r="Z264" s="14">
        <f>IFERROR(Z238+Z240+Z241+Z242+Z243+Z244+Z245+Z246+Z247+Z248+Z249+Z250+Z251+Z252+Z253+Z254+Z255+Z256+Z257+Z258+Z259+Z260+Z261+Z262, "NA")</f>
        <v>29125.8</v>
      </c>
      <c r="AA264" s="15">
        <f>IFERROR(Z264/Z445, "NA")</f>
        <v>5.2809951678181637E-2</v>
      </c>
      <c r="AB264" s="2"/>
      <c r="AC264" s="14">
        <f t="shared" si="67"/>
        <v>-4433.4100000000071</v>
      </c>
      <c r="AD264" s="15">
        <f>IFERROR(AC264/AC445, "NA")</f>
        <v>0.14685738362968204</v>
      </c>
    </row>
    <row r="265" spans="1:30" ht="16.5" customHeight="1" x14ac:dyDescent="0.45">
      <c r="A265" s="5" t="s">
        <v>242</v>
      </c>
      <c r="B265" s="2"/>
      <c r="C265" s="3"/>
      <c r="D265" s="4"/>
      <c r="E265" s="2"/>
      <c r="F265" s="3"/>
      <c r="G265" s="4"/>
      <c r="H265" s="2"/>
      <c r="I265" s="3"/>
      <c r="J265" s="4"/>
      <c r="K265" s="2"/>
      <c r="L265" s="3"/>
      <c r="M265" s="4"/>
      <c r="N265" s="2"/>
      <c r="O265" s="3"/>
      <c r="P265" s="4"/>
      <c r="Q265" s="2"/>
      <c r="R265" s="3"/>
      <c r="S265" s="4"/>
      <c r="T265" s="2"/>
      <c r="U265" s="3"/>
      <c r="V265" s="4"/>
      <c r="W265" s="2"/>
      <c r="X265" s="3"/>
      <c r="Y265" s="4"/>
      <c r="Z265" s="2"/>
      <c r="AA265" s="3"/>
      <c r="AB265" s="4"/>
      <c r="AC265" s="2"/>
      <c r="AD265" s="3"/>
    </row>
    <row r="266" spans="1:30" ht="16.5" customHeight="1" x14ac:dyDescent="0.45">
      <c r="A266" s="6" t="s">
        <v>242</v>
      </c>
      <c r="B266" s="7">
        <v>3426.19</v>
      </c>
      <c r="C266" s="8">
        <f>IFERROR(B266/B445, "NA")</f>
        <v>2.816336079259435E-2</v>
      </c>
      <c r="D266" s="9"/>
      <c r="E266" s="7">
        <v>4136.79</v>
      </c>
      <c r="F266" s="8">
        <f>IFERROR(E266/E445, "NA")</f>
        <v>2.8999983946498796E-2</v>
      </c>
      <c r="G266" s="9"/>
      <c r="H266" s="10">
        <f>IFERROR(-(B266-E266), "NA")</f>
        <v>710.59999999999991</v>
      </c>
      <c r="I266" s="8">
        <f>IFERROR(H266/H445, "NA")</f>
        <v>-3.3848007868971138E-2</v>
      </c>
      <c r="J266" s="9"/>
      <c r="K266" s="7">
        <v>3437.02</v>
      </c>
      <c r="L266" s="8">
        <f>IFERROR(K266/K445, "NA")</f>
        <v>2.6323145867979431E-2</v>
      </c>
      <c r="M266" s="9"/>
      <c r="N266" s="10">
        <f>IFERROR(-(B266-K266), "NA")</f>
        <v>10.829999999999927</v>
      </c>
      <c r="O266" s="8">
        <f>IFERROR(N266/N445, "NA")</f>
        <v>-1.2146566323841073E-3</v>
      </c>
      <c r="P266" s="9"/>
      <c r="Q266" s="7">
        <v>15096.85</v>
      </c>
      <c r="R266" s="8">
        <f>IFERROR(Q266/Q445, "NA")</f>
        <v>2.8958197907128409E-2</v>
      </c>
      <c r="S266" s="9"/>
      <c r="T266" s="7">
        <v>17205.21</v>
      </c>
      <c r="U266" s="8">
        <f>IFERROR(T266/T445, "NA")</f>
        <v>2.9000004567803144E-2</v>
      </c>
      <c r="V266" s="9"/>
      <c r="W266" s="10">
        <f>IFERROR(-(Q266-T266), "NA")</f>
        <v>2108.3599999999988</v>
      </c>
      <c r="X266" s="8">
        <f>IFERROR(W266/W445, "NA")</f>
        <v>-2.9302923537709937E-2</v>
      </c>
      <c r="Y266" s="9"/>
      <c r="Z266" s="7">
        <v>15304.29</v>
      </c>
      <c r="AA266" s="8">
        <f>IFERROR(Z266/Z445, "NA")</f>
        <v>2.7749240033539971E-2</v>
      </c>
      <c r="AB266" s="9"/>
      <c r="AC266" s="10">
        <f>IFERROR(-(Q266-Z266), "NA")</f>
        <v>207.44000000000051</v>
      </c>
      <c r="AD266" s="8">
        <f>IFERROR(AC266/AC445, "NA")</f>
        <v>-6.8714816947093253E-3</v>
      </c>
    </row>
    <row r="267" spans="1:30" ht="16.5" customHeight="1" x14ac:dyDescent="0.45">
      <c r="A267" s="6" t="s">
        <v>243</v>
      </c>
      <c r="B267" s="7">
        <v>0</v>
      </c>
      <c r="C267" s="8">
        <f>IFERROR(B267/B445, "NA")</f>
        <v>0</v>
      </c>
      <c r="D267" s="9"/>
      <c r="E267" s="7">
        <v>0</v>
      </c>
      <c r="F267" s="8">
        <f>IFERROR(E267/E445, "NA")</f>
        <v>0</v>
      </c>
      <c r="G267" s="9"/>
      <c r="H267" s="10">
        <f>IFERROR(-(B267-E267), "NA")</f>
        <v>0</v>
      </c>
      <c r="I267" s="8">
        <f>IFERROR(H267/H445, "NA")</f>
        <v>0</v>
      </c>
      <c r="J267" s="9"/>
      <c r="K267" s="7">
        <v>7.26</v>
      </c>
      <c r="L267" s="8">
        <f>IFERROR(K267/K445, "NA")</f>
        <v>5.5602248168916875E-5</v>
      </c>
      <c r="M267" s="9"/>
      <c r="N267" s="10">
        <f>IFERROR(-(B267-K267), "NA")</f>
        <v>7.26</v>
      </c>
      <c r="O267" s="8">
        <f>IFERROR(N267/N445, "NA")</f>
        <v>-8.1425735467300807E-4</v>
      </c>
      <c r="P267" s="9"/>
      <c r="Q267" s="7">
        <v>32.799999999999997</v>
      </c>
      <c r="R267" s="8">
        <f>IFERROR(Q267/Q445, "NA")</f>
        <v>6.2915700384769783E-5</v>
      </c>
      <c r="S267" s="9"/>
      <c r="T267" s="7">
        <v>0</v>
      </c>
      <c r="U267" s="8">
        <f>IFERROR(T267/T445, "NA")</f>
        <v>0</v>
      </c>
      <c r="V267" s="9"/>
      <c r="W267" s="10">
        <f>IFERROR(-(Q267-T267), "NA")</f>
        <v>-32.799999999999997</v>
      </c>
      <c r="X267" s="8">
        <f>IFERROR(W267/W445, "NA")</f>
        <v>4.5586896546931567E-4</v>
      </c>
      <c r="Y267" s="9"/>
      <c r="Z267" s="7">
        <v>44.8</v>
      </c>
      <c r="AA267" s="8">
        <f>IFERROR(Z267/Z445, "NA")</f>
        <v>8.1229900472520487E-5</v>
      </c>
      <c r="AB267" s="9"/>
      <c r="AC267" s="10">
        <f>IFERROR(-(Q267-Z267), "NA")</f>
        <v>12</v>
      </c>
      <c r="AD267" s="8">
        <f>IFERROR(AC267/AC445, "NA")</f>
        <v>-3.9750183347720644E-4</v>
      </c>
    </row>
    <row r="268" spans="1:30" ht="16.5" customHeight="1" x14ac:dyDescent="0.45">
      <c r="A268" s="19" t="s">
        <v>244</v>
      </c>
      <c r="B268" s="14">
        <f>IFERROR(B266+B267, "NA")</f>
        <v>3426.19</v>
      </c>
      <c r="C268" s="15">
        <f>IFERROR(B268/B445, "NA")</f>
        <v>2.816336079259435E-2</v>
      </c>
      <c r="D268" s="2"/>
      <c r="E268" s="14">
        <f>IFERROR(E266+E267, "NA")</f>
        <v>4136.79</v>
      </c>
      <c r="F268" s="15">
        <f>IFERROR(E268/E445, "NA")</f>
        <v>2.8999983946498796E-2</v>
      </c>
      <c r="G268" s="2"/>
      <c r="H268" s="14">
        <f>IFERROR(-(B268-E268), "NA")</f>
        <v>710.59999999999991</v>
      </c>
      <c r="I268" s="15">
        <f>IFERROR(H268/H445, "NA")</f>
        <v>-3.3848007868971138E-2</v>
      </c>
      <c r="J268" s="2"/>
      <c r="K268" s="14">
        <f>IFERROR(K266+K267, "NA")</f>
        <v>3444.28</v>
      </c>
      <c r="L268" s="15">
        <f>IFERROR(K268/K445, "NA")</f>
        <v>2.6378748116148352E-2</v>
      </c>
      <c r="M268" s="2"/>
      <c r="N268" s="14">
        <f>IFERROR(-(B268-K268), "NA")</f>
        <v>18.090000000000146</v>
      </c>
      <c r="O268" s="15">
        <f>IFERROR(N268/N445, "NA")</f>
        <v>-2.0289139870571398E-3</v>
      </c>
      <c r="P268" s="2"/>
      <c r="Q268" s="14">
        <f>IFERROR(Q266+Q267, "NA")</f>
        <v>15129.65</v>
      </c>
      <c r="R268" s="15">
        <f>IFERROR(Q268/Q445, "NA")</f>
        <v>2.9021113607513176E-2</v>
      </c>
      <c r="S268" s="2"/>
      <c r="T268" s="14">
        <f>IFERROR(T266+T267, "NA")</f>
        <v>17205.21</v>
      </c>
      <c r="U268" s="15">
        <f>IFERROR(T268/T445, "NA")</f>
        <v>2.9000004567803144E-2</v>
      </c>
      <c r="V268" s="2"/>
      <c r="W268" s="14">
        <f>IFERROR(-(Q268-T268), "NA")</f>
        <v>2075.5599999999995</v>
      </c>
      <c r="X268" s="15">
        <f>IFERROR(W268/W445, "NA")</f>
        <v>-2.884705457224063E-2</v>
      </c>
      <c r="Y268" s="2"/>
      <c r="Z268" s="14">
        <f>IFERROR(Z266+Z267, "NA")</f>
        <v>15349.09</v>
      </c>
      <c r="AA268" s="15">
        <f>IFERROR(Z268/Z445, "NA")</f>
        <v>2.7830469934012489E-2</v>
      </c>
      <c r="AB268" s="2"/>
      <c r="AC268" s="14">
        <f>IFERROR(-(Q268-Z268), "NA")</f>
        <v>219.44000000000051</v>
      </c>
      <c r="AD268" s="15">
        <f>IFERROR(AC268/AC445, "NA")</f>
        <v>-7.2689835281865315E-3</v>
      </c>
    </row>
    <row r="269" spans="1:30" ht="16.5" customHeight="1" x14ac:dyDescent="0.45">
      <c r="A269" s="5" t="s">
        <v>245</v>
      </c>
      <c r="B269" s="2"/>
      <c r="C269" s="3"/>
      <c r="D269" s="4"/>
      <c r="E269" s="2"/>
      <c r="F269" s="3"/>
      <c r="G269" s="4"/>
      <c r="H269" s="2"/>
      <c r="I269" s="3"/>
      <c r="J269" s="4"/>
      <c r="K269" s="2"/>
      <c r="L269" s="3"/>
      <c r="M269" s="4"/>
      <c r="N269" s="2"/>
      <c r="O269" s="3"/>
      <c r="P269" s="4"/>
      <c r="Q269" s="2"/>
      <c r="R269" s="3"/>
      <c r="S269" s="4"/>
      <c r="T269" s="2"/>
      <c r="U269" s="3"/>
      <c r="V269" s="4"/>
      <c r="W269" s="2"/>
      <c r="X269" s="3"/>
      <c r="Y269" s="4"/>
      <c r="Z269" s="2"/>
      <c r="AA269" s="3"/>
      <c r="AB269" s="4"/>
      <c r="AC269" s="2"/>
      <c r="AD269" s="3"/>
    </row>
    <row r="270" spans="1:30" ht="16.5" hidden="1" customHeight="1" x14ac:dyDescent="0.45">
      <c r="A270" s="6" t="s">
        <v>245</v>
      </c>
      <c r="B270" s="7">
        <v>0</v>
      </c>
      <c r="C270" s="8">
        <f>IFERROR(B270/B445, "NA")</f>
        <v>0</v>
      </c>
      <c r="D270" s="9"/>
      <c r="E270" s="7">
        <v>0</v>
      </c>
      <c r="F270" s="8">
        <f>IFERROR(E270/E445, "NA")</f>
        <v>0</v>
      </c>
      <c r="G270" s="9"/>
      <c r="H270" s="10">
        <f>IFERROR(-(B270-E270), "NA")</f>
        <v>0</v>
      </c>
      <c r="I270" s="8">
        <f>IFERROR(H270/H445, "NA")</f>
        <v>0</v>
      </c>
      <c r="J270" s="9"/>
      <c r="K270" s="7">
        <v>0</v>
      </c>
      <c r="L270" s="8">
        <f>IFERROR(K270/K445, "NA")</f>
        <v>0</v>
      </c>
      <c r="M270" s="9"/>
      <c r="N270" s="10">
        <f>IFERROR(-(B270-K270), "NA")</f>
        <v>0</v>
      </c>
      <c r="O270" s="8">
        <f>IFERROR(N270/N445, "NA")</f>
        <v>0</v>
      </c>
      <c r="P270" s="9"/>
      <c r="Q270" s="7">
        <v>0</v>
      </c>
      <c r="R270" s="8">
        <f>IFERROR(Q270/Q445, "NA")</f>
        <v>0</v>
      </c>
      <c r="S270" s="9"/>
      <c r="T270" s="7">
        <v>0</v>
      </c>
      <c r="U270" s="8">
        <f>IFERROR(T270/T445, "NA")</f>
        <v>0</v>
      </c>
      <c r="V270" s="9"/>
      <c r="W270" s="10">
        <f>IFERROR(-(Q270-T270), "NA")</f>
        <v>0</v>
      </c>
      <c r="X270" s="8">
        <f>IFERROR(W270/W445, "NA")</f>
        <v>0</v>
      </c>
      <c r="Y270" s="9"/>
      <c r="Z270" s="7">
        <v>0</v>
      </c>
      <c r="AA270" s="8">
        <f>IFERROR(Z270/Z445, "NA")</f>
        <v>0</v>
      </c>
      <c r="AB270" s="9"/>
      <c r="AC270" s="10">
        <f>IFERROR(-(Q270-Z270), "NA")</f>
        <v>0</v>
      </c>
      <c r="AD270" s="8">
        <f>IFERROR(AC270/AC445, "NA")</f>
        <v>0</v>
      </c>
    </row>
    <row r="271" spans="1:30" ht="16.5" customHeight="1" x14ac:dyDescent="0.45">
      <c r="A271" s="6" t="s">
        <v>246</v>
      </c>
      <c r="B271" s="7">
        <v>197.92</v>
      </c>
      <c r="C271" s="8">
        <f>IFERROR(B271/B445, "NA")</f>
        <v>1.62690696314865E-3</v>
      </c>
      <c r="D271" s="9"/>
      <c r="E271" s="7">
        <v>200.2</v>
      </c>
      <c r="F271" s="8">
        <f>IFERROR(E271/E445, "NA")</f>
        <v>1.4034545592328976E-3</v>
      </c>
      <c r="G271" s="9"/>
      <c r="H271" s="10">
        <f>IFERROR(-(B271-E271), "NA")</f>
        <v>2.2800000000000011</v>
      </c>
      <c r="I271" s="8">
        <f>IFERROR(H271/H445, "NA")</f>
        <v>-1.0860323380418553E-4</v>
      </c>
      <c r="J271" s="9"/>
      <c r="K271" s="7">
        <v>201.75</v>
      </c>
      <c r="L271" s="8">
        <f>IFERROR(K271/K445, "NA")</f>
        <v>1.5451451195701074E-3</v>
      </c>
      <c r="M271" s="9"/>
      <c r="N271" s="10">
        <f>IFERROR(-(B271-K271), "NA")</f>
        <v>3.8300000000000125</v>
      </c>
      <c r="O271" s="8">
        <f>IFERROR(N271/N445, "NA")</f>
        <v>-4.2956000942116128E-4</v>
      </c>
      <c r="P271" s="9"/>
      <c r="Q271" s="7">
        <v>989.44</v>
      </c>
      <c r="R271" s="8">
        <f>IFERROR(Q271/Q445, "NA")</f>
        <v>1.8979058106312996E-3</v>
      </c>
      <c r="S271" s="9"/>
      <c r="T271" s="7">
        <v>1001</v>
      </c>
      <c r="U271" s="8">
        <f>IFERROR(T271/T445, "NA")</f>
        <v>1.6872217527348372E-3</v>
      </c>
      <c r="V271" s="9"/>
      <c r="W271" s="10">
        <f>IFERROR(-(Q271-T271), "NA")</f>
        <v>11.559999999999945</v>
      </c>
      <c r="X271" s="8">
        <f>IFERROR(W271/W445, "NA")</f>
        <v>-1.6066601343979467E-4</v>
      </c>
      <c r="Y271" s="9"/>
      <c r="Z271" s="7">
        <v>1008.67</v>
      </c>
      <c r="AA271" s="8">
        <f>IFERROR(Z271/Z445, "NA")</f>
        <v>1.8288875828039563E-3</v>
      </c>
      <c r="AB271" s="9"/>
      <c r="AC271" s="10">
        <f>IFERROR(-(Q271-Z271), "NA")</f>
        <v>19.229999999999905</v>
      </c>
      <c r="AD271" s="8">
        <f>IFERROR(AC271/AC445, "NA")</f>
        <v>-6.3699668814722011E-4</v>
      </c>
    </row>
    <row r="272" spans="1:30" ht="16.5" customHeight="1" x14ac:dyDescent="0.45">
      <c r="A272" s="6" t="s">
        <v>247</v>
      </c>
      <c r="B272" s="7">
        <v>894.47</v>
      </c>
      <c r="C272" s="8">
        <f>IFERROR(B272/B445, "NA")</f>
        <v>7.3525640224715704E-3</v>
      </c>
      <c r="D272" s="9"/>
      <c r="E272" s="7">
        <v>894.43</v>
      </c>
      <c r="F272" s="8">
        <f>IFERROR(E272/E445, "NA")</f>
        <v>6.2701891179554482E-3</v>
      </c>
      <c r="G272" s="9"/>
      <c r="H272" s="10">
        <f>IFERROR(-(B272-E272), "NA")</f>
        <v>-4.0000000000077307E-2</v>
      </c>
      <c r="I272" s="8">
        <f>IFERROR(H272/H445, "NA")</f>
        <v>1.905319891305182E-6</v>
      </c>
      <c r="J272" s="9"/>
      <c r="K272" s="7">
        <v>778.64</v>
      </c>
      <c r="L272" s="8">
        <f>IFERROR(K272/K445, "NA")</f>
        <v>5.9633794096756801E-3</v>
      </c>
      <c r="M272" s="9"/>
      <c r="N272" s="10">
        <f>IFERROR(-(B272-K272), "NA")</f>
        <v>-115.83000000000004</v>
      </c>
      <c r="O272" s="8">
        <f>IFERROR(N272/N445, "NA")</f>
        <v>1.2991105976828451E-2</v>
      </c>
      <c r="P272" s="9"/>
      <c r="Q272" s="7">
        <v>4472.1899999999996</v>
      </c>
      <c r="R272" s="8">
        <f>IFERROR(Q272/Q445, "NA")</f>
        <v>8.5783831129196218E-3</v>
      </c>
      <c r="S272" s="9"/>
      <c r="T272" s="7">
        <v>4472.1499999999996</v>
      </c>
      <c r="U272" s="8">
        <f>IFERROR(T272/T445, "NA")</f>
        <v>7.5379707907023991E-3</v>
      </c>
      <c r="V272" s="9"/>
      <c r="W272" s="10">
        <f>IFERROR(-(Q272-T272), "NA")</f>
        <v>-3.999999999996362E-2</v>
      </c>
      <c r="X272" s="8">
        <f>IFERROR(W272/W445, "NA")</f>
        <v>5.5593776276695257E-7</v>
      </c>
      <c r="Y272" s="9"/>
      <c r="Z272" s="7">
        <v>3892.96</v>
      </c>
      <c r="AA272" s="8">
        <f>IFERROR(Z272/Z445, "NA")</f>
        <v>7.0585882442746285E-3</v>
      </c>
      <c r="AB272" s="9"/>
      <c r="AC272" s="10">
        <f>IFERROR(-(Q272-Z272), "NA")</f>
        <v>-579.22999999999956</v>
      </c>
      <c r="AD272" s="8">
        <f>IFERROR(AC272/AC445, "NA")</f>
        <v>1.9187082250416841E-2</v>
      </c>
    </row>
    <row r="273" spans="1:30" ht="16.5" hidden="1" customHeight="1" x14ac:dyDescent="0.45">
      <c r="A273" s="6" t="s">
        <v>248</v>
      </c>
      <c r="B273" s="7">
        <v>0</v>
      </c>
      <c r="C273" s="8">
        <f>IFERROR(B273/B445, "NA")</f>
        <v>0</v>
      </c>
      <c r="D273" s="9"/>
      <c r="E273" s="7">
        <v>0</v>
      </c>
      <c r="F273" s="8">
        <f>IFERROR(E273/E445, "NA")</f>
        <v>0</v>
      </c>
      <c r="G273" s="9"/>
      <c r="H273" s="10">
        <f>IFERROR(-(B273-E273), "NA")</f>
        <v>0</v>
      </c>
      <c r="I273" s="8">
        <f>IFERROR(H273/H445, "NA")</f>
        <v>0</v>
      </c>
      <c r="J273" s="9"/>
      <c r="K273" s="7">
        <v>0</v>
      </c>
      <c r="L273" s="8">
        <f>IFERROR(K273/K445, "NA")</f>
        <v>0</v>
      </c>
      <c r="M273" s="9"/>
      <c r="N273" s="10">
        <f>IFERROR(-(B273-K273), "NA")</f>
        <v>0</v>
      </c>
      <c r="O273" s="8">
        <f>IFERROR(N273/N445, "NA")</f>
        <v>0</v>
      </c>
      <c r="P273" s="9"/>
      <c r="Q273" s="7">
        <v>0</v>
      </c>
      <c r="R273" s="8">
        <f>IFERROR(Q273/Q445, "NA")</f>
        <v>0</v>
      </c>
      <c r="S273" s="9"/>
      <c r="T273" s="7">
        <v>0</v>
      </c>
      <c r="U273" s="8">
        <f>IFERROR(T273/T445, "NA")</f>
        <v>0</v>
      </c>
      <c r="V273" s="9"/>
      <c r="W273" s="10">
        <f>IFERROR(-(Q273-T273), "NA")</f>
        <v>0</v>
      </c>
      <c r="X273" s="8">
        <f>IFERROR(W273/W445, "NA")</f>
        <v>0</v>
      </c>
      <c r="Y273" s="9"/>
      <c r="Z273" s="7">
        <v>0</v>
      </c>
      <c r="AA273" s="8">
        <f>IFERROR(Z273/Z445, "NA")</f>
        <v>0</v>
      </c>
      <c r="AB273" s="9"/>
      <c r="AC273" s="10">
        <f>IFERROR(-(Q273-Z273), "NA")</f>
        <v>0</v>
      </c>
      <c r="AD273" s="8">
        <f>IFERROR(AC273/AC445, "NA")</f>
        <v>0</v>
      </c>
    </row>
    <row r="274" spans="1:30" ht="16.5" customHeight="1" x14ac:dyDescent="0.45">
      <c r="A274" s="19" t="s">
        <v>249</v>
      </c>
      <c r="B274" s="14">
        <f>IFERROR(B270+B271+B272+B273, "NA")</f>
        <v>1092.3900000000001</v>
      </c>
      <c r="C274" s="15">
        <f>IFERROR(B274/B445, "NA")</f>
        <v>8.9794709856202207E-3</v>
      </c>
      <c r="D274" s="2"/>
      <c r="E274" s="14">
        <f>IFERROR(E270+E271+E272+E273, "NA")</f>
        <v>1094.6299999999999</v>
      </c>
      <c r="F274" s="15">
        <f>IFERROR(E274/E445, "NA")</f>
        <v>7.6736436771883453E-3</v>
      </c>
      <c r="G274" s="2"/>
      <c r="H274" s="14">
        <f>IFERROR(-(B274-E274), "NA")</f>
        <v>2.2399999999997817</v>
      </c>
      <c r="I274" s="15">
        <f>IFERROR(H274/H445, "NA")</f>
        <v>-1.0669791391287359E-4</v>
      </c>
      <c r="J274" s="2"/>
      <c r="K274" s="14">
        <f>IFERROR(K270+K271+K272+K273, "NA")</f>
        <v>980.39</v>
      </c>
      <c r="L274" s="15">
        <f>IFERROR(K274/K445, "NA")</f>
        <v>7.5085245292457869E-3</v>
      </c>
      <c r="M274" s="2"/>
      <c r="N274" s="14">
        <f>IFERROR(-(B274-K274), "NA")</f>
        <v>-112.00000000000011</v>
      </c>
      <c r="O274" s="15">
        <f>IFERROR(N274/N445, "NA")</f>
        <v>1.2561545967407299E-2</v>
      </c>
      <c r="P274" s="2"/>
      <c r="Q274" s="14">
        <f>IFERROR(Q270+Q271+Q272+Q273, "NA")</f>
        <v>5461.6299999999992</v>
      </c>
      <c r="R274" s="15">
        <f>IFERROR(Q274/Q445, "NA")</f>
        <v>1.047628892355092E-2</v>
      </c>
      <c r="S274" s="2"/>
      <c r="T274" s="14">
        <f>IFERROR(T270+T271+T272+T273, "NA")</f>
        <v>5473.15</v>
      </c>
      <c r="U274" s="15">
        <f>IFERROR(T274/T445, "NA")</f>
        <v>9.2251925434372363E-3</v>
      </c>
      <c r="V274" s="2"/>
      <c r="W274" s="14">
        <f>IFERROR(-(Q274-T274), "NA")</f>
        <v>11.520000000000437</v>
      </c>
      <c r="X274" s="15">
        <f>IFERROR(W274/W445, "NA")</f>
        <v>-1.6011007567703401E-4</v>
      </c>
      <c r="Y274" s="2"/>
      <c r="Z274" s="14">
        <f>IFERROR(Z270+Z271+Z272+Z273, "NA")</f>
        <v>4901.63</v>
      </c>
      <c r="AA274" s="15">
        <f>IFERROR(Z274/Z445, "NA")</f>
        <v>8.887475827078585E-3</v>
      </c>
      <c r="AB274" s="2"/>
      <c r="AC274" s="14">
        <f>IFERROR(-(Q274-Z274), "NA")</f>
        <v>-559.99999999999909</v>
      </c>
      <c r="AD274" s="15">
        <f>IFERROR(AC274/AC445, "NA")</f>
        <v>1.8550085562269603E-2</v>
      </c>
    </row>
    <row r="275" spans="1:30" ht="16.5" customHeight="1" x14ac:dyDescent="0.45">
      <c r="A275" s="5" t="s">
        <v>250</v>
      </c>
      <c r="B275" s="2"/>
      <c r="C275" s="3"/>
      <c r="D275" s="4"/>
      <c r="E275" s="2"/>
      <c r="F275" s="3"/>
      <c r="G275" s="4"/>
      <c r="H275" s="2"/>
      <c r="I275" s="3"/>
      <c r="J275" s="4"/>
      <c r="K275" s="2"/>
      <c r="L275" s="3"/>
      <c r="M275" s="4"/>
      <c r="N275" s="2"/>
      <c r="O275" s="3"/>
      <c r="P275" s="4"/>
      <c r="Q275" s="2"/>
      <c r="R275" s="3"/>
      <c r="S275" s="4"/>
      <c r="T275" s="2"/>
      <c r="U275" s="3"/>
      <c r="V275" s="4"/>
      <c r="W275" s="2"/>
      <c r="X275" s="3"/>
      <c r="Y275" s="4"/>
      <c r="Z275" s="2"/>
      <c r="AA275" s="3"/>
      <c r="AB275" s="4"/>
      <c r="AC275" s="2"/>
      <c r="AD275" s="3"/>
    </row>
    <row r="276" spans="1:30" ht="16.5" hidden="1" customHeight="1" x14ac:dyDescent="0.45">
      <c r="A276" s="6" t="s">
        <v>250</v>
      </c>
      <c r="B276" s="7">
        <v>0</v>
      </c>
      <c r="C276" s="8">
        <f>IFERROR(B276/B445, "NA")</f>
        <v>0</v>
      </c>
      <c r="D276" s="9"/>
      <c r="E276" s="7">
        <v>0</v>
      </c>
      <c r="F276" s="8">
        <f>IFERROR(E276/E445, "NA")</f>
        <v>0</v>
      </c>
      <c r="G276" s="9"/>
      <c r="H276" s="10">
        <f t="shared" ref="H276:H285" si="68">IFERROR(-(B276-E276), "NA")</f>
        <v>0</v>
      </c>
      <c r="I276" s="8">
        <f>IFERROR(H276/H445, "NA")</f>
        <v>0</v>
      </c>
      <c r="J276" s="9"/>
      <c r="K276" s="7">
        <v>0</v>
      </c>
      <c r="L276" s="8">
        <f>IFERROR(K276/K445, "NA")</f>
        <v>0</v>
      </c>
      <c r="M276" s="9"/>
      <c r="N276" s="10">
        <f t="shared" ref="N276:N285" si="69">IFERROR(-(B276-K276), "NA")</f>
        <v>0</v>
      </c>
      <c r="O276" s="8">
        <f>IFERROR(N276/N445, "NA")</f>
        <v>0</v>
      </c>
      <c r="P276" s="9"/>
      <c r="Q276" s="7">
        <v>0</v>
      </c>
      <c r="R276" s="8">
        <f>IFERROR(Q276/Q445, "NA")</f>
        <v>0</v>
      </c>
      <c r="S276" s="9"/>
      <c r="T276" s="7">
        <v>0</v>
      </c>
      <c r="U276" s="8">
        <f>IFERROR(T276/T445, "NA")</f>
        <v>0</v>
      </c>
      <c r="V276" s="9"/>
      <c r="W276" s="10">
        <f t="shared" ref="W276:W285" si="70">IFERROR(-(Q276-T276), "NA")</f>
        <v>0</v>
      </c>
      <c r="X276" s="8">
        <f>IFERROR(W276/W445, "NA")</f>
        <v>0</v>
      </c>
      <c r="Y276" s="9"/>
      <c r="Z276" s="7">
        <v>0</v>
      </c>
      <c r="AA276" s="8">
        <f>IFERROR(Z276/Z445, "NA")</f>
        <v>0</v>
      </c>
      <c r="AB276" s="9"/>
      <c r="AC276" s="10">
        <f t="shared" ref="AC276:AC285" si="71">IFERROR(-(Q276-Z276), "NA")</f>
        <v>0</v>
      </c>
      <c r="AD276" s="8">
        <f>IFERROR(AC276/AC445,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IFERROR(B277/B445, "NA")</f>
        <v>0</v>
      </c>
      <c r="D277" s="9"/>
      <c r="E277" s="7">
        <v>0</v>
      </c>
      <c r="F277" s="8">
        <f>IFERROR(E277/E445, "NA")</f>
        <v>0</v>
      </c>
      <c r="G277" s="9"/>
      <c r="H277" s="10">
        <f t="shared" si="68"/>
        <v>0</v>
      </c>
      <c r="I277" s="8">
        <f>IFERROR(H277/H445, "NA")</f>
        <v>0</v>
      </c>
      <c r="J277" s="9"/>
      <c r="K277" s="7">
        <v>0</v>
      </c>
      <c r="L277" s="8">
        <f>IFERROR(K277/K445, "NA")</f>
        <v>0</v>
      </c>
      <c r="M277" s="9"/>
      <c r="N277" s="10">
        <f t="shared" si="69"/>
        <v>0</v>
      </c>
      <c r="O277" s="8">
        <f>IFERROR(N277/N445, "NA")</f>
        <v>0</v>
      </c>
      <c r="P277" s="9"/>
      <c r="Q277" s="7">
        <v>0</v>
      </c>
      <c r="R277" s="8">
        <f>IFERROR(Q277/Q445, "NA")</f>
        <v>0</v>
      </c>
      <c r="S277" s="9"/>
      <c r="T277" s="7">
        <v>0</v>
      </c>
      <c r="U277" s="8">
        <f>IFERROR(T277/T445, "NA")</f>
        <v>0</v>
      </c>
      <c r="V277" s="9"/>
      <c r="W277" s="10">
        <f t="shared" si="70"/>
        <v>0</v>
      </c>
      <c r="X277" s="8">
        <f>IFERROR(W277/W445, "NA")</f>
        <v>0</v>
      </c>
      <c r="Y277" s="9"/>
      <c r="Z277" s="7">
        <v>0</v>
      </c>
      <c r="AA277" s="8">
        <f>IFERROR(Z277/Z445, "NA")</f>
        <v>0</v>
      </c>
      <c r="AB277" s="9"/>
      <c r="AC277" s="10">
        <f t="shared" si="71"/>
        <v>0</v>
      </c>
      <c r="AD277" s="8">
        <f>IFERROR(AC277/AC445,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IFERROR(B278/B445, "NA")</f>
        <v>0</v>
      </c>
      <c r="D278" s="9"/>
      <c r="E278" s="7">
        <v>0</v>
      </c>
      <c r="F278" s="8">
        <f>IFERROR(E278/E445, "NA")</f>
        <v>0</v>
      </c>
      <c r="G278" s="9"/>
      <c r="H278" s="10">
        <f t="shared" si="68"/>
        <v>0</v>
      </c>
      <c r="I278" s="8">
        <f>IFERROR(H278/H445, "NA")</f>
        <v>0</v>
      </c>
      <c r="J278" s="9"/>
      <c r="K278" s="7">
        <v>0</v>
      </c>
      <c r="L278" s="8">
        <f>IFERROR(K278/K445, "NA")</f>
        <v>0</v>
      </c>
      <c r="M278" s="9"/>
      <c r="N278" s="10">
        <f t="shared" si="69"/>
        <v>0</v>
      </c>
      <c r="O278" s="8">
        <f>IFERROR(N278/N445, "NA")</f>
        <v>0</v>
      </c>
      <c r="P278" s="9"/>
      <c r="Q278" s="7">
        <v>0</v>
      </c>
      <c r="R278" s="8">
        <f>IFERROR(Q278/Q445, "NA")</f>
        <v>0</v>
      </c>
      <c r="S278" s="9"/>
      <c r="T278" s="7">
        <v>0</v>
      </c>
      <c r="U278" s="8">
        <f>IFERROR(T278/T445, "NA")</f>
        <v>0</v>
      </c>
      <c r="V278" s="9"/>
      <c r="W278" s="10">
        <f t="shared" si="70"/>
        <v>0</v>
      </c>
      <c r="X278" s="8">
        <f>IFERROR(W278/W445, "NA")</f>
        <v>0</v>
      </c>
      <c r="Y278" s="9"/>
      <c r="Z278" s="7">
        <v>0</v>
      </c>
      <c r="AA278" s="8">
        <f>IFERROR(Z278/Z445, "NA")</f>
        <v>0</v>
      </c>
      <c r="AB278" s="9"/>
      <c r="AC278" s="10">
        <f t="shared" si="71"/>
        <v>0</v>
      </c>
      <c r="AD278" s="8">
        <f>IFERROR(AC278/AC445,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IFERROR(B279/B445, "NA")</f>
        <v>0</v>
      </c>
      <c r="D279" s="9"/>
      <c r="E279" s="7">
        <v>0</v>
      </c>
      <c r="F279" s="8">
        <f>IFERROR(E279/E445, "NA")</f>
        <v>0</v>
      </c>
      <c r="G279" s="9"/>
      <c r="H279" s="10">
        <f t="shared" si="68"/>
        <v>0</v>
      </c>
      <c r="I279" s="8">
        <f>IFERROR(H279/H445, "NA")</f>
        <v>0</v>
      </c>
      <c r="J279" s="9"/>
      <c r="K279" s="7">
        <v>0</v>
      </c>
      <c r="L279" s="8">
        <f>IFERROR(K279/K445, "NA")</f>
        <v>0</v>
      </c>
      <c r="M279" s="9"/>
      <c r="N279" s="10">
        <f t="shared" si="69"/>
        <v>0</v>
      </c>
      <c r="O279" s="8">
        <f>IFERROR(N279/N445, "NA")</f>
        <v>0</v>
      </c>
      <c r="P279" s="9"/>
      <c r="Q279" s="7">
        <v>0</v>
      </c>
      <c r="R279" s="8">
        <f>IFERROR(Q279/Q445, "NA")</f>
        <v>0</v>
      </c>
      <c r="S279" s="9"/>
      <c r="T279" s="7">
        <v>0</v>
      </c>
      <c r="U279" s="8">
        <f>IFERROR(T279/T445, "NA")</f>
        <v>0</v>
      </c>
      <c r="V279" s="9"/>
      <c r="W279" s="10">
        <f t="shared" si="70"/>
        <v>0</v>
      </c>
      <c r="X279" s="8">
        <f>IFERROR(W279/W445, "NA")</f>
        <v>0</v>
      </c>
      <c r="Y279" s="9"/>
      <c r="Z279" s="7">
        <v>0</v>
      </c>
      <c r="AA279" s="8">
        <f>IFERROR(Z279/Z445, "NA")</f>
        <v>0</v>
      </c>
      <c r="AB279" s="9"/>
      <c r="AC279" s="10">
        <f t="shared" si="71"/>
        <v>0</v>
      </c>
      <c r="AD279" s="8">
        <f>IFERROR(AC279/AC445,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IFERROR(B280/B445, "NA")</f>
        <v>0</v>
      </c>
      <c r="D280" s="9"/>
      <c r="E280" s="7">
        <v>0</v>
      </c>
      <c r="F280" s="8">
        <f>IFERROR(E280/E445, "NA")</f>
        <v>0</v>
      </c>
      <c r="G280" s="9"/>
      <c r="H280" s="10">
        <f t="shared" si="68"/>
        <v>0</v>
      </c>
      <c r="I280" s="8">
        <f>IFERROR(H280/H445, "NA")</f>
        <v>0</v>
      </c>
      <c r="J280" s="9"/>
      <c r="K280" s="7">
        <v>0</v>
      </c>
      <c r="L280" s="8">
        <f>IFERROR(K280/K445, "NA")</f>
        <v>0</v>
      </c>
      <c r="M280" s="9"/>
      <c r="N280" s="10">
        <f t="shared" si="69"/>
        <v>0</v>
      </c>
      <c r="O280" s="8">
        <f>IFERROR(N280/N445, "NA")</f>
        <v>0</v>
      </c>
      <c r="P280" s="9"/>
      <c r="Q280" s="7">
        <v>0</v>
      </c>
      <c r="R280" s="8">
        <f>IFERROR(Q280/Q445, "NA")</f>
        <v>0</v>
      </c>
      <c r="S280" s="9"/>
      <c r="T280" s="7">
        <v>0</v>
      </c>
      <c r="U280" s="8">
        <f>IFERROR(T280/T445, "NA")</f>
        <v>0</v>
      </c>
      <c r="V280" s="9"/>
      <c r="W280" s="10">
        <f t="shared" si="70"/>
        <v>0</v>
      </c>
      <c r="X280" s="8">
        <f>IFERROR(W280/W445, "NA")</f>
        <v>0</v>
      </c>
      <c r="Y280" s="9"/>
      <c r="Z280" s="7">
        <v>0</v>
      </c>
      <c r="AA280" s="8">
        <f>IFERROR(Z280/Z445, "NA")</f>
        <v>0</v>
      </c>
      <c r="AB280" s="9"/>
      <c r="AC280" s="10">
        <f t="shared" si="71"/>
        <v>0</v>
      </c>
      <c r="AD280" s="8">
        <f>IFERROR(AC280/AC445,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IFERROR(B281/B445, "NA")</f>
        <v>0</v>
      </c>
      <c r="D281" s="9"/>
      <c r="E281" s="7">
        <v>0</v>
      </c>
      <c r="F281" s="8">
        <f>IFERROR(E281/E445, "NA")</f>
        <v>0</v>
      </c>
      <c r="G281" s="9"/>
      <c r="H281" s="10">
        <f t="shared" si="68"/>
        <v>0</v>
      </c>
      <c r="I281" s="8">
        <f>IFERROR(H281/H445, "NA")</f>
        <v>0</v>
      </c>
      <c r="J281" s="9"/>
      <c r="K281" s="7">
        <v>0</v>
      </c>
      <c r="L281" s="8">
        <f>IFERROR(K281/K445, "NA")</f>
        <v>0</v>
      </c>
      <c r="M281" s="9"/>
      <c r="N281" s="10">
        <f t="shared" si="69"/>
        <v>0</v>
      </c>
      <c r="O281" s="8">
        <f>IFERROR(N281/N445, "NA")</f>
        <v>0</v>
      </c>
      <c r="P281" s="9"/>
      <c r="Q281" s="7">
        <v>0</v>
      </c>
      <c r="R281" s="8">
        <f>IFERROR(Q281/Q445, "NA")</f>
        <v>0</v>
      </c>
      <c r="S281" s="9"/>
      <c r="T281" s="7">
        <v>0</v>
      </c>
      <c r="U281" s="8">
        <f>IFERROR(T281/T445, "NA")</f>
        <v>0</v>
      </c>
      <c r="V281" s="9"/>
      <c r="W281" s="10">
        <f t="shared" si="70"/>
        <v>0</v>
      </c>
      <c r="X281" s="8">
        <f>IFERROR(W281/W445, "NA")</f>
        <v>0</v>
      </c>
      <c r="Y281" s="9"/>
      <c r="Z281" s="7">
        <v>0</v>
      </c>
      <c r="AA281" s="8">
        <f>IFERROR(Z281/Z445, "NA")</f>
        <v>0</v>
      </c>
      <c r="AB281" s="9"/>
      <c r="AC281" s="10">
        <f t="shared" si="71"/>
        <v>0</v>
      </c>
      <c r="AD281" s="8">
        <f>IFERROR(AC281/AC445,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IFERROR(B282/B445, "NA")</f>
        <v>0</v>
      </c>
      <c r="D282" s="9"/>
      <c r="E282" s="7">
        <v>0</v>
      </c>
      <c r="F282" s="8">
        <f>IFERROR(E282/E445, "NA")</f>
        <v>0</v>
      </c>
      <c r="G282" s="9"/>
      <c r="H282" s="10">
        <f t="shared" si="68"/>
        <v>0</v>
      </c>
      <c r="I282" s="8">
        <f>IFERROR(H282/H445, "NA")</f>
        <v>0</v>
      </c>
      <c r="J282" s="9"/>
      <c r="K282" s="7">
        <v>0</v>
      </c>
      <c r="L282" s="8">
        <f>IFERROR(K282/K445, "NA")</f>
        <v>0</v>
      </c>
      <c r="M282" s="9"/>
      <c r="N282" s="10">
        <f t="shared" si="69"/>
        <v>0</v>
      </c>
      <c r="O282" s="8">
        <f>IFERROR(N282/N445, "NA")</f>
        <v>0</v>
      </c>
      <c r="P282" s="9"/>
      <c r="Q282" s="7">
        <v>0</v>
      </c>
      <c r="R282" s="8">
        <f>IFERROR(Q282/Q445, "NA")</f>
        <v>0</v>
      </c>
      <c r="S282" s="9"/>
      <c r="T282" s="7">
        <v>0</v>
      </c>
      <c r="U282" s="8">
        <f>IFERROR(T282/T445, "NA")</f>
        <v>0</v>
      </c>
      <c r="V282" s="9"/>
      <c r="W282" s="10">
        <f t="shared" si="70"/>
        <v>0</v>
      </c>
      <c r="X282" s="8">
        <f>IFERROR(W282/W445, "NA")</f>
        <v>0</v>
      </c>
      <c r="Y282" s="9"/>
      <c r="Z282" s="7">
        <v>0</v>
      </c>
      <c r="AA282" s="8">
        <f>IFERROR(Z282/Z445, "NA")</f>
        <v>0</v>
      </c>
      <c r="AB282" s="9"/>
      <c r="AC282" s="10">
        <f t="shared" si="71"/>
        <v>0</v>
      </c>
      <c r="AD282" s="8">
        <f>IFERROR(AC282/AC445,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IFERROR(B283/B445, "NA")</f>
        <v>0</v>
      </c>
      <c r="D283" s="9"/>
      <c r="E283" s="7">
        <v>0</v>
      </c>
      <c r="F283" s="8">
        <f>IFERROR(E283/E445, "NA")</f>
        <v>0</v>
      </c>
      <c r="G283" s="9"/>
      <c r="H283" s="10">
        <f t="shared" si="68"/>
        <v>0</v>
      </c>
      <c r="I283" s="8">
        <f>IFERROR(H283/H445, "NA")</f>
        <v>0</v>
      </c>
      <c r="J283" s="9"/>
      <c r="K283" s="7">
        <v>0</v>
      </c>
      <c r="L283" s="8">
        <f>IFERROR(K283/K445, "NA")</f>
        <v>0</v>
      </c>
      <c r="M283" s="9"/>
      <c r="N283" s="10">
        <f t="shared" si="69"/>
        <v>0</v>
      </c>
      <c r="O283" s="8">
        <f>IFERROR(N283/N445, "NA")</f>
        <v>0</v>
      </c>
      <c r="P283" s="9"/>
      <c r="Q283" s="7">
        <v>0</v>
      </c>
      <c r="R283" s="8">
        <f>IFERROR(Q283/Q445, "NA")</f>
        <v>0</v>
      </c>
      <c r="S283" s="9"/>
      <c r="T283" s="7">
        <v>0</v>
      </c>
      <c r="U283" s="8">
        <f>IFERROR(T283/T445, "NA")</f>
        <v>0</v>
      </c>
      <c r="V283" s="9"/>
      <c r="W283" s="10">
        <f t="shared" si="70"/>
        <v>0</v>
      </c>
      <c r="X283" s="8">
        <f>IFERROR(W283/W445, "NA")</f>
        <v>0</v>
      </c>
      <c r="Y283" s="9"/>
      <c r="Z283" s="7">
        <v>0</v>
      </c>
      <c r="AA283" s="8">
        <f>IFERROR(Z283/Z445, "NA")</f>
        <v>0</v>
      </c>
      <c r="AB283" s="9"/>
      <c r="AC283" s="10">
        <f t="shared" si="71"/>
        <v>0</v>
      </c>
      <c r="AD283" s="8">
        <f>IFERROR(AC283/AC445, "NA")</f>
        <v>0</v>
      </c>
    </row>
    <row r="284" spans="1:30" ht="16.5" hidden="1" customHeight="1" x14ac:dyDescent="0.45">
      <c r="A284" s="6" t="s">
        <v>258</v>
      </c>
      <c r="B284" s="7">
        <v>0</v>
      </c>
      <c r="C284" s="8">
        <f>IFERROR(B284/B445, "NA")</f>
        <v>0</v>
      </c>
      <c r="D284" s="9"/>
      <c r="E284" s="7">
        <v>0</v>
      </c>
      <c r="F284" s="8">
        <f>IFERROR(E284/E445, "NA")</f>
        <v>0</v>
      </c>
      <c r="G284" s="9"/>
      <c r="H284" s="10">
        <f t="shared" si="68"/>
        <v>0</v>
      </c>
      <c r="I284" s="8">
        <f>IFERROR(H284/H445, "NA")</f>
        <v>0</v>
      </c>
      <c r="J284" s="9"/>
      <c r="K284" s="7">
        <v>0</v>
      </c>
      <c r="L284" s="8">
        <f>IFERROR(K284/K445, "NA")</f>
        <v>0</v>
      </c>
      <c r="M284" s="9"/>
      <c r="N284" s="10">
        <f t="shared" si="69"/>
        <v>0</v>
      </c>
      <c r="O284" s="8">
        <f>IFERROR(N284/N445, "NA")</f>
        <v>0</v>
      </c>
      <c r="P284" s="9"/>
      <c r="Q284" s="7">
        <v>0</v>
      </c>
      <c r="R284" s="8">
        <f>IFERROR(Q284/Q445, "NA")</f>
        <v>0</v>
      </c>
      <c r="S284" s="9"/>
      <c r="T284" s="7">
        <v>0</v>
      </c>
      <c r="U284" s="8">
        <f>IFERROR(T284/T445, "NA")</f>
        <v>0</v>
      </c>
      <c r="V284" s="9"/>
      <c r="W284" s="10">
        <f t="shared" si="70"/>
        <v>0</v>
      </c>
      <c r="X284" s="8">
        <f>IFERROR(W284/W445, "NA")</f>
        <v>0</v>
      </c>
      <c r="Y284" s="9"/>
      <c r="Z284" s="7">
        <v>0</v>
      </c>
      <c r="AA284" s="8">
        <f>IFERROR(Z284/Z445, "NA")</f>
        <v>0</v>
      </c>
      <c r="AB284" s="9"/>
      <c r="AC284" s="10">
        <f t="shared" si="71"/>
        <v>0</v>
      </c>
      <c r="AD284" s="8">
        <f>IFERROR(AC284/AC445, "NA")</f>
        <v>0</v>
      </c>
    </row>
    <row r="285" spans="1:30" ht="16.5" customHeight="1" x14ac:dyDescent="0.45">
      <c r="A285" s="19" t="s">
        <v>259</v>
      </c>
      <c r="B285" s="14">
        <f>IFERROR(B276+B277+B278+B279+B280+B281+B282+B283+B284, "NA")</f>
        <v>0</v>
      </c>
      <c r="C285" s="15">
        <f>IFERROR(B285/B445, "NA")</f>
        <v>0</v>
      </c>
      <c r="D285" s="2"/>
      <c r="E285" s="14">
        <f>IFERROR(E276+E277+E278+E279+E280+E281+E282+E283+E284, "NA")</f>
        <v>0</v>
      </c>
      <c r="F285" s="15">
        <f>IFERROR(E285/E445, "NA")</f>
        <v>0</v>
      </c>
      <c r="G285" s="2"/>
      <c r="H285" s="14">
        <f t="shared" si="68"/>
        <v>0</v>
      </c>
      <c r="I285" s="15">
        <f>IFERROR(H285/H445, "NA")</f>
        <v>0</v>
      </c>
      <c r="J285" s="2"/>
      <c r="K285" s="14">
        <f>IFERROR(K276+K277+K278+K279+K280+K281+K282+K283+K284, "NA")</f>
        <v>0</v>
      </c>
      <c r="L285" s="15">
        <f>IFERROR(K285/K445, "NA")</f>
        <v>0</v>
      </c>
      <c r="M285" s="2"/>
      <c r="N285" s="14">
        <f t="shared" si="69"/>
        <v>0</v>
      </c>
      <c r="O285" s="15">
        <f>IFERROR(N285/N445, "NA")</f>
        <v>0</v>
      </c>
      <c r="P285" s="2"/>
      <c r="Q285" s="14">
        <f>IFERROR(Q276+Q277+Q278+Q279+Q280+Q281+Q282+Q283+Q284, "NA")</f>
        <v>0</v>
      </c>
      <c r="R285" s="15">
        <f>IFERROR(Q285/Q445, "NA")</f>
        <v>0</v>
      </c>
      <c r="S285" s="2"/>
      <c r="T285" s="14">
        <f>IFERROR(T276+T277+T278+T279+T280+T281+T282+T283+T284, "NA")</f>
        <v>0</v>
      </c>
      <c r="U285" s="15">
        <f>IFERROR(T285/T445, "NA")</f>
        <v>0</v>
      </c>
      <c r="V285" s="2"/>
      <c r="W285" s="14">
        <f t="shared" si="70"/>
        <v>0</v>
      </c>
      <c r="X285" s="15">
        <f>IFERROR(W285/W445, "NA")</f>
        <v>0</v>
      </c>
      <c r="Y285" s="2"/>
      <c r="Z285" s="14">
        <f>IFERROR(Z276+Z277+Z278+Z279+Z280+Z281+Z282+Z283+Z284, "NA")</f>
        <v>0</v>
      </c>
      <c r="AA285" s="15">
        <f>IFERROR(Z285/Z445, "NA")</f>
        <v>0</v>
      </c>
      <c r="AB285" s="2"/>
      <c r="AC285" s="14">
        <f t="shared" si="71"/>
        <v>0</v>
      </c>
      <c r="AD285" s="15">
        <f>IFERROR(AC285/AC445, "NA")</f>
        <v>0</v>
      </c>
    </row>
    <row r="286" spans="1:30" ht="16.5" customHeight="1" x14ac:dyDescent="0.45">
      <c r="A286" s="5" t="s">
        <v>260</v>
      </c>
      <c r="B286" s="2"/>
      <c r="C286" s="3"/>
      <c r="D286" s="4"/>
      <c r="E286" s="2"/>
      <c r="F286" s="3"/>
      <c r="G286" s="4"/>
      <c r="H286" s="2"/>
      <c r="I286" s="3"/>
      <c r="J286" s="4"/>
      <c r="K286" s="2"/>
      <c r="L286" s="3"/>
      <c r="M286" s="4"/>
      <c r="N286" s="2"/>
      <c r="O286" s="3"/>
      <c r="P286" s="4"/>
      <c r="Q286" s="2"/>
      <c r="R286" s="3"/>
      <c r="S286" s="4"/>
      <c r="T286" s="2"/>
      <c r="U286" s="3"/>
      <c r="V286" s="4"/>
      <c r="W286" s="2"/>
      <c r="X286" s="3"/>
      <c r="Y286" s="4"/>
      <c r="Z286" s="2"/>
      <c r="AA286" s="3"/>
      <c r="AB286" s="4"/>
      <c r="AC286" s="2"/>
      <c r="AD286" s="3"/>
    </row>
    <row r="287" spans="1:30" ht="16.5" hidden="1" customHeight="1" x14ac:dyDescent="0.45">
      <c r="A287" s="6" t="s">
        <v>260</v>
      </c>
      <c r="B287" s="7">
        <v>0</v>
      </c>
      <c r="C287" s="8">
        <f>IFERROR(B287/B445, "NA")</f>
        <v>0</v>
      </c>
      <c r="D287" s="9"/>
      <c r="E287" s="7">
        <v>0</v>
      </c>
      <c r="F287" s="8">
        <f>IFERROR(E287/E445, "NA")</f>
        <v>0</v>
      </c>
      <c r="G287" s="9"/>
      <c r="H287" s="10">
        <f t="shared" ref="H287:H296" si="72">IFERROR(-(B287-E287), "NA")</f>
        <v>0</v>
      </c>
      <c r="I287" s="8">
        <f>IFERROR(H287/H445, "NA")</f>
        <v>0</v>
      </c>
      <c r="J287" s="9"/>
      <c r="K287" s="7">
        <v>0</v>
      </c>
      <c r="L287" s="8">
        <f>IFERROR(K287/K445, "NA")</f>
        <v>0</v>
      </c>
      <c r="M287" s="9"/>
      <c r="N287" s="10">
        <f t="shared" ref="N287:N296" si="73">IFERROR(-(B287-K287), "NA")</f>
        <v>0</v>
      </c>
      <c r="O287" s="8">
        <f>IFERROR(N287/N445, "NA")</f>
        <v>0</v>
      </c>
      <c r="P287" s="9"/>
      <c r="Q287" s="7">
        <v>0</v>
      </c>
      <c r="R287" s="8">
        <f>IFERROR(Q287/Q445, "NA")</f>
        <v>0</v>
      </c>
      <c r="S287" s="9"/>
      <c r="T287" s="7">
        <v>0</v>
      </c>
      <c r="U287" s="8">
        <f>IFERROR(T287/T445, "NA")</f>
        <v>0</v>
      </c>
      <c r="V287" s="9"/>
      <c r="W287" s="10">
        <f t="shared" ref="W287:W296" si="74">IFERROR(-(Q287-T287), "NA")</f>
        <v>0</v>
      </c>
      <c r="X287" s="8">
        <f>IFERROR(W287/W445, "NA")</f>
        <v>0</v>
      </c>
      <c r="Y287" s="9"/>
      <c r="Z287" s="7">
        <v>0</v>
      </c>
      <c r="AA287" s="8">
        <f>IFERROR(Z287/Z445, "NA")</f>
        <v>0</v>
      </c>
      <c r="AB287" s="9"/>
      <c r="AC287" s="10">
        <f t="shared" ref="AC287:AC296" si="75">IFERROR(-(Q287-Z287), "NA")</f>
        <v>0</v>
      </c>
      <c r="AD287" s="8">
        <f>IFERROR(AC287/AC445, "NA")</f>
        <v>0</v>
      </c>
    </row>
    <row r="288" spans="1:30" ht="16.5" hidden="1" customHeight="1" x14ac:dyDescent="0.45">
      <c r="A288" s="6" t="s">
        <v>261</v>
      </c>
      <c r="B288" s="7">
        <v>0</v>
      </c>
      <c r="C288" s="8">
        <f>IFERROR(B288/B445, "NA")</f>
        <v>0</v>
      </c>
      <c r="D288" s="9"/>
      <c r="E288" s="7">
        <v>0</v>
      </c>
      <c r="F288" s="8">
        <f>IFERROR(E288/E445, "NA")</f>
        <v>0</v>
      </c>
      <c r="G288" s="9"/>
      <c r="H288" s="10">
        <f t="shared" si="72"/>
        <v>0</v>
      </c>
      <c r="I288" s="8">
        <f>IFERROR(H288/H445, "NA")</f>
        <v>0</v>
      </c>
      <c r="J288" s="9"/>
      <c r="K288" s="7">
        <v>0</v>
      </c>
      <c r="L288" s="8">
        <f>IFERROR(K288/K445, "NA")</f>
        <v>0</v>
      </c>
      <c r="M288" s="9"/>
      <c r="N288" s="10">
        <f t="shared" si="73"/>
        <v>0</v>
      </c>
      <c r="O288" s="8">
        <f>IFERROR(N288/N445, "NA")</f>
        <v>0</v>
      </c>
      <c r="P288" s="9"/>
      <c r="Q288" s="7">
        <v>0</v>
      </c>
      <c r="R288" s="8">
        <f>IFERROR(Q288/Q445, "NA")</f>
        <v>0</v>
      </c>
      <c r="S288" s="9"/>
      <c r="T288" s="7">
        <v>0</v>
      </c>
      <c r="U288" s="8">
        <f>IFERROR(T288/T445, "NA")</f>
        <v>0</v>
      </c>
      <c r="V288" s="9"/>
      <c r="W288" s="10">
        <f t="shared" si="74"/>
        <v>0</v>
      </c>
      <c r="X288" s="8">
        <f>IFERROR(W288/W445, "NA")</f>
        <v>0</v>
      </c>
      <c r="Y288" s="9"/>
      <c r="Z288" s="7">
        <v>0</v>
      </c>
      <c r="AA288" s="8">
        <f>IFERROR(Z288/Z445, "NA")</f>
        <v>0</v>
      </c>
      <c r="AB288" s="9"/>
      <c r="AC288" s="10">
        <f t="shared" si="75"/>
        <v>0</v>
      </c>
      <c r="AD288" s="8">
        <f>IFERROR(AC288/AC445, "NA")</f>
        <v>0</v>
      </c>
    </row>
    <row r="289" spans="1:30" ht="16.5" customHeight="1" x14ac:dyDescent="0.45">
      <c r="A289" s="6" t="s">
        <v>262</v>
      </c>
      <c r="B289" s="7">
        <v>137.5</v>
      </c>
      <c r="C289" s="8">
        <f>IFERROR(B289/B445, "NA")</f>
        <v>1.1302531701340916E-3</v>
      </c>
      <c r="D289" s="9"/>
      <c r="E289" s="7">
        <v>138</v>
      </c>
      <c r="F289" s="8">
        <f>IFERROR(E289/E445, "NA")</f>
        <v>9.6741622964105836E-4</v>
      </c>
      <c r="G289" s="9"/>
      <c r="H289" s="10">
        <f t="shared" si="72"/>
        <v>0.5</v>
      </c>
      <c r="I289" s="8">
        <f>IFERROR(H289/H445, "NA")</f>
        <v>-2.3816498641268745E-5</v>
      </c>
      <c r="J289" s="9"/>
      <c r="K289" s="7">
        <v>137.5</v>
      </c>
      <c r="L289" s="8">
        <f>IFERROR(K289/K445, "NA")</f>
        <v>1.0530728819870621E-3</v>
      </c>
      <c r="M289" s="9"/>
      <c r="N289" s="10">
        <f t="shared" si="73"/>
        <v>0</v>
      </c>
      <c r="O289" s="8">
        <f>IFERROR(N289/N445, "NA")</f>
        <v>0</v>
      </c>
      <c r="P289" s="9"/>
      <c r="Q289" s="7">
        <v>687.5</v>
      </c>
      <c r="R289" s="8">
        <f>IFERROR(Q289/Q445, "NA")</f>
        <v>1.3187360980039399E-3</v>
      </c>
      <c r="S289" s="9"/>
      <c r="T289" s="7">
        <v>690</v>
      </c>
      <c r="U289" s="8">
        <f>IFERROR(T289/T445, "NA")</f>
        <v>1.1630199893976402E-3</v>
      </c>
      <c r="V289" s="9"/>
      <c r="W289" s="10">
        <f t="shared" si="74"/>
        <v>2.5</v>
      </c>
      <c r="X289" s="8">
        <f>IFERROR(W289/W445, "NA")</f>
        <v>-3.4746110172966137E-5</v>
      </c>
      <c r="Y289" s="9"/>
      <c r="Z289" s="7">
        <v>687.5</v>
      </c>
      <c r="AA289" s="8">
        <f>IFERROR(Z289/Z445, "NA")</f>
        <v>1.2465526021173624E-3</v>
      </c>
      <c r="AB289" s="9"/>
      <c r="AC289" s="10">
        <f t="shared" si="75"/>
        <v>0</v>
      </c>
      <c r="AD289" s="8">
        <f>IFERROR(AC289/AC445, "NA")</f>
        <v>0</v>
      </c>
    </row>
    <row r="290" spans="1:30" ht="16.5" customHeight="1" x14ac:dyDescent="0.45">
      <c r="A290" s="6" t="s">
        <v>263</v>
      </c>
      <c r="B290" s="7">
        <v>228.61</v>
      </c>
      <c r="C290" s="8">
        <f>IFERROR(B290/B445, "NA")</f>
        <v>1.8791794707225795E-3</v>
      </c>
      <c r="D290" s="9"/>
      <c r="E290" s="7">
        <v>211</v>
      </c>
      <c r="F290" s="8">
        <f>IFERROR(E290/E445, "NA")</f>
        <v>1.4791653945961109E-3</v>
      </c>
      <c r="G290" s="9"/>
      <c r="H290" s="10">
        <f t="shared" si="72"/>
        <v>-17.610000000000014</v>
      </c>
      <c r="I290" s="8">
        <f>IFERROR(H290/H445, "NA")</f>
        <v>8.3881708214548589E-4</v>
      </c>
      <c r="J290" s="9"/>
      <c r="K290" s="7">
        <v>206.28</v>
      </c>
      <c r="L290" s="8">
        <f>IFERROR(K290/K445, "NA")</f>
        <v>1.5798390843366629E-3</v>
      </c>
      <c r="M290" s="9"/>
      <c r="N290" s="10">
        <f t="shared" si="73"/>
        <v>-22.330000000000013</v>
      </c>
      <c r="O290" s="8">
        <f>IFERROR(N290/N445, "NA")</f>
        <v>2.5044582272518291E-3</v>
      </c>
      <c r="P290" s="9"/>
      <c r="Q290" s="7">
        <v>925.4</v>
      </c>
      <c r="R290" s="8">
        <f>IFERROR(Q290/Q445, "NA")</f>
        <v>1.7750667419532305E-3</v>
      </c>
      <c r="S290" s="9"/>
      <c r="T290" s="7">
        <v>1055</v>
      </c>
      <c r="U290" s="8">
        <f>IFERROR(T290/T445, "NA")</f>
        <v>1.7782407084268265E-3</v>
      </c>
      <c r="V290" s="9"/>
      <c r="W290" s="10">
        <f t="shared" si="74"/>
        <v>129.60000000000002</v>
      </c>
      <c r="X290" s="8">
        <f>IFERROR(W290/W445, "NA")</f>
        <v>-1.8012383513665649E-3</v>
      </c>
      <c r="Y290" s="9"/>
      <c r="Z290" s="7">
        <v>830.91</v>
      </c>
      <c r="AA290" s="8">
        <f>IFERROR(Z290/Z445, "NA")</f>
        <v>1.506578942000491E-3</v>
      </c>
      <c r="AB290" s="9"/>
      <c r="AC290" s="10">
        <f t="shared" si="75"/>
        <v>-94.490000000000009</v>
      </c>
      <c r="AD290" s="8">
        <f>IFERROR(AC290/AC445, "NA")</f>
        <v>3.1299956871051033E-3</v>
      </c>
    </row>
    <row r="291" spans="1:30" ht="16.5" customHeight="1" x14ac:dyDescent="0.45">
      <c r="A291" s="6" t="s">
        <v>264</v>
      </c>
      <c r="B291" s="7">
        <v>408.05</v>
      </c>
      <c r="C291" s="8">
        <f>IFERROR(B291/B445, "NA")</f>
        <v>3.354180407805208E-3</v>
      </c>
      <c r="D291" s="9"/>
      <c r="E291" s="7">
        <v>855.89</v>
      </c>
      <c r="F291" s="8">
        <f>IFERROR(E291/E445, "NA")</f>
        <v>6.0000135999093152E-3</v>
      </c>
      <c r="G291" s="9"/>
      <c r="H291" s="10">
        <f t="shared" si="72"/>
        <v>447.84</v>
      </c>
      <c r="I291" s="8">
        <f>IFERROR(H291/H445, "NA")</f>
        <v>-2.1331961503011591E-2</v>
      </c>
      <c r="J291" s="9"/>
      <c r="K291" s="7">
        <v>42.78</v>
      </c>
      <c r="L291" s="8">
        <f>IFERROR(K291/K445, "NA")</f>
        <v>3.2763969375568372E-4</v>
      </c>
      <c r="M291" s="9"/>
      <c r="N291" s="10">
        <f t="shared" si="73"/>
        <v>-365.27</v>
      </c>
      <c r="O291" s="8">
        <f>IFERROR(N291/N445, "NA")</f>
        <v>4.0967463352811248E-2</v>
      </c>
      <c r="P291" s="9"/>
      <c r="Q291" s="7">
        <v>1277.25</v>
      </c>
      <c r="R291" s="8">
        <f>IFERROR(Q291/Q445, "NA")</f>
        <v>2.4499718998916833E-3</v>
      </c>
      <c r="S291" s="9"/>
      <c r="T291" s="7">
        <v>3559.7</v>
      </c>
      <c r="U291" s="8">
        <f>IFERROR(T291/T445, "NA")</f>
        <v>6.0000032699402597E-3</v>
      </c>
      <c r="V291" s="9"/>
      <c r="W291" s="10">
        <f t="shared" si="74"/>
        <v>2282.4499999999998</v>
      </c>
      <c r="X291" s="8">
        <f>IFERROR(W291/W445, "NA")</f>
        <v>-3.1722503665714621E-2</v>
      </c>
      <c r="Y291" s="9"/>
      <c r="Z291" s="7">
        <v>3007.41</v>
      </c>
      <c r="AA291" s="8">
        <f>IFERROR(Z291/Z445, "NA")</f>
        <v>5.4529378343764028E-3</v>
      </c>
      <c r="AB291" s="9"/>
      <c r="AC291" s="10">
        <f t="shared" si="75"/>
        <v>1730.1599999999999</v>
      </c>
      <c r="AD291" s="8">
        <f>IFERROR(AC291/AC445, "NA")</f>
        <v>-5.7311814350743617E-2</v>
      </c>
    </row>
    <row r="292" spans="1:30" ht="16.5" customHeight="1" x14ac:dyDescent="0.45">
      <c r="A292" s="6" t="s">
        <v>265</v>
      </c>
      <c r="B292" s="7">
        <v>232.46</v>
      </c>
      <c r="C292" s="8">
        <f>IFERROR(B292/B445, "NA")</f>
        <v>1.910826559486334E-3</v>
      </c>
      <c r="D292" s="9"/>
      <c r="E292" s="7">
        <v>570.59</v>
      </c>
      <c r="F292" s="8">
        <f>IFERROR(E292/E445, "NA")</f>
        <v>3.9999856990644315E-3</v>
      </c>
      <c r="G292" s="9"/>
      <c r="H292" s="10">
        <f t="shared" si="72"/>
        <v>338.13</v>
      </c>
      <c r="I292" s="8">
        <f>IFERROR(H292/H445, "NA")</f>
        <v>-1.6106145371144402E-2</v>
      </c>
      <c r="J292" s="9"/>
      <c r="K292" s="7">
        <v>0</v>
      </c>
      <c r="L292" s="8">
        <f>IFERROR(K292/K445, "NA")</f>
        <v>0</v>
      </c>
      <c r="M292" s="9"/>
      <c r="N292" s="10">
        <f t="shared" si="73"/>
        <v>-232.46</v>
      </c>
      <c r="O292" s="8">
        <f>IFERROR(N292/N445, "NA")</f>
        <v>2.6071937281995517E-2</v>
      </c>
      <c r="P292" s="9"/>
      <c r="Q292" s="7">
        <v>2170.9</v>
      </c>
      <c r="R292" s="8">
        <f>IFERROR(Q292/Q445, "NA")</f>
        <v>4.1641370111370956E-3</v>
      </c>
      <c r="S292" s="9"/>
      <c r="T292" s="7">
        <v>2373.13</v>
      </c>
      <c r="U292" s="8">
        <f>IFERROR(T292/T445, "NA")</f>
        <v>3.9999965615061181E-3</v>
      </c>
      <c r="V292" s="9"/>
      <c r="W292" s="10">
        <f t="shared" si="74"/>
        <v>202.23000000000002</v>
      </c>
      <c r="X292" s="8">
        <f>IFERROR(W292/W445, "NA")</f>
        <v>-2.810682344111577E-3</v>
      </c>
      <c r="Y292" s="9"/>
      <c r="Z292" s="7">
        <v>1975.03</v>
      </c>
      <c r="AA292" s="8">
        <f>IFERROR(Z292/Z445, "NA")</f>
        <v>3.5810600520143334E-3</v>
      </c>
      <c r="AB292" s="9"/>
      <c r="AC292" s="10">
        <f t="shared" si="75"/>
        <v>-195.87000000000012</v>
      </c>
      <c r="AD292" s="8">
        <f>IFERROR(AC292/AC445, "NA")</f>
        <v>6.4882236769317056E-3</v>
      </c>
    </row>
    <row r="293" spans="1:30" ht="16.5" customHeight="1" x14ac:dyDescent="0.45">
      <c r="A293" s="6" t="s">
        <v>266</v>
      </c>
      <c r="B293" s="7">
        <v>0</v>
      </c>
      <c r="C293" s="8">
        <f>IFERROR(B293/B445, "NA")</f>
        <v>0</v>
      </c>
      <c r="D293" s="9"/>
      <c r="E293" s="7">
        <v>142.65</v>
      </c>
      <c r="F293" s="8">
        <f>IFERROR(E293/E445, "NA")</f>
        <v>1.0000139504224418E-3</v>
      </c>
      <c r="G293" s="9"/>
      <c r="H293" s="10">
        <f t="shared" si="72"/>
        <v>142.65</v>
      </c>
      <c r="I293" s="8">
        <f>IFERROR(H293/H445, "NA")</f>
        <v>-6.7948470623539732E-3</v>
      </c>
      <c r="J293" s="9"/>
      <c r="K293" s="7">
        <v>500.86</v>
      </c>
      <c r="L293" s="8">
        <f>IFERROR(K293/K445, "NA")</f>
        <v>3.8359424267057447E-3</v>
      </c>
      <c r="M293" s="9"/>
      <c r="N293" s="10">
        <f t="shared" si="73"/>
        <v>500.86</v>
      </c>
      <c r="O293" s="8">
        <f>IFERROR(N293/N445, "NA")</f>
        <v>-5.6174784939603692E-2</v>
      </c>
      <c r="P293" s="9"/>
      <c r="Q293" s="7">
        <v>0</v>
      </c>
      <c r="R293" s="8">
        <f>IFERROR(Q293/Q445, "NA")</f>
        <v>0</v>
      </c>
      <c r="S293" s="9"/>
      <c r="T293" s="7">
        <v>593.28</v>
      </c>
      <c r="U293" s="8">
        <f>IFERROR(T293/T445, "NA")</f>
        <v>9.9999492653598827E-4</v>
      </c>
      <c r="V293" s="9"/>
      <c r="W293" s="10">
        <f t="shared" si="74"/>
        <v>593.28</v>
      </c>
      <c r="X293" s="8">
        <f>IFERROR(W293/W445, "NA")</f>
        <v>-8.2456688973669388E-3</v>
      </c>
      <c r="Y293" s="9"/>
      <c r="Z293" s="7">
        <v>500.86</v>
      </c>
      <c r="AA293" s="8">
        <f>IFERROR(Z293/Z445, "NA")</f>
        <v>9.08143034613094E-4</v>
      </c>
      <c r="AB293" s="9"/>
      <c r="AC293" s="10">
        <f t="shared" si="75"/>
        <v>500.86</v>
      </c>
      <c r="AD293" s="8">
        <f>IFERROR(AC293/AC445, "NA")</f>
        <v>-1.6591064026282801E-2</v>
      </c>
    </row>
    <row r="294" spans="1:30" ht="16.5" customHeight="1" x14ac:dyDescent="0.45">
      <c r="A294" s="6" t="s">
        <v>267</v>
      </c>
      <c r="B294" s="7">
        <v>0</v>
      </c>
      <c r="C294" s="8">
        <f>IFERROR(B294/B445, "NA")</f>
        <v>0</v>
      </c>
      <c r="D294" s="9"/>
      <c r="E294" s="7">
        <v>142.65</v>
      </c>
      <c r="F294" s="8">
        <f>IFERROR(E294/E445, "NA")</f>
        <v>1.0000139504224418E-3</v>
      </c>
      <c r="G294" s="9"/>
      <c r="H294" s="10">
        <f t="shared" si="72"/>
        <v>142.65</v>
      </c>
      <c r="I294" s="8">
        <f>IFERROR(H294/H445, "NA")</f>
        <v>-6.7948470623539732E-3</v>
      </c>
      <c r="J294" s="9"/>
      <c r="K294" s="7">
        <v>0</v>
      </c>
      <c r="L294" s="8">
        <f>IFERROR(K294/K445, "NA")</f>
        <v>0</v>
      </c>
      <c r="M294" s="9"/>
      <c r="N294" s="10">
        <f t="shared" si="73"/>
        <v>0</v>
      </c>
      <c r="O294" s="8">
        <f>IFERROR(N294/N445, "NA")</f>
        <v>0</v>
      </c>
      <c r="P294" s="9"/>
      <c r="Q294" s="7">
        <v>851.73</v>
      </c>
      <c r="R294" s="8">
        <f>IFERROR(Q294/Q445, "NA")</f>
        <v>1.6337557770951211E-3</v>
      </c>
      <c r="S294" s="9"/>
      <c r="T294" s="7">
        <v>593.28</v>
      </c>
      <c r="U294" s="8">
        <f>IFERROR(T294/T445, "NA")</f>
        <v>9.9999492653598827E-4</v>
      </c>
      <c r="V294" s="9"/>
      <c r="W294" s="10">
        <f t="shared" si="74"/>
        <v>-258.45000000000005</v>
      </c>
      <c r="X294" s="8">
        <f>IFERROR(W294/W445, "NA")</f>
        <v>3.5920528696812399E-3</v>
      </c>
      <c r="Y294" s="9"/>
      <c r="Z294" s="7">
        <v>369.93</v>
      </c>
      <c r="AA294" s="8">
        <f>IFERROR(Z294/Z445, "NA")</f>
        <v>6.7074502414731039E-4</v>
      </c>
      <c r="AB294" s="9"/>
      <c r="AC294" s="10">
        <f t="shared" si="75"/>
        <v>-481.8</v>
      </c>
      <c r="AD294" s="8">
        <f>IFERROR(AC294/AC445, "NA")</f>
        <v>1.5959698614109837E-2</v>
      </c>
    </row>
    <row r="295" spans="1:30" ht="16.5" customHeight="1" x14ac:dyDescent="0.45">
      <c r="A295" s="6" t="s">
        <v>268</v>
      </c>
      <c r="B295" s="7">
        <v>300</v>
      </c>
      <c r="C295" s="8">
        <f>IFERROR(B295/B445, "NA")</f>
        <v>2.4660069166561999E-3</v>
      </c>
      <c r="D295" s="9"/>
      <c r="E295" s="7">
        <v>346</v>
      </c>
      <c r="F295" s="8">
        <f>IFERROR(E295/E445, "NA")</f>
        <v>2.4255508366362766E-3</v>
      </c>
      <c r="G295" s="9"/>
      <c r="H295" s="10">
        <f t="shared" si="72"/>
        <v>46</v>
      </c>
      <c r="I295" s="8">
        <f>IFERROR(H295/H445, "NA")</f>
        <v>-2.1911178749967246E-3</v>
      </c>
      <c r="J295" s="9"/>
      <c r="K295" s="7">
        <v>310</v>
      </c>
      <c r="L295" s="8">
        <f>IFERROR(K295/K445, "NA")</f>
        <v>2.3742006793890124E-3</v>
      </c>
      <c r="M295" s="9"/>
      <c r="N295" s="10">
        <f t="shared" si="73"/>
        <v>10</v>
      </c>
      <c r="O295" s="8">
        <f>IFERROR(N295/N445, "NA")</f>
        <v>-1.1215666042327934E-3</v>
      </c>
      <c r="P295" s="9"/>
      <c r="Q295" s="7">
        <v>1529.97</v>
      </c>
      <c r="R295" s="8">
        <f>IFERROR(Q295/Q445, "NA")</f>
        <v>2.9347296987099463E-3</v>
      </c>
      <c r="S295" s="9"/>
      <c r="T295" s="7">
        <v>1730</v>
      </c>
      <c r="U295" s="8">
        <f>IFERROR(T295/T445, "NA")</f>
        <v>2.9159776545766916E-3</v>
      </c>
      <c r="V295" s="9"/>
      <c r="W295" s="10">
        <f t="shared" si="74"/>
        <v>200.02999999999997</v>
      </c>
      <c r="X295" s="8">
        <f>IFERROR(W295/W445, "NA")</f>
        <v>-2.7801057671593661E-3</v>
      </c>
      <c r="Y295" s="9"/>
      <c r="Z295" s="7">
        <v>1778.96</v>
      </c>
      <c r="AA295" s="8">
        <f>IFERROR(Z295/Z445, "NA")</f>
        <v>3.2255523157275682E-3</v>
      </c>
      <c r="AB295" s="9"/>
      <c r="AC295" s="10">
        <f t="shared" si="75"/>
        <v>248.99</v>
      </c>
      <c r="AD295" s="8">
        <f>IFERROR(AC295/AC445, "NA")</f>
        <v>-8.2478317931241364E-3</v>
      </c>
    </row>
    <row r="296" spans="1:30" ht="16.5" customHeight="1" x14ac:dyDescent="0.45">
      <c r="A296" s="19" t="s">
        <v>269</v>
      </c>
      <c r="B296" s="14">
        <f>IFERROR(B287+B288+B289+B290+B291+B292+B293+B294+B295, "NA")</f>
        <v>1306.6200000000001</v>
      </c>
      <c r="C296" s="15">
        <f>IFERROR(B296/B445, "NA")</f>
        <v>1.0740446524804414E-2</v>
      </c>
      <c r="D296" s="2"/>
      <c r="E296" s="14">
        <f>IFERROR(E287+E288+E289+E290+E291+E292+E293+E294+E295, "NA")</f>
        <v>2406.7800000000002</v>
      </c>
      <c r="F296" s="15">
        <f>IFERROR(E296/E445, "NA")</f>
        <v>1.6872159660692079E-2</v>
      </c>
      <c r="G296" s="2"/>
      <c r="H296" s="14">
        <f t="shared" si="72"/>
        <v>1100.1600000000001</v>
      </c>
      <c r="I296" s="15">
        <f>IFERROR(H296/H445, "NA")</f>
        <v>-5.2403918290356448E-2</v>
      </c>
      <c r="J296" s="2"/>
      <c r="K296" s="14">
        <f>IFERROR(K287+K288+K289+K290+K291+K292+K293+K294+K295, "NA")</f>
        <v>1197.42</v>
      </c>
      <c r="L296" s="15">
        <f>IFERROR(K296/K445, "NA")</f>
        <v>9.1706947661741658E-3</v>
      </c>
      <c r="M296" s="2"/>
      <c r="N296" s="14">
        <f t="shared" si="73"/>
        <v>-109.20000000000005</v>
      </c>
      <c r="O296" s="15">
        <f>IFERROR(N296/N445, "NA")</f>
        <v>1.224750731822211E-2</v>
      </c>
      <c r="P296" s="2"/>
      <c r="Q296" s="14">
        <f>IFERROR(Q287+Q288+Q289+Q290+Q291+Q292+Q293+Q294+Q295, "NA")</f>
        <v>7442.7500000000009</v>
      </c>
      <c r="R296" s="15">
        <f>IFERROR(Q296/Q445, "NA")</f>
        <v>1.4276397226791018E-2</v>
      </c>
      <c r="S296" s="2"/>
      <c r="T296" s="14">
        <f>IFERROR(T287+T288+T289+T290+T291+T292+T293+T294+T295, "NA")</f>
        <v>10594.390000000001</v>
      </c>
      <c r="U296" s="15">
        <f>IFERROR(T296/T445, "NA")</f>
        <v>1.7857228036919515E-2</v>
      </c>
      <c r="V296" s="2"/>
      <c r="W296" s="14">
        <f t="shared" si="74"/>
        <v>3151.6400000000003</v>
      </c>
      <c r="X296" s="15">
        <f>IFERROR(W296/W445, "NA")</f>
        <v>-4.3802892266210799E-2</v>
      </c>
      <c r="Y296" s="2"/>
      <c r="Z296" s="14">
        <f>IFERROR(Z287+Z288+Z289+Z290+Z291+Z292+Z293+Z294+Z295, "NA")</f>
        <v>9150.5999999999985</v>
      </c>
      <c r="AA296" s="15">
        <f>IFERROR(Z296/Z445, "NA")</f>
        <v>1.6591569804996559E-2</v>
      </c>
      <c r="AB296" s="2"/>
      <c r="AC296" s="14">
        <f t="shared" si="75"/>
        <v>1707.8499999999976</v>
      </c>
      <c r="AD296" s="15">
        <f>IFERROR(AC296/AC445, "NA")</f>
        <v>-5.657279219200384E-2</v>
      </c>
    </row>
    <row r="297" spans="1:30" ht="16.5" customHeight="1" x14ac:dyDescent="0.45">
      <c r="A297" s="5" t="s">
        <v>270</v>
      </c>
      <c r="B297" s="2"/>
      <c r="C297" s="3"/>
      <c r="D297" s="4"/>
      <c r="E297" s="2"/>
      <c r="F297" s="3"/>
      <c r="G297" s="4"/>
      <c r="H297" s="2"/>
      <c r="I297" s="3"/>
      <c r="J297" s="4"/>
      <c r="K297" s="2"/>
      <c r="L297" s="3"/>
      <c r="M297" s="4"/>
      <c r="N297" s="2"/>
      <c r="O297" s="3"/>
      <c r="P297" s="4"/>
      <c r="Q297" s="2"/>
      <c r="R297" s="3"/>
      <c r="S297" s="4"/>
      <c r="T297" s="2"/>
      <c r="U297" s="3"/>
      <c r="V297" s="4"/>
      <c r="W297" s="2"/>
      <c r="X297" s="3"/>
      <c r="Y297" s="4"/>
      <c r="Z297" s="2"/>
      <c r="AA297" s="3"/>
      <c r="AB297" s="4"/>
      <c r="AC297" s="2"/>
      <c r="AD297" s="3"/>
    </row>
    <row r="298" spans="1:30" ht="16.5" hidden="1" customHeight="1" x14ac:dyDescent="0.45">
      <c r="A298" s="6" t="s">
        <v>270</v>
      </c>
      <c r="B298" s="7">
        <v>0</v>
      </c>
      <c r="C298" s="8">
        <f>IFERROR(B298/B445, "NA")</f>
        <v>0</v>
      </c>
      <c r="D298" s="9"/>
      <c r="E298" s="7">
        <v>0</v>
      </c>
      <c r="F298" s="8">
        <f>IFERROR(E298/E445, "NA")</f>
        <v>0</v>
      </c>
      <c r="G298" s="9"/>
      <c r="H298" s="10">
        <f t="shared" ref="H298:H326" si="76">IFERROR(-(B298-E298), "NA")</f>
        <v>0</v>
      </c>
      <c r="I298" s="8">
        <f>IFERROR(H298/H445, "NA")</f>
        <v>0</v>
      </c>
      <c r="J298" s="9"/>
      <c r="K298" s="7">
        <v>0</v>
      </c>
      <c r="L298" s="8">
        <f>IFERROR(K298/K445, "NA")</f>
        <v>0</v>
      </c>
      <c r="M298" s="9"/>
      <c r="N298" s="10">
        <f t="shared" ref="N298:N326" si="77">IFERROR(-(B298-K298), "NA")</f>
        <v>0</v>
      </c>
      <c r="O298" s="8">
        <f>IFERROR(N298/N445, "NA")</f>
        <v>0</v>
      </c>
      <c r="P298" s="9"/>
      <c r="Q298" s="7">
        <v>0</v>
      </c>
      <c r="R298" s="8">
        <f>IFERROR(Q298/Q445, "NA")</f>
        <v>0</v>
      </c>
      <c r="S298" s="9"/>
      <c r="T298" s="7">
        <v>0</v>
      </c>
      <c r="U298" s="8">
        <f>IFERROR(T298/T445, "NA")</f>
        <v>0</v>
      </c>
      <c r="V298" s="9"/>
      <c r="W298" s="10">
        <f t="shared" ref="W298:W326" si="78">IFERROR(-(Q298-T298), "NA")</f>
        <v>0</v>
      </c>
      <c r="X298" s="8">
        <f>IFERROR(W298/W445, "NA")</f>
        <v>0</v>
      </c>
      <c r="Y298" s="9"/>
      <c r="Z298" s="7">
        <v>0</v>
      </c>
      <c r="AA298" s="8">
        <f>IFERROR(Z298/Z445, "NA")</f>
        <v>0</v>
      </c>
      <c r="AB298" s="9"/>
      <c r="AC298" s="10">
        <f t="shared" ref="AC298:AC326" si="79">IFERROR(-(Q298-Z298), "NA")</f>
        <v>0</v>
      </c>
      <c r="AD298" s="8">
        <f>IFERROR(AC298/AC445,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IFERROR(B299/B445, "NA")</f>
        <v>0</v>
      </c>
      <c r="D299" s="9"/>
      <c r="E299" s="7">
        <v>0</v>
      </c>
      <c r="F299" s="8">
        <f>IFERROR(E299/E445, "NA")</f>
        <v>0</v>
      </c>
      <c r="G299" s="9"/>
      <c r="H299" s="10">
        <f t="shared" si="76"/>
        <v>0</v>
      </c>
      <c r="I299" s="8">
        <f>IFERROR(H299/H445, "NA")</f>
        <v>0</v>
      </c>
      <c r="J299" s="9"/>
      <c r="K299" s="7">
        <v>0</v>
      </c>
      <c r="L299" s="8">
        <f>IFERROR(K299/K445, "NA")</f>
        <v>0</v>
      </c>
      <c r="M299" s="9"/>
      <c r="N299" s="10">
        <f t="shared" si="77"/>
        <v>0</v>
      </c>
      <c r="O299" s="8">
        <f>IFERROR(N299/N445, "NA")</f>
        <v>0</v>
      </c>
      <c r="P299" s="9"/>
      <c r="Q299" s="7">
        <v>0</v>
      </c>
      <c r="R299" s="8">
        <f>IFERROR(Q299/Q445, "NA")</f>
        <v>0</v>
      </c>
      <c r="S299" s="9"/>
      <c r="T299" s="7">
        <v>0</v>
      </c>
      <c r="U299" s="8">
        <f>IFERROR(T299/T445, "NA")</f>
        <v>0</v>
      </c>
      <c r="V299" s="9"/>
      <c r="W299" s="10">
        <f t="shared" si="78"/>
        <v>0</v>
      </c>
      <c r="X299" s="8">
        <f>IFERROR(W299/W445, "NA")</f>
        <v>0</v>
      </c>
      <c r="Y299" s="9"/>
      <c r="Z299" s="7">
        <v>0</v>
      </c>
      <c r="AA299" s="8">
        <f>IFERROR(Z299/Z445, "NA")</f>
        <v>0</v>
      </c>
      <c r="AB299" s="9"/>
      <c r="AC299" s="10">
        <f t="shared" si="79"/>
        <v>0</v>
      </c>
      <c r="AD299" s="8">
        <f>IFERROR(AC299/AC445, "NA")</f>
        <v>0</v>
      </c>
    </row>
    <row r="300" spans="1:30" ht="16.5" customHeight="1" x14ac:dyDescent="0.45">
      <c r="A300" s="6" t="s">
        <v>272</v>
      </c>
      <c r="B300" s="7">
        <v>359.8</v>
      </c>
      <c r="C300" s="8">
        <f>IFERROR(B300/B445, "NA")</f>
        <v>2.9575642953763356E-3</v>
      </c>
      <c r="D300" s="9"/>
      <c r="E300" s="7">
        <v>575</v>
      </c>
      <c r="F300" s="8">
        <f>IFERROR(E300/E445, "NA")</f>
        <v>4.0309009568377432E-3</v>
      </c>
      <c r="G300" s="9"/>
      <c r="H300" s="10">
        <f t="shared" si="76"/>
        <v>215.2</v>
      </c>
      <c r="I300" s="8">
        <f>IFERROR(H300/H445, "NA")</f>
        <v>-1.0250621015202068E-2</v>
      </c>
      <c r="J300" s="9"/>
      <c r="K300" s="7">
        <v>695.86</v>
      </c>
      <c r="L300" s="8">
        <f>IFERROR(K300/K445, "NA")</f>
        <v>5.3293912411601233E-3</v>
      </c>
      <c r="M300" s="9"/>
      <c r="N300" s="10">
        <f t="shared" si="77"/>
        <v>336.06</v>
      </c>
      <c r="O300" s="8">
        <f>IFERROR(N300/N445, "NA")</f>
        <v>-3.7691367301847259E-2</v>
      </c>
      <c r="P300" s="9"/>
      <c r="Q300" s="7">
        <v>2460.4499999999998</v>
      </c>
      <c r="R300" s="8">
        <f>IFERROR(Q300/Q445, "NA")</f>
        <v>4.7195407015764275E-3</v>
      </c>
      <c r="S300" s="9"/>
      <c r="T300" s="7">
        <v>2875</v>
      </c>
      <c r="U300" s="8">
        <f>IFERROR(T300/T445, "NA")</f>
        <v>4.8459166224901666E-3</v>
      </c>
      <c r="V300" s="9"/>
      <c r="W300" s="10">
        <f t="shared" si="78"/>
        <v>414.55000000000018</v>
      </c>
      <c r="X300" s="8">
        <f>IFERROR(W300/W445, "NA")</f>
        <v>-5.7615999888812469E-3</v>
      </c>
      <c r="Y300" s="9"/>
      <c r="Z300" s="7">
        <v>1521.23</v>
      </c>
      <c r="AA300" s="8">
        <f>IFERROR(Z300/Z445, "NA")</f>
        <v>2.7582446762458111E-3</v>
      </c>
      <c r="AB300" s="9"/>
      <c r="AC300" s="10">
        <f t="shared" si="79"/>
        <v>-939.2199999999998</v>
      </c>
      <c r="AD300" s="8">
        <f>IFERROR(AC300/AC445, "NA")</f>
        <v>3.1111806003205143E-2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IFERROR(B301/B445, "NA")</f>
        <v>0</v>
      </c>
      <c r="D301" s="9"/>
      <c r="E301" s="7">
        <v>0</v>
      </c>
      <c r="F301" s="8">
        <f>IFERROR(E301/E445, "NA")</f>
        <v>0</v>
      </c>
      <c r="G301" s="9"/>
      <c r="H301" s="10">
        <f t="shared" si="76"/>
        <v>0</v>
      </c>
      <c r="I301" s="8">
        <f>IFERROR(H301/H445, "NA")</f>
        <v>0</v>
      </c>
      <c r="J301" s="9"/>
      <c r="K301" s="7">
        <v>0</v>
      </c>
      <c r="L301" s="8">
        <f>IFERROR(K301/K445, "NA")</f>
        <v>0</v>
      </c>
      <c r="M301" s="9"/>
      <c r="N301" s="10">
        <f t="shared" si="77"/>
        <v>0</v>
      </c>
      <c r="O301" s="8">
        <f>IFERROR(N301/N445, "NA")</f>
        <v>0</v>
      </c>
      <c r="P301" s="9"/>
      <c r="Q301" s="7">
        <v>0</v>
      </c>
      <c r="R301" s="8">
        <f>IFERROR(Q301/Q445, "NA")</f>
        <v>0</v>
      </c>
      <c r="S301" s="9"/>
      <c r="T301" s="7">
        <v>0</v>
      </c>
      <c r="U301" s="8">
        <f>IFERROR(T301/T445, "NA")</f>
        <v>0</v>
      </c>
      <c r="V301" s="9"/>
      <c r="W301" s="10">
        <f t="shared" si="78"/>
        <v>0</v>
      </c>
      <c r="X301" s="8">
        <f>IFERROR(W301/W445, "NA")</f>
        <v>0</v>
      </c>
      <c r="Y301" s="9"/>
      <c r="Z301" s="7">
        <v>0</v>
      </c>
      <c r="AA301" s="8">
        <f>IFERROR(Z301/Z445, "NA")</f>
        <v>0</v>
      </c>
      <c r="AB301" s="9"/>
      <c r="AC301" s="10">
        <f t="shared" si="79"/>
        <v>0</v>
      </c>
      <c r="AD301" s="8">
        <f>IFERROR(AC301/AC445,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IFERROR(B302/B445, "NA")</f>
        <v>0</v>
      </c>
      <c r="D302" s="9"/>
      <c r="E302" s="7">
        <v>0</v>
      </c>
      <c r="F302" s="8">
        <f>IFERROR(E302/E445, "NA")</f>
        <v>0</v>
      </c>
      <c r="G302" s="9"/>
      <c r="H302" s="10">
        <f t="shared" si="76"/>
        <v>0</v>
      </c>
      <c r="I302" s="8">
        <f>IFERROR(H302/H445, "NA")</f>
        <v>0</v>
      </c>
      <c r="J302" s="9"/>
      <c r="K302" s="7">
        <v>0</v>
      </c>
      <c r="L302" s="8">
        <f>IFERROR(K302/K445, "NA")</f>
        <v>0</v>
      </c>
      <c r="M302" s="9"/>
      <c r="N302" s="10">
        <f t="shared" si="77"/>
        <v>0</v>
      </c>
      <c r="O302" s="8">
        <f>IFERROR(N302/N445, "NA")</f>
        <v>0</v>
      </c>
      <c r="P302" s="9"/>
      <c r="Q302" s="7">
        <v>0</v>
      </c>
      <c r="R302" s="8">
        <f>IFERROR(Q302/Q445, "NA")</f>
        <v>0</v>
      </c>
      <c r="S302" s="9"/>
      <c r="T302" s="7">
        <v>0</v>
      </c>
      <c r="U302" s="8">
        <f>IFERROR(T302/T445, "NA")</f>
        <v>0</v>
      </c>
      <c r="V302" s="9"/>
      <c r="W302" s="10">
        <f t="shared" si="78"/>
        <v>0</v>
      </c>
      <c r="X302" s="8">
        <f>IFERROR(W302/W445, "NA")</f>
        <v>0</v>
      </c>
      <c r="Y302" s="9"/>
      <c r="Z302" s="7">
        <v>0</v>
      </c>
      <c r="AA302" s="8">
        <f>IFERROR(Z302/Z445, "NA")</f>
        <v>0</v>
      </c>
      <c r="AB302" s="9"/>
      <c r="AC302" s="10">
        <f t="shared" si="79"/>
        <v>0</v>
      </c>
      <c r="AD302" s="8">
        <f>IFERROR(AC302/AC445,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IFERROR(B303/B445, "NA")</f>
        <v>0</v>
      </c>
      <c r="D303" s="9"/>
      <c r="E303" s="7">
        <v>0</v>
      </c>
      <c r="F303" s="8">
        <f>IFERROR(E303/E445, "NA")</f>
        <v>0</v>
      </c>
      <c r="G303" s="9"/>
      <c r="H303" s="10">
        <f t="shared" si="76"/>
        <v>0</v>
      </c>
      <c r="I303" s="8">
        <f>IFERROR(H303/H445, "NA")</f>
        <v>0</v>
      </c>
      <c r="J303" s="9"/>
      <c r="K303" s="7">
        <v>0</v>
      </c>
      <c r="L303" s="8">
        <f>IFERROR(K303/K445, "NA")</f>
        <v>0</v>
      </c>
      <c r="M303" s="9"/>
      <c r="N303" s="10">
        <f t="shared" si="77"/>
        <v>0</v>
      </c>
      <c r="O303" s="8">
        <f>IFERROR(N303/N445, "NA")</f>
        <v>0</v>
      </c>
      <c r="P303" s="9"/>
      <c r="Q303" s="7">
        <v>0</v>
      </c>
      <c r="R303" s="8">
        <f>IFERROR(Q303/Q445, "NA")</f>
        <v>0</v>
      </c>
      <c r="S303" s="9"/>
      <c r="T303" s="7">
        <v>0</v>
      </c>
      <c r="U303" s="8">
        <f>IFERROR(T303/T445, "NA")</f>
        <v>0</v>
      </c>
      <c r="V303" s="9"/>
      <c r="W303" s="10">
        <f t="shared" si="78"/>
        <v>0</v>
      </c>
      <c r="X303" s="8">
        <f>IFERROR(W303/W445, "NA")</f>
        <v>0</v>
      </c>
      <c r="Y303" s="9"/>
      <c r="Z303" s="7">
        <v>0</v>
      </c>
      <c r="AA303" s="8">
        <f>IFERROR(Z303/Z445, "NA")</f>
        <v>0</v>
      </c>
      <c r="AB303" s="9"/>
      <c r="AC303" s="10">
        <f t="shared" si="79"/>
        <v>0</v>
      </c>
      <c r="AD303" s="8">
        <f>IFERROR(AC303/AC445,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IFERROR(B304/B445, "NA")</f>
        <v>0</v>
      </c>
      <c r="D304" s="9"/>
      <c r="E304" s="7">
        <v>0</v>
      </c>
      <c r="F304" s="8">
        <f>IFERROR(E304/E445, "NA")</f>
        <v>0</v>
      </c>
      <c r="G304" s="9"/>
      <c r="H304" s="10">
        <f t="shared" si="76"/>
        <v>0</v>
      </c>
      <c r="I304" s="8">
        <f>IFERROR(H304/H445, "NA")</f>
        <v>0</v>
      </c>
      <c r="J304" s="9"/>
      <c r="K304" s="7">
        <v>0</v>
      </c>
      <c r="L304" s="8">
        <f>IFERROR(K304/K445, "NA")</f>
        <v>0</v>
      </c>
      <c r="M304" s="9"/>
      <c r="N304" s="10">
        <f t="shared" si="77"/>
        <v>0</v>
      </c>
      <c r="O304" s="8">
        <f>IFERROR(N304/N445, "NA")</f>
        <v>0</v>
      </c>
      <c r="P304" s="9"/>
      <c r="Q304" s="7">
        <v>0</v>
      </c>
      <c r="R304" s="8">
        <f>IFERROR(Q304/Q445, "NA")</f>
        <v>0</v>
      </c>
      <c r="S304" s="9"/>
      <c r="T304" s="7">
        <v>0</v>
      </c>
      <c r="U304" s="8">
        <f>IFERROR(T304/T445, "NA")</f>
        <v>0</v>
      </c>
      <c r="V304" s="9"/>
      <c r="W304" s="10">
        <f t="shared" si="78"/>
        <v>0</v>
      </c>
      <c r="X304" s="8">
        <f>IFERROR(W304/W445, "NA")</f>
        <v>0</v>
      </c>
      <c r="Y304" s="9"/>
      <c r="Z304" s="7">
        <v>0</v>
      </c>
      <c r="AA304" s="8">
        <f>IFERROR(Z304/Z445, "NA")</f>
        <v>0</v>
      </c>
      <c r="AB304" s="9"/>
      <c r="AC304" s="10">
        <f t="shared" si="79"/>
        <v>0</v>
      </c>
      <c r="AD304" s="8">
        <f>IFERROR(AC304/AC445,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IFERROR(B305/B445, "NA")</f>
        <v>0</v>
      </c>
      <c r="D305" s="9"/>
      <c r="E305" s="7">
        <v>0</v>
      </c>
      <c r="F305" s="8">
        <f>IFERROR(E305/E445, "NA")</f>
        <v>0</v>
      </c>
      <c r="G305" s="9"/>
      <c r="H305" s="10">
        <f t="shared" si="76"/>
        <v>0</v>
      </c>
      <c r="I305" s="8">
        <f>IFERROR(H305/H445, "NA")</f>
        <v>0</v>
      </c>
      <c r="J305" s="9"/>
      <c r="K305" s="7">
        <v>0</v>
      </c>
      <c r="L305" s="8">
        <f>IFERROR(K305/K445, "NA")</f>
        <v>0</v>
      </c>
      <c r="M305" s="9"/>
      <c r="N305" s="10">
        <f t="shared" si="77"/>
        <v>0</v>
      </c>
      <c r="O305" s="8">
        <f>IFERROR(N305/N445, "NA")</f>
        <v>0</v>
      </c>
      <c r="P305" s="9"/>
      <c r="Q305" s="7">
        <v>150</v>
      </c>
      <c r="R305" s="8">
        <f>IFERROR(Q305/Q445, "NA")</f>
        <v>2.8772423956449601E-4</v>
      </c>
      <c r="S305" s="9"/>
      <c r="T305" s="7">
        <v>0</v>
      </c>
      <c r="U305" s="8">
        <f>IFERROR(T305/T445, "NA")</f>
        <v>0</v>
      </c>
      <c r="V305" s="9"/>
      <c r="W305" s="10">
        <f t="shared" si="78"/>
        <v>-150</v>
      </c>
      <c r="X305" s="8">
        <f>IFERROR(W305/W445, "NA")</f>
        <v>2.0847666103779683E-3</v>
      </c>
      <c r="Y305" s="9"/>
      <c r="Z305" s="7">
        <v>197.01</v>
      </c>
      <c r="AA305" s="8">
        <f>IFERROR(Z305/Z445, "NA")</f>
        <v>3.5721211366275134E-4</v>
      </c>
      <c r="AB305" s="9"/>
      <c r="AC305" s="10">
        <f t="shared" si="79"/>
        <v>47.009999999999991</v>
      </c>
      <c r="AD305" s="8">
        <f>IFERROR(AC305/AC445, "NA")</f>
        <v>-1.5572134326469558E-3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IFERROR(B306/B445, "NA")</f>
        <v>0</v>
      </c>
      <c r="D306" s="9"/>
      <c r="E306" s="7">
        <v>0</v>
      </c>
      <c r="F306" s="8">
        <f>IFERROR(E306/E445, "NA")</f>
        <v>0</v>
      </c>
      <c r="G306" s="9"/>
      <c r="H306" s="10">
        <f t="shared" si="76"/>
        <v>0</v>
      </c>
      <c r="I306" s="8">
        <f>IFERROR(H306/H445, "NA")</f>
        <v>0</v>
      </c>
      <c r="J306" s="9"/>
      <c r="K306" s="7">
        <v>0</v>
      </c>
      <c r="L306" s="8">
        <f>IFERROR(K306/K445, "NA")</f>
        <v>0</v>
      </c>
      <c r="M306" s="9"/>
      <c r="N306" s="10">
        <f t="shared" si="77"/>
        <v>0</v>
      </c>
      <c r="O306" s="8">
        <f>IFERROR(N306/N445, "NA")</f>
        <v>0</v>
      </c>
      <c r="P306" s="9"/>
      <c r="Q306" s="7">
        <v>0</v>
      </c>
      <c r="R306" s="8">
        <f>IFERROR(Q306/Q445, "NA")</f>
        <v>0</v>
      </c>
      <c r="S306" s="9"/>
      <c r="T306" s="7">
        <v>0</v>
      </c>
      <c r="U306" s="8">
        <f>IFERROR(T306/T445, "NA")</f>
        <v>0</v>
      </c>
      <c r="V306" s="9"/>
      <c r="W306" s="10">
        <f t="shared" si="78"/>
        <v>0</v>
      </c>
      <c r="X306" s="8">
        <f>IFERROR(W306/W445, "NA")</f>
        <v>0</v>
      </c>
      <c r="Y306" s="9"/>
      <c r="Z306" s="7">
        <v>0</v>
      </c>
      <c r="AA306" s="8">
        <f>IFERROR(Z306/Z445, "NA")</f>
        <v>0</v>
      </c>
      <c r="AB306" s="9"/>
      <c r="AC306" s="10">
        <f t="shared" si="79"/>
        <v>0</v>
      </c>
      <c r="AD306" s="8">
        <f>IFERROR(AC306/AC445,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IFERROR(B307/B445, "NA")</f>
        <v>0</v>
      </c>
      <c r="D307" s="9"/>
      <c r="E307" s="7">
        <v>0</v>
      </c>
      <c r="F307" s="8">
        <f>IFERROR(E307/E445, "NA")</f>
        <v>0</v>
      </c>
      <c r="G307" s="9"/>
      <c r="H307" s="10">
        <f t="shared" si="76"/>
        <v>0</v>
      </c>
      <c r="I307" s="8">
        <f>IFERROR(H307/H445, "NA")</f>
        <v>0</v>
      </c>
      <c r="J307" s="9"/>
      <c r="K307" s="7">
        <v>0</v>
      </c>
      <c r="L307" s="8">
        <f>IFERROR(K307/K445, "NA")</f>
        <v>0</v>
      </c>
      <c r="M307" s="9"/>
      <c r="N307" s="10">
        <f t="shared" si="77"/>
        <v>0</v>
      </c>
      <c r="O307" s="8">
        <f>IFERROR(N307/N445, "NA")</f>
        <v>0</v>
      </c>
      <c r="P307" s="9"/>
      <c r="Q307" s="7">
        <v>0</v>
      </c>
      <c r="R307" s="8">
        <f>IFERROR(Q307/Q445, "NA")</f>
        <v>0</v>
      </c>
      <c r="S307" s="9"/>
      <c r="T307" s="7">
        <v>0</v>
      </c>
      <c r="U307" s="8">
        <f>IFERROR(T307/T445, "NA")</f>
        <v>0</v>
      </c>
      <c r="V307" s="9"/>
      <c r="W307" s="10">
        <f t="shared" si="78"/>
        <v>0</v>
      </c>
      <c r="X307" s="8">
        <f>IFERROR(W307/W445, "NA")</f>
        <v>0</v>
      </c>
      <c r="Y307" s="9"/>
      <c r="Z307" s="7">
        <v>0</v>
      </c>
      <c r="AA307" s="8">
        <f>IFERROR(Z307/Z445, "NA")</f>
        <v>0</v>
      </c>
      <c r="AB307" s="9"/>
      <c r="AC307" s="10">
        <f t="shared" si="79"/>
        <v>0</v>
      </c>
      <c r="AD307" s="8">
        <f>IFERROR(AC307/AC445,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IFERROR(B308/B445, "NA")</f>
        <v>0</v>
      </c>
      <c r="D308" s="9"/>
      <c r="E308" s="7">
        <v>0</v>
      </c>
      <c r="F308" s="8">
        <f>IFERROR(E308/E445, "NA")</f>
        <v>0</v>
      </c>
      <c r="G308" s="9"/>
      <c r="H308" s="10">
        <f t="shared" si="76"/>
        <v>0</v>
      </c>
      <c r="I308" s="8">
        <f>IFERROR(H308/H445, "NA")</f>
        <v>0</v>
      </c>
      <c r="J308" s="9"/>
      <c r="K308" s="7">
        <v>0</v>
      </c>
      <c r="L308" s="8">
        <f>IFERROR(K308/K445, "NA")</f>
        <v>0</v>
      </c>
      <c r="M308" s="9"/>
      <c r="N308" s="10">
        <f t="shared" si="77"/>
        <v>0</v>
      </c>
      <c r="O308" s="8">
        <f>IFERROR(N308/N445, "NA")</f>
        <v>0</v>
      </c>
      <c r="P308" s="9"/>
      <c r="Q308" s="7">
        <v>0</v>
      </c>
      <c r="R308" s="8">
        <f>IFERROR(Q308/Q445, "NA")</f>
        <v>0</v>
      </c>
      <c r="S308" s="9"/>
      <c r="T308" s="7">
        <v>0</v>
      </c>
      <c r="U308" s="8">
        <f>IFERROR(T308/T445, "NA")</f>
        <v>0</v>
      </c>
      <c r="V308" s="9"/>
      <c r="W308" s="10">
        <f t="shared" si="78"/>
        <v>0</v>
      </c>
      <c r="X308" s="8">
        <f>IFERROR(W308/W445, "NA")</f>
        <v>0</v>
      </c>
      <c r="Y308" s="9"/>
      <c r="Z308" s="7">
        <v>0</v>
      </c>
      <c r="AA308" s="8">
        <f>IFERROR(Z308/Z445, "NA")</f>
        <v>0</v>
      </c>
      <c r="AB308" s="9"/>
      <c r="AC308" s="10">
        <f t="shared" si="79"/>
        <v>0</v>
      </c>
      <c r="AD308" s="8">
        <f>IFERROR(AC308/AC445,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IFERROR(B309/B445, "NA")</f>
        <v>0</v>
      </c>
      <c r="D309" s="9"/>
      <c r="E309" s="7">
        <v>0</v>
      </c>
      <c r="F309" s="8">
        <f>IFERROR(E309/E445, "NA")</f>
        <v>0</v>
      </c>
      <c r="G309" s="9"/>
      <c r="H309" s="10">
        <f t="shared" si="76"/>
        <v>0</v>
      </c>
      <c r="I309" s="8">
        <f>IFERROR(H309/H445, "NA")</f>
        <v>0</v>
      </c>
      <c r="J309" s="9"/>
      <c r="K309" s="7">
        <v>0</v>
      </c>
      <c r="L309" s="8">
        <f>IFERROR(K309/K445, "NA")</f>
        <v>0</v>
      </c>
      <c r="M309" s="9"/>
      <c r="N309" s="10">
        <f t="shared" si="77"/>
        <v>0</v>
      </c>
      <c r="O309" s="8">
        <f>IFERROR(N309/N445, "NA")</f>
        <v>0</v>
      </c>
      <c r="P309" s="9"/>
      <c r="Q309" s="7">
        <v>0</v>
      </c>
      <c r="R309" s="8">
        <f>IFERROR(Q309/Q445, "NA")</f>
        <v>0</v>
      </c>
      <c r="S309" s="9"/>
      <c r="T309" s="7">
        <v>0</v>
      </c>
      <c r="U309" s="8">
        <f>IFERROR(T309/T445, "NA")</f>
        <v>0</v>
      </c>
      <c r="V309" s="9"/>
      <c r="W309" s="10">
        <f t="shared" si="78"/>
        <v>0</v>
      </c>
      <c r="X309" s="8">
        <f>IFERROR(W309/W445, "NA")</f>
        <v>0</v>
      </c>
      <c r="Y309" s="9"/>
      <c r="Z309" s="7">
        <v>0</v>
      </c>
      <c r="AA309" s="8">
        <f>IFERROR(Z309/Z445, "NA")</f>
        <v>0</v>
      </c>
      <c r="AB309" s="9"/>
      <c r="AC309" s="10">
        <f t="shared" si="79"/>
        <v>0</v>
      </c>
      <c r="AD309" s="8">
        <f>IFERROR(AC309/AC445, "NA")</f>
        <v>0</v>
      </c>
    </row>
    <row r="310" spans="1:30" ht="16.5" hidden="1" customHeight="1" x14ac:dyDescent="0.45">
      <c r="A310" s="6" t="s">
        <v>282</v>
      </c>
      <c r="B310" s="7">
        <v>0</v>
      </c>
      <c r="C310" s="8">
        <f>IFERROR(B310/B445, "NA")</f>
        <v>0</v>
      </c>
      <c r="D310" s="9"/>
      <c r="E310" s="7">
        <v>0</v>
      </c>
      <c r="F310" s="8">
        <f>IFERROR(E310/E445, "NA")</f>
        <v>0</v>
      </c>
      <c r="G310" s="9"/>
      <c r="H310" s="10">
        <f t="shared" si="76"/>
        <v>0</v>
      </c>
      <c r="I310" s="8">
        <f>IFERROR(H310/H445, "NA")</f>
        <v>0</v>
      </c>
      <c r="J310" s="9"/>
      <c r="K310" s="7">
        <v>0</v>
      </c>
      <c r="L310" s="8">
        <f>IFERROR(K310/K445, "NA")</f>
        <v>0</v>
      </c>
      <c r="M310" s="9"/>
      <c r="N310" s="10">
        <f t="shared" si="77"/>
        <v>0</v>
      </c>
      <c r="O310" s="8">
        <f>IFERROR(N310/N445, "NA")</f>
        <v>0</v>
      </c>
      <c r="P310" s="9"/>
      <c r="Q310" s="7">
        <v>0</v>
      </c>
      <c r="R310" s="8">
        <f>IFERROR(Q310/Q445, "NA")</f>
        <v>0</v>
      </c>
      <c r="S310" s="9"/>
      <c r="T310" s="7">
        <v>0</v>
      </c>
      <c r="U310" s="8">
        <f>IFERROR(T310/T445, "NA")</f>
        <v>0</v>
      </c>
      <c r="V310" s="9"/>
      <c r="W310" s="10">
        <f t="shared" si="78"/>
        <v>0</v>
      </c>
      <c r="X310" s="8">
        <f>IFERROR(W310/W445, "NA")</f>
        <v>0</v>
      </c>
      <c r="Y310" s="9"/>
      <c r="Z310" s="7">
        <v>0</v>
      </c>
      <c r="AA310" s="8">
        <f>IFERROR(Z310/Z445, "NA")</f>
        <v>0</v>
      </c>
      <c r="AB310" s="9"/>
      <c r="AC310" s="10">
        <f t="shared" si="79"/>
        <v>0</v>
      </c>
      <c r="AD310" s="8">
        <f>IFERROR(AC310/AC445, "NA")</f>
        <v>0</v>
      </c>
    </row>
    <row r="311" spans="1:30" ht="16.5" customHeight="1" x14ac:dyDescent="0.45">
      <c r="A311" s="6" t="s">
        <v>283</v>
      </c>
      <c r="B311" s="7">
        <v>0</v>
      </c>
      <c r="C311" s="8">
        <f>IFERROR(B311/B445, "NA")</f>
        <v>0</v>
      </c>
      <c r="D311" s="9"/>
      <c r="E311" s="7">
        <v>55</v>
      </c>
      <c r="F311" s="8">
        <f>IFERROR(E311/E445, "NA")</f>
        <v>3.8556443934969716E-4</v>
      </c>
      <c r="G311" s="9"/>
      <c r="H311" s="10">
        <f t="shared" si="76"/>
        <v>55</v>
      </c>
      <c r="I311" s="8">
        <f>IFERROR(H311/H445, "NA")</f>
        <v>-2.6198148505395622E-3</v>
      </c>
      <c r="J311" s="9"/>
      <c r="K311" s="7">
        <v>141.38999999999999</v>
      </c>
      <c r="L311" s="8">
        <f>IFERROR(K311/K445, "NA")</f>
        <v>1.0828652711574595E-3</v>
      </c>
      <c r="M311" s="9"/>
      <c r="N311" s="10">
        <f t="shared" si="77"/>
        <v>141.38999999999999</v>
      </c>
      <c r="O311" s="8">
        <f>IFERROR(N311/N445, "NA")</f>
        <v>-1.5857830217247466E-2</v>
      </c>
      <c r="P311" s="9"/>
      <c r="Q311" s="7">
        <v>144.08000000000001</v>
      </c>
      <c r="R311" s="8">
        <f>IFERROR(Q311/Q445, "NA")</f>
        <v>2.7636872290968392E-4</v>
      </c>
      <c r="S311" s="9"/>
      <c r="T311" s="7">
        <v>275</v>
      </c>
      <c r="U311" s="8">
        <f>IFERROR(T311/T445, "NA")</f>
        <v>4.6352245954253772E-4</v>
      </c>
      <c r="V311" s="9"/>
      <c r="W311" s="10">
        <f t="shared" si="78"/>
        <v>130.91999999999999</v>
      </c>
      <c r="X311" s="8">
        <f>IFERROR(W311/W445, "NA")</f>
        <v>-1.8195842975378906E-3</v>
      </c>
      <c r="Y311" s="9"/>
      <c r="Z311" s="7">
        <v>222.88</v>
      </c>
      <c r="AA311" s="8">
        <f>IFERROR(Z311/Z445, "NA")</f>
        <v>4.0411875485078943E-4</v>
      </c>
      <c r="AB311" s="9"/>
      <c r="AC311" s="10">
        <f t="shared" si="79"/>
        <v>78.799999999999983</v>
      </c>
      <c r="AD311" s="8">
        <f>IFERROR(AC311/AC445, "NA")</f>
        <v>-2.6102620398336549E-3</v>
      </c>
    </row>
    <row r="312" spans="1:30" ht="16.5" customHeight="1" x14ac:dyDescent="0.45">
      <c r="A312" s="6" t="s">
        <v>284</v>
      </c>
      <c r="B312" s="7">
        <v>0</v>
      </c>
      <c r="C312" s="8">
        <f>IFERROR(B312/B445, "NA")</f>
        <v>0</v>
      </c>
      <c r="D312" s="9"/>
      <c r="E312" s="7">
        <v>0</v>
      </c>
      <c r="F312" s="8">
        <f>IFERROR(E312/E445, "NA")</f>
        <v>0</v>
      </c>
      <c r="G312" s="9"/>
      <c r="H312" s="10">
        <f t="shared" si="76"/>
        <v>0</v>
      </c>
      <c r="I312" s="8">
        <f>IFERROR(H312/H445, "NA")</f>
        <v>0</v>
      </c>
      <c r="J312" s="9"/>
      <c r="K312" s="7">
        <v>0</v>
      </c>
      <c r="L312" s="8">
        <f>IFERROR(K312/K445, "NA")</f>
        <v>0</v>
      </c>
      <c r="M312" s="9"/>
      <c r="N312" s="10">
        <f t="shared" si="77"/>
        <v>0</v>
      </c>
      <c r="O312" s="8">
        <f>IFERROR(N312/N445, "NA")</f>
        <v>0</v>
      </c>
      <c r="P312" s="9"/>
      <c r="Q312" s="7">
        <v>0</v>
      </c>
      <c r="R312" s="8">
        <f>IFERROR(Q312/Q445, "NA")</f>
        <v>0</v>
      </c>
      <c r="S312" s="9"/>
      <c r="T312" s="7">
        <v>0</v>
      </c>
      <c r="U312" s="8">
        <f>IFERROR(T312/T445, "NA")</f>
        <v>0</v>
      </c>
      <c r="V312" s="9"/>
      <c r="W312" s="10">
        <f t="shared" si="78"/>
        <v>0</v>
      </c>
      <c r="X312" s="8">
        <f>IFERROR(W312/W445, "NA")</f>
        <v>0</v>
      </c>
      <c r="Y312" s="9"/>
      <c r="Z312" s="7">
        <v>26.7</v>
      </c>
      <c r="AA312" s="8">
        <f>IFERROR(Z312/Z445, "NA")</f>
        <v>4.8411570147685202E-5</v>
      </c>
      <c r="AB312" s="9"/>
      <c r="AC312" s="10">
        <f t="shared" si="79"/>
        <v>26.7</v>
      </c>
      <c r="AD312" s="8">
        <f>IFERROR(AC312/AC445, "NA")</f>
        <v>-8.8444157948678432E-4</v>
      </c>
    </row>
    <row r="313" spans="1:30" ht="16.5" customHeight="1" x14ac:dyDescent="0.45">
      <c r="A313" s="6" t="s">
        <v>285</v>
      </c>
      <c r="B313" s="7">
        <v>910.44</v>
      </c>
      <c r="C313" s="8">
        <f>IFERROR(B313/B445, "NA")</f>
        <v>7.4838377906682359E-3</v>
      </c>
      <c r="D313" s="9"/>
      <c r="E313" s="7">
        <v>35</v>
      </c>
      <c r="F313" s="8">
        <f>IFERROR(E313/E445, "NA")</f>
        <v>2.4535918867708004E-4</v>
      </c>
      <c r="G313" s="9"/>
      <c r="H313" s="10">
        <f t="shared" si="76"/>
        <v>-875.44</v>
      </c>
      <c r="I313" s="8">
        <f>IFERROR(H313/H445, "NA")</f>
        <v>4.1699831141024622E-2</v>
      </c>
      <c r="J313" s="9"/>
      <c r="K313" s="7">
        <v>214.49</v>
      </c>
      <c r="L313" s="8">
        <f>IFERROR(K313/K445, "NA")</f>
        <v>1.6427171087811268E-3</v>
      </c>
      <c r="M313" s="9"/>
      <c r="N313" s="10">
        <f t="shared" si="77"/>
        <v>-695.95</v>
      </c>
      <c r="O313" s="8">
        <f>IFERROR(N313/N445, "NA")</f>
        <v>7.8055427821581272E-2</v>
      </c>
      <c r="P313" s="9"/>
      <c r="Q313" s="7">
        <v>1976.44</v>
      </c>
      <c r="R313" s="8">
        <f>IFERROR(Q313/Q445, "NA")</f>
        <v>3.791131306965683E-3</v>
      </c>
      <c r="S313" s="9"/>
      <c r="T313" s="7">
        <v>175</v>
      </c>
      <c r="U313" s="8">
        <f>IFERROR(T313/T445, "NA")</f>
        <v>2.9496883789070582E-4</v>
      </c>
      <c r="V313" s="9"/>
      <c r="W313" s="10">
        <f t="shared" si="78"/>
        <v>-1801.44</v>
      </c>
      <c r="X313" s="8">
        <f>IFERROR(W313/W445, "NA")</f>
        <v>2.5037213083995247E-2</v>
      </c>
      <c r="Y313" s="9"/>
      <c r="Z313" s="7">
        <v>427.06</v>
      </c>
      <c r="AA313" s="8">
        <f>IFERROR(Z313/Z445, "NA")</f>
        <v>7.7433127892398662E-4</v>
      </c>
      <c r="AB313" s="9"/>
      <c r="AC313" s="10">
        <f t="shared" si="79"/>
        <v>-1549.38</v>
      </c>
      <c r="AD313" s="8">
        <f>IFERROR(AC313/AC445, "NA")</f>
        <v>5.1323449229409512E-2</v>
      </c>
    </row>
    <row r="314" spans="1:30" ht="16.5" customHeight="1" x14ac:dyDescent="0.45">
      <c r="A314" s="6" t="s">
        <v>286</v>
      </c>
      <c r="B314" s="7">
        <v>0</v>
      </c>
      <c r="C314" s="8">
        <f>IFERROR(B314/B445, "NA")</f>
        <v>0</v>
      </c>
      <c r="D314" s="9"/>
      <c r="E314" s="7">
        <v>10</v>
      </c>
      <c r="F314" s="8">
        <f>IFERROR(E314/E445, "NA")</f>
        <v>7.0102625336308574E-5</v>
      </c>
      <c r="G314" s="9"/>
      <c r="H314" s="10">
        <f t="shared" si="76"/>
        <v>10</v>
      </c>
      <c r="I314" s="8">
        <f>IFERROR(H314/H445, "NA")</f>
        <v>-4.7632997282537494E-4</v>
      </c>
      <c r="J314" s="9"/>
      <c r="K314" s="7">
        <v>27</v>
      </c>
      <c r="L314" s="8">
        <f>IFERROR(K314/K445, "NA")</f>
        <v>2.06785220462914E-4</v>
      </c>
      <c r="M314" s="9"/>
      <c r="N314" s="10">
        <f t="shared" si="77"/>
        <v>27</v>
      </c>
      <c r="O314" s="8">
        <f>IFERROR(N314/N445, "NA")</f>
        <v>-3.0282298314285422E-3</v>
      </c>
      <c r="P314" s="9"/>
      <c r="Q314" s="7">
        <v>12</v>
      </c>
      <c r="R314" s="8">
        <f>IFERROR(Q314/Q445, "NA")</f>
        <v>2.301793916515968E-5</v>
      </c>
      <c r="S314" s="9"/>
      <c r="T314" s="7">
        <v>50</v>
      </c>
      <c r="U314" s="8">
        <f>IFERROR(T314/T445, "NA")</f>
        <v>8.4276810825915948E-5</v>
      </c>
      <c r="V314" s="9"/>
      <c r="W314" s="10">
        <f t="shared" si="78"/>
        <v>38</v>
      </c>
      <c r="X314" s="8">
        <f>IFERROR(W314/W445, "NA")</f>
        <v>-5.2814087462908527E-4</v>
      </c>
      <c r="Y314" s="9"/>
      <c r="Z314" s="7">
        <v>47.75</v>
      </c>
      <c r="AA314" s="8">
        <f>IFERROR(Z314/Z445, "NA")</f>
        <v>8.6578744365242266E-5</v>
      </c>
      <c r="AB314" s="9"/>
      <c r="AC314" s="10">
        <f t="shared" si="79"/>
        <v>35.75</v>
      </c>
      <c r="AD314" s="8">
        <f>IFERROR(AC314/AC445, "NA")</f>
        <v>-1.1842242122341775E-3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IFERROR(B315/B445, "NA")</f>
        <v>0</v>
      </c>
      <c r="D315" s="9"/>
      <c r="E315" s="7">
        <v>0</v>
      </c>
      <c r="F315" s="8">
        <f>IFERROR(E315/E445, "NA")</f>
        <v>0</v>
      </c>
      <c r="G315" s="9"/>
      <c r="H315" s="10">
        <f t="shared" si="76"/>
        <v>0</v>
      </c>
      <c r="I315" s="8">
        <f>IFERROR(H315/H445, "NA")</f>
        <v>0</v>
      </c>
      <c r="J315" s="9"/>
      <c r="K315" s="7">
        <v>0</v>
      </c>
      <c r="L315" s="8">
        <f>IFERROR(K315/K445, "NA")</f>
        <v>0</v>
      </c>
      <c r="M315" s="9"/>
      <c r="N315" s="10">
        <f t="shared" si="77"/>
        <v>0</v>
      </c>
      <c r="O315" s="8">
        <f>IFERROR(N315/N445, "NA")</f>
        <v>0</v>
      </c>
      <c r="P315" s="9"/>
      <c r="Q315" s="7">
        <v>0</v>
      </c>
      <c r="R315" s="8">
        <f>IFERROR(Q315/Q445, "NA")</f>
        <v>0</v>
      </c>
      <c r="S315" s="9"/>
      <c r="T315" s="7">
        <v>0</v>
      </c>
      <c r="U315" s="8">
        <f>IFERROR(T315/T445, "NA")</f>
        <v>0</v>
      </c>
      <c r="V315" s="9"/>
      <c r="W315" s="10">
        <f t="shared" si="78"/>
        <v>0</v>
      </c>
      <c r="X315" s="8">
        <f>IFERROR(W315/W445, "NA")</f>
        <v>0</v>
      </c>
      <c r="Y315" s="9"/>
      <c r="Z315" s="7">
        <v>0</v>
      </c>
      <c r="AA315" s="8">
        <f>IFERROR(Z315/Z445, "NA")</f>
        <v>0</v>
      </c>
      <c r="AB315" s="9"/>
      <c r="AC315" s="10">
        <f t="shared" si="79"/>
        <v>0</v>
      </c>
      <c r="AD315" s="8">
        <f>IFERROR(AC315/AC445, "NA")</f>
        <v>0</v>
      </c>
    </row>
    <row r="316" spans="1:30" ht="16.5" customHeight="1" x14ac:dyDescent="0.45">
      <c r="A316" s="6" t="s">
        <v>288</v>
      </c>
      <c r="B316" s="7">
        <v>748.97</v>
      </c>
      <c r="C316" s="8">
        <f>IFERROR(B316/B445, "NA")</f>
        <v>6.1565506678933138E-3</v>
      </c>
      <c r="D316" s="9"/>
      <c r="E316" s="7">
        <v>998.54</v>
      </c>
      <c r="F316" s="8">
        <f>IFERROR(E316/E445, "NA")</f>
        <v>7.0000275503317565E-3</v>
      </c>
      <c r="G316" s="9"/>
      <c r="H316" s="10">
        <f t="shared" si="76"/>
        <v>249.56999999999994</v>
      </c>
      <c r="I316" s="8">
        <f>IFERROR(H316/H445, "NA")</f>
        <v>-1.1887767131802878E-2</v>
      </c>
      <c r="J316" s="9"/>
      <c r="K316" s="7">
        <v>794.11</v>
      </c>
      <c r="L316" s="8">
        <f>IFERROR(K316/K445, "NA")</f>
        <v>6.0818596822890605E-3</v>
      </c>
      <c r="M316" s="9"/>
      <c r="N316" s="10">
        <f t="shared" si="77"/>
        <v>45.139999999999986</v>
      </c>
      <c r="O316" s="8">
        <f>IFERROR(N316/N445, "NA")</f>
        <v>-5.0627516515068284E-3</v>
      </c>
      <c r="P316" s="9"/>
      <c r="Q316" s="7">
        <v>3744.85</v>
      </c>
      <c r="R316" s="8">
        <f>IFERROR(Q316/Q445, "NA")</f>
        <v>7.1832274568873521E-3</v>
      </c>
      <c r="S316" s="9"/>
      <c r="T316" s="7">
        <v>4152.9799999999996</v>
      </c>
      <c r="U316" s="8">
        <f>IFERROR(T316/T445, "NA")</f>
        <v>6.9999981964762471E-3</v>
      </c>
      <c r="V316" s="9"/>
      <c r="W316" s="10">
        <f t="shared" si="78"/>
        <v>408.12999999999965</v>
      </c>
      <c r="X316" s="8">
        <f>IFERROR(W316/W445, "NA")</f>
        <v>-5.6723719779570633E-3</v>
      </c>
      <c r="Y316" s="9"/>
      <c r="Z316" s="7">
        <v>3970.55</v>
      </c>
      <c r="AA316" s="8">
        <f>IFERROR(Z316/Z445, "NA")</f>
        <v>7.1992719044903179E-3</v>
      </c>
      <c r="AB316" s="9"/>
      <c r="AC316" s="10">
        <f t="shared" si="79"/>
        <v>225.70000000000027</v>
      </c>
      <c r="AD316" s="8">
        <f>IFERROR(AC316/AC445, "NA")</f>
        <v>-7.4763469846504662E-3</v>
      </c>
    </row>
    <row r="317" spans="1:30" ht="16.5" customHeight="1" x14ac:dyDescent="0.45">
      <c r="A317" s="6" t="s">
        <v>289</v>
      </c>
      <c r="B317" s="7">
        <v>-1.61</v>
      </c>
      <c r="C317" s="8">
        <f>IFERROR(B317/B445, "NA")</f>
        <v>-1.3234237119388273E-5</v>
      </c>
      <c r="D317" s="9"/>
      <c r="E317" s="7">
        <v>0</v>
      </c>
      <c r="F317" s="8">
        <f>IFERROR(E317/E445, "NA")</f>
        <v>0</v>
      </c>
      <c r="G317" s="9"/>
      <c r="H317" s="10">
        <f t="shared" si="76"/>
        <v>1.61</v>
      </c>
      <c r="I317" s="8">
        <f>IFERROR(H317/H445, "NA")</f>
        <v>-7.6689125624885369E-5</v>
      </c>
      <c r="J317" s="9"/>
      <c r="K317" s="7">
        <v>0</v>
      </c>
      <c r="L317" s="8">
        <f>IFERROR(K317/K445, "NA")</f>
        <v>0</v>
      </c>
      <c r="M317" s="9"/>
      <c r="N317" s="10">
        <f t="shared" si="77"/>
        <v>1.61</v>
      </c>
      <c r="O317" s="8">
        <f>IFERROR(N317/N445, "NA")</f>
        <v>-1.8057222328147975E-4</v>
      </c>
      <c r="P317" s="9"/>
      <c r="Q317" s="7">
        <v>292.39</v>
      </c>
      <c r="R317" s="8">
        <f>IFERROR(Q317/Q445, "NA")</f>
        <v>5.6085126937508649E-4</v>
      </c>
      <c r="S317" s="9"/>
      <c r="T317" s="7">
        <v>0</v>
      </c>
      <c r="U317" s="8">
        <f>IFERROR(T317/T445, "NA")</f>
        <v>0</v>
      </c>
      <c r="V317" s="9"/>
      <c r="W317" s="10">
        <f t="shared" si="78"/>
        <v>-292.39</v>
      </c>
      <c r="X317" s="8">
        <f>IFERROR(W317/W445, "NA")</f>
        <v>4.0637660613894273E-3</v>
      </c>
      <c r="Y317" s="9"/>
      <c r="Z317" s="7">
        <v>0</v>
      </c>
      <c r="AA317" s="8">
        <f>IFERROR(Z317/Z445, "NA")</f>
        <v>0</v>
      </c>
      <c r="AB317" s="9"/>
      <c r="AC317" s="10">
        <f t="shared" si="79"/>
        <v>-292.39</v>
      </c>
      <c r="AD317" s="8">
        <f>IFERROR(AC317/AC445, "NA")</f>
        <v>9.6854634242000311E-3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IFERROR(B318/B445, "NA")</f>
        <v>0</v>
      </c>
      <c r="D318" s="9"/>
      <c r="E318" s="7">
        <v>0</v>
      </c>
      <c r="F318" s="8">
        <f>IFERROR(E318/E445, "NA")</f>
        <v>0</v>
      </c>
      <c r="G318" s="9"/>
      <c r="H318" s="10">
        <f t="shared" si="76"/>
        <v>0</v>
      </c>
      <c r="I318" s="8">
        <f>IFERROR(H318/H445, "NA")</f>
        <v>0</v>
      </c>
      <c r="J318" s="9"/>
      <c r="K318" s="7">
        <v>0</v>
      </c>
      <c r="L318" s="8">
        <f>IFERROR(K318/K445, "NA")</f>
        <v>0</v>
      </c>
      <c r="M318" s="9"/>
      <c r="N318" s="10">
        <f t="shared" si="77"/>
        <v>0</v>
      </c>
      <c r="O318" s="8">
        <f>IFERROR(N318/N445, "NA")</f>
        <v>0</v>
      </c>
      <c r="P318" s="9"/>
      <c r="Q318" s="7">
        <v>0</v>
      </c>
      <c r="R318" s="8">
        <f>IFERROR(Q318/Q445, "NA")</f>
        <v>0</v>
      </c>
      <c r="S318" s="9"/>
      <c r="T318" s="7">
        <v>0</v>
      </c>
      <c r="U318" s="8">
        <f>IFERROR(T318/T445, "NA")</f>
        <v>0</v>
      </c>
      <c r="V318" s="9"/>
      <c r="W318" s="10">
        <f t="shared" si="78"/>
        <v>0</v>
      </c>
      <c r="X318" s="8">
        <f>IFERROR(W318/W445, "NA")</f>
        <v>0</v>
      </c>
      <c r="Y318" s="9"/>
      <c r="Z318" s="7">
        <v>0</v>
      </c>
      <c r="AA318" s="8">
        <f>IFERROR(Z318/Z445, "NA")</f>
        <v>0</v>
      </c>
      <c r="AB318" s="9"/>
      <c r="AC318" s="10">
        <f t="shared" si="79"/>
        <v>0</v>
      </c>
      <c r="AD318" s="8">
        <f>IFERROR(AC318/AC445, "NA")</f>
        <v>0</v>
      </c>
    </row>
    <row r="319" spans="1:30" ht="16.5" customHeight="1" x14ac:dyDescent="0.45">
      <c r="A319" s="6" t="s">
        <v>291</v>
      </c>
      <c r="B319" s="7">
        <v>490.6</v>
      </c>
      <c r="C319" s="8">
        <f>IFERROR(B319/B445, "NA")</f>
        <v>4.032743311038439E-3</v>
      </c>
      <c r="D319" s="9"/>
      <c r="E319" s="7">
        <v>491</v>
      </c>
      <c r="F319" s="8">
        <f>IFERROR(E319/E445, "NA")</f>
        <v>3.4420389040127511E-3</v>
      </c>
      <c r="G319" s="9"/>
      <c r="H319" s="10">
        <f t="shared" si="76"/>
        <v>0.39999999999997726</v>
      </c>
      <c r="I319" s="8">
        <f>IFERROR(H319/H445, "NA")</f>
        <v>-1.9053198913013914E-5</v>
      </c>
      <c r="J319" s="9"/>
      <c r="K319" s="7">
        <v>490.6</v>
      </c>
      <c r="L319" s="8">
        <f>IFERROR(K319/K445, "NA")</f>
        <v>3.7573640429298377E-3</v>
      </c>
      <c r="M319" s="9"/>
      <c r="N319" s="10">
        <f t="shared" si="77"/>
        <v>0</v>
      </c>
      <c r="O319" s="8">
        <f>IFERROR(N319/N445, "NA")</f>
        <v>0</v>
      </c>
      <c r="P319" s="9"/>
      <c r="Q319" s="7">
        <v>2453</v>
      </c>
      <c r="R319" s="8">
        <f>IFERROR(Q319/Q445, "NA")</f>
        <v>4.7052503976780574E-3</v>
      </c>
      <c r="S319" s="9"/>
      <c r="T319" s="7">
        <v>2455</v>
      </c>
      <c r="U319" s="8">
        <f>IFERROR(T319/T445, "NA")</f>
        <v>4.1379914115524732E-3</v>
      </c>
      <c r="V319" s="9"/>
      <c r="W319" s="10">
        <f t="shared" si="78"/>
        <v>2</v>
      </c>
      <c r="X319" s="8">
        <f>IFERROR(W319/W445, "NA")</f>
        <v>-2.779688813837291E-5</v>
      </c>
      <c r="Y319" s="9"/>
      <c r="Z319" s="7">
        <v>2453</v>
      </c>
      <c r="AA319" s="8">
        <f>IFERROR(Z319/Z445, "NA")</f>
        <v>4.4476996843547494E-3</v>
      </c>
      <c r="AB319" s="9"/>
      <c r="AC319" s="10">
        <f t="shared" si="79"/>
        <v>0</v>
      </c>
      <c r="AD319" s="8">
        <f>IFERROR(AC319/AC445, "NA")</f>
        <v>0</v>
      </c>
    </row>
    <row r="320" spans="1:30" ht="16.5" customHeight="1" x14ac:dyDescent="0.45">
      <c r="A320" s="6" t="s">
        <v>292</v>
      </c>
      <c r="B320" s="7">
        <v>160.27000000000001</v>
      </c>
      <c r="C320" s="8">
        <f>IFERROR(B320/B445, "NA")</f>
        <v>1.3174230951082972E-3</v>
      </c>
      <c r="D320" s="9"/>
      <c r="E320" s="7">
        <v>160</v>
      </c>
      <c r="F320" s="8">
        <f>IFERROR(E320/E445, "NA")</f>
        <v>1.1216420053809372E-3</v>
      </c>
      <c r="G320" s="9"/>
      <c r="H320" s="10">
        <f t="shared" si="76"/>
        <v>-0.27000000000001023</v>
      </c>
      <c r="I320" s="8">
        <f>IFERROR(H320/H445, "NA")</f>
        <v>1.2860909266285611E-5</v>
      </c>
      <c r="J320" s="9"/>
      <c r="K320" s="7">
        <v>290.20999999999998</v>
      </c>
      <c r="L320" s="8">
        <f>IFERROR(K320/K445, "NA")</f>
        <v>2.2226347715015656E-3</v>
      </c>
      <c r="M320" s="9"/>
      <c r="N320" s="10">
        <f t="shared" si="77"/>
        <v>129.93999999999997</v>
      </c>
      <c r="O320" s="8">
        <f>IFERROR(N320/N445, "NA")</f>
        <v>-1.4573636455400914E-2</v>
      </c>
      <c r="P320" s="9"/>
      <c r="Q320" s="7">
        <v>801.68</v>
      </c>
      <c r="R320" s="8">
        <f>IFERROR(Q320/Q445, "NA")</f>
        <v>1.5377517891604342E-3</v>
      </c>
      <c r="S320" s="9"/>
      <c r="T320" s="7">
        <v>800</v>
      </c>
      <c r="U320" s="8">
        <f>IFERROR(T320/T445, "NA")</f>
        <v>1.3484289732146552E-3</v>
      </c>
      <c r="V320" s="9"/>
      <c r="W320" s="10">
        <f t="shared" si="78"/>
        <v>-1.67999999999995</v>
      </c>
      <c r="X320" s="8">
        <f>IFERROR(W320/W445, "NA")</f>
        <v>2.3349386036232548E-5</v>
      </c>
      <c r="Y320" s="9"/>
      <c r="Z320" s="7">
        <v>930.9</v>
      </c>
      <c r="AA320" s="8">
        <f>IFERROR(Z320/Z445, "NA")</f>
        <v>1.6878775524524403E-3</v>
      </c>
      <c r="AB320" s="9"/>
      <c r="AC320" s="10">
        <f t="shared" si="79"/>
        <v>129.22000000000003</v>
      </c>
      <c r="AD320" s="8">
        <f>IFERROR(AC320/AC445, "NA")</f>
        <v>-4.2804322434937189E-3</v>
      </c>
    </row>
    <row r="321" spans="1:30" ht="16.5" customHeight="1" x14ac:dyDescent="0.45">
      <c r="A321" s="6" t="s">
        <v>293</v>
      </c>
      <c r="B321" s="7">
        <v>1009.47</v>
      </c>
      <c r="C321" s="8">
        <f>IFERROR(B321/B445, "NA")</f>
        <v>8.2978666738564473E-3</v>
      </c>
      <c r="D321" s="9"/>
      <c r="E321" s="7">
        <v>1121</v>
      </c>
      <c r="F321" s="8">
        <f>IFERROR(E321/E445, "NA")</f>
        <v>7.8585043002001916E-3</v>
      </c>
      <c r="G321" s="9"/>
      <c r="H321" s="10">
        <f t="shared" si="76"/>
        <v>111.52999999999997</v>
      </c>
      <c r="I321" s="8">
        <f>IFERROR(H321/H445, "NA")</f>
        <v>-5.3125081869214051E-3</v>
      </c>
      <c r="J321" s="9"/>
      <c r="K321" s="7">
        <v>1113.71</v>
      </c>
      <c r="L321" s="8">
        <f>IFERROR(K321/K445, "NA")</f>
        <v>8.5295839956204423E-3</v>
      </c>
      <c r="M321" s="9"/>
      <c r="N321" s="10">
        <f t="shared" si="77"/>
        <v>104.24000000000001</v>
      </c>
      <c r="O321" s="8">
        <f>IFERROR(N321/N445, "NA")</f>
        <v>-1.1691210282522639E-2</v>
      </c>
      <c r="P321" s="9"/>
      <c r="Q321" s="7">
        <v>5325.49</v>
      </c>
      <c r="R321" s="8">
        <f>IFERROR(Q321/Q445, "NA")</f>
        <v>1.0215150403722185E-2</v>
      </c>
      <c r="S321" s="9"/>
      <c r="T321" s="7">
        <v>5605</v>
      </c>
      <c r="U321" s="8">
        <f>IFERROR(T321/T445, "NA")</f>
        <v>9.4474304935851777E-3</v>
      </c>
      <c r="V321" s="9"/>
      <c r="W321" s="10">
        <f t="shared" si="78"/>
        <v>279.51000000000022</v>
      </c>
      <c r="X321" s="8">
        <f>IFERROR(W321/W445, "NA")</f>
        <v>-3.8847541017783091E-3</v>
      </c>
      <c r="Y321" s="9"/>
      <c r="Z321" s="7">
        <v>5461.56</v>
      </c>
      <c r="AA321" s="8">
        <f>IFERROR(Z321/Z445, "NA")</f>
        <v>9.902722661265604E-3</v>
      </c>
      <c r="AB321" s="9"/>
      <c r="AC321" s="10">
        <f t="shared" si="79"/>
        <v>136.07000000000062</v>
      </c>
      <c r="AD321" s="8">
        <f>IFERROR(AC321/AC445, "NA")</f>
        <v>-4.5073395401036441E-3</v>
      </c>
    </row>
    <row r="322" spans="1:30" ht="16.5" customHeight="1" x14ac:dyDescent="0.45">
      <c r="A322" s="6" t="s">
        <v>294</v>
      </c>
      <c r="B322" s="7">
        <v>889.32</v>
      </c>
      <c r="C322" s="8">
        <f>IFERROR(B322/B445, "NA")</f>
        <v>7.3102309037356393E-3</v>
      </c>
      <c r="D322" s="9"/>
      <c r="E322" s="7">
        <v>2139.7199999999998</v>
      </c>
      <c r="F322" s="8">
        <f>IFERROR(E322/E445, "NA")</f>
        <v>1.4999998948460618E-2</v>
      </c>
      <c r="G322" s="9"/>
      <c r="H322" s="10">
        <f t="shared" si="76"/>
        <v>1250.3999999999996</v>
      </c>
      <c r="I322" s="8">
        <f>IFERROR(H322/H445, "NA")</f>
        <v>-5.9560299802084861E-2</v>
      </c>
      <c r="J322" s="9"/>
      <c r="K322" s="7">
        <v>1569.79</v>
      </c>
      <c r="L322" s="8">
        <f>IFERROR(K322/K445, "NA")</f>
        <v>1.202256930483251E-2</v>
      </c>
      <c r="M322" s="9"/>
      <c r="N322" s="10">
        <f t="shared" si="77"/>
        <v>680.46999999999991</v>
      </c>
      <c r="O322" s="8">
        <f>IFERROR(N322/N445, "NA")</f>
        <v>-7.6319242718228889E-2</v>
      </c>
      <c r="P322" s="9"/>
      <c r="Q322" s="7">
        <v>4567.8999999999996</v>
      </c>
      <c r="R322" s="8">
        <f>IFERROR(Q322/Q445, "NA")</f>
        <v>8.7619703593777402E-3</v>
      </c>
      <c r="S322" s="9"/>
      <c r="T322" s="7">
        <v>8823.59</v>
      </c>
      <c r="U322" s="8">
        <f>IFERROR(T322/T445, "NA")</f>
        <v>1.4872480504708874E-2</v>
      </c>
      <c r="V322" s="9"/>
      <c r="W322" s="10">
        <f t="shared" si="78"/>
        <v>4255.6900000000005</v>
      </c>
      <c r="X322" s="8">
        <f>IFERROR(W322/W445, "NA")</f>
        <v>-5.9147469440796109E-2</v>
      </c>
      <c r="Y322" s="9"/>
      <c r="Z322" s="7">
        <v>11241.05</v>
      </c>
      <c r="AA322" s="8">
        <f>IFERROR(Z322/Z445, "NA")</f>
        <v>2.0381905640772909E-2</v>
      </c>
      <c r="AB322" s="9"/>
      <c r="AC322" s="10">
        <f t="shared" si="79"/>
        <v>6673.15</v>
      </c>
      <c r="AD322" s="8">
        <f>IFERROR(AC322/AC445, "NA")</f>
        <v>-0.22104911333903499</v>
      </c>
    </row>
    <row r="323" spans="1:30" ht="16.5" customHeight="1" x14ac:dyDescent="0.45">
      <c r="A323" s="6" t="s">
        <v>295</v>
      </c>
      <c r="B323" s="7">
        <v>280.20999999999998</v>
      </c>
      <c r="C323" s="8">
        <f>IFERROR(B323/B445, "NA")</f>
        <v>2.3033326603874456E-3</v>
      </c>
      <c r="D323" s="9"/>
      <c r="E323" s="7">
        <v>366</v>
      </c>
      <c r="F323" s="8">
        <f>IFERROR(E323/E445, "NA")</f>
        <v>2.5657560873088938E-3</v>
      </c>
      <c r="G323" s="9"/>
      <c r="H323" s="10">
        <f t="shared" si="76"/>
        <v>85.79000000000002</v>
      </c>
      <c r="I323" s="8">
        <f>IFERROR(H323/H445, "NA")</f>
        <v>-4.0864348368688927E-3</v>
      </c>
      <c r="J323" s="9"/>
      <c r="K323" s="7">
        <v>338.98</v>
      </c>
      <c r="L323" s="8">
        <f>IFERROR(K323/K445, "NA")</f>
        <v>2.5961501493525405E-3</v>
      </c>
      <c r="M323" s="9"/>
      <c r="N323" s="10">
        <f t="shared" si="77"/>
        <v>58.770000000000039</v>
      </c>
      <c r="O323" s="8">
        <f>IFERROR(N323/N445, "NA")</f>
        <v>-6.5914469330761319E-3</v>
      </c>
      <c r="P323" s="9"/>
      <c r="Q323" s="7">
        <v>1401.05</v>
      </c>
      <c r="R323" s="8">
        <f>IFERROR(Q323/Q445, "NA")</f>
        <v>2.687440305612247E-3</v>
      </c>
      <c r="S323" s="9"/>
      <c r="T323" s="7">
        <v>1830</v>
      </c>
      <c r="U323" s="8">
        <f>IFERROR(T323/T445, "NA")</f>
        <v>3.0845312762285237E-3</v>
      </c>
      <c r="V323" s="9"/>
      <c r="W323" s="10">
        <f t="shared" si="78"/>
        <v>428.95000000000005</v>
      </c>
      <c r="X323" s="8">
        <f>IFERROR(W323/W445, "NA")</f>
        <v>-5.9617375834775301E-3</v>
      </c>
      <c r="Y323" s="9"/>
      <c r="Z323" s="7">
        <v>1387.19</v>
      </c>
      <c r="AA323" s="8">
        <f>IFERROR(Z323/Z445, "NA")</f>
        <v>2.515207715099904E-3</v>
      </c>
      <c r="AB323" s="9"/>
      <c r="AC323" s="10">
        <f t="shared" si="79"/>
        <v>-13.8599999999999</v>
      </c>
      <c r="AD323" s="8">
        <f>IFERROR(AC323/AC445, "NA")</f>
        <v>4.5911461766617011E-4</v>
      </c>
    </row>
    <row r="324" spans="1:30" ht="16.5" customHeight="1" x14ac:dyDescent="0.45">
      <c r="A324" s="6" t="s">
        <v>296</v>
      </c>
      <c r="B324" s="7">
        <v>10</v>
      </c>
      <c r="C324" s="8">
        <f>IFERROR(B324/B445, "NA")</f>
        <v>8.2200230555206659E-5</v>
      </c>
      <c r="D324" s="9"/>
      <c r="E324" s="7">
        <v>0</v>
      </c>
      <c r="F324" s="8">
        <f>IFERROR(E324/E445, "NA")</f>
        <v>0</v>
      </c>
      <c r="G324" s="9"/>
      <c r="H324" s="10">
        <f t="shared" si="76"/>
        <v>-10</v>
      </c>
      <c r="I324" s="8">
        <f>IFERROR(H324/H445, "NA")</f>
        <v>4.7632997282537494E-4</v>
      </c>
      <c r="J324" s="9"/>
      <c r="K324" s="7">
        <v>0</v>
      </c>
      <c r="L324" s="8">
        <f>IFERROR(K324/K445, "NA")</f>
        <v>0</v>
      </c>
      <c r="M324" s="9"/>
      <c r="N324" s="10">
        <f t="shared" si="77"/>
        <v>-10</v>
      </c>
      <c r="O324" s="8">
        <f>IFERROR(N324/N445, "NA")</f>
        <v>1.1215666042327934E-3</v>
      </c>
      <c r="P324" s="9"/>
      <c r="Q324" s="7">
        <v>10.01</v>
      </c>
      <c r="R324" s="8">
        <f>IFERROR(Q324/Q445, "NA")</f>
        <v>1.9200797586937365E-5</v>
      </c>
      <c r="S324" s="9"/>
      <c r="T324" s="7">
        <v>0</v>
      </c>
      <c r="U324" s="8">
        <f>IFERROR(T324/T445, "NA")</f>
        <v>0</v>
      </c>
      <c r="V324" s="9"/>
      <c r="W324" s="10">
        <f t="shared" si="78"/>
        <v>-10.01</v>
      </c>
      <c r="X324" s="8">
        <f>IFERROR(W324/W445, "NA")</f>
        <v>1.3912342513255641E-4</v>
      </c>
      <c r="Y324" s="9"/>
      <c r="Z324" s="7">
        <v>0</v>
      </c>
      <c r="AA324" s="8">
        <f>IFERROR(Z324/Z445, "NA")</f>
        <v>0</v>
      </c>
      <c r="AB324" s="9"/>
      <c r="AC324" s="10">
        <f t="shared" si="79"/>
        <v>-10.01</v>
      </c>
      <c r="AD324" s="8">
        <f>IFERROR(AC324/AC445, "NA")</f>
        <v>3.3158277942556968E-4</v>
      </c>
    </row>
    <row r="325" spans="1:30" ht="16.5" customHeight="1" x14ac:dyDescent="0.45">
      <c r="A325" s="19" t="s">
        <v>297</v>
      </c>
      <c r="B325" s="14">
        <f>IFERROR(B298+B299+B300+B301+B302+B303+B304+B305+B306+B307+B308+B309+B310+B311+B312+B313+B314+B315+B316+B317+B318+B319+B320+B321+B322+B323+B324, "NA")</f>
        <v>4857.47</v>
      </c>
      <c r="C325" s="15">
        <f>IFERROR(B325/B445, "NA")</f>
        <v>3.9928515391499969E-2</v>
      </c>
      <c r="D325" s="2"/>
      <c r="E325" s="14">
        <f>IFERROR(E298+E299+E300+E301+E302+E303+E304+E305+E306+E307+E308+E309+E310+E311+E312+E313+E314+E315+E316+E317+E318+E319+E320+E321+E322+E323+E324, "NA")</f>
        <v>5951.26</v>
      </c>
      <c r="F325" s="15">
        <f>IFERROR(E325/E445, "NA")</f>
        <v>4.1719895005895978E-2</v>
      </c>
      <c r="G325" s="2"/>
      <c r="H325" s="14">
        <f t="shared" si="76"/>
        <v>1093.79</v>
      </c>
      <c r="I325" s="15">
        <f>IFERROR(H325/H445, "NA")</f>
        <v>-5.2100496097666683E-2</v>
      </c>
      <c r="J325" s="2"/>
      <c r="K325" s="14">
        <f>IFERROR(K298+K299+K300+K301+K302+K303+K304+K305+K306+K307+K308+K309+K310+K311+K312+K313+K314+K315+K316+K317+K318+K319+K320+K321+K322+K323+K324, "NA")</f>
        <v>5676.1399999999994</v>
      </c>
      <c r="L325" s="15">
        <f>IFERROR(K325/K445, "NA")</f>
        <v>4.3471920788087579E-2</v>
      </c>
      <c r="M325" s="2"/>
      <c r="N325" s="14">
        <f t="shared" si="77"/>
        <v>818.66999999999916</v>
      </c>
      <c r="O325" s="15">
        <f>IFERROR(N325/N445, "NA")</f>
        <v>-9.1819293188726003E-2</v>
      </c>
      <c r="P325" s="2"/>
      <c r="Q325" s="14">
        <f>IFERROR(Q298+Q299+Q300+Q301+Q302+Q303+Q304+Q305+Q306+Q307+Q308+Q309+Q310+Q311+Q312+Q313+Q314+Q315+Q316+Q317+Q318+Q319+Q320+Q321+Q322+Q323+Q324, "NA")</f>
        <v>23339.339999999997</v>
      </c>
      <c r="R325" s="15">
        <f>IFERROR(Q325/Q445, "NA")</f>
        <v>4.4768625689581482E-2</v>
      </c>
      <c r="S325" s="2"/>
      <c r="T325" s="14">
        <f>IFERROR(T298+T299+T300+T301+T302+T303+T304+T305+T306+T307+T308+T309+T310+T311+T312+T313+T314+T315+T316+T317+T318+T319+T320+T321+T322+T323+T324, "NA")</f>
        <v>27041.57</v>
      </c>
      <c r="U325" s="15">
        <f>IFERROR(T325/T445, "NA")</f>
        <v>4.557954558651528E-2</v>
      </c>
      <c r="V325" s="2"/>
      <c r="W325" s="14">
        <f t="shared" si="78"/>
        <v>3702.2300000000032</v>
      </c>
      <c r="X325" s="15">
        <f>IFERROR(W325/W445, "NA")</f>
        <v>-5.1455236586264212E-2</v>
      </c>
      <c r="Y325" s="2"/>
      <c r="Z325" s="14">
        <f>IFERROR(Z298+Z299+Z300+Z301+Z302+Z303+Z304+Z305+Z306+Z307+Z308+Z309+Z310+Z311+Z312+Z313+Z314+Z315+Z316+Z317+Z318+Z319+Z320+Z321+Z322+Z323+Z324, "NA")</f>
        <v>27886.879999999997</v>
      </c>
      <c r="AA325" s="15">
        <f>IFERROR(Z325/Z445, "NA")</f>
        <v>5.0563582296632187E-2</v>
      </c>
      <c r="AB325" s="2"/>
      <c r="AC325" s="14">
        <f t="shared" si="79"/>
        <v>4547.5400000000009</v>
      </c>
      <c r="AD325" s="15">
        <f>IFERROR(AC325/AC445, "NA")</f>
        <v>-0.15063795731757798</v>
      </c>
    </row>
    <row r="326" spans="1:30" ht="16.5" customHeight="1" x14ac:dyDescent="0.45">
      <c r="A326" s="21" t="s">
        <v>298</v>
      </c>
      <c r="B326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27199.589999999993</v>
      </c>
      <c r="C326" s="15">
        <f>IFERROR(B326/B445, "NA")</f>
        <v>0.22358125690070929</v>
      </c>
      <c r="D326" s="2"/>
      <c r="E326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30436.620000000006</v>
      </c>
      <c r="F326" s="15">
        <f>IFERROR(E326/E445, "NA")</f>
        <v>0.21336869683635967</v>
      </c>
      <c r="G326" s="2"/>
      <c r="H326" s="14">
        <f t="shared" si="76"/>
        <v>3237.0300000000134</v>
      </c>
      <c r="I326" s="15">
        <f>IFERROR(H326/H445, "NA")</f>
        <v>-0.15418944119349298</v>
      </c>
      <c r="J326" s="2"/>
      <c r="K326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25292.319999999992</v>
      </c>
      <c r="L326" s="15">
        <f>IFERROR(K326/K445, "NA")</f>
        <v>0.19370659137846546</v>
      </c>
      <c r="M326" s="2"/>
      <c r="N326" s="14">
        <f t="shared" si="77"/>
        <v>-1907.2700000000004</v>
      </c>
      <c r="O326" s="15">
        <f>IFERROR(N326/N445, "NA")</f>
        <v>0.21391303372550804</v>
      </c>
      <c r="P326" s="2"/>
      <c r="Q326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123563.03</v>
      </c>
      <c r="R326" s="15">
        <f>IFERROR(Q326/Q445, "NA")</f>
        <v>0.23701385896690003</v>
      </c>
      <c r="S326" s="2"/>
      <c r="T326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130635.13999999998</v>
      </c>
      <c r="U326" s="15">
        <f>IFERROR(T326/T445, "NA")</f>
        <v>0.22019025961994088</v>
      </c>
      <c r="V326" s="2"/>
      <c r="W326" s="14">
        <f t="shared" si="78"/>
        <v>7072.109999999986</v>
      </c>
      <c r="X326" s="15">
        <f>IFERROR(W326/W445, "NA")</f>
        <v>-9.8291325286134018E-2</v>
      </c>
      <c r="Y326" s="2"/>
      <c r="Z326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132722.51</v>
      </c>
      <c r="AA326" s="15">
        <f>IFERROR(Z326/Z445, "NA")</f>
        <v>0.24064813120006934</v>
      </c>
      <c r="AB326" s="2"/>
      <c r="AC326" s="14">
        <f t="shared" si="79"/>
        <v>9159.4800000000105</v>
      </c>
      <c r="AD326" s="15">
        <f>IFERROR(AC326/AC445, "NA")</f>
        <v>-0.30340917447481724</v>
      </c>
    </row>
    <row r="327" spans="1:30" ht="16.5" customHeight="1" x14ac:dyDescent="0.45">
      <c r="A327" s="1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customHeight="1" x14ac:dyDescent="0.45">
      <c r="A328" s="5" t="s">
        <v>300</v>
      </c>
      <c r="B328" s="2"/>
      <c r="C328" s="3"/>
      <c r="D328" s="4"/>
      <c r="E328" s="2"/>
      <c r="F328" s="3"/>
      <c r="G328" s="4"/>
      <c r="H328" s="2"/>
      <c r="I328" s="3"/>
      <c r="J328" s="4"/>
      <c r="K328" s="2"/>
      <c r="L328" s="3"/>
      <c r="M328" s="4"/>
      <c r="N328" s="2"/>
      <c r="O328" s="3"/>
      <c r="P328" s="4"/>
      <c r="Q328" s="2"/>
      <c r="R328" s="3"/>
      <c r="S328" s="4"/>
      <c r="T328" s="2"/>
      <c r="U328" s="3"/>
      <c r="V328" s="4"/>
      <c r="W328" s="2"/>
      <c r="X328" s="3"/>
      <c r="Y328" s="4"/>
      <c r="Z328" s="2"/>
      <c r="AA328" s="3"/>
      <c r="AB328" s="4"/>
      <c r="AC328" s="2"/>
      <c r="AD328" s="3"/>
    </row>
    <row r="329" spans="1:30" ht="16.5" hidden="1" customHeight="1" x14ac:dyDescent="0.45">
      <c r="A329" s="6" t="s">
        <v>300</v>
      </c>
      <c r="B329" s="7">
        <v>0</v>
      </c>
      <c r="C329" s="8">
        <f>IFERROR(B329/B445, "NA")</f>
        <v>0</v>
      </c>
      <c r="D329" s="9"/>
      <c r="E329" s="7">
        <v>0</v>
      </c>
      <c r="F329" s="8">
        <f>IFERROR(E329/E445, "NA")</f>
        <v>0</v>
      </c>
      <c r="G329" s="9"/>
      <c r="H329" s="10">
        <f t="shared" ref="H329:H336" si="80">IFERROR(-(B329-E329), "NA")</f>
        <v>0</v>
      </c>
      <c r="I329" s="8">
        <f>IFERROR(H329/H445, "NA")</f>
        <v>0</v>
      </c>
      <c r="J329" s="9"/>
      <c r="K329" s="7">
        <v>0</v>
      </c>
      <c r="L329" s="8">
        <f>IFERROR(K329/K445, "NA")</f>
        <v>0</v>
      </c>
      <c r="M329" s="9"/>
      <c r="N329" s="10">
        <f t="shared" ref="N329:N336" si="81">IFERROR(-(B329-K329), "NA")</f>
        <v>0</v>
      </c>
      <c r="O329" s="8">
        <f>IFERROR(N329/N445, "NA")</f>
        <v>0</v>
      </c>
      <c r="P329" s="9"/>
      <c r="Q329" s="7">
        <v>0</v>
      </c>
      <c r="R329" s="8">
        <f>IFERROR(Q329/Q445, "NA")</f>
        <v>0</v>
      </c>
      <c r="S329" s="9"/>
      <c r="T329" s="7">
        <v>0</v>
      </c>
      <c r="U329" s="8">
        <f>IFERROR(T329/T445, "NA")</f>
        <v>0</v>
      </c>
      <c r="V329" s="9"/>
      <c r="W329" s="10">
        <f t="shared" ref="W329:W336" si="82">IFERROR(-(Q329-T329), "NA")</f>
        <v>0</v>
      </c>
      <c r="X329" s="8">
        <f>IFERROR(W329/W445, "NA")</f>
        <v>0</v>
      </c>
      <c r="Y329" s="9"/>
      <c r="Z329" s="7">
        <v>0</v>
      </c>
      <c r="AA329" s="8">
        <f>IFERROR(Z329/Z445, "NA")</f>
        <v>0</v>
      </c>
      <c r="AB329" s="9"/>
      <c r="AC329" s="10">
        <f t="shared" ref="AC329:AC336" si="83">IFERROR(-(Q329-Z329), "NA")</f>
        <v>0</v>
      </c>
      <c r="AD329" s="8">
        <f>IFERROR(AC329/AC445, "NA")</f>
        <v>0</v>
      </c>
    </row>
    <row r="330" spans="1:30" ht="16.5" customHeight="1" x14ac:dyDescent="0.45">
      <c r="A330" s="6" t="s">
        <v>301</v>
      </c>
      <c r="B330" s="7">
        <v>13526.48</v>
      </c>
      <c r="C330" s="8">
        <f>IFERROR(B330/B445, "NA")</f>
        <v>0.11118797746003917</v>
      </c>
      <c r="D330" s="9"/>
      <c r="E330" s="7">
        <v>13526.48</v>
      </c>
      <c r="F330" s="8">
        <f>IFERROR(E330/E445, "NA")</f>
        <v>9.4824175955907128E-2</v>
      </c>
      <c r="G330" s="9"/>
      <c r="H330" s="10">
        <f t="shared" si="80"/>
        <v>0</v>
      </c>
      <c r="I330" s="8">
        <f>IFERROR(H330/H445, "NA")</f>
        <v>0</v>
      </c>
      <c r="J330" s="9"/>
      <c r="K330" s="7">
        <v>13132.5</v>
      </c>
      <c r="L330" s="8">
        <f>IFERROR(K330/K445, "NA")</f>
        <v>0.10057803361960067</v>
      </c>
      <c r="M330" s="9"/>
      <c r="N330" s="10">
        <f t="shared" si="81"/>
        <v>-393.97999999999956</v>
      </c>
      <c r="O330" s="8">
        <f>IFERROR(N330/N445, "NA")</f>
        <v>4.4187481073563545E-2</v>
      </c>
      <c r="P330" s="9"/>
      <c r="Q330" s="7">
        <v>67632.399999999994</v>
      </c>
      <c r="R330" s="8">
        <f>IFERROR(Q330/Q445, "NA")</f>
        <v>0.12972987239947878</v>
      </c>
      <c r="S330" s="9"/>
      <c r="T330" s="7">
        <v>67632.399999999994</v>
      </c>
      <c r="U330" s="8">
        <f>IFERROR(T330/T445, "NA")</f>
        <v>0.11399685961005354</v>
      </c>
      <c r="V330" s="9"/>
      <c r="W330" s="10">
        <f t="shared" si="82"/>
        <v>0</v>
      </c>
      <c r="X330" s="8">
        <f>IFERROR(W330/W445, "NA")</f>
        <v>0</v>
      </c>
      <c r="Y330" s="9"/>
      <c r="Z330" s="7">
        <v>65662.5</v>
      </c>
      <c r="AA330" s="8">
        <f>IFERROR(Z330/Z445, "NA")</f>
        <v>0.119057105798591</v>
      </c>
      <c r="AB330" s="9"/>
      <c r="AC330" s="10">
        <f t="shared" si="83"/>
        <v>-1969.8999999999942</v>
      </c>
      <c r="AD330" s="8">
        <f>IFERROR(AC330/AC445, "NA")</f>
        <v>6.525323848056222E-2</v>
      </c>
    </row>
    <row r="331" spans="1:30" ht="16.5" customHeight="1" x14ac:dyDescent="0.45">
      <c r="A331" s="6" t="s">
        <v>302</v>
      </c>
      <c r="B331" s="7">
        <v>2516.39</v>
      </c>
      <c r="C331" s="8">
        <f>IFERROR(B331/B445, "NA")</f>
        <v>2.0684783816681648E-2</v>
      </c>
      <c r="D331" s="9"/>
      <c r="E331" s="7">
        <v>2126</v>
      </c>
      <c r="F331" s="8">
        <f>IFERROR(E331/E445, "NA")</f>
        <v>1.4903818146499204E-2</v>
      </c>
      <c r="G331" s="9"/>
      <c r="H331" s="10">
        <f t="shared" si="80"/>
        <v>-390.38999999999987</v>
      </c>
      <c r="I331" s="8">
        <f>IFERROR(H331/H445, "NA")</f>
        <v>1.8595445809129807E-2</v>
      </c>
      <c r="J331" s="9"/>
      <c r="K331" s="7">
        <v>2126</v>
      </c>
      <c r="L331" s="8">
        <f>IFERROR(K331/K445, "NA")</f>
        <v>1.6282421433487227E-2</v>
      </c>
      <c r="M331" s="9"/>
      <c r="N331" s="10">
        <f t="shared" si="81"/>
        <v>-390.38999999999987</v>
      </c>
      <c r="O331" s="8">
        <f>IFERROR(N331/N445, "NA")</f>
        <v>4.3784838662644009E-2</v>
      </c>
      <c r="P331" s="9"/>
      <c r="Q331" s="7">
        <v>11020.39</v>
      </c>
      <c r="R331" s="8">
        <f>IFERROR(Q331/Q445, "NA")</f>
        <v>2.1138888883027836E-2</v>
      </c>
      <c r="S331" s="9"/>
      <c r="T331" s="7">
        <v>10630</v>
      </c>
      <c r="U331" s="8">
        <f>IFERROR(T331/T445, "NA")</f>
        <v>1.7917249981589729E-2</v>
      </c>
      <c r="V331" s="9"/>
      <c r="W331" s="10">
        <f t="shared" si="82"/>
        <v>-390.38999999999942</v>
      </c>
      <c r="X331" s="8">
        <f>IFERROR(W331/W445, "NA")</f>
        <v>5.4258135801696916E-3</v>
      </c>
      <c r="Y331" s="9"/>
      <c r="Z331" s="7">
        <v>10630</v>
      </c>
      <c r="AA331" s="8">
        <f>IFERROR(Z331/Z445, "NA")</f>
        <v>1.9273969688011001E-2</v>
      </c>
      <c r="AB331" s="9"/>
      <c r="AC331" s="10">
        <f t="shared" si="83"/>
        <v>-390.38999999999942</v>
      </c>
      <c r="AD331" s="8">
        <f>IFERROR(AC331/AC445, "NA")</f>
        <v>1.2931728397597198E-2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IFERROR(B332/B445, "NA")</f>
        <v>0</v>
      </c>
      <c r="D332" s="9"/>
      <c r="E332" s="7">
        <v>0</v>
      </c>
      <c r="F332" s="8">
        <f>IFERROR(E332/E445, "NA")</f>
        <v>0</v>
      </c>
      <c r="G332" s="9"/>
      <c r="H332" s="10">
        <f t="shared" si="80"/>
        <v>0</v>
      </c>
      <c r="I332" s="8">
        <f>IFERROR(H332/H445, "NA")</f>
        <v>0</v>
      </c>
      <c r="J332" s="9"/>
      <c r="K332" s="7">
        <v>0</v>
      </c>
      <c r="L332" s="8">
        <f>IFERROR(K332/K445, "NA")</f>
        <v>0</v>
      </c>
      <c r="M332" s="9"/>
      <c r="N332" s="10">
        <f t="shared" si="81"/>
        <v>0</v>
      </c>
      <c r="O332" s="8">
        <f>IFERROR(N332/N445, "NA")</f>
        <v>0</v>
      </c>
      <c r="P332" s="9"/>
      <c r="Q332" s="7">
        <v>0</v>
      </c>
      <c r="R332" s="8">
        <f>IFERROR(Q332/Q445, "NA")</f>
        <v>0</v>
      </c>
      <c r="S332" s="9"/>
      <c r="T332" s="7">
        <v>0</v>
      </c>
      <c r="U332" s="8">
        <f>IFERROR(T332/T445, "NA")</f>
        <v>0</v>
      </c>
      <c r="V332" s="9"/>
      <c r="W332" s="10">
        <f t="shared" si="82"/>
        <v>0</v>
      </c>
      <c r="X332" s="8">
        <f>IFERROR(W332/W445, "NA")</f>
        <v>0</v>
      </c>
      <c r="Y332" s="9"/>
      <c r="Z332" s="7">
        <v>0</v>
      </c>
      <c r="AA332" s="8">
        <f>IFERROR(Z332/Z445, "NA")</f>
        <v>0</v>
      </c>
      <c r="AB332" s="9"/>
      <c r="AC332" s="10">
        <f t="shared" si="83"/>
        <v>0</v>
      </c>
      <c r="AD332" s="8">
        <f>IFERROR(AC332/AC445, "NA")</f>
        <v>0</v>
      </c>
    </row>
    <row r="333" spans="1:30" ht="16.5" customHeight="1" x14ac:dyDescent="0.45">
      <c r="A333" s="6" t="s">
        <v>304</v>
      </c>
      <c r="B333" s="7">
        <v>-114.71</v>
      </c>
      <c r="C333" s="8">
        <f>IFERROR(B333/B445, "NA")</f>
        <v>-9.429188446987755E-4</v>
      </c>
      <c r="D333" s="9"/>
      <c r="E333" s="7">
        <v>180</v>
      </c>
      <c r="F333" s="8">
        <f>IFERROR(E333/E445, "NA")</f>
        <v>1.2618472560535544E-3</v>
      </c>
      <c r="G333" s="9"/>
      <c r="H333" s="10">
        <f t="shared" si="80"/>
        <v>294.70999999999998</v>
      </c>
      <c r="I333" s="8">
        <f>IFERROR(H333/H445, "NA")</f>
        <v>-1.4037920629136624E-2</v>
      </c>
      <c r="J333" s="9"/>
      <c r="K333" s="7">
        <v>180</v>
      </c>
      <c r="L333" s="8">
        <f>IFERROR(K333/K445, "NA")</f>
        <v>1.3785681364194267E-3</v>
      </c>
      <c r="M333" s="9"/>
      <c r="N333" s="10">
        <f t="shared" si="81"/>
        <v>294.70999999999998</v>
      </c>
      <c r="O333" s="8">
        <f>IFERROR(N333/N445, "NA")</f>
        <v>-3.3053689393344653E-2</v>
      </c>
      <c r="P333" s="9"/>
      <c r="Q333" s="7">
        <v>605.29</v>
      </c>
      <c r="R333" s="8">
        <f>IFERROR(Q333/Q445, "NA")</f>
        <v>1.161044033106625E-3</v>
      </c>
      <c r="S333" s="9"/>
      <c r="T333" s="7">
        <v>900</v>
      </c>
      <c r="U333" s="8">
        <f>IFERROR(T333/T445, "NA")</f>
        <v>1.5169825948664871E-3</v>
      </c>
      <c r="V333" s="9"/>
      <c r="W333" s="10">
        <f t="shared" si="82"/>
        <v>294.71000000000004</v>
      </c>
      <c r="X333" s="8">
        <f>IFERROR(W333/W445, "NA")</f>
        <v>-4.0960104516299407E-3</v>
      </c>
      <c r="Y333" s="9"/>
      <c r="Z333" s="7">
        <v>900</v>
      </c>
      <c r="AA333" s="8">
        <f>IFERROR(Z333/Z445, "NA")</f>
        <v>1.6318506791354562E-3</v>
      </c>
      <c r="AB333" s="9"/>
      <c r="AC333" s="10">
        <f t="shared" si="83"/>
        <v>294.71000000000004</v>
      </c>
      <c r="AD333" s="8">
        <f>IFERROR(AC333/AC445, "NA")</f>
        <v>-9.7623137786722932E-3</v>
      </c>
    </row>
    <row r="334" spans="1:30" ht="16.5" customHeight="1" x14ac:dyDescent="0.45">
      <c r="A334" s="6" t="s">
        <v>305</v>
      </c>
      <c r="B334" s="7">
        <v>1254</v>
      </c>
      <c r="C334" s="8">
        <f>IFERROR(B334/B445, "NA")</f>
        <v>1.0307908911622915E-2</v>
      </c>
      <c r="D334" s="9"/>
      <c r="E334" s="7">
        <v>1025</v>
      </c>
      <c r="F334" s="8">
        <f>IFERROR(E334/E445, "NA")</f>
        <v>7.1855190969716291E-3</v>
      </c>
      <c r="G334" s="9"/>
      <c r="H334" s="10">
        <f t="shared" si="80"/>
        <v>-229</v>
      </c>
      <c r="I334" s="8">
        <f>IFERROR(H334/H445, "NA")</f>
        <v>1.0907956377701086E-2</v>
      </c>
      <c r="J334" s="9"/>
      <c r="K334" s="7">
        <v>1024.69</v>
      </c>
      <c r="L334" s="8">
        <f>IFERROR(K334/K445, "NA")</f>
        <v>7.847805465042346E-3</v>
      </c>
      <c r="M334" s="9"/>
      <c r="N334" s="10">
        <f t="shared" si="81"/>
        <v>-229.30999999999995</v>
      </c>
      <c r="O334" s="8">
        <f>IFERROR(N334/N445, "NA")</f>
        <v>2.571864380166218E-2</v>
      </c>
      <c r="P334" s="9"/>
      <c r="Q334" s="7">
        <v>6270</v>
      </c>
      <c r="R334" s="8">
        <f>IFERROR(Q334/Q445, "NA")</f>
        <v>1.2026873213795933E-2</v>
      </c>
      <c r="S334" s="9"/>
      <c r="T334" s="7">
        <v>5125</v>
      </c>
      <c r="U334" s="8">
        <f>IFERROR(T334/T445, "NA")</f>
        <v>8.6383731096563842E-3</v>
      </c>
      <c r="V334" s="9"/>
      <c r="W334" s="10">
        <f t="shared" si="82"/>
        <v>-1145</v>
      </c>
      <c r="X334" s="8">
        <f>IFERROR(W334/W445, "NA")</f>
        <v>1.591371845921849E-2</v>
      </c>
      <c r="Y334" s="9"/>
      <c r="Z334" s="7">
        <v>5123.45</v>
      </c>
      <c r="AA334" s="8">
        <f>IFERROR(Z334/Z445, "NA")</f>
        <v>9.2896726244628362E-3</v>
      </c>
      <c r="AB334" s="9"/>
      <c r="AC334" s="10">
        <f t="shared" si="83"/>
        <v>-1146.5500000000002</v>
      </c>
      <c r="AD334" s="8">
        <f>IFERROR(AC334/AC445, "NA")</f>
        <v>3.7979643931107594E-2</v>
      </c>
    </row>
    <row r="335" spans="1:30" ht="16.5" customHeight="1" x14ac:dyDescent="0.45">
      <c r="A335" s="6" t="s">
        <v>306</v>
      </c>
      <c r="B335" s="7">
        <v>-1041.54</v>
      </c>
      <c r="C335" s="8">
        <f>IFERROR(B335/B445, "NA")</f>
        <v>-8.5614828132469945E-3</v>
      </c>
      <c r="D335" s="9"/>
      <c r="E335" s="7">
        <v>-1041.54</v>
      </c>
      <c r="F335" s="8">
        <f>IFERROR(E335/E445, "NA")</f>
        <v>-7.3014688392778835E-3</v>
      </c>
      <c r="G335" s="9"/>
      <c r="H335" s="10">
        <f t="shared" si="80"/>
        <v>0</v>
      </c>
      <c r="I335" s="8">
        <f>IFERROR(H335/H445, "NA")</f>
        <v>0</v>
      </c>
      <c r="J335" s="9"/>
      <c r="K335" s="7">
        <v>-1011.2</v>
      </c>
      <c r="L335" s="8">
        <f>IFERROR(K335/K445, "NA")</f>
        <v>-7.7444894419295791E-3</v>
      </c>
      <c r="M335" s="9"/>
      <c r="N335" s="10">
        <f t="shared" si="81"/>
        <v>30.339999999999918</v>
      </c>
      <c r="O335" s="8">
        <f>IFERROR(N335/N445, "NA")</f>
        <v>-3.402833077242286E-3</v>
      </c>
      <c r="P335" s="9"/>
      <c r="Q335" s="7">
        <v>-2083.08</v>
      </c>
      <c r="R335" s="8">
        <f>IFERROR(Q335/Q445, "NA")</f>
        <v>-3.9956840596800684E-3</v>
      </c>
      <c r="S335" s="9"/>
      <c r="T335" s="7">
        <v>-2083.08</v>
      </c>
      <c r="U335" s="8">
        <f>IFERROR(T335/T445, "NA")</f>
        <v>-3.5111067819049795E-3</v>
      </c>
      <c r="V335" s="9"/>
      <c r="W335" s="10">
        <f t="shared" si="82"/>
        <v>0</v>
      </c>
      <c r="X335" s="8">
        <f>IFERROR(W335/W445, "NA")</f>
        <v>0</v>
      </c>
      <c r="Y335" s="9"/>
      <c r="Z335" s="7">
        <v>-2022.4</v>
      </c>
      <c r="AA335" s="8">
        <f>IFERROR(Z335/Z445, "NA")</f>
        <v>-3.6669497927594966E-3</v>
      </c>
      <c r="AB335" s="9"/>
      <c r="AC335" s="10">
        <f t="shared" si="83"/>
        <v>60.679999999999836</v>
      </c>
      <c r="AD335" s="8">
        <f>IFERROR(AC335/AC445, "NA")</f>
        <v>-2.0100342712830684E-3</v>
      </c>
    </row>
    <row r="336" spans="1:30" ht="16.5" hidden="1" customHeight="1" x14ac:dyDescent="0.45">
      <c r="A336" s="6" t="s">
        <v>307</v>
      </c>
      <c r="B336" s="7">
        <v>0</v>
      </c>
      <c r="C336" s="8">
        <f>IFERROR(B336/B445, "NA")</f>
        <v>0</v>
      </c>
      <c r="D336" s="9"/>
      <c r="E336" s="7">
        <v>0</v>
      </c>
      <c r="F336" s="8">
        <f>IFERROR(E336/E445, "NA")</f>
        <v>0</v>
      </c>
      <c r="G336" s="9"/>
      <c r="H336" s="10">
        <f t="shared" si="80"/>
        <v>0</v>
      </c>
      <c r="I336" s="8">
        <f>IFERROR(H336/H445, "NA")</f>
        <v>0</v>
      </c>
      <c r="J336" s="9"/>
      <c r="K336" s="7">
        <v>0</v>
      </c>
      <c r="L336" s="8">
        <f>IFERROR(K336/K445, "NA")</f>
        <v>0</v>
      </c>
      <c r="M336" s="9"/>
      <c r="N336" s="10">
        <f t="shared" si="81"/>
        <v>0</v>
      </c>
      <c r="O336" s="8">
        <f>IFERROR(N336/N445, "NA")</f>
        <v>0</v>
      </c>
      <c r="P336" s="9"/>
      <c r="Q336" s="7">
        <v>0</v>
      </c>
      <c r="R336" s="8">
        <f>IFERROR(Q336/Q445, "NA")</f>
        <v>0</v>
      </c>
      <c r="S336" s="9"/>
      <c r="T336" s="7">
        <v>0</v>
      </c>
      <c r="U336" s="8">
        <f>IFERROR(T336/T445, "NA")</f>
        <v>0</v>
      </c>
      <c r="V336" s="9"/>
      <c r="W336" s="10">
        <f t="shared" si="82"/>
        <v>0</v>
      </c>
      <c r="X336" s="8">
        <f>IFERROR(W336/W445, "NA")</f>
        <v>0</v>
      </c>
      <c r="Y336" s="9"/>
      <c r="Z336" s="7">
        <v>0</v>
      </c>
      <c r="AA336" s="8">
        <f>IFERROR(Z336/Z445, "NA")</f>
        <v>0</v>
      </c>
      <c r="AB336" s="9"/>
      <c r="AC336" s="10">
        <f t="shared" si="83"/>
        <v>0</v>
      </c>
      <c r="AD336" s="8">
        <f>IFERROR(AC336/AC445, "NA")</f>
        <v>0</v>
      </c>
    </row>
    <row r="337" spans="1:30" ht="16.5" customHeight="1" x14ac:dyDescent="0.45">
      <c r="A337" s="11" t="s">
        <v>308</v>
      </c>
      <c r="B337" s="2"/>
      <c r="C337" s="3"/>
      <c r="D337" s="4"/>
      <c r="E337" s="2"/>
      <c r="F337" s="3"/>
      <c r="G337" s="4"/>
      <c r="H337" s="2"/>
      <c r="I337" s="3"/>
      <c r="J337" s="4"/>
      <c r="K337" s="2"/>
      <c r="L337" s="3"/>
      <c r="M337" s="4"/>
      <c r="N337" s="2"/>
      <c r="O337" s="3"/>
      <c r="P337" s="4"/>
      <c r="Q337" s="2"/>
      <c r="R337" s="3"/>
      <c r="S337" s="4"/>
      <c r="T337" s="2"/>
      <c r="U337" s="3"/>
      <c r="V337" s="4"/>
      <c r="W337" s="2"/>
      <c r="X337" s="3"/>
      <c r="Y337" s="4"/>
      <c r="Z337" s="2"/>
      <c r="AA337" s="3"/>
      <c r="AB337" s="4"/>
      <c r="AC337" s="2"/>
      <c r="AD337" s="3"/>
    </row>
    <row r="338" spans="1:30" ht="16.5" hidden="1" customHeight="1" x14ac:dyDescent="0.45">
      <c r="A338" s="12" t="s">
        <v>308</v>
      </c>
      <c r="B338" s="7">
        <v>0</v>
      </c>
      <c r="C338" s="8">
        <f>IFERROR(B338/B445, "NA")</f>
        <v>0</v>
      </c>
      <c r="D338" s="9"/>
      <c r="E338" s="7">
        <v>0</v>
      </c>
      <c r="F338" s="8">
        <f>IFERROR(E338/E445, "NA")</f>
        <v>0</v>
      </c>
      <c r="G338" s="9"/>
      <c r="H338" s="10">
        <f t="shared" ref="H338:H345" si="84">IFERROR(-(B338-E338), "NA")</f>
        <v>0</v>
      </c>
      <c r="I338" s="8">
        <f>IFERROR(H338/H445, "NA")</f>
        <v>0</v>
      </c>
      <c r="J338" s="9"/>
      <c r="K338" s="7">
        <v>0</v>
      </c>
      <c r="L338" s="8">
        <f>IFERROR(K338/K445, "NA")</f>
        <v>0</v>
      </c>
      <c r="M338" s="9"/>
      <c r="N338" s="10">
        <f t="shared" ref="N338:N345" si="85">IFERROR(-(B338-K338), "NA")</f>
        <v>0</v>
      </c>
      <c r="O338" s="8">
        <f>IFERROR(N338/N445, "NA")</f>
        <v>0</v>
      </c>
      <c r="P338" s="9"/>
      <c r="Q338" s="7">
        <v>0</v>
      </c>
      <c r="R338" s="8">
        <f>IFERROR(Q338/Q445, "NA")</f>
        <v>0</v>
      </c>
      <c r="S338" s="9"/>
      <c r="T338" s="7">
        <v>0</v>
      </c>
      <c r="U338" s="8">
        <f>IFERROR(T338/T445, "NA")</f>
        <v>0</v>
      </c>
      <c r="V338" s="9"/>
      <c r="W338" s="10">
        <f t="shared" ref="W338:W345" si="86">IFERROR(-(Q338-T338), "NA")</f>
        <v>0</v>
      </c>
      <c r="X338" s="8">
        <f>IFERROR(W338/W445, "NA")</f>
        <v>0</v>
      </c>
      <c r="Y338" s="9"/>
      <c r="Z338" s="7">
        <v>0</v>
      </c>
      <c r="AA338" s="8">
        <f>IFERROR(Z338/Z445, "NA")</f>
        <v>0</v>
      </c>
      <c r="AB338" s="9"/>
      <c r="AC338" s="10">
        <f t="shared" ref="AC338:AC345" si="87">IFERROR(-(Q338-Z338), "NA")</f>
        <v>0</v>
      </c>
      <c r="AD338" s="8">
        <f>IFERROR(AC338/AC445, "NA")</f>
        <v>0</v>
      </c>
    </row>
    <row r="339" spans="1:30" ht="16.5" customHeight="1" x14ac:dyDescent="0.45">
      <c r="A339" s="12" t="s">
        <v>309</v>
      </c>
      <c r="B339" s="7">
        <v>350</v>
      </c>
      <c r="C339" s="8">
        <f>IFERROR(B339/B445, "NA")</f>
        <v>2.8770080694322329E-3</v>
      </c>
      <c r="D339" s="9"/>
      <c r="E339" s="7">
        <v>570.59</v>
      </c>
      <c r="F339" s="8">
        <f>IFERROR(E339/E445, "NA")</f>
        <v>3.9999856990644315E-3</v>
      </c>
      <c r="G339" s="9"/>
      <c r="H339" s="10">
        <f t="shared" si="84"/>
        <v>220.59000000000003</v>
      </c>
      <c r="I339" s="8">
        <f>IFERROR(H339/H445, "NA")</f>
        <v>-1.0507362870554947E-2</v>
      </c>
      <c r="J339" s="9"/>
      <c r="K339" s="7">
        <v>400</v>
      </c>
      <c r="L339" s="8">
        <f>IFERROR(K339/K445, "NA")</f>
        <v>3.063484747598726E-3</v>
      </c>
      <c r="M339" s="9"/>
      <c r="N339" s="10">
        <f t="shared" si="85"/>
        <v>50</v>
      </c>
      <c r="O339" s="8">
        <f>IFERROR(N339/N445, "NA")</f>
        <v>-5.6078330211639677E-3</v>
      </c>
      <c r="P339" s="9"/>
      <c r="Q339" s="7">
        <v>1721.15</v>
      </c>
      <c r="R339" s="8">
        <f>IFERROR(Q339/Q445, "NA")</f>
        <v>3.3014438328428817E-3</v>
      </c>
      <c r="S339" s="9"/>
      <c r="T339" s="7">
        <v>2373.13</v>
      </c>
      <c r="U339" s="8">
        <f>IFERROR(T339/T445, "NA")</f>
        <v>3.9999965615061181E-3</v>
      </c>
      <c r="V339" s="9"/>
      <c r="W339" s="10">
        <f t="shared" si="86"/>
        <v>651.98</v>
      </c>
      <c r="X339" s="8">
        <f>IFERROR(W339/W445, "NA")</f>
        <v>-9.0615075642281849E-3</v>
      </c>
      <c r="Y339" s="9"/>
      <c r="Z339" s="7">
        <v>1930.04</v>
      </c>
      <c r="AA339" s="8">
        <f>IFERROR(Z339/Z445, "NA")</f>
        <v>3.4994856497317733E-3</v>
      </c>
      <c r="AB339" s="9"/>
      <c r="AC339" s="10">
        <f t="shared" si="87"/>
        <v>208.88999999999987</v>
      </c>
      <c r="AD339" s="8">
        <f>IFERROR(AC339/AC445, "NA")</f>
        <v>-6.9195131662544663E-3</v>
      </c>
    </row>
    <row r="340" spans="1:30" ht="16.5" customHeight="1" x14ac:dyDescent="0.45">
      <c r="A340" s="12" t="s">
        <v>310</v>
      </c>
      <c r="B340" s="7">
        <v>436.48</v>
      </c>
      <c r="C340" s="8">
        <f>IFERROR(B340/B445, "NA")</f>
        <v>3.5878756632736603E-3</v>
      </c>
      <c r="D340" s="9"/>
      <c r="E340" s="7">
        <v>427.94</v>
      </c>
      <c r="F340" s="8">
        <f>IFERROR(E340/E445, "NA")</f>
        <v>2.9999717486419893E-3</v>
      </c>
      <c r="G340" s="9"/>
      <c r="H340" s="10">
        <f t="shared" si="84"/>
        <v>-8.5400000000000205</v>
      </c>
      <c r="I340" s="8">
        <f>IFERROR(H340/H445, "NA")</f>
        <v>4.0678579679287116E-4</v>
      </c>
      <c r="J340" s="9"/>
      <c r="K340" s="7">
        <v>404.13</v>
      </c>
      <c r="L340" s="8">
        <f>IFERROR(K340/K445, "NA")</f>
        <v>3.0951152276176828E-3</v>
      </c>
      <c r="M340" s="9"/>
      <c r="N340" s="10">
        <f t="shared" si="85"/>
        <v>-32.350000000000023</v>
      </c>
      <c r="O340" s="8">
        <f>IFERROR(N340/N445, "NA")</f>
        <v>3.6282679646930894E-3</v>
      </c>
      <c r="P340" s="9"/>
      <c r="Q340" s="7">
        <v>2191.62</v>
      </c>
      <c r="R340" s="8">
        <f>IFERROR(Q340/Q445, "NA")</f>
        <v>4.2038813194289378E-3</v>
      </c>
      <c r="S340" s="9"/>
      <c r="T340" s="7">
        <v>1779.84</v>
      </c>
      <c r="U340" s="8">
        <f>IFERROR(T340/T445, "NA")</f>
        <v>2.9999847796079648E-3</v>
      </c>
      <c r="V340" s="9"/>
      <c r="W340" s="10">
        <f t="shared" si="86"/>
        <v>-411.78</v>
      </c>
      <c r="X340" s="8">
        <f>IFERROR(W340/W445, "NA")</f>
        <v>5.7231012988095981E-3</v>
      </c>
      <c r="Y340" s="9"/>
      <c r="Z340" s="7">
        <v>1730.12</v>
      </c>
      <c r="AA340" s="8">
        <f>IFERROR(Z340/Z445, "NA")</f>
        <v>3.1369972188731504E-3</v>
      </c>
      <c r="AB340" s="9"/>
      <c r="AC340" s="10">
        <f t="shared" si="87"/>
        <v>-461.5</v>
      </c>
      <c r="AD340" s="8">
        <f>IFERROR(AC340/AC445, "NA")</f>
        <v>1.5287258012477564E-2</v>
      </c>
    </row>
    <row r="341" spans="1:30" ht="16.5" customHeight="1" x14ac:dyDescent="0.45">
      <c r="A341" s="12" t="s">
        <v>311</v>
      </c>
      <c r="B341" s="7">
        <v>378</v>
      </c>
      <c r="C341" s="8">
        <f>IFERROR(B341/B445, "NA")</f>
        <v>3.1071687149868115E-3</v>
      </c>
      <c r="D341" s="9"/>
      <c r="E341" s="7">
        <v>427.94</v>
      </c>
      <c r="F341" s="8">
        <f>IFERROR(E341/E445, "NA")</f>
        <v>2.9999717486419893E-3</v>
      </c>
      <c r="G341" s="9"/>
      <c r="H341" s="10">
        <f t="shared" si="84"/>
        <v>49.94</v>
      </c>
      <c r="I341" s="8">
        <f>IFERROR(H341/H445, "NA")</f>
        <v>-2.3787918842899224E-3</v>
      </c>
      <c r="J341" s="9"/>
      <c r="K341" s="7">
        <v>390</v>
      </c>
      <c r="L341" s="8">
        <f>IFERROR(K341/K445, "NA")</f>
        <v>2.9868976289087576E-3</v>
      </c>
      <c r="M341" s="9"/>
      <c r="N341" s="10">
        <f t="shared" si="85"/>
        <v>12</v>
      </c>
      <c r="O341" s="8">
        <f>IFERROR(N341/N445, "NA")</f>
        <v>-1.3458799250793522E-3</v>
      </c>
      <c r="P341" s="9"/>
      <c r="Q341" s="7">
        <v>636.84</v>
      </c>
      <c r="R341" s="8">
        <f>IFERROR(Q341/Q445, "NA")</f>
        <v>1.2215620314950243E-3</v>
      </c>
      <c r="S341" s="9"/>
      <c r="T341" s="7">
        <v>1779.84</v>
      </c>
      <c r="U341" s="8">
        <f>IFERROR(T341/T445, "NA")</f>
        <v>2.9999847796079648E-3</v>
      </c>
      <c r="V341" s="9"/>
      <c r="W341" s="10">
        <f t="shared" si="86"/>
        <v>1143</v>
      </c>
      <c r="X341" s="8">
        <f>IFERROR(W341/W445, "NA")</f>
        <v>-1.5885921571080118E-2</v>
      </c>
      <c r="Y341" s="9"/>
      <c r="Z341" s="7">
        <v>2129.1799999999998</v>
      </c>
      <c r="AA341" s="8">
        <f>IFERROR(Z341/Z445, "NA")</f>
        <v>3.8605598100018117E-3</v>
      </c>
      <c r="AB341" s="9"/>
      <c r="AC341" s="10">
        <f t="shared" si="87"/>
        <v>1492.3399999999997</v>
      </c>
      <c r="AD341" s="8">
        <f>IFERROR(AC341/AC445, "NA")</f>
        <v>-4.9433990514281177E-2</v>
      </c>
    </row>
    <row r="342" spans="1:30" ht="16.5" customHeight="1" x14ac:dyDescent="0.45">
      <c r="A342" s="12" t="s">
        <v>312</v>
      </c>
      <c r="B342" s="7">
        <v>489.54</v>
      </c>
      <c r="C342" s="8">
        <f>IFERROR(B342/B445, "NA")</f>
        <v>4.0240300865995874E-3</v>
      </c>
      <c r="D342" s="9"/>
      <c r="E342" s="7">
        <v>570.59</v>
      </c>
      <c r="F342" s="8">
        <f>IFERROR(E342/E445, "NA")</f>
        <v>3.9999856990644315E-3</v>
      </c>
      <c r="G342" s="9"/>
      <c r="H342" s="10">
        <f t="shared" si="84"/>
        <v>81.050000000000011</v>
      </c>
      <c r="I342" s="8">
        <f>IFERROR(H342/H445, "NA")</f>
        <v>-3.8606544297496641E-3</v>
      </c>
      <c r="J342" s="9"/>
      <c r="K342" s="7">
        <v>472.03</v>
      </c>
      <c r="L342" s="8">
        <f>IFERROR(K342/K445, "NA")</f>
        <v>3.6151417635225665E-3</v>
      </c>
      <c r="M342" s="9"/>
      <c r="N342" s="10">
        <f t="shared" si="85"/>
        <v>-17.510000000000048</v>
      </c>
      <c r="O342" s="8">
        <f>IFERROR(N342/N445, "NA")</f>
        <v>1.9638631240116266E-3</v>
      </c>
      <c r="P342" s="9"/>
      <c r="Q342" s="7">
        <v>2413.48</v>
      </c>
      <c r="R342" s="8">
        <f>IFERROR(Q342/Q445, "NA")</f>
        <v>4.6294446513607986E-3</v>
      </c>
      <c r="S342" s="9"/>
      <c r="T342" s="7">
        <v>2373.13</v>
      </c>
      <c r="U342" s="8">
        <f>IFERROR(T342/T445, "NA")</f>
        <v>3.9999965615061181E-3</v>
      </c>
      <c r="V342" s="9"/>
      <c r="W342" s="10">
        <f t="shared" si="86"/>
        <v>-40.349999999999909</v>
      </c>
      <c r="X342" s="8">
        <f>IFERROR(W342/W445, "NA")</f>
        <v>5.608022181916722E-4</v>
      </c>
      <c r="Y342" s="9"/>
      <c r="Z342" s="7">
        <v>2357.37</v>
      </c>
      <c r="AA342" s="8">
        <f>IFERROR(Z342/Z445, "NA")</f>
        <v>4.2743064838595005E-3</v>
      </c>
      <c r="AB342" s="9"/>
      <c r="AC342" s="10">
        <f t="shared" si="87"/>
        <v>-56.110000000000127</v>
      </c>
      <c r="AD342" s="8">
        <f>IFERROR(AC342/AC445, "NA")</f>
        <v>1.858652323033842E-3</v>
      </c>
    </row>
    <row r="343" spans="1:30" ht="16.5" customHeight="1" x14ac:dyDescent="0.45">
      <c r="A343" s="13" t="s">
        <v>313</v>
      </c>
      <c r="B343" s="14">
        <f>IFERROR(B338+B339+B340+B341+B342, "NA")</f>
        <v>1654.02</v>
      </c>
      <c r="C343" s="15">
        <f>IFERROR(B343/B445, "NA")</f>
        <v>1.3596082534292292E-2</v>
      </c>
      <c r="D343" s="2"/>
      <c r="E343" s="14">
        <f>IFERROR(E338+E339+E340+E341+E342, "NA")</f>
        <v>1997.06</v>
      </c>
      <c r="F343" s="15">
        <f>IFERROR(E343/E445, "NA")</f>
        <v>1.399991489541284E-2</v>
      </c>
      <c r="G343" s="2"/>
      <c r="H343" s="14">
        <f t="shared" si="84"/>
        <v>343.03999999999996</v>
      </c>
      <c r="I343" s="15">
        <f>IFERROR(H343/H445, "NA")</f>
        <v>-1.6340023387801661E-2</v>
      </c>
      <c r="J343" s="2"/>
      <c r="K343" s="14">
        <f>IFERROR(K338+K339+K340+K341+K342, "NA")</f>
        <v>1666.16</v>
      </c>
      <c r="L343" s="15">
        <f>IFERROR(K343/K445, "NA")</f>
        <v>1.2760639367647734E-2</v>
      </c>
      <c r="M343" s="2"/>
      <c r="N343" s="14">
        <f t="shared" si="85"/>
        <v>12.1400000000001</v>
      </c>
      <c r="O343" s="15">
        <f>IFERROR(N343/N445, "NA")</f>
        <v>-1.3615818575386225E-3</v>
      </c>
      <c r="P343" s="2"/>
      <c r="Q343" s="14">
        <f>IFERROR(Q338+Q339+Q340+Q341+Q342, "NA")</f>
        <v>6963.09</v>
      </c>
      <c r="R343" s="15">
        <f>IFERROR(Q343/Q445, "NA")</f>
        <v>1.3356331835127643E-2</v>
      </c>
      <c r="S343" s="2"/>
      <c r="T343" s="14">
        <f>IFERROR(T338+T339+T340+T341+T342, "NA")</f>
        <v>8305.94</v>
      </c>
      <c r="U343" s="15">
        <f>IFERROR(T343/T445, "NA")</f>
        <v>1.3999962682228168E-2</v>
      </c>
      <c r="V343" s="2"/>
      <c r="W343" s="14">
        <f t="shared" si="86"/>
        <v>1342.8500000000004</v>
      </c>
      <c r="X343" s="15">
        <f>IFERROR(W343/W445, "NA")</f>
        <v>-1.8663525618307034E-2</v>
      </c>
      <c r="Y343" s="2"/>
      <c r="Z343" s="14">
        <f>IFERROR(Z338+Z339+Z340+Z341+Z342, "NA")</f>
        <v>8146.71</v>
      </c>
      <c r="AA343" s="15">
        <f>IFERROR(Z343/Z445, "NA")</f>
        <v>1.4771349162466236E-2</v>
      </c>
      <c r="AB343" s="2"/>
      <c r="AC343" s="14">
        <f t="shared" si="87"/>
        <v>1183.6199999999999</v>
      </c>
      <c r="AD343" s="15">
        <f>IFERROR(AC343/AC445, "NA")</f>
        <v>-3.9207593345024251E-2</v>
      </c>
    </row>
    <row r="344" spans="1:30" ht="16.5" customHeight="1" x14ac:dyDescent="0.45">
      <c r="A344" s="19" t="s">
        <v>314</v>
      </c>
      <c r="B344" s="14">
        <f>IFERROR(B329+B330+B331+B332+B333+B334+B335+B336+B338+B339+B340+B341+B342, "NA")</f>
        <v>17794.64</v>
      </c>
      <c r="C344" s="15">
        <f>IFERROR(B344/B445, "NA")</f>
        <v>0.14627235106469025</v>
      </c>
      <c r="D344" s="2"/>
      <c r="E344" s="14">
        <f>IFERROR(E329+E330+E331+E332+E333+E334+E335+E336+E338+E339+E340+E341+E342, "NA")</f>
        <v>17812.999999999996</v>
      </c>
      <c r="F344" s="15">
        <f>IFERROR(E344/E445, "NA")</f>
        <v>0.12487380651156645</v>
      </c>
      <c r="G344" s="2"/>
      <c r="H344" s="14">
        <f t="shared" si="84"/>
        <v>18.359999999996944</v>
      </c>
      <c r="I344" s="15">
        <f>IFERROR(H344/H445, "NA")</f>
        <v>-8.7454183010724277E-4</v>
      </c>
      <c r="J344" s="2"/>
      <c r="K344" s="14">
        <f>IFERROR(K329+K330+K331+K332+K333+K334+K335+K336+K338+K339+K340+K341+K342, "NA")</f>
        <v>17118.149999999994</v>
      </c>
      <c r="L344" s="15">
        <f>IFERROR(K344/K445, "NA")</f>
        <v>0.13110297858026779</v>
      </c>
      <c r="M344" s="2"/>
      <c r="N344" s="14">
        <f t="shared" si="85"/>
        <v>-676.49000000000524</v>
      </c>
      <c r="O344" s="15">
        <f>IFERROR(N344/N445, "NA")</f>
        <v>7.5872859209744833E-2</v>
      </c>
      <c r="P344" s="2"/>
      <c r="Q344" s="14">
        <f>IFERROR(Q329+Q330+Q331+Q332+Q333+Q334+Q335+Q336+Q338+Q339+Q340+Q341+Q342, "NA")</f>
        <v>90408.089999999967</v>
      </c>
      <c r="R344" s="15">
        <f>IFERROR(Q344/Q445, "NA")</f>
        <v>0.17341732630485671</v>
      </c>
      <c r="S344" s="2"/>
      <c r="T344" s="14">
        <f>IFERROR(T329+T330+T331+T332+T333+T334+T335+T336+T338+T339+T340+T341+T342, "NA")</f>
        <v>90510.26</v>
      </c>
      <c r="U344" s="15">
        <f>IFERROR(T344/T445, "NA")</f>
        <v>0.15255832119648932</v>
      </c>
      <c r="V344" s="2"/>
      <c r="W344" s="14">
        <f t="shared" si="86"/>
        <v>102.17000000002736</v>
      </c>
      <c r="X344" s="15">
        <f>IFERROR(W344/W445, "NA")</f>
        <v>-1.4200040305491603E-3</v>
      </c>
      <c r="Y344" s="2"/>
      <c r="Z344" s="14">
        <f>IFERROR(Z329+Z330+Z331+Z332+Z333+Z334+Z335+Z336+Z338+Z339+Z340+Z341+Z342, "NA")</f>
        <v>88440.25999999998</v>
      </c>
      <c r="AA344" s="15">
        <f>IFERROR(Z344/Z445, "NA")</f>
        <v>0.160356998159907</v>
      </c>
      <c r="AB344" s="2"/>
      <c r="AC344" s="14">
        <f t="shared" si="87"/>
        <v>-1967.8299999999872</v>
      </c>
      <c r="AD344" s="15">
        <f>IFERROR(AC344/AC445, "NA")</f>
        <v>6.5184669414287175E-2</v>
      </c>
    </row>
    <row r="345" spans="1:30" ht="16.5" customHeight="1" x14ac:dyDescent="0.45">
      <c r="A345" s="21" t="s">
        <v>315</v>
      </c>
      <c r="B345" s="14">
        <f>IFERROR(B329+B330+B331+B332+B333+B334+B335+B336+B338+B339+B340+B341+B342, "NA")</f>
        <v>17794.64</v>
      </c>
      <c r="C345" s="15">
        <f>IFERROR(B345/B445, "NA")</f>
        <v>0.14627235106469025</v>
      </c>
      <c r="D345" s="2"/>
      <c r="E345" s="14">
        <f>IFERROR(E329+E330+E331+E332+E333+E334+E335+E336+E338+E339+E340+E341+E342, "NA")</f>
        <v>17812.999999999996</v>
      </c>
      <c r="F345" s="15">
        <f>IFERROR(E345/E445, "NA")</f>
        <v>0.12487380651156645</v>
      </c>
      <c r="G345" s="2"/>
      <c r="H345" s="14">
        <f t="shared" si="84"/>
        <v>18.359999999996944</v>
      </c>
      <c r="I345" s="15">
        <f>IFERROR(H345/H445, "NA")</f>
        <v>-8.7454183010724277E-4</v>
      </c>
      <c r="J345" s="2"/>
      <c r="K345" s="14">
        <f>IFERROR(K329+K330+K331+K332+K333+K334+K335+K336+K338+K339+K340+K341+K342, "NA")</f>
        <v>17118.149999999994</v>
      </c>
      <c r="L345" s="15">
        <f>IFERROR(K345/K445, "NA")</f>
        <v>0.13110297858026779</v>
      </c>
      <c r="M345" s="2"/>
      <c r="N345" s="14">
        <f t="shared" si="85"/>
        <v>-676.49000000000524</v>
      </c>
      <c r="O345" s="15">
        <f>IFERROR(N345/N445, "NA")</f>
        <v>7.5872859209744833E-2</v>
      </c>
      <c r="P345" s="2"/>
      <c r="Q345" s="14">
        <f>IFERROR(Q329+Q330+Q331+Q332+Q333+Q334+Q335+Q336+Q338+Q339+Q340+Q341+Q342, "NA")</f>
        <v>90408.089999999967</v>
      </c>
      <c r="R345" s="15">
        <f>IFERROR(Q345/Q445, "NA")</f>
        <v>0.17341732630485671</v>
      </c>
      <c r="S345" s="2"/>
      <c r="T345" s="14">
        <f>IFERROR(T329+T330+T331+T332+T333+T334+T335+T336+T338+T339+T340+T341+T342, "NA")</f>
        <v>90510.26</v>
      </c>
      <c r="U345" s="15">
        <f>IFERROR(T345/T445, "NA")</f>
        <v>0.15255832119648932</v>
      </c>
      <c r="V345" s="2"/>
      <c r="W345" s="14">
        <f t="shared" si="86"/>
        <v>102.17000000002736</v>
      </c>
      <c r="X345" s="15">
        <f>IFERROR(W345/W445, "NA")</f>
        <v>-1.4200040305491603E-3</v>
      </c>
      <c r="Y345" s="2"/>
      <c r="Z345" s="14">
        <f>IFERROR(Z329+Z330+Z331+Z332+Z333+Z334+Z335+Z336+Z338+Z339+Z340+Z341+Z342, "NA")</f>
        <v>88440.25999999998</v>
      </c>
      <c r="AA345" s="15">
        <f>IFERROR(Z345/Z445, "NA")</f>
        <v>0.160356998159907</v>
      </c>
      <c r="AB345" s="2"/>
      <c r="AC345" s="14">
        <f t="shared" si="87"/>
        <v>-1967.8299999999872</v>
      </c>
      <c r="AD345" s="15">
        <f>IFERROR(AC345/AC445, "NA")</f>
        <v>6.5184669414287175E-2</v>
      </c>
    </row>
    <row r="346" spans="1:30" ht="16.5" customHeight="1" x14ac:dyDescent="0.45">
      <c r="A346" s="22" t="s">
        <v>316</v>
      </c>
      <c r="B346" s="23">
        <f>IFERROR(B198-B326-B345, "NA")</f>
        <v>11283.110000000033</v>
      </c>
      <c r="C346" s="24">
        <f>IFERROR(B346/B445, "NA")</f>
        <v>9.2747424337976059E-2</v>
      </c>
      <c r="D346" s="25"/>
      <c r="E346" s="23">
        <f>IFERROR(E198-E326-E345, "NA")</f>
        <v>23624.560000000016</v>
      </c>
      <c r="F346" s="24">
        <f>IFERROR(E346/E445, "NA")</f>
        <v>0.16561436784151432</v>
      </c>
      <c r="G346" s="25"/>
      <c r="H346" s="23">
        <f>IFERROR(B346-E346, "NA")</f>
        <v>-12341.449999999983</v>
      </c>
      <c r="I346" s="24">
        <f>IFERROR(H346/H445, "NA")</f>
        <v>0.5878602543125715</v>
      </c>
      <c r="J346" s="25"/>
      <c r="K346" s="23">
        <f>IFERROR(K198-K326-K345, "NA")</f>
        <v>17599.650000000081</v>
      </c>
      <c r="L346" s="24">
        <f>IFERROR(K346/K445, "NA")</f>
        <v>0.13479064834519042</v>
      </c>
      <c r="M346" s="25"/>
      <c r="N346" s="23">
        <f>IFERROR(B346-K346, "NA")</f>
        <v>-6316.5400000000482</v>
      </c>
      <c r="O346" s="24">
        <f>IFERROR(N346/N445, "NA")</f>
        <v>0.70844203183006638</v>
      </c>
      <c r="P346" s="25"/>
      <c r="Q346" s="23">
        <f>IFERROR(Q198-Q326-Q345, "NA")</f>
        <v>14807.760000000097</v>
      </c>
      <c r="R346" s="24">
        <f>IFERROR(Q346/Q445, "NA")</f>
        <v>2.8403676571023925E-2</v>
      </c>
      <c r="S346" s="25"/>
      <c r="T346" s="23">
        <f>IFERROR(T198-T326-T345, "NA")</f>
        <v>55836.519999999888</v>
      </c>
      <c r="U346" s="24">
        <f>IFERROR(T346/T445, "NA")</f>
        <v>9.4114476664349259E-2</v>
      </c>
      <c r="V346" s="25"/>
      <c r="W346" s="23">
        <f>IFERROR(Q346-T346, "NA")</f>
        <v>-41028.759999999791</v>
      </c>
      <c r="X346" s="24">
        <f>IFERROR(W346/W445, "NA")</f>
        <v>0.5702359260880715</v>
      </c>
      <c r="Y346" s="25"/>
      <c r="Z346" s="23">
        <f>IFERROR(Z198-Z326-Z345, "NA")</f>
        <v>15099.590000000026</v>
      </c>
      <c r="AA346" s="24">
        <f>IFERROR(Z346/Z445, "NA")</f>
        <v>2.7378084662407761E-2</v>
      </c>
      <c r="AB346" s="25"/>
      <c r="AC346" s="23">
        <f>IFERROR(Q346-Z346, "NA")</f>
        <v>-291.82999999992899</v>
      </c>
      <c r="AD346" s="24">
        <f>IFERROR(AC346/AC445, "NA")</f>
        <v>9.6669133386354106E-3</v>
      </c>
    </row>
    <row r="347" spans="1:30" ht="16.5" customHeight="1" x14ac:dyDescent="0.45">
      <c r="A347" s="1" t="s">
        <v>317</v>
      </c>
      <c r="B347" s="2"/>
      <c r="C347" s="3"/>
      <c r="D347" s="4"/>
      <c r="E347" s="2"/>
      <c r="F347" s="3"/>
      <c r="G347" s="4"/>
      <c r="H347" s="2"/>
      <c r="I347" s="3"/>
      <c r="J347" s="4"/>
      <c r="K347" s="2"/>
      <c r="L347" s="3"/>
      <c r="M347" s="4"/>
      <c r="N347" s="2"/>
      <c r="O347" s="3"/>
      <c r="P347" s="4"/>
      <c r="Q347" s="2"/>
      <c r="R347" s="3"/>
      <c r="S347" s="4"/>
      <c r="T347" s="2"/>
      <c r="U347" s="3"/>
      <c r="V347" s="4"/>
      <c r="W347" s="2"/>
      <c r="X347" s="3"/>
      <c r="Y347" s="4"/>
      <c r="Z347" s="2"/>
      <c r="AA347" s="3"/>
      <c r="AB347" s="4"/>
      <c r="AC347" s="2"/>
      <c r="AD347" s="3"/>
    </row>
    <row r="348" spans="1:30" ht="16.5" hidden="1" customHeight="1" x14ac:dyDescent="0.45">
      <c r="A348" s="20" t="s">
        <v>318</v>
      </c>
      <c r="B348" s="7">
        <v>0</v>
      </c>
      <c r="C348" s="8">
        <f>IFERROR(B348/B445, "NA")</f>
        <v>0</v>
      </c>
      <c r="D348" s="9"/>
      <c r="E348" s="7">
        <v>0</v>
      </c>
      <c r="F348" s="8">
        <f>IFERROR(E348/E445, "NA")</f>
        <v>0</v>
      </c>
      <c r="G348" s="9"/>
      <c r="H348" s="10">
        <f>IFERROR(-(B348-E348), "NA")</f>
        <v>0</v>
      </c>
      <c r="I348" s="8">
        <f>IFERROR(H348/H445, "NA")</f>
        <v>0</v>
      </c>
      <c r="J348" s="9"/>
      <c r="K348" s="7">
        <v>0</v>
      </c>
      <c r="L348" s="8">
        <f>IFERROR(K348/K445, "NA")</f>
        <v>0</v>
      </c>
      <c r="M348" s="9"/>
      <c r="N348" s="10">
        <f>IFERROR(-(B348-K348), "NA")</f>
        <v>0</v>
      </c>
      <c r="O348" s="8">
        <f>IFERROR(N348/N445, "NA")</f>
        <v>0</v>
      </c>
      <c r="P348" s="9"/>
      <c r="Q348" s="7">
        <v>0</v>
      </c>
      <c r="R348" s="8">
        <f>IFERROR(Q348/Q445, "NA")</f>
        <v>0</v>
      </c>
      <c r="S348" s="9"/>
      <c r="T348" s="7">
        <v>0</v>
      </c>
      <c r="U348" s="8">
        <f>IFERROR(T348/T445, "NA")</f>
        <v>0</v>
      </c>
      <c r="V348" s="9"/>
      <c r="W348" s="10">
        <f>IFERROR(-(Q348-T348), "NA")</f>
        <v>0</v>
      </c>
      <c r="X348" s="8">
        <f>IFERROR(W348/W445, "NA")</f>
        <v>0</v>
      </c>
      <c r="Y348" s="9"/>
      <c r="Z348" s="7">
        <v>0</v>
      </c>
      <c r="AA348" s="8">
        <f>IFERROR(Z348/Z445, "NA")</f>
        <v>0</v>
      </c>
      <c r="AB348" s="9"/>
      <c r="AC348" s="10">
        <f>IFERROR(-(Q348-Z348), "NA")</f>
        <v>0</v>
      </c>
      <c r="AD348" s="8">
        <f>IFERROR(AC348/AC445, "NA")</f>
        <v>0</v>
      </c>
    </row>
    <row r="349" spans="1:30" ht="16.5" customHeight="1" x14ac:dyDescent="0.45">
      <c r="A349" s="5" t="s">
        <v>319</v>
      </c>
      <c r="B349" s="2"/>
      <c r="C349" s="3"/>
      <c r="D349" s="4"/>
      <c r="E349" s="2"/>
      <c r="F349" s="3"/>
      <c r="G349" s="4"/>
      <c r="H349" s="2"/>
      <c r="I349" s="3"/>
      <c r="J349" s="4"/>
      <c r="K349" s="2"/>
      <c r="L349" s="3"/>
      <c r="M349" s="4"/>
      <c r="N349" s="2"/>
      <c r="O349" s="3"/>
      <c r="P349" s="4"/>
      <c r="Q349" s="2"/>
      <c r="R349" s="3"/>
      <c r="S349" s="4"/>
      <c r="T349" s="2"/>
      <c r="U349" s="3"/>
      <c r="V349" s="4"/>
      <c r="W349" s="2"/>
      <c r="X349" s="3"/>
      <c r="Y349" s="4"/>
      <c r="Z349" s="2"/>
      <c r="AA349" s="3"/>
      <c r="AB349" s="4"/>
      <c r="AC349" s="2"/>
      <c r="AD349" s="3"/>
    </row>
    <row r="350" spans="1:30" ht="16.5" hidden="1" customHeight="1" x14ac:dyDescent="0.45">
      <c r="A350" s="6" t="s">
        <v>319</v>
      </c>
      <c r="B350" s="7">
        <v>0</v>
      </c>
      <c r="C350" s="8">
        <f>IFERROR(B350/B445, "NA")</f>
        <v>0</v>
      </c>
      <c r="D350" s="9"/>
      <c r="E350" s="7">
        <v>0</v>
      </c>
      <c r="F350" s="8">
        <f>IFERROR(E350/E445, "NA")</f>
        <v>0</v>
      </c>
      <c r="G350" s="9"/>
      <c r="H350" s="10">
        <f t="shared" ref="H350:H359" si="88">IFERROR(-(B350-E350), "NA")</f>
        <v>0</v>
      </c>
      <c r="I350" s="8">
        <f>IFERROR(H350/H445, "NA")</f>
        <v>0</v>
      </c>
      <c r="J350" s="9"/>
      <c r="K350" s="7">
        <v>0</v>
      </c>
      <c r="L350" s="8">
        <f>IFERROR(K350/K445, "NA")</f>
        <v>0</v>
      </c>
      <c r="M350" s="9"/>
      <c r="N350" s="10">
        <f t="shared" ref="N350:N359" si="89">IFERROR(-(B350-K350), "NA")</f>
        <v>0</v>
      </c>
      <c r="O350" s="8">
        <f>IFERROR(N350/N445, "NA")</f>
        <v>0</v>
      </c>
      <c r="P350" s="9"/>
      <c r="Q350" s="7">
        <v>0</v>
      </c>
      <c r="R350" s="8">
        <f>IFERROR(Q350/Q445, "NA")</f>
        <v>0</v>
      </c>
      <c r="S350" s="9"/>
      <c r="T350" s="7">
        <v>0</v>
      </c>
      <c r="U350" s="8">
        <f>IFERROR(T350/T445, "NA")</f>
        <v>0</v>
      </c>
      <c r="V350" s="9"/>
      <c r="W350" s="10">
        <f t="shared" ref="W350:W359" si="90">IFERROR(-(Q350-T350), "NA")</f>
        <v>0</v>
      </c>
      <c r="X350" s="8">
        <f>IFERROR(W350/W445, "NA")</f>
        <v>0</v>
      </c>
      <c r="Y350" s="9"/>
      <c r="Z350" s="7">
        <v>0</v>
      </c>
      <c r="AA350" s="8">
        <f>IFERROR(Z350/Z445, "NA")</f>
        <v>0</v>
      </c>
      <c r="AB350" s="9"/>
      <c r="AC350" s="10">
        <f t="shared" ref="AC350:AC359" si="91">IFERROR(-(Q350-Z350), "NA")</f>
        <v>0</v>
      </c>
      <c r="AD350" s="8">
        <f>IFERROR(AC350/AC445,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IFERROR(B351/B445, "NA")</f>
        <v>0</v>
      </c>
      <c r="D351" s="9"/>
      <c r="E351" s="7">
        <v>0</v>
      </c>
      <c r="F351" s="8">
        <f>IFERROR(E351/E445, "NA")</f>
        <v>0</v>
      </c>
      <c r="G351" s="9"/>
      <c r="H351" s="10">
        <f t="shared" si="88"/>
        <v>0</v>
      </c>
      <c r="I351" s="8">
        <f>IFERROR(H351/H445, "NA")</f>
        <v>0</v>
      </c>
      <c r="J351" s="9"/>
      <c r="K351" s="7">
        <v>0</v>
      </c>
      <c r="L351" s="8">
        <f>IFERROR(K351/K445, "NA")</f>
        <v>0</v>
      </c>
      <c r="M351" s="9"/>
      <c r="N351" s="10">
        <f t="shared" si="89"/>
        <v>0</v>
      </c>
      <c r="O351" s="8">
        <f>IFERROR(N351/N445, "NA")</f>
        <v>0</v>
      </c>
      <c r="P351" s="9"/>
      <c r="Q351" s="7">
        <v>0</v>
      </c>
      <c r="R351" s="8">
        <f>IFERROR(Q351/Q445, "NA")</f>
        <v>0</v>
      </c>
      <c r="S351" s="9"/>
      <c r="T351" s="7">
        <v>0</v>
      </c>
      <c r="U351" s="8">
        <f>IFERROR(T351/T445, "NA")</f>
        <v>0</v>
      </c>
      <c r="V351" s="9"/>
      <c r="W351" s="10">
        <f t="shared" si="90"/>
        <v>0</v>
      </c>
      <c r="X351" s="8">
        <f>IFERROR(W351/W445, "NA")</f>
        <v>0</v>
      </c>
      <c r="Y351" s="9"/>
      <c r="Z351" s="7">
        <v>0</v>
      </c>
      <c r="AA351" s="8">
        <f>IFERROR(Z351/Z445, "NA")</f>
        <v>0</v>
      </c>
      <c r="AB351" s="9"/>
      <c r="AC351" s="10">
        <f t="shared" si="91"/>
        <v>0</v>
      </c>
      <c r="AD351" s="8">
        <f>IFERROR(AC351/AC445,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IFERROR(B352/B445, "NA")</f>
        <v>0</v>
      </c>
      <c r="D352" s="9"/>
      <c r="E352" s="7">
        <v>0</v>
      </c>
      <c r="F352" s="8">
        <f>IFERROR(E352/E445, "NA")</f>
        <v>0</v>
      </c>
      <c r="G352" s="9"/>
      <c r="H352" s="10">
        <f t="shared" si="88"/>
        <v>0</v>
      </c>
      <c r="I352" s="8">
        <f>IFERROR(H352/H445, "NA")</f>
        <v>0</v>
      </c>
      <c r="J352" s="9"/>
      <c r="K352" s="7">
        <v>0</v>
      </c>
      <c r="L352" s="8">
        <f>IFERROR(K352/K445, "NA")</f>
        <v>0</v>
      </c>
      <c r="M352" s="9"/>
      <c r="N352" s="10">
        <f t="shared" si="89"/>
        <v>0</v>
      </c>
      <c r="O352" s="8">
        <f>IFERROR(N352/N445, "NA")</f>
        <v>0</v>
      </c>
      <c r="P352" s="9"/>
      <c r="Q352" s="7">
        <v>0</v>
      </c>
      <c r="R352" s="8">
        <f>IFERROR(Q352/Q445, "NA")</f>
        <v>0</v>
      </c>
      <c r="S352" s="9"/>
      <c r="T352" s="7">
        <v>0</v>
      </c>
      <c r="U352" s="8">
        <f>IFERROR(T352/T445, "NA")</f>
        <v>0</v>
      </c>
      <c r="V352" s="9"/>
      <c r="W352" s="10">
        <f t="shared" si="90"/>
        <v>0</v>
      </c>
      <c r="X352" s="8">
        <f>IFERROR(W352/W445, "NA")</f>
        <v>0</v>
      </c>
      <c r="Y352" s="9"/>
      <c r="Z352" s="7">
        <v>0</v>
      </c>
      <c r="AA352" s="8">
        <f>IFERROR(Z352/Z445, "NA")</f>
        <v>0</v>
      </c>
      <c r="AB352" s="9"/>
      <c r="AC352" s="10">
        <f t="shared" si="91"/>
        <v>0</v>
      </c>
      <c r="AD352" s="8">
        <f>IFERROR(AC352/AC445,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IFERROR(B353/B445, "NA")</f>
        <v>0</v>
      </c>
      <c r="D353" s="9"/>
      <c r="E353" s="7">
        <v>0</v>
      </c>
      <c r="F353" s="8">
        <f>IFERROR(E353/E445, "NA")</f>
        <v>0</v>
      </c>
      <c r="G353" s="9"/>
      <c r="H353" s="10">
        <f t="shared" si="88"/>
        <v>0</v>
      </c>
      <c r="I353" s="8">
        <f>IFERROR(H353/H445, "NA")</f>
        <v>0</v>
      </c>
      <c r="J353" s="9"/>
      <c r="K353" s="7">
        <v>0</v>
      </c>
      <c r="L353" s="8">
        <f>IFERROR(K353/K445, "NA")</f>
        <v>0</v>
      </c>
      <c r="M353" s="9"/>
      <c r="N353" s="10">
        <f t="shared" si="89"/>
        <v>0</v>
      </c>
      <c r="O353" s="8">
        <f>IFERROR(N353/N445, "NA")</f>
        <v>0</v>
      </c>
      <c r="P353" s="9"/>
      <c r="Q353" s="7">
        <v>0</v>
      </c>
      <c r="R353" s="8">
        <f>IFERROR(Q353/Q445, "NA")</f>
        <v>0</v>
      </c>
      <c r="S353" s="9"/>
      <c r="T353" s="7">
        <v>0</v>
      </c>
      <c r="U353" s="8">
        <f>IFERROR(T353/T445, "NA")</f>
        <v>0</v>
      </c>
      <c r="V353" s="9"/>
      <c r="W353" s="10">
        <f t="shared" si="90"/>
        <v>0</v>
      </c>
      <c r="X353" s="8">
        <f>IFERROR(W353/W445, "NA")</f>
        <v>0</v>
      </c>
      <c r="Y353" s="9"/>
      <c r="Z353" s="7">
        <v>0</v>
      </c>
      <c r="AA353" s="8">
        <f>IFERROR(Z353/Z445, "NA")</f>
        <v>0</v>
      </c>
      <c r="AB353" s="9"/>
      <c r="AC353" s="10">
        <f t="shared" si="91"/>
        <v>0</v>
      </c>
      <c r="AD353" s="8">
        <f>IFERROR(AC353/AC445,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IFERROR(B354/B445, "NA")</f>
        <v>0</v>
      </c>
      <c r="D354" s="9"/>
      <c r="E354" s="7">
        <v>0</v>
      </c>
      <c r="F354" s="8">
        <f>IFERROR(E354/E445, "NA")</f>
        <v>0</v>
      </c>
      <c r="G354" s="9"/>
      <c r="H354" s="10">
        <f t="shared" si="88"/>
        <v>0</v>
      </c>
      <c r="I354" s="8">
        <f>IFERROR(H354/H445, "NA")</f>
        <v>0</v>
      </c>
      <c r="J354" s="9"/>
      <c r="K354" s="7">
        <v>0</v>
      </c>
      <c r="L354" s="8">
        <f>IFERROR(K354/K445, "NA")</f>
        <v>0</v>
      </c>
      <c r="M354" s="9"/>
      <c r="N354" s="10">
        <f t="shared" si="89"/>
        <v>0</v>
      </c>
      <c r="O354" s="8">
        <f>IFERROR(N354/N445, "NA")</f>
        <v>0</v>
      </c>
      <c r="P354" s="9"/>
      <c r="Q354" s="7">
        <v>0</v>
      </c>
      <c r="R354" s="8">
        <f>IFERROR(Q354/Q445, "NA")</f>
        <v>0</v>
      </c>
      <c r="S354" s="9"/>
      <c r="T354" s="7">
        <v>0</v>
      </c>
      <c r="U354" s="8">
        <f>IFERROR(T354/T445, "NA")</f>
        <v>0</v>
      </c>
      <c r="V354" s="9"/>
      <c r="W354" s="10">
        <f t="shared" si="90"/>
        <v>0</v>
      </c>
      <c r="X354" s="8">
        <f>IFERROR(W354/W445, "NA")</f>
        <v>0</v>
      </c>
      <c r="Y354" s="9"/>
      <c r="Z354" s="7">
        <v>0</v>
      </c>
      <c r="AA354" s="8">
        <f>IFERROR(Z354/Z445, "NA")</f>
        <v>0</v>
      </c>
      <c r="AB354" s="9"/>
      <c r="AC354" s="10">
        <f t="shared" si="91"/>
        <v>0</v>
      </c>
      <c r="AD354" s="8">
        <f>IFERROR(AC354/AC445,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IFERROR(B355/B445, "NA")</f>
        <v>0</v>
      </c>
      <c r="D355" s="9"/>
      <c r="E355" s="7">
        <v>0</v>
      </c>
      <c r="F355" s="8">
        <f>IFERROR(E355/E445, "NA")</f>
        <v>0</v>
      </c>
      <c r="G355" s="9"/>
      <c r="H355" s="10">
        <f t="shared" si="88"/>
        <v>0</v>
      </c>
      <c r="I355" s="8">
        <f>IFERROR(H355/H445, "NA")</f>
        <v>0</v>
      </c>
      <c r="J355" s="9"/>
      <c r="K355" s="7">
        <v>0</v>
      </c>
      <c r="L355" s="8">
        <f>IFERROR(K355/K445, "NA")</f>
        <v>0</v>
      </c>
      <c r="M355" s="9"/>
      <c r="N355" s="10">
        <f t="shared" si="89"/>
        <v>0</v>
      </c>
      <c r="O355" s="8">
        <f>IFERROR(N355/N445, "NA")</f>
        <v>0</v>
      </c>
      <c r="P355" s="9"/>
      <c r="Q355" s="7">
        <v>0</v>
      </c>
      <c r="R355" s="8">
        <f>IFERROR(Q355/Q445, "NA")</f>
        <v>0</v>
      </c>
      <c r="S355" s="9"/>
      <c r="T355" s="7">
        <v>0</v>
      </c>
      <c r="U355" s="8">
        <f>IFERROR(T355/T445, "NA")</f>
        <v>0</v>
      </c>
      <c r="V355" s="9"/>
      <c r="W355" s="10">
        <f t="shared" si="90"/>
        <v>0</v>
      </c>
      <c r="X355" s="8">
        <f>IFERROR(W355/W445, "NA")</f>
        <v>0</v>
      </c>
      <c r="Y355" s="9"/>
      <c r="Z355" s="7">
        <v>0</v>
      </c>
      <c r="AA355" s="8">
        <f>IFERROR(Z355/Z445, "NA")</f>
        <v>0</v>
      </c>
      <c r="AB355" s="9"/>
      <c r="AC355" s="10">
        <f t="shared" si="91"/>
        <v>0</v>
      </c>
      <c r="AD355" s="8">
        <f>IFERROR(AC355/AC445,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IFERROR(B356/B445, "NA")</f>
        <v>0</v>
      </c>
      <c r="D356" s="9"/>
      <c r="E356" s="7">
        <v>0</v>
      </c>
      <c r="F356" s="8">
        <f>IFERROR(E356/E445, "NA")</f>
        <v>0</v>
      </c>
      <c r="G356" s="9"/>
      <c r="H356" s="10">
        <f t="shared" si="88"/>
        <v>0</v>
      </c>
      <c r="I356" s="8">
        <f>IFERROR(H356/H445, "NA")</f>
        <v>0</v>
      </c>
      <c r="J356" s="9"/>
      <c r="K356" s="7">
        <v>0</v>
      </c>
      <c r="L356" s="8">
        <f>IFERROR(K356/K445, "NA")</f>
        <v>0</v>
      </c>
      <c r="M356" s="9"/>
      <c r="N356" s="10">
        <f t="shared" si="89"/>
        <v>0</v>
      </c>
      <c r="O356" s="8">
        <f>IFERROR(N356/N445, "NA")</f>
        <v>0</v>
      </c>
      <c r="P356" s="9"/>
      <c r="Q356" s="7">
        <v>0</v>
      </c>
      <c r="R356" s="8">
        <f>IFERROR(Q356/Q445, "NA")</f>
        <v>0</v>
      </c>
      <c r="S356" s="9"/>
      <c r="T356" s="7">
        <v>0</v>
      </c>
      <c r="U356" s="8">
        <f>IFERROR(T356/T445, "NA")</f>
        <v>0</v>
      </c>
      <c r="V356" s="9"/>
      <c r="W356" s="10">
        <f t="shared" si="90"/>
        <v>0</v>
      </c>
      <c r="X356" s="8">
        <f>IFERROR(W356/W445, "NA")</f>
        <v>0</v>
      </c>
      <c r="Y356" s="9"/>
      <c r="Z356" s="7">
        <v>0</v>
      </c>
      <c r="AA356" s="8">
        <f>IFERROR(Z356/Z445, "NA")</f>
        <v>0</v>
      </c>
      <c r="AB356" s="9"/>
      <c r="AC356" s="10">
        <f t="shared" si="91"/>
        <v>0</v>
      </c>
      <c r="AD356" s="8">
        <f>IFERROR(AC356/AC445,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IFERROR(B357/B445, "NA")</f>
        <v>0</v>
      </c>
      <c r="D357" s="9"/>
      <c r="E357" s="7">
        <v>0</v>
      </c>
      <c r="F357" s="8">
        <f>IFERROR(E357/E445, "NA")</f>
        <v>0</v>
      </c>
      <c r="G357" s="9"/>
      <c r="H357" s="10">
        <f t="shared" si="88"/>
        <v>0</v>
      </c>
      <c r="I357" s="8">
        <f>IFERROR(H357/H445, "NA")</f>
        <v>0</v>
      </c>
      <c r="J357" s="9"/>
      <c r="K357" s="7">
        <v>0</v>
      </c>
      <c r="L357" s="8">
        <f>IFERROR(K357/K445, "NA")</f>
        <v>0</v>
      </c>
      <c r="M357" s="9"/>
      <c r="N357" s="10">
        <f t="shared" si="89"/>
        <v>0</v>
      </c>
      <c r="O357" s="8">
        <f>IFERROR(N357/N445, "NA")</f>
        <v>0</v>
      </c>
      <c r="P357" s="9"/>
      <c r="Q357" s="7">
        <v>0</v>
      </c>
      <c r="R357" s="8">
        <f>IFERROR(Q357/Q445, "NA")</f>
        <v>0</v>
      </c>
      <c r="S357" s="9"/>
      <c r="T357" s="7">
        <v>0</v>
      </c>
      <c r="U357" s="8">
        <f>IFERROR(T357/T445, "NA")</f>
        <v>0</v>
      </c>
      <c r="V357" s="9"/>
      <c r="W357" s="10">
        <f t="shared" si="90"/>
        <v>0</v>
      </c>
      <c r="X357" s="8">
        <f>IFERROR(W357/W445, "NA")</f>
        <v>0</v>
      </c>
      <c r="Y357" s="9"/>
      <c r="Z357" s="7">
        <v>0</v>
      </c>
      <c r="AA357" s="8">
        <f>IFERROR(Z357/Z445, "NA")</f>
        <v>0</v>
      </c>
      <c r="AB357" s="9"/>
      <c r="AC357" s="10">
        <f t="shared" si="91"/>
        <v>0</v>
      </c>
      <c r="AD357" s="8">
        <f>IFERROR(AC357/AC445, "NA")</f>
        <v>0</v>
      </c>
    </row>
    <row r="358" spans="1:30" ht="16.5" hidden="1" customHeight="1" x14ac:dyDescent="0.45">
      <c r="A358" s="6" t="s">
        <v>327</v>
      </c>
      <c r="B358" s="7">
        <v>0</v>
      </c>
      <c r="C358" s="8">
        <f>IFERROR(B358/B445, "NA")</f>
        <v>0</v>
      </c>
      <c r="D358" s="9"/>
      <c r="E358" s="7">
        <v>0</v>
      </c>
      <c r="F358" s="8">
        <f>IFERROR(E358/E445, "NA")</f>
        <v>0</v>
      </c>
      <c r="G358" s="9"/>
      <c r="H358" s="10">
        <f t="shared" si="88"/>
        <v>0</v>
      </c>
      <c r="I358" s="8">
        <f>IFERROR(H358/H445, "NA")</f>
        <v>0</v>
      </c>
      <c r="J358" s="9"/>
      <c r="K358" s="7">
        <v>0</v>
      </c>
      <c r="L358" s="8">
        <f>IFERROR(K358/K445, "NA")</f>
        <v>0</v>
      </c>
      <c r="M358" s="9"/>
      <c r="N358" s="10">
        <f t="shared" si="89"/>
        <v>0</v>
      </c>
      <c r="O358" s="8">
        <f>IFERROR(N358/N445, "NA")</f>
        <v>0</v>
      </c>
      <c r="P358" s="9"/>
      <c r="Q358" s="7">
        <v>0</v>
      </c>
      <c r="R358" s="8">
        <f>IFERROR(Q358/Q445, "NA")</f>
        <v>0</v>
      </c>
      <c r="S358" s="9"/>
      <c r="T358" s="7">
        <v>0</v>
      </c>
      <c r="U358" s="8">
        <f>IFERROR(T358/T445, "NA")</f>
        <v>0</v>
      </c>
      <c r="V358" s="9"/>
      <c r="W358" s="10">
        <f t="shared" si="90"/>
        <v>0</v>
      </c>
      <c r="X358" s="8">
        <f>IFERROR(W358/W445, "NA")</f>
        <v>0</v>
      </c>
      <c r="Y358" s="9"/>
      <c r="Z358" s="7">
        <v>0</v>
      </c>
      <c r="AA358" s="8">
        <f>IFERROR(Z358/Z445, "NA")</f>
        <v>0</v>
      </c>
      <c r="AB358" s="9"/>
      <c r="AC358" s="10">
        <f t="shared" si="91"/>
        <v>0</v>
      </c>
      <c r="AD358" s="8">
        <f>IFERROR(AC358/AC445, "NA")</f>
        <v>0</v>
      </c>
    </row>
    <row r="359" spans="1:30" ht="16.5" customHeight="1" x14ac:dyDescent="0.45">
      <c r="A359" s="19" t="s">
        <v>328</v>
      </c>
      <c r="B359" s="14">
        <f>IFERROR(B350+B351+B352+B353+B354+B355+B356+B357+B358, "NA")</f>
        <v>0</v>
      </c>
      <c r="C359" s="15">
        <f>IFERROR(B359/B445, "NA")</f>
        <v>0</v>
      </c>
      <c r="D359" s="2"/>
      <c r="E359" s="14">
        <f>IFERROR(E350+E351+E352+E353+E354+E355+E356+E357+E358, "NA")</f>
        <v>0</v>
      </c>
      <c r="F359" s="15">
        <f>IFERROR(E359/E445, "NA")</f>
        <v>0</v>
      </c>
      <c r="G359" s="2"/>
      <c r="H359" s="14">
        <f t="shared" si="88"/>
        <v>0</v>
      </c>
      <c r="I359" s="15">
        <f>IFERROR(H359/H445, "NA")</f>
        <v>0</v>
      </c>
      <c r="J359" s="2"/>
      <c r="K359" s="14">
        <f>IFERROR(K350+K351+K352+K353+K354+K355+K356+K357+K358, "NA")</f>
        <v>0</v>
      </c>
      <c r="L359" s="15">
        <f>IFERROR(K359/K445, "NA")</f>
        <v>0</v>
      </c>
      <c r="M359" s="2"/>
      <c r="N359" s="14">
        <f t="shared" si="89"/>
        <v>0</v>
      </c>
      <c r="O359" s="15">
        <f>IFERROR(N359/N445, "NA")</f>
        <v>0</v>
      </c>
      <c r="P359" s="2"/>
      <c r="Q359" s="14">
        <f>IFERROR(Q350+Q351+Q352+Q353+Q354+Q355+Q356+Q357+Q358, "NA")</f>
        <v>0</v>
      </c>
      <c r="R359" s="15">
        <f>IFERROR(Q359/Q445, "NA")</f>
        <v>0</v>
      </c>
      <c r="S359" s="2"/>
      <c r="T359" s="14">
        <f>IFERROR(T350+T351+T352+T353+T354+T355+T356+T357+T358, "NA")</f>
        <v>0</v>
      </c>
      <c r="U359" s="15">
        <f>IFERROR(T359/T445, "NA")</f>
        <v>0</v>
      </c>
      <c r="V359" s="2"/>
      <c r="W359" s="14">
        <f t="shared" si="90"/>
        <v>0</v>
      </c>
      <c r="X359" s="15">
        <f>IFERROR(W359/W445, "NA")</f>
        <v>0</v>
      </c>
      <c r="Y359" s="2"/>
      <c r="Z359" s="14">
        <f>IFERROR(Z350+Z351+Z352+Z353+Z354+Z355+Z356+Z357+Z358, "NA")</f>
        <v>0</v>
      </c>
      <c r="AA359" s="15">
        <f>IFERROR(Z359/Z445, "NA")</f>
        <v>0</v>
      </c>
      <c r="AB359" s="2"/>
      <c r="AC359" s="14">
        <f t="shared" si="91"/>
        <v>0</v>
      </c>
      <c r="AD359" s="15">
        <f>IFERROR(AC359/AC445, "NA")</f>
        <v>0</v>
      </c>
    </row>
    <row r="360" spans="1:30" ht="16.5" customHeight="1" x14ac:dyDescent="0.45">
      <c r="A360" s="5" t="s">
        <v>329</v>
      </c>
      <c r="B360" s="2"/>
      <c r="C360" s="3"/>
      <c r="D360" s="4"/>
      <c r="E360" s="2"/>
      <c r="F360" s="3"/>
      <c r="G360" s="4"/>
      <c r="H360" s="2"/>
      <c r="I360" s="3"/>
      <c r="J360" s="4"/>
      <c r="K360" s="2"/>
      <c r="L360" s="3"/>
      <c r="M360" s="4"/>
      <c r="N360" s="2"/>
      <c r="O360" s="3"/>
      <c r="P360" s="4"/>
      <c r="Q360" s="2"/>
      <c r="R360" s="3"/>
      <c r="S360" s="4"/>
      <c r="T360" s="2"/>
      <c r="U360" s="3"/>
      <c r="V360" s="4"/>
      <c r="W360" s="2"/>
      <c r="X360" s="3"/>
      <c r="Y360" s="4"/>
      <c r="Z360" s="2"/>
      <c r="AA360" s="3"/>
      <c r="AB360" s="4"/>
      <c r="AC360" s="2"/>
      <c r="AD360" s="3"/>
    </row>
    <row r="361" spans="1:30" ht="16.5" hidden="1" customHeight="1" x14ac:dyDescent="0.45">
      <c r="A361" s="6" t="s">
        <v>329</v>
      </c>
      <c r="B361" s="7">
        <v>0</v>
      </c>
      <c r="C361" s="8">
        <f>IFERROR(B361/B445, "NA")</f>
        <v>0</v>
      </c>
      <c r="D361" s="9"/>
      <c r="E361" s="7">
        <v>0</v>
      </c>
      <c r="F361" s="8">
        <f>IFERROR(E361/E445, "NA")</f>
        <v>0</v>
      </c>
      <c r="G361" s="9"/>
      <c r="H361" s="10">
        <f t="shared" ref="H361:H384" si="92">IFERROR(-(B361-E361), "NA")</f>
        <v>0</v>
      </c>
      <c r="I361" s="8">
        <f>IFERROR(H361/H445, "NA")</f>
        <v>0</v>
      </c>
      <c r="J361" s="9"/>
      <c r="K361" s="7">
        <v>0</v>
      </c>
      <c r="L361" s="8">
        <f>IFERROR(K361/K445, "NA")</f>
        <v>0</v>
      </c>
      <c r="M361" s="9"/>
      <c r="N361" s="10">
        <f t="shared" ref="N361:N384" si="93">IFERROR(-(B361-K361), "NA")</f>
        <v>0</v>
      </c>
      <c r="O361" s="8">
        <f>IFERROR(N361/N445, "NA")</f>
        <v>0</v>
      </c>
      <c r="P361" s="9"/>
      <c r="Q361" s="7">
        <v>0</v>
      </c>
      <c r="R361" s="8">
        <f>IFERROR(Q361/Q445, "NA")</f>
        <v>0</v>
      </c>
      <c r="S361" s="9"/>
      <c r="T361" s="7">
        <v>0</v>
      </c>
      <c r="U361" s="8">
        <f>IFERROR(T361/T445, "NA")</f>
        <v>0</v>
      </c>
      <c r="V361" s="9"/>
      <c r="W361" s="10">
        <f t="shared" ref="W361:W384" si="94">IFERROR(-(Q361-T361), "NA")</f>
        <v>0</v>
      </c>
      <c r="X361" s="8">
        <f>IFERROR(W361/W445, "NA")</f>
        <v>0</v>
      </c>
      <c r="Y361" s="9"/>
      <c r="Z361" s="7">
        <v>0</v>
      </c>
      <c r="AA361" s="8">
        <f>IFERROR(Z361/Z445, "NA")</f>
        <v>0</v>
      </c>
      <c r="AB361" s="9"/>
      <c r="AC361" s="10">
        <f t="shared" ref="AC361:AC384" si="95">IFERROR(-(Q361-Z361), "NA")</f>
        <v>0</v>
      </c>
      <c r="AD361" s="8">
        <f>IFERROR(AC361/AC445,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IFERROR(B362/B445, "NA")</f>
        <v>0</v>
      </c>
      <c r="D362" s="9"/>
      <c r="E362" s="7">
        <v>0</v>
      </c>
      <c r="F362" s="8">
        <f>IFERROR(E362/E445, "NA")</f>
        <v>0</v>
      </c>
      <c r="G362" s="9"/>
      <c r="H362" s="10">
        <f t="shared" si="92"/>
        <v>0</v>
      </c>
      <c r="I362" s="8">
        <f>IFERROR(H362/H445, "NA")</f>
        <v>0</v>
      </c>
      <c r="J362" s="9"/>
      <c r="K362" s="7">
        <v>0</v>
      </c>
      <c r="L362" s="8">
        <f>IFERROR(K362/K445, "NA")</f>
        <v>0</v>
      </c>
      <c r="M362" s="9"/>
      <c r="N362" s="10">
        <f t="shared" si="93"/>
        <v>0</v>
      </c>
      <c r="O362" s="8">
        <f>IFERROR(N362/N445, "NA")</f>
        <v>0</v>
      </c>
      <c r="P362" s="9"/>
      <c r="Q362" s="7">
        <v>0</v>
      </c>
      <c r="R362" s="8">
        <f>IFERROR(Q362/Q445, "NA")</f>
        <v>0</v>
      </c>
      <c r="S362" s="9"/>
      <c r="T362" s="7">
        <v>0</v>
      </c>
      <c r="U362" s="8">
        <f>IFERROR(T362/T445, "NA")</f>
        <v>0</v>
      </c>
      <c r="V362" s="9"/>
      <c r="W362" s="10">
        <f t="shared" si="94"/>
        <v>0</v>
      </c>
      <c r="X362" s="8">
        <f>IFERROR(W362/W445, "NA")</f>
        <v>0</v>
      </c>
      <c r="Y362" s="9"/>
      <c r="Z362" s="7">
        <v>0</v>
      </c>
      <c r="AA362" s="8">
        <f>IFERROR(Z362/Z445, "NA")</f>
        <v>0</v>
      </c>
      <c r="AB362" s="9"/>
      <c r="AC362" s="10">
        <f t="shared" si="95"/>
        <v>0</v>
      </c>
      <c r="AD362" s="8">
        <f>IFERROR(AC362/AC445,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IFERROR(B363/B445, "NA")</f>
        <v>0</v>
      </c>
      <c r="D363" s="9"/>
      <c r="E363" s="7">
        <v>0</v>
      </c>
      <c r="F363" s="8">
        <f>IFERROR(E363/E445, "NA")</f>
        <v>0</v>
      </c>
      <c r="G363" s="9"/>
      <c r="H363" s="10">
        <f t="shared" si="92"/>
        <v>0</v>
      </c>
      <c r="I363" s="8">
        <f>IFERROR(H363/H445, "NA")</f>
        <v>0</v>
      </c>
      <c r="J363" s="9"/>
      <c r="K363" s="7">
        <v>0</v>
      </c>
      <c r="L363" s="8">
        <f>IFERROR(K363/K445, "NA")</f>
        <v>0</v>
      </c>
      <c r="M363" s="9"/>
      <c r="N363" s="10">
        <f t="shared" si="93"/>
        <v>0</v>
      </c>
      <c r="O363" s="8">
        <f>IFERROR(N363/N445, "NA")</f>
        <v>0</v>
      </c>
      <c r="P363" s="9"/>
      <c r="Q363" s="7">
        <v>0</v>
      </c>
      <c r="R363" s="8">
        <f>IFERROR(Q363/Q445, "NA")</f>
        <v>0</v>
      </c>
      <c r="S363" s="9"/>
      <c r="T363" s="7">
        <v>0</v>
      </c>
      <c r="U363" s="8">
        <f>IFERROR(T363/T445, "NA")</f>
        <v>0</v>
      </c>
      <c r="V363" s="9"/>
      <c r="W363" s="10">
        <f t="shared" si="94"/>
        <v>0</v>
      </c>
      <c r="X363" s="8">
        <f>IFERROR(W363/W445, "NA")</f>
        <v>0</v>
      </c>
      <c r="Y363" s="9"/>
      <c r="Z363" s="7">
        <v>0</v>
      </c>
      <c r="AA363" s="8">
        <f>IFERROR(Z363/Z445, "NA")</f>
        <v>0</v>
      </c>
      <c r="AB363" s="9"/>
      <c r="AC363" s="10">
        <f t="shared" si="95"/>
        <v>0</v>
      </c>
      <c r="AD363" s="8">
        <f>IFERROR(AC363/AC445,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IFERROR(B364/B445, "NA")</f>
        <v>0</v>
      </c>
      <c r="D364" s="9"/>
      <c r="E364" s="7">
        <v>0</v>
      </c>
      <c r="F364" s="8">
        <f>IFERROR(E364/E445, "NA")</f>
        <v>0</v>
      </c>
      <c r="G364" s="9"/>
      <c r="H364" s="10">
        <f t="shared" si="92"/>
        <v>0</v>
      </c>
      <c r="I364" s="8">
        <f>IFERROR(H364/H445, "NA")</f>
        <v>0</v>
      </c>
      <c r="J364" s="9"/>
      <c r="K364" s="7">
        <v>0</v>
      </c>
      <c r="L364" s="8">
        <f>IFERROR(K364/K445, "NA")</f>
        <v>0</v>
      </c>
      <c r="M364" s="9"/>
      <c r="N364" s="10">
        <f t="shared" si="93"/>
        <v>0</v>
      </c>
      <c r="O364" s="8">
        <f>IFERROR(N364/N445, "NA")</f>
        <v>0</v>
      </c>
      <c r="P364" s="9"/>
      <c r="Q364" s="7">
        <v>0</v>
      </c>
      <c r="R364" s="8">
        <f>IFERROR(Q364/Q445, "NA")</f>
        <v>0</v>
      </c>
      <c r="S364" s="9"/>
      <c r="T364" s="7">
        <v>0</v>
      </c>
      <c r="U364" s="8">
        <f>IFERROR(T364/T445, "NA")</f>
        <v>0</v>
      </c>
      <c r="V364" s="9"/>
      <c r="W364" s="10">
        <f t="shared" si="94"/>
        <v>0</v>
      </c>
      <c r="X364" s="8">
        <f>IFERROR(W364/W445, "NA")</f>
        <v>0</v>
      </c>
      <c r="Y364" s="9"/>
      <c r="Z364" s="7">
        <v>0</v>
      </c>
      <c r="AA364" s="8">
        <f>IFERROR(Z364/Z445, "NA")</f>
        <v>0</v>
      </c>
      <c r="AB364" s="9"/>
      <c r="AC364" s="10">
        <f t="shared" si="95"/>
        <v>0</v>
      </c>
      <c r="AD364" s="8">
        <f>IFERROR(AC364/AC445,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IFERROR(B365/B445, "NA")</f>
        <v>0</v>
      </c>
      <c r="D365" s="9"/>
      <c r="E365" s="7">
        <v>0</v>
      </c>
      <c r="F365" s="8">
        <f>IFERROR(E365/E445, "NA")</f>
        <v>0</v>
      </c>
      <c r="G365" s="9"/>
      <c r="H365" s="10">
        <f t="shared" si="92"/>
        <v>0</v>
      </c>
      <c r="I365" s="8">
        <f>IFERROR(H365/H445, "NA")</f>
        <v>0</v>
      </c>
      <c r="J365" s="9"/>
      <c r="K365" s="7">
        <v>0</v>
      </c>
      <c r="L365" s="8">
        <f>IFERROR(K365/K445, "NA")</f>
        <v>0</v>
      </c>
      <c r="M365" s="9"/>
      <c r="N365" s="10">
        <f t="shared" si="93"/>
        <v>0</v>
      </c>
      <c r="O365" s="8">
        <f>IFERROR(N365/N445, "NA")</f>
        <v>0</v>
      </c>
      <c r="P365" s="9"/>
      <c r="Q365" s="7">
        <v>0</v>
      </c>
      <c r="R365" s="8">
        <f>IFERROR(Q365/Q445, "NA")</f>
        <v>0</v>
      </c>
      <c r="S365" s="9"/>
      <c r="T365" s="7">
        <v>0</v>
      </c>
      <c r="U365" s="8">
        <f>IFERROR(T365/T445, "NA")</f>
        <v>0</v>
      </c>
      <c r="V365" s="9"/>
      <c r="W365" s="10">
        <f t="shared" si="94"/>
        <v>0</v>
      </c>
      <c r="X365" s="8">
        <f>IFERROR(W365/W445, "NA")</f>
        <v>0</v>
      </c>
      <c r="Y365" s="9"/>
      <c r="Z365" s="7">
        <v>0</v>
      </c>
      <c r="AA365" s="8">
        <f>IFERROR(Z365/Z445, "NA")</f>
        <v>0</v>
      </c>
      <c r="AB365" s="9"/>
      <c r="AC365" s="10">
        <f t="shared" si="95"/>
        <v>0</v>
      </c>
      <c r="AD365" s="8">
        <f>IFERROR(AC365/AC445,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IFERROR(B366/B445, "NA")</f>
        <v>0</v>
      </c>
      <c r="D366" s="9"/>
      <c r="E366" s="7">
        <v>0</v>
      </c>
      <c r="F366" s="8">
        <f>IFERROR(E366/E445, "NA")</f>
        <v>0</v>
      </c>
      <c r="G366" s="9"/>
      <c r="H366" s="10">
        <f t="shared" si="92"/>
        <v>0</v>
      </c>
      <c r="I366" s="8">
        <f>IFERROR(H366/H445, "NA")</f>
        <v>0</v>
      </c>
      <c r="J366" s="9"/>
      <c r="K366" s="7">
        <v>0</v>
      </c>
      <c r="L366" s="8">
        <f>IFERROR(K366/K445, "NA")</f>
        <v>0</v>
      </c>
      <c r="M366" s="9"/>
      <c r="N366" s="10">
        <f t="shared" si="93"/>
        <v>0</v>
      </c>
      <c r="O366" s="8">
        <f>IFERROR(N366/N445, "NA")</f>
        <v>0</v>
      </c>
      <c r="P366" s="9"/>
      <c r="Q366" s="7">
        <v>0</v>
      </c>
      <c r="R366" s="8">
        <f>IFERROR(Q366/Q445, "NA")</f>
        <v>0</v>
      </c>
      <c r="S366" s="9"/>
      <c r="T366" s="7">
        <v>0</v>
      </c>
      <c r="U366" s="8">
        <f>IFERROR(T366/T445, "NA")</f>
        <v>0</v>
      </c>
      <c r="V366" s="9"/>
      <c r="W366" s="10">
        <f t="shared" si="94"/>
        <v>0</v>
      </c>
      <c r="X366" s="8">
        <f>IFERROR(W366/W445, "NA")</f>
        <v>0</v>
      </c>
      <c r="Y366" s="9"/>
      <c r="Z366" s="7">
        <v>0</v>
      </c>
      <c r="AA366" s="8">
        <f>IFERROR(Z366/Z445, "NA")</f>
        <v>0</v>
      </c>
      <c r="AB366" s="9"/>
      <c r="AC366" s="10">
        <f t="shared" si="95"/>
        <v>0</v>
      </c>
      <c r="AD366" s="8">
        <f>IFERROR(AC366/AC445,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IFERROR(B367/B445, "NA")</f>
        <v>0</v>
      </c>
      <c r="D367" s="9"/>
      <c r="E367" s="7">
        <v>0</v>
      </c>
      <c r="F367" s="8">
        <f>IFERROR(E367/E445, "NA")</f>
        <v>0</v>
      </c>
      <c r="G367" s="9"/>
      <c r="H367" s="10">
        <f t="shared" si="92"/>
        <v>0</v>
      </c>
      <c r="I367" s="8">
        <f>IFERROR(H367/H445, "NA")</f>
        <v>0</v>
      </c>
      <c r="J367" s="9"/>
      <c r="K367" s="7">
        <v>0</v>
      </c>
      <c r="L367" s="8">
        <f>IFERROR(K367/K445, "NA")</f>
        <v>0</v>
      </c>
      <c r="M367" s="9"/>
      <c r="N367" s="10">
        <f t="shared" si="93"/>
        <v>0</v>
      </c>
      <c r="O367" s="8">
        <f>IFERROR(N367/N445, "NA")</f>
        <v>0</v>
      </c>
      <c r="P367" s="9"/>
      <c r="Q367" s="7">
        <v>0</v>
      </c>
      <c r="R367" s="8">
        <f>IFERROR(Q367/Q445, "NA")</f>
        <v>0</v>
      </c>
      <c r="S367" s="9"/>
      <c r="T367" s="7">
        <v>0</v>
      </c>
      <c r="U367" s="8">
        <f>IFERROR(T367/T445, "NA")</f>
        <v>0</v>
      </c>
      <c r="V367" s="9"/>
      <c r="W367" s="10">
        <f t="shared" si="94"/>
        <v>0</v>
      </c>
      <c r="X367" s="8">
        <f>IFERROR(W367/W445, "NA")</f>
        <v>0</v>
      </c>
      <c r="Y367" s="9"/>
      <c r="Z367" s="7">
        <v>0</v>
      </c>
      <c r="AA367" s="8">
        <f>IFERROR(Z367/Z445, "NA")</f>
        <v>0</v>
      </c>
      <c r="AB367" s="9"/>
      <c r="AC367" s="10">
        <f t="shared" si="95"/>
        <v>0</v>
      </c>
      <c r="AD367" s="8">
        <f>IFERROR(AC367/AC445, "NA")</f>
        <v>0</v>
      </c>
    </row>
    <row r="368" spans="1:30" ht="16.5" hidden="1" customHeight="1" x14ac:dyDescent="0.45">
      <c r="A368" s="6" t="s">
        <v>336</v>
      </c>
      <c r="B368" s="7">
        <v>0</v>
      </c>
      <c r="C368" s="8">
        <f>IFERROR(B368/B445, "NA")</f>
        <v>0</v>
      </c>
      <c r="D368" s="9"/>
      <c r="E368" s="7">
        <v>0</v>
      </c>
      <c r="F368" s="8">
        <f>IFERROR(E368/E445, "NA")</f>
        <v>0</v>
      </c>
      <c r="G368" s="9"/>
      <c r="H368" s="10">
        <f t="shared" si="92"/>
        <v>0</v>
      </c>
      <c r="I368" s="8">
        <f>IFERROR(H368/H445, "NA")</f>
        <v>0</v>
      </c>
      <c r="J368" s="9"/>
      <c r="K368" s="7">
        <v>0</v>
      </c>
      <c r="L368" s="8">
        <f>IFERROR(K368/K445, "NA")</f>
        <v>0</v>
      </c>
      <c r="M368" s="9"/>
      <c r="N368" s="10">
        <f t="shared" si="93"/>
        <v>0</v>
      </c>
      <c r="O368" s="8">
        <f>IFERROR(N368/N445, "NA")</f>
        <v>0</v>
      </c>
      <c r="P368" s="9"/>
      <c r="Q368" s="7">
        <v>0</v>
      </c>
      <c r="R368" s="8">
        <f>IFERROR(Q368/Q445, "NA")</f>
        <v>0</v>
      </c>
      <c r="S368" s="9"/>
      <c r="T368" s="7">
        <v>0</v>
      </c>
      <c r="U368" s="8">
        <f>IFERROR(T368/T445, "NA")</f>
        <v>0</v>
      </c>
      <c r="V368" s="9"/>
      <c r="W368" s="10">
        <f t="shared" si="94"/>
        <v>0</v>
      </c>
      <c r="X368" s="8">
        <f>IFERROR(W368/W445, "NA")</f>
        <v>0</v>
      </c>
      <c r="Y368" s="9"/>
      <c r="Z368" s="7">
        <v>0</v>
      </c>
      <c r="AA368" s="8">
        <f>IFERROR(Z368/Z445, "NA")</f>
        <v>0</v>
      </c>
      <c r="AB368" s="9"/>
      <c r="AC368" s="10">
        <f t="shared" si="95"/>
        <v>0</v>
      </c>
      <c r="AD368" s="8">
        <f>IFERROR(AC368/AC445, "NA")</f>
        <v>0</v>
      </c>
    </row>
    <row r="369" spans="1:30" ht="16.5" customHeight="1" x14ac:dyDescent="0.45">
      <c r="A369" s="19" t="s">
        <v>337</v>
      </c>
      <c r="B369" s="14">
        <f>IFERROR(B361+B362+B363+B364+B365+B366+B367+B368, "NA")</f>
        <v>0</v>
      </c>
      <c r="C369" s="15">
        <f>IFERROR(B369/B445, "NA")</f>
        <v>0</v>
      </c>
      <c r="D369" s="2"/>
      <c r="E369" s="14">
        <f>IFERROR(E361+E362+E363+E364+E365+E366+E367+E368, "NA")</f>
        <v>0</v>
      </c>
      <c r="F369" s="15">
        <f>IFERROR(E369/E445, "NA")</f>
        <v>0</v>
      </c>
      <c r="G369" s="2"/>
      <c r="H369" s="14">
        <f t="shared" si="92"/>
        <v>0</v>
      </c>
      <c r="I369" s="15">
        <f>IFERROR(H369/H445, "NA")</f>
        <v>0</v>
      </c>
      <c r="J369" s="2"/>
      <c r="K369" s="14">
        <f>IFERROR(K361+K362+K363+K364+K365+K366+K367+K368, "NA")</f>
        <v>0</v>
      </c>
      <c r="L369" s="15">
        <f>IFERROR(K369/K445, "NA")</f>
        <v>0</v>
      </c>
      <c r="M369" s="2"/>
      <c r="N369" s="14">
        <f t="shared" si="93"/>
        <v>0</v>
      </c>
      <c r="O369" s="15">
        <f>IFERROR(N369/N445, "NA")</f>
        <v>0</v>
      </c>
      <c r="P369" s="2"/>
      <c r="Q369" s="14">
        <f>IFERROR(Q361+Q362+Q363+Q364+Q365+Q366+Q367+Q368, "NA")</f>
        <v>0</v>
      </c>
      <c r="R369" s="15">
        <f>IFERROR(Q369/Q445, "NA")</f>
        <v>0</v>
      </c>
      <c r="S369" s="2"/>
      <c r="T369" s="14">
        <f>IFERROR(T361+T362+T363+T364+T365+T366+T367+T368, "NA")</f>
        <v>0</v>
      </c>
      <c r="U369" s="15">
        <f>IFERROR(T369/T445, "NA")</f>
        <v>0</v>
      </c>
      <c r="V369" s="2"/>
      <c r="W369" s="14">
        <f t="shared" si="94"/>
        <v>0</v>
      </c>
      <c r="X369" s="15">
        <f>IFERROR(W369/W445, "NA")</f>
        <v>0</v>
      </c>
      <c r="Y369" s="2"/>
      <c r="Z369" s="14">
        <f>IFERROR(Z361+Z362+Z363+Z364+Z365+Z366+Z367+Z368, "NA")</f>
        <v>0</v>
      </c>
      <c r="AA369" s="15">
        <f>IFERROR(Z369/Z445, "NA")</f>
        <v>0</v>
      </c>
      <c r="AB369" s="2"/>
      <c r="AC369" s="14">
        <f t="shared" si="95"/>
        <v>0</v>
      </c>
      <c r="AD369" s="15">
        <f>IFERROR(AC369/AC445,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IFERROR(B370/B445, "NA")</f>
        <v>0</v>
      </c>
      <c r="D370" s="9"/>
      <c r="E370" s="7">
        <v>0</v>
      </c>
      <c r="F370" s="8">
        <f>IFERROR(E370/E445, "NA")</f>
        <v>0</v>
      </c>
      <c r="G370" s="9"/>
      <c r="H370" s="10">
        <f t="shared" si="92"/>
        <v>0</v>
      </c>
      <c r="I370" s="8">
        <f>IFERROR(H370/H445, "NA")</f>
        <v>0</v>
      </c>
      <c r="J370" s="9"/>
      <c r="K370" s="7">
        <v>0</v>
      </c>
      <c r="L370" s="8">
        <f>IFERROR(K370/K445, "NA")</f>
        <v>0</v>
      </c>
      <c r="M370" s="9"/>
      <c r="N370" s="10">
        <f t="shared" si="93"/>
        <v>0</v>
      </c>
      <c r="O370" s="8">
        <f>IFERROR(N370/N445, "NA")</f>
        <v>0</v>
      </c>
      <c r="P370" s="9"/>
      <c r="Q370" s="7">
        <v>0</v>
      </c>
      <c r="R370" s="8">
        <f>IFERROR(Q370/Q445, "NA")</f>
        <v>0</v>
      </c>
      <c r="S370" s="9"/>
      <c r="T370" s="7">
        <v>0</v>
      </c>
      <c r="U370" s="8">
        <f>IFERROR(T370/T445, "NA")</f>
        <v>0</v>
      </c>
      <c r="V370" s="9"/>
      <c r="W370" s="10">
        <f t="shared" si="94"/>
        <v>0</v>
      </c>
      <c r="X370" s="8">
        <f>IFERROR(W370/W445, "NA")</f>
        <v>0</v>
      </c>
      <c r="Y370" s="9"/>
      <c r="Z370" s="7">
        <v>0</v>
      </c>
      <c r="AA370" s="8">
        <f>IFERROR(Z370/Z445, "NA")</f>
        <v>0</v>
      </c>
      <c r="AB370" s="9"/>
      <c r="AC370" s="10">
        <f t="shared" si="95"/>
        <v>0</v>
      </c>
      <c r="AD370" s="8">
        <f>IFERROR(AC370/AC445,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IFERROR(B371/B445, "NA")</f>
        <v>0</v>
      </c>
      <c r="D371" s="9"/>
      <c r="E371" s="7">
        <v>0</v>
      </c>
      <c r="F371" s="8">
        <f>IFERROR(E371/E445, "NA")</f>
        <v>0</v>
      </c>
      <c r="G371" s="9"/>
      <c r="H371" s="10">
        <f t="shared" si="92"/>
        <v>0</v>
      </c>
      <c r="I371" s="8">
        <f>IFERROR(H371/H445, "NA")</f>
        <v>0</v>
      </c>
      <c r="J371" s="9"/>
      <c r="K371" s="7">
        <v>0</v>
      </c>
      <c r="L371" s="8">
        <f>IFERROR(K371/K445, "NA")</f>
        <v>0</v>
      </c>
      <c r="M371" s="9"/>
      <c r="N371" s="10">
        <f t="shared" si="93"/>
        <v>0</v>
      </c>
      <c r="O371" s="8">
        <f>IFERROR(N371/N445, "NA")</f>
        <v>0</v>
      </c>
      <c r="P371" s="9"/>
      <c r="Q371" s="7">
        <v>0</v>
      </c>
      <c r="R371" s="8">
        <f>IFERROR(Q371/Q445, "NA")</f>
        <v>0</v>
      </c>
      <c r="S371" s="9"/>
      <c r="T371" s="7">
        <v>0</v>
      </c>
      <c r="U371" s="8">
        <f>IFERROR(T371/T445, "NA")</f>
        <v>0</v>
      </c>
      <c r="V371" s="9"/>
      <c r="W371" s="10">
        <f t="shared" si="94"/>
        <v>0</v>
      </c>
      <c r="X371" s="8">
        <f>IFERROR(W371/W445, "NA")</f>
        <v>0</v>
      </c>
      <c r="Y371" s="9"/>
      <c r="Z371" s="7">
        <v>0</v>
      </c>
      <c r="AA371" s="8">
        <f>IFERROR(Z371/Z445, "NA")</f>
        <v>0</v>
      </c>
      <c r="AB371" s="9"/>
      <c r="AC371" s="10">
        <f t="shared" si="95"/>
        <v>0</v>
      </c>
      <c r="AD371" s="8">
        <f>IFERROR(AC371/AC445,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IFERROR(B372/B445, "NA")</f>
        <v>0</v>
      </c>
      <c r="D372" s="9"/>
      <c r="E372" s="7">
        <v>0</v>
      </c>
      <c r="F372" s="8">
        <f>IFERROR(E372/E445, "NA")</f>
        <v>0</v>
      </c>
      <c r="G372" s="9"/>
      <c r="H372" s="10">
        <f t="shared" si="92"/>
        <v>0</v>
      </c>
      <c r="I372" s="8">
        <f>IFERROR(H372/H445, "NA")</f>
        <v>0</v>
      </c>
      <c r="J372" s="9"/>
      <c r="K372" s="7">
        <v>0</v>
      </c>
      <c r="L372" s="8">
        <f>IFERROR(K372/K445, "NA")</f>
        <v>0</v>
      </c>
      <c r="M372" s="9"/>
      <c r="N372" s="10">
        <f t="shared" si="93"/>
        <v>0</v>
      </c>
      <c r="O372" s="8">
        <f>IFERROR(N372/N445, "NA")</f>
        <v>0</v>
      </c>
      <c r="P372" s="9"/>
      <c r="Q372" s="7">
        <v>0</v>
      </c>
      <c r="R372" s="8">
        <f>IFERROR(Q372/Q445, "NA")</f>
        <v>0</v>
      </c>
      <c r="S372" s="9"/>
      <c r="T372" s="7">
        <v>0</v>
      </c>
      <c r="U372" s="8">
        <f>IFERROR(T372/T445, "NA")</f>
        <v>0</v>
      </c>
      <c r="V372" s="9"/>
      <c r="W372" s="10">
        <f t="shared" si="94"/>
        <v>0</v>
      </c>
      <c r="X372" s="8">
        <f>IFERROR(W372/W445, "NA")</f>
        <v>0</v>
      </c>
      <c r="Y372" s="9"/>
      <c r="Z372" s="7">
        <v>0</v>
      </c>
      <c r="AA372" s="8">
        <f>IFERROR(Z372/Z445, "NA")</f>
        <v>0</v>
      </c>
      <c r="AB372" s="9"/>
      <c r="AC372" s="10">
        <f t="shared" si="95"/>
        <v>0</v>
      </c>
      <c r="AD372" s="8">
        <f>IFERROR(AC372/AC445,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IFERROR(B373/B445, "NA")</f>
        <v>0</v>
      </c>
      <c r="D373" s="9"/>
      <c r="E373" s="7">
        <v>0</v>
      </c>
      <c r="F373" s="8">
        <f>IFERROR(E373/E445, "NA")</f>
        <v>0</v>
      </c>
      <c r="G373" s="9"/>
      <c r="H373" s="10">
        <f t="shared" si="92"/>
        <v>0</v>
      </c>
      <c r="I373" s="8">
        <f>IFERROR(H373/H445, "NA")</f>
        <v>0</v>
      </c>
      <c r="J373" s="9"/>
      <c r="K373" s="7">
        <v>0</v>
      </c>
      <c r="L373" s="8">
        <f>IFERROR(K373/K445, "NA")</f>
        <v>0</v>
      </c>
      <c r="M373" s="9"/>
      <c r="N373" s="10">
        <f t="shared" si="93"/>
        <v>0</v>
      </c>
      <c r="O373" s="8">
        <f>IFERROR(N373/N445, "NA")</f>
        <v>0</v>
      </c>
      <c r="P373" s="9"/>
      <c r="Q373" s="7">
        <v>0</v>
      </c>
      <c r="R373" s="8">
        <f>IFERROR(Q373/Q445, "NA")</f>
        <v>0</v>
      </c>
      <c r="S373" s="9"/>
      <c r="T373" s="7">
        <v>0</v>
      </c>
      <c r="U373" s="8">
        <f>IFERROR(T373/T445, "NA")</f>
        <v>0</v>
      </c>
      <c r="V373" s="9"/>
      <c r="W373" s="10">
        <f t="shared" si="94"/>
        <v>0</v>
      </c>
      <c r="X373" s="8">
        <f>IFERROR(W373/W445, "NA")</f>
        <v>0</v>
      </c>
      <c r="Y373" s="9"/>
      <c r="Z373" s="7">
        <v>0</v>
      </c>
      <c r="AA373" s="8">
        <f>IFERROR(Z373/Z445, "NA")</f>
        <v>0</v>
      </c>
      <c r="AB373" s="9"/>
      <c r="AC373" s="10">
        <f t="shared" si="95"/>
        <v>0</v>
      </c>
      <c r="AD373" s="8">
        <f>IFERROR(AC373/AC445,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IFERROR(B374/B445, "NA")</f>
        <v>0</v>
      </c>
      <c r="D374" s="9"/>
      <c r="E374" s="7">
        <v>0</v>
      </c>
      <c r="F374" s="8">
        <f>IFERROR(E374/E445, "NA")</f>
        <v>0</v>
      </c>
      <c r="G374" s="9"/>
      <c r="H374" s="10">
        <f t="shared" si="92"/>
        <v>0</v>
      </c>
      <c r="I374" s="8">
        <f>IFERROR(H374/H445, "NA")</f>
        <v>0</v>
      </c>
      <c r="J374" s="9"/>
      <c r="K374" s="7">
        <v>0</v>
      </c>
      <c r="L374" s="8">
        <f>IFERROR(K374/K445, "NA")</f>
        <v>0</v>
      </c>
      <c r="M374" s="9"/>
      <c r="N374" s="10">
        <f t="shared" si="93"/>
        <v>0</v>
      </c>
      <c r="O374" s="8">
        <f>IFERROR(N374/N445, "NA")</f>
        <v>0</v>
      </c>
      <c r="P374" s="9"/>
      <c r="Q374" s="7">
        <v>0</v>
      </c>
      <c r="R374" s="8">
        <f>IFERROR(Q374/Q445, "NA")</f>
        <v>0</v>
      </c>
      <c r="S374" s="9"/>
      <c r="T374" s="7">
        <v>0</v>
      </c>
      <c r="U374" s="8">
        <f>IFERROR(T374/T445, "NA")</f>
        <v>0</v>
      </c>
      <c r="V374" s="9"/>
      <c r="W374" s="10">
        <f t="shared" si="94"/>
        <v>0</v>
      </c>
      <c r="X374" s="8">
        <f>IFERROR(W374/W445, "NA")</f>
        <v>0</v>
      </c>
      <c r="Y374" s="9"/>
      <c r="Z374" s="7">
        <v>0</v>
      </c>
      <c r="AA374" s="8">
        <f>IFERROR(Z374/Z445, "NA")</f>
        <v>0</v>
      </c>
      <c r="AB374" s="9"/>
      <c r="AC374" s="10">
        <f t="shared" si="95"/>
        <v>0</v>
      </c>
      <c r="AD374" s="8">
        <f>IFERROR(AC374/AC445,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IFERROR(B375/B445, "NA")</f>
        <v>0</v>
      </c>
      <c r="D375" s="9"/>
      <c r="E375" s="7">
        <v>0</v>
      </c>
      <c r="F375" s="8">
        <f>IFERROR(E375/E445, "NA")</f>
        <v>0</v>
      </c>
      <c r="G375" s="9"/>
      <c r="H375" s="10">
        <f t="shared" si="92"/>
        <v>0</v>
      </c>
      <c r="I375" s="8">
        <f>IFERROR(H375/H445, "NA")</f>
        <v>0</v>
      </c>
      <c r="J375" s="9"/>
      <c r="K375" s="7">
        <v>0</v>
      </c>
      <c r="L375" s="8">
        <f>IFERROR(K375/K445, "NA")</f>
        <v>0</v>
      </c>
      <c r="M375" s="9"/>
      <c r="N375" s="10">
        <f t="shared" si="93"/>
        <v>0</v>
      </c>
      <c r="O375" s="8">
        <f>IFERROR(N375/N445, "NA")</f>
        <v>0</v>
      </c>
      <c r="P375" s="9"/>
      <c r="Q375" s="7">
        <v>0</v>
      </c>
      <c r="R375" s="8">
        <f>IFERROR(Q375/Q445, "NA")</f>
        <v>0</v>
      </c>
      <c r="S375" s="9"/>
      <c r="T375" s="7">
        <v>0</v>
      </c>
      <c r="U375" s="8">
        <f>IFERROR(T375/T445, "NA")</f>
        <v>0</v>
      </c>
      <c r="V375" s="9"/>
      <c r="W375" s="10">
        <f t="shared" si="94"/>
        <v>0</v>
      </c>
      <c r="X375" s="8">
        <f>IFERROR(W375/W445, "NA")</f>
        <v>0</v>
      </c>
      <c r="Y375" s="9"/>
      <c r="Z375" s="7">
        <v>0</v>
      </c>
      <c r="AA375" s="8">
        <f>IFERROR(Z375/Z445, "NA")</f>
        <v>0</v>
      </c>
      <c r="AB375" s="9"/>
      <c r="AC375" s="10">
        <f t="shared" si="95"/>
        <v>0</v>
      </c>
      <c r="AD375" s="8">
        <f>IFERROR(AC375/AC445,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IFERROR(B376/B445, "NA")</f>
        <v>0</v>
      </c>
      <c r="D376" s="9"/>
      <c r="E376" s="7">
        <v>0</v>
      </c>
      <c r="F376" s="8">
        <f>IFERROR(E376/E445, "NA")</f>
        <v>0</v>
      </c>
      <c r="G376" s="9"/>
      <c r="H376" s="10">
        <f t="shared" si="92"/>
        <v>0</v>
      </c>
      <c r="I376" s="8">
        <f>IFERROR(H376/H445, "NA")</f>
        <v>0</v>
      </c>
      <c r="J376" s="9"/>
      <c r="K376" s="7">
        <v>0</v>
      </c>
      <c r="L376" s="8">
        <f>IFERROR(K376/K445, "NA")</f>
        <v>0</v>
      </c>
      <c r="M376" s="9"/>
      <c r="N376" s="10">
        <f t="shared" si="93"/>
        <v>0</v>
      </c>
      <c r="O376" s="8">
        <f>IFERROR(N376/N445, "NA")</f>
        <v>0</v>
      </c>
      <c r="P376" s="9"/>
      <c r="Q376" s="7">
        <v>0</v>
      </c>
      <c r="R376" s="8">
        <f>IFERROR(Q376/Q445, "NA")</f>
        <v>0</v>
      </c>
      <c r="S376" s="9"/>
      <c r="T376" s="7">
        <v>0</v>
      </c>
      <c r="U376" s="8">
        <f>IFERROR(T376/T445, "NA")</f>
        <v>0</v>
      </c>
      <c r="V376" s="9"/>
      <c r="W376" s="10">
        <f t="shared" si="94"/>
        <v>0</v>
      </c>
      <c r="X376" s="8">
        <f>IFERROR(W376/W445, "NA")</f>
        <v>0</v>
      </c>
      <c r="Y376" s="9"/>
      <c r="Z376" s="7">
        <v>0</v>
      </c>
      <c r="AA376" s="8">
        <f>IFERROR(Z376/Z445, "NA")</f>
        <v>0</v>
      </c>
      <c r="AB376" s="9"/>
      <c r="AC376" s="10">
        <f t="shared" si="95"/>
        <v>0</v>
      </c>
      <c r="AD376" s="8">
        <f>IFERROR(AC376/AC445,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IFERROR(B377/B445, "NA")</f>
        <v>0</v>
      </c>
      <c r="D377" s="9"/>
      <c r="E377" s="7">
        <v>0</v>
      </c>
      <c r="F377" s="8">
        <f>IFERROR(E377/E445, "NA")</f>
        <v>0</v>
      </c>
      <c r="G377" s="9"/>
      <c r="H377" s="10">
        <f t="shared" si="92"/>
        <v>0</v>
      </c>
      <c r="I377" s="8">
        <f>IFERROR(H377/H445, "NA")</f>
        <v>0</v>
      </c>
      <c r="J377" s="9"/>
      <c r="K377" s="7">
        <v>0</v>
      </c>
      <c r="L377" s="8">
        <f>IFERROR(K377/K445, "NA")</f>
        <v>0</v>
      </c>
      <c r="M377" s="9"/>
      <c r="N377" s="10">
        <f t="shared" si="93"/>
        <v>0</v>
      </c>
      <c r="O377" s="8">
        <f>IFERROR(N377/N445, "NA")</f>
        <v>0</v>
      </c>
      <c r="P377" s="9"/>
      <c r="Q377" s="7">
        <v>0</v>
      </c>
      <c r="R377" s="8">
        <f>IFERROR(Q377/Q445, "NA")</f>
        <v>0</v>
      </c>
      <c r="S377" s="9"/>
      <c r="T377" s="7">
        <v>0</v>
      </c>
      <c r="U377" s="8">
        <f>IFERROR(T377/T445, "NA")</f>
        <v>0</v>
      </c>
      <c r="V377" s="9"/>
      <c r="W377" s="10">
        <f t="shared" si="94"/>
        <v>0</v>
      </c>
      <c r="X377" s="8">
        <f>IFERROR(W377/W445, "NA")</f>
        <v>0</v>
      </c>
      <c r="Y377" s="9"/>
      <c r="Z377" s="7">
        <v>0</v>
      </c>
      <c r="AA377" s="8">
        <f>IFERROR(Z377/Z445, "NA")</f>
        <v>0</v>
      </c>
      <c r="AB377" s="9"/>
      <c r="AC377" s="10">
        <f t="shared" si="95"/>
        <v>0</v>
      </c>
      <c r="AD377" s="8">
        <f>IFERROR(AC377/AC445,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IFERROR(B378/B445, "NA")</f>
        <v>0</v>
      </c>
      <c r="D378" s="9"/>
      <c r="E378" s="7">
        <v>0</v>
      </c>
      <c r="F378" s="8">
        <f>IFERROR(E378/E445, "NA")</f>
        <v>0</v>
      </c>
      <c r="G378" s="9"/>
      <c r="H378" s="10">
        <f t="shared" si="92"/>
        <v>0</v>
      </c>
      <c r="I378" s="8">
        <f>IFERROR(H378/H445, "NA")</f>
        <v>0</v>
      </c>
      <c r="J378" s="9"/>
      <c r="K378" s="7">
        <v>0</v>
      </c>
      <c r="L378" s="8">
        <f>IFERROR(K378/K445, "NA")</f>
        <v>0</v>
      </c>
      <c r="M378" s="9"/>
      <c r="N378" s="10">
        <f t="shared" si="93"/>
        <v>0</v>
      </c>
      <c r="O378" s="8">
        <f>IFERROR(N378/N445, "NA")</f>
        <v>0</v>
      </c>
      <c r="P378" s="9"/>
      <c r="Q378" s="7">
        <v>0</v>
      </c>
      <c r="R378" s="8">
        <f>IFERROR(Q378/Q445, "NA")</f>
        <v>0</v>
      </c>
      <c r="S378" s="9"/>
      <c r="T378" s="7">
        <v>0</v>
      </c>
      <c r="U378" s="8">
        <f>IFERROR(T378/T445, "NA")</f>
        <v>0</v>
      </c>
      <c r="V378" s="9"/>
      <c r="W378" s="10">
        <f t="shared" si="94"/>
        <v>0</v>
      </c>
      <c r="X378" s="8">
        <f>IFERROR(W378/W445, "NA")</f>
        <v>0</v>
      </c>
      <c r="Y378" s="9"/>
      <c r="Z378" s="7">
        <v>0</v>
      </c>
      <c r="AA378" s="8">
        <f>IFERROR(Z378/Z445, "NA")</f>
        <v>0</v>
      </c>
      <c r="AB378" s="9"/>
      <c r="AC378" s="10">
        <f t="shared" si="95"/>
        <v>0</v>
      </c>
      <c r="AD378" s="8">
        <f>IFERROR(AC378/AC445,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IFERROR(B379/B445, "NA")</f>
        <v>0</v>
      </c>
      <c r="D379" s="9"/>
      <c r="E379" s="7">
        <v>0</v>
      </c>
      <c r="F379" s="8">
        <f>IFERROR(E379/E445, "NA")</f>
        <v>0</v>
      </c>
      <c r="G379" s="9"/>
      <c r="H379" s="10">
        <f t="shared" si="92"/>
        <v>0</v>
      </c>
      <c r="I379" s="8">
        <f>IFERROR(H379/H445, "NA")</f>
        <v>0</v>
      </c>
      <c r="J379" s="9"/>
      <c r="K379" s="7">
        <v>0</v>
      </c>
      <c r="L379" s="8">
        <f>IFERROR(K379/K445, "NA")</f>
        <v>0</v>
      </c>
      <c r="M379" s="9"/>
      <c r="N379" s="10">
        <f t="shared" si="93"/>
        <v>0</v>
      </c>
      <c r="O379" s="8">
        <f>IFERROR(N379/N445, "NA")</f>
        <v>0</v>
      </c>
      <c r="P379" s="9"/>
      <c r="Q379" s="7">
        <v>0</v>
      </c>
      <c r="R379" s="8">
        <f>IFERROR(Q379/Q445, "NA")</f>
        <v>0</v>
      </c>
      <c r="S379" s="9"/>
      <c r="T379" s="7">
        <v>0</v>
      </c>
      <c r="U379" s="8">
        <f>IFERROR(T379/T445, "NA")</f>
        <v>0</v>
      </c>
      <c r="V379" s="9"/>
      <c r="W379" s="10">
        <f t="shared" si="94"/>
        <v>0</v>
      </c>
      <c r="X379" s="8">
        <f>IFERROR(W379/W445, "NA")</f>
        <v>0</v>
      </c>
      <c r="Y379" s="9"/>
      <c r="Z379" s="7">
        <v>0</v>
      </c>
      <c r="AA379" s="8">
        <f>IFERROR(Z379/Z445, "NA")</f>
        <v>0</v>
      </c>
      <c r="AB379" s="9"/>
      <c r="AC379" s="10">
        <f t="shared" si="95"/>
        <v>0</v>
      </c>
      <c r="AD379" s="8">
        <f>IFERROR(AC379/AC445,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IFERROR(B380/B445, "NA")</f>
        <v>0</v>
      </c>
      <c r="D380" s="9"/>
      <c r="E380" s="7">
        <v>0</v>
      </c>
      <c r="F380" s="8">
        <f>IFERROR(E380/E445, "NA")</f>
        <v>0</v>
      </c>
      <c r="G380" s="9"/>
      <c r="H380" s="10">
        <f t="shared" si="92"/>
        <v>0</v>
      </c>
      <c r="I380" s="8">
        <f>IFERROR(H380/H445, "NA")</f>
        <v>0</v>
      </c>
      <c r="J380" s="9"/>
      <c r="K380" s="7">
        <v>0</v>
      </c>
      <c r="L380" s="8">
        <f>IFERROR(K380/K445, "NA")</f>
        <v>0</v>
      </c>
      <c r="M380" s="9"/>
      <c r="N380" s="10">
        <f t="shared" si="93"/>
        <v>0</v>
      </c>
      <c r="O380" s="8">
        <f>IFERROR(N380/N445, "NA")</f>
        <v>0</v>
      </c>
      <c r="P380" s="9"/>
      <c r="Q380" s="7">
        <v>0</v>
      </c>
      <c r="R380" s="8">
        <f>IFERROR(Q380/Q445, "NA")</f>
        <v>0</v>
      </c>
      <c r="S380" s="9"/>
      <c r="T380" s="7">
        <v>0</v>
      </c>
      <c r="U380" s="8">
        <f>IFERROR(T380/T445, "NA")</f>
        <v>0</v>
      </c>
      <c r="V380" s="9"/>
      <c r="W380" s="10">
        <f t="shared" si="94"/>
        <v>0</v>
      </c>
      <c r="X380" s="8">
        <f>IFERROR(W380/W445, "NA")</f>
        <v>0</v>
      </c>
      <c r="Y380" s="9"/>
      <c r="Z380" s="7">
        <v>0</v>
      </c>
      <c r="AA380" s="8">
        <f>IFERROR(Z380/Z445, "NA")</f>
        <v>0</v>
      </c>
      <c r="AB380" s="9"/>
      <c r="AC380" s="10">
        <f t="shared" si="95"/>
        <v>0</v>
      </c>
      <c r="AD380" s="8">
        <f>IFERROR(AC380/AC445,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IFERROR(B381/B445, "NA")</f>
        <v>0</v>
      </c>
      <c r="D381" s="9"/>
      <c r="E381" s="7">
        <v>0</v>
      </c>
      <c r="F381" s="8">
        <f>IFERROR(E381/E445, "NA")</f>
        <v>0</v>
      </c>
      <c r="G381" s="9"/>
      <c r="H381" s="10">
        <f t="shared" si="92"/>
        <v>0</v>
      </c>
      <c r="I381" s="8">
        <f>IFERROR(H381/H445, "NA")</f>
        <v>0</v>
      </c>
      <c r="J381" s="9"/>
      <c r="K381" s="7">
        <v>0</v>
      </c>
      <c r="L381" s="8">
        <f>IFERROR(K381/K445, "NA")</f>
        <v>0</v>
      </c>
      <c r="M381" s="9"/>
      <c r="N381" s="10">
        <f t="shared" si="93"/>
        <v>0</v>
      </c>
      <c r="O381" s="8">
        <f>IFERROR(N381/N445, "NA")</f>
        <v>0</v>
      </c>
      <c r="P381" s="9"/>
      <c r="Q381" s="7">
        <v>0</v>
      </c>
      <c r="R381" s="8">
        <f>IFERROR(Q381/Q445, "NA")</f>
        <v>0</v>
      </c>
      <c r="S381" s="9"/>
      <c r="T381" s="7">
        <v>0</v>
      </c>
      <c r="U381" s="8">
        <f>IFERROR(T381/T445, "NA")</f>
        <v>0</v>
      </c>
      <c r="V381" s="9"/>
      <c r="W381" s="10">
        <f t="shared" si="94"/>
        <v>0</v>
      </c>
      <c r="X381" s="8">
        <f>IFERROR(W381/W445, "NA")</f>
        <v>0</v>
      </c>
      <c r="Y381" s="9"/>
      <c r="Z381" s="7">
        <v>0</v>
      </c>
      <c r="AA381" s="8">
        <f>IFERROR(Z381/Z445, "NA")</f>
        <v>0</v>
      </c>
      <c r="AB381" s="9"/>
      <c r="AC381" s="10">
        <f t="shared" si="95"/>
        <v>0</v>
      </c>
      <c r="AD381" s="8">
        <f>IFERROR(AC381/AC445,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IFERROR(B382/B445, "NA")</f>
        <v>0</v>
      </c>
      <c r="D382" s="9"/>
      <c r="E382" s="7">
        <v>0</v>
      </c>
      <c r="F382" s="8">
        <f>IFERROR(E382/E445, "NA")</f>
        <v>0</v>
      </c>
      <c r="G382" s="9"/>
      <c r="H382" s="10">
        <f t="shared" si="92"/>
        <v>0</v>
      </c>
      <c r="I382" s="8">
        <f>IFERROR(H382/H445, "NA")</f>
        <v>0</v>
      </c>
      <c r="J382" s="9"/>
      <c r="K382" s="7">
        <v>0</v>
      </c>
      <c r="L382" s="8">
        <f>IFERROR(K382/K445, "NA")</f>
        <v>0</v>
      </c>
      <c r="M382" s="9"/>
      <c r="N382" s="10">
        <f t="shared" si="93"/>
        <v>0</v>
      </c>
      <c r="O382" s="8">
        <f>IFERROR(N382/N445, "NA")</f>
        <v>0</v>
      </c>
      <c r="P382" s="9"/>
      <c r="Q382" s="7">
        <v>0</v>
      </c>
      <c r="R382" s="8">
        <f>IFERROR(Q382/Q445, "NA")</f>
        <v>0</v>
      </c>
      <c r="S382" s="9"/>
      <c r="T382" s="7">
        <v>0</v>
      </c>
      <c r="U382" s="8">
        <f>IFERROR(T382/T445, "NA")</f>
        <v>0</v>
      </c>
      <c r="V382" s="9"/>
      <c r="W382" s="10">
        <f t="shared" si="94"/>
        <v>0</v>
      </c>
      <c r="X382" s="8">
        <f>IFERROR(W382/W445, "NA")</f>
        <v>0</v>
      </c>
      <c r="Y382" s="9"/>
      <c r="Z382" s="7">
        <v>0</v>
      </c>
      <c r="AA382" s="8">
        <f>IFERROR(Z382/Z445, "NA")</f>
        <v>0</v>
      </c>
      <c r="AB382" s="9"/>
      <c r="AC382" s="10">
        <f t="shared" si="95"/>
        <v>0</v>
      </c>
      <c r="AD382" s="8">
        <f>IFERROR(AC382/AC445,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IFERROR(B383/B445, "NA")</f>
        <v>0</v>
      </c>
      <c r="D383" s="9"/>
      <c r="E383" s="7">
        <v>0</v>
      </c>
      <c r="F383" s="8">
        <f>IFERROR(E383/E445, "NA")</f>
        <v>0</v>
      </c>
      <c r="G383" s="9"/>
      <c r="H383" s="10">
        <f t="shared" si="92"/>
        <v>0</v>
      </c>
      <c r="I383" s="8">
        <f>IFERROR(H383/H445, "NA")</f>
        <v>0</v>
      </c>
      <c r="J383" s="9"/>
      <c r="K383" s="7">
        <v>0</v>
      </c>
      <c r="L383" s="8">
        <f>IFERROR(K383/K445, "NA")</f>
        <v>0</v>
      </c>
      <c r="M383" s="9"/>
      <c r="N383" s="10">
        <f t="shared" si="93"/>
        <v>0</v>
      </c>
      <c r="O383" s="8">
        <f>IFERROR(N383/N445, "NA")</f>
        <v>0</v>
      </c>
      <c r="P383" s="9"/>
      <c r="Q383" s="7">
        <v>0</v>
      </c>
      <c r="R383" s="8">
        <f>IFERROR(Q383/Q445, "NA")</f>
        <v>0</v>
      </c>
      <c r="S383" s="9"/>
      <c r="T383" s="7">
        <v>0</v>
      </c>
      <c r="U383" s="8">
        <f>IFERROR(T383/T445, "NA")</f>
        <v>0</v>
      </c>
      <c r="V383" s="9"/>
      <c r="W383" s="10">
        <f t="shared" si="94"/>
        <v>0</v>
      </c>
      <c r="X383" s="8">
        <f>IFERROR(W383/W445, "NA")</f>
        <v>0</v>
      </c>
      <c r="Y383" s="9"/>
      <c r="Z383" s="7">
        <v>0</v>
      </c>
      <c r="AA383" s="8">
        <f>IFERROR(Z383/Z445, "NA")</f>
        <v>0</v>
      </c>
      <c r="AB383" s="9"/>
      <c r="AC383" s="10">
        <f t="shared" si="95"/>
        <v>0</v>
      </c>
      <c r="AD383" s="8">
        <f>IFERROR(AC383/AC445, "NA")</f>
        <v>0</v>
      </c>
    </row>
    <row r="384" spans="1:30" ht="16.5" hidden="1" customHeight="1" x14ac:dyDescent="0.45">
      <c r="A384" s="20" t="s">
        <v>352</v>
      </c>
      <c r="B384" s="7">
        <v>0</v>
      </c>
      <c r="C384" s="8">
        <f>IFERROR(B384/B445, "NA")</f>
        <v>0</v>
      </c>
      <c r="D384" s="9"/>
      <c r="E384" s="7">
        <v>0</v>
      </c>
      <c r="F384" s="8">
        <f>IFERROR(E384/E445, "NA")</f>
        <v>0</v>
      </c>
      <c r="G384" s="9"/>
      <c r="H384" s="10">
        <f t="shared" si="92"/>
        <v>0</v>
      </c>
      <c r="I384" s="8">
        <f>IFERROR(H384/H445, "NA")</f>
        <v>0</v>
      </c>
      <c r="J384" s="9"/>
      <c r="K384" s="7">
        <v>0</v>
      </c>
      <c r="L384" s="8">
        <f>IFERROR(K384/K445, "NA")</f>
        <v>0</v>
      </c>
      <c r="M384" s="9"/>
      <c r="N384" s="10">
        <f t="shared" si="93"/>
        <v>0</v>
      </c>
      <c r="O384" s="8">
        <f>IFERROR(N384/N445, "NA")</f>
        <v>0</v>
      </c>
      <c r="P384" s="9"/>
      <c r="Q384" s="7">
        <v>0</v>
      </c>
      <c r="R384" s="8">
        <f>IFERROR(Q384/Q445, "NA")</f>
        <v>0</v>
      </c>
      <c r="S384" s="9"/>
      <c r="T384" s="7">
        <v>0</v>
      </c>
      <c r="U384" s="8">
        <f>IFERROR(T384/T445, "NA")</f>
        <v>0</v>
      </c>
      <c r="V384" s="9"/>
      <c r="W384" s="10">
        <f t="shared" si="94"/>
        <v>0</v>
      </c>
      <c r="X384" s="8">
        <f>IFERROR(W384/W445, "NA")</f>
        <v>0</v>
      </c>
      <c r="Y384" s="9"/>
      <c r="Z384" s="7">
        <v>0</v>
      </c>
      <c r="AA384" s="8">
        <f>IFERROR(Z384/Z445, "NA")</f>
        <v>0</v>
      </c>
      <c r="AB384" s="9"/>
      <c r="AC384" s="10">
        <f t="shared" si="95"/>
        <v>0</v>
      </c>
      <c r="AD384" s="8">
        <f>IFERROR(AC384/AC445, "NA")</f>
        <v>0</v>
      </c>
    </row>
    <row r="385" spans="1:30" ht="16.5" customHeight="1" x14ac:dyDescent="0.45">
      <c r="A385" s="5" t="s">
        <v>353</v>
      </c>
      <c r="B385" s="2"/>
      <c r="C385" s="3"/>
      <c r="D385" s="4"/>
      <c r="E385" s="2"/>
      <c r="F385" s="3"/>
      <c r="G385" s="4"/>
      <c r="H385" s="2"/>
      <c r="I385" s="3"/>
      <c r="J385" s="4"/>
      <c r="K385" s="2"/>
      <c r="L385" s="3"/>
      <c r="M385" s="4"/>
      <c r="N385" s="2"/>
      <c r="O385" s="3"/>
      <c r="P385" s="4"/>
      <c r="Q385" s="2"/>
      <c r="R385" s="3"/>
      <c r="S385" s="4"/>
      <c r="T385" s="2"/>
      <c r="U385" s="3"/>
      <c r="V385" s="4"/>
      <c r="W385" s="2"/>
      <c r="X385" s="3"/>
      <c r="Y385" s="4"/>
      <c r="Z385" s="2"/>
      <c r="AA385" s="3"/>
      <c r="AB385" s="4"/>
      <c r="AC385" s="2"/>
      <c r="AD385" s="3"/>
    </row>
    <row r="386" spans="1:30" ht="16.5" hidden="1" customHeight="1" x14ac:dyDescent="0.45">
      <c r="A386" s="6" t="s">
        <v>353</v>
      </c>
      <c r="B386" s="7">
        <v>0</v>
      </c>
      <c r="C386" s="8">
        <f>IFERROR(B386/B445, "NA")</f>
        <v>0</v>
      </c>
      <c r="D386" s="9"/>
      <c r="E386" s="7">
        <v>0</v>
      </c>
      <c r="F386" s="8">
        <f>IFERROR(E386/E445, "NA")</f>
        <v>0</v>
      </c>
      <c r="G386" s="9"/>
      <c r="H386" s="10">
        <f>IFERROR(-(B386-E386), "NA")</f>
        <v>0</v>
      </c>
      <c r="I386" s="8">
        <f>IFERROR(H386/H445, "NA")</f>
        <v>0</v>
      </c>
      <c r="J386" s="9"/>
      <c r="K386" s="7">
        <v>0</v>
      </c>
      <c r="L386" s="8">
        <f>IFERROR(K386/K445, "NA")</f>
        <v>0</v>
      </c>
      <c r="M386" s="9"/>
      <c r="N386" s="10">
        <f>IFERROR(-(B386-K386), "NA")</f>
        <v>0</v>
      </c>
      <c r="O386" s="8">
        <f>IFERROR(N386/N445, "NA")</f>
        <v>0</v>
      </c>
      <c r="P386" s="9"/>
      <c r="Q386" s="7">
        <v>0</v>
      </c>
      <c r="R386" s="8">
        <f>IFERROR(Q386/Q445, "NA")</f>
        <v>0</v>
      </c>
      <c r="S386" s="9"/>
      <c r="T386" s="7">
        <v>0</v>
      </c>
      <c r="U386" s="8">
        <f>IFERROR(T386/T445, "NA")</f>
        <v>0</v>
      </c>
      <c r="V386" s="9"/>
      <c r="W386" s="10">
        <f>IFERROR(-(Q386-T386), "NA")</f>
        <v>0</v>
      </c>
      <c r="X386" s="8">
        <f>IFERROR(W386/W445, "NA")</f>
        <v>0</v>
      </c>
      <c r="Y386" s="9"/>
      <c r="Z386" s="7">
        <v>0</v>
      </c>
      <c r="AA386" s="8">
        <f>IFERROR(Z386/Z445, "NA")</f>
        <v>0</v>
      </c>
      <c r="AB386" s="9"/>
      <c r="AC386" s="10">
        <f>IFERROR(-(Q386-Z386), "NA")</f>
        <v>0</v>
      </c>
      <c r="AD386" s="8">
        <f>IFERROR(AC386/AC445, "NA")</f>
        <v>0</v>
      </c>
    </row>
    <row r="387" spans="1:30" ht="16.5" hidden="1" customHeight="1" x14ac:dyDescent="0.45">
      <c r="A387" s="6" t="s">
        <v>354</v>
      </c>
      <c r="B387" s="7">
        <v>0</v>
      </c>
      <c r="C387" s="8">
        <f>IFERROR(B387/B445, "NA")</f>
        <v>0</v>
      </c>
      <c r="D387" s="9"/>
      <c r="E387" s="7">
        <v>0</v>
      </c>
      <c r="F387" s="8">
        <f>IFERROR(E387/E445, "NA")</f>
        <v>0</v>
      </c>
      <c r="G387" s="9"/>
      <c r="H387" s="10">
        <f>IFERROR(-(B387-E387), "NA")</f>
        <v>0</v>
      </c>
      <c r="I387" s="8">
        <f>IFERROR(H387/H445, "NA")</f>
        <v>0</v>
      </c>
      <c r="J387" s="9"/>
      <c r="K387" s="7">
        <v>0</v>
      </c>
      <c r="L387" s="8">
        <f>IFERROR(K387/K445, "NA")</f>
        <v>0</v>
      </c>
      <c r="M387" s="9"/>
      <c r="N387" s="10">
        <f>IFERROR(-(B387-K387), "NA")</f>
        <v>0</v>
      </c>
      <c r="O387" s="8">
        <f>IFERROR(N387/N445, "NA")</f>
        <v>0</v>
      </c>
      <c r="P387" s="9"/>
      <c r="Q387" s="7">
        <v>0</v>
      </c>
      <c r="R387" s="8">
        <f>IFERROR(Q387/Q445, "NA")</f>
        <v>0</v>
      </c>
      <c r="S387" s="9"/>
      <c r="T387" s="7">
        <v>0</v>
      </c>
      <c r="U387" s="8">
        <f>IFERROR(T387/T445, "NA")</f>
        <v>0</v>
      </c>
      <c r="V387" s="9"/>
      <c r="W387" s="10">
        <f>IFERROR(-(Q387-T387), "NA")</f>
        <v>0</v>
      </c>
      <c r="X387" s="8">
        <f>IFERROR(W387/W445, "NA")</f>
        <v>0</v>
      </c>
      <c r="Y387" s="9"/>
      <c r="Z387" s="7">
        <v>0</v>
      </c>
      <c r="AA387" s="8">
        <f>IFERROR(Z387/Z445, "NA")</f>
        <v>0</v>
      </c>
      <c r="AB387" s="9"/>
      <c r="AC387" s="10">
        <f>IFERROR(-(Q387-Z387), "NA")</f>
        <v>0</v>
      </c>
      <c r="AD387" s="8">
        <f>IFERROR(AC387/AC445, "NA")</f>
        <v>0</v>
      </c>
    </row>
    <row r="388" spans="1:30" ht="16.5" customHeight="1" x14ac:dyDescent="0.45">
      <c r="A388" s="11" t="s">
        <v>355</v>
      </c>
      <c r="B388" s="2"/>
      <c r="C388" s="3"/>
      <c r="D388" s="4"/>
      <c r="E388" s="2"/>
      <c r="F388" s="3"/>
      <c r="G388" s="4"/>
      <c r="H388" s="2"/>
      <c r="I388" s="3"/>
      <c r="J388" s="4"/>
      <c r="K388" s="2"/>
      <c r="L388" s="3"/>
      <c r="M388" s="4"/>
      <c r="N388" s="2"/>
      <c r="O388" s="3"/>
      <c r="P388" s="4"/>
      <c r="Q388" s="2"/>
      <c r="R388" s="3"/>
      <c r="S388" s="4"/>
      <c r="T388" s="2"/>
      <c r="U388" s="3"/>
      <c r="V388" s="4"/>
      <c r="W388" s="2"/>
      <c r="X388" s="3"/>
      <c r="Y388" s="4"/>
      <c r="Z388" s="2"/>
      <c r="AA388" s="3"/>
      <c r="AB388" s="4"/>
      <c r="AC388" s="2"/>
      <c r="AD388" s="3"/>
    </row>
    <row r="389" spans="1:30" ht="16.5" hidden="1" customHeight="1" x14ac:dyDescent="0.45">
      <c r="A389" s="12" t="s">
        <v>355</v>
      </c>
      <c r="B389" s="7">
        <v>0</v>
      </c>
      <c r="C389" s="8">
        <f>IFERROR(B389/B445, "NA")</f>
        <v>0</v>
      </c>
      <c r="D389" s="9"/>
      <c r="E389" s="7">
        <v>0</v>
      </c>
      <c r="F389" s="8">
        <f>IFERROR(E389/E445, "NA")</f>
        <v>0</v>
      </c>
      <c r="G389" s="9"/>
      <c r="H389" s="10">
        <f t="shared" ref="H389:H404" si="96">IFERROR(-(B389-E389), "NA")</f>
        <v>0</v>
      </c>
      <c r="I389" s="8">
        <f>IFERROR(H389/H445, "NA")</f>
        <v>0</v>
      </c>
      <c r="J389" s="9"/>
      <c r="K389" s="7">
        <v>0</v>
      </c>
      <c r="L389" s="8">
        <f>IFERROR(K389/K445, "NA")</f>
        <v>0</v>
      </c>
      <c r="M389" s="9"/>
      <c r="N389" s="10">
        <f t="shared" ref="N389:N404" si="97">IFERROR(-(B389-K389), "NA")</f>
        <v>0</v>
      </c>
      <c r="O389" s="8">
        <f>IFERROR(N389/N445, "NA")</f>
        <v>0</v>
      </c>
      <c r="P389" s="9"/>
      <c r="Q389" s="7">
        <v>0</v>
      </c>
      <c r="R389" s="8">
        <f>IFERROR(Q389/Q445, "NA")</f>
        <v>0</v>
      </c>
      <c r="S389" s="9"/>
      <c r="T389" s="7">
        <v>0</v>
      </c>
      <c r="U389" s="8">
        <f>IFERROR(T389/T445, "NA")</f>
        <v>0</v>
      </c>
      <c r="V389" s="9"/>
      <c r="W389" s="10">
        <f t="shared" ref="W389:W404" si="98">IFERROR(-(Q389-T389), "NA")</f>
        <v>0</v>
      </c>
      <c r="X389" s="8">
        <f>IFERROR(W389/W445, "NA")</f>
        <v>0</v>
      </c>
      <c r="Y389" s="9"/>
      <c r="Z389" s="7">
        <v>0</v>
      </c>
      <c r="AA389" s="8">
        <f>IFERROR(Z389/Z445, "NA")</f>
        <v>0</v>
      </c>
      <c r="AB389" s="9"/>
      <c r="AC389" s="10">
        <f t="shared" ref="AC389:AC404" si="99">IFERROR(-(Q389-Z389), "NA")</f>
        <v>0</v>
      </c>
      <c r="AD389" s="8">
        <f>IFERROR(AC389/AC445,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IFERROR(B390/B445, "NA")</f>
        <v>0</v>
      </c>
      <c r="D390" s="9"/>
      <c r="E390" s="7">
        <v>0</v>
      </c>
      <c r="F390" s="8">
        <f>IFERROR(E390/E445, "NA")</f>
        <v>0</v>
      </c>
      <c r="G390" s="9"/>
      <c r="H390" s="10">
        <f t="shared" si="96"/>
        <v>0</v>
      </c>
      <c r="I390" s="8">
        <f>IFERROR(H390/H445, "NA")</f>
        <v>0</v>
      </c>
      <c r="J390" s="9"/>
      <c r="K390" s="7">
        <v>0</v>
      </c>
      <c r="L390" s="8">
        <f>IFERROR(K390/K445, "NA")</f>
        <v>0</v>
      </c>
      <c r="M390" s="9"/>
      <c r="N390" s="10">
        <f t="shared" si="97"/>
        <v>0</v>
      </c>
      <c r="O390" s="8">
        <f>IFERROR(N390/N445, "NA")</f>
        <v>0</v>
      </c>
      <c r="P390" s="9"/>
      <c r="Q390" s="7">
        <v>0</v>
      </c>
      <c r="R390" s="8">
        <f>IFERROR(Q390/Q445, "NA")</f>
        <v>0</v>
      </c>
      <c r="S390" s="9"/>
      <c r="T390" s="7">
        <v>0</v>
      </c>
      <c r="U390" s="8">
        <f>IFERROR(T390/T445, "NA")</f>
        <v>0</v>
      </c>
      <c r="V390" s="9"/>
      <c r="W390" s="10">
        <f t="shared" si="98"/>
        <v>0</v>
      </c>
      <c r="X390" s="8">
        <f>IFERROR(W390/W445, "NA")</f>
        <v>0</v>
      </c>
      <c r="Y390" s="9"/>
      <c r="Z390" s="7">
        <v>0</v>
      </c>
      <c r="AA390" s="8">
        <f>IFERROR(Z390/Z445, "NA")</f>
        <v>0</v>
      </c>
      <c r="AB390" s="9"/>
      <c r="AC390" s="10">
        <f t="shared" si="99"/>
        <v>0</v>
      </c>
      <c r="AD390" s="8">
        <f>IFERROR(AC390/AC445,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IFERROR(B391/B445, "NA")</f>
        <v>0</v>
      </c>
      <c r="D391" s="9"/>
      <c r="E391" s="7">
        <v>0</v>
      </c>
      <c r="F391" s="8">
        <f>IFERROR(E391/E445, "NA")</f>
        <v>0</v>
      </c>
      <c r="G391" s="9"/>
      <c r="H391" s="10">
        <f t="shared" si="96"/>
        <v>0</v>
      </c>
      <c r="I391" s="8">
        <f>IFERROR(H391/H445, "NA")</f>
        <v>0</v>
      </c>
      <c r="J391" s="9"/>
      <c r="K391" s="7">
        <v>0</v>
      </c>
      <c r="L391" s="8">
        <f>IFERROR(K391/K445, "NA")</f>
        <v>0</v>
      </c>
      <c r="M391" s="9"/>
      <c r="N391" s="10">
        <f t="shared" si="97"/>
        <v>0</v>
      </c>
      <c r="O391" s="8">
        <f>IFERROR(N391/N445, "NA")</f>
        <v>0</v>
      </c>
      <c r="P391" s="9"/>
      <c r="Q391" s="7">
        <v>0</v>
      </c>
      <c r="R391" s="8">
        <f>IFERROR(Q391/Q445, "NA")</f>
        <v>0</v>
      </c>
      <c r="S391" s="9"/>
      <c r="T391" s="7">
        <v>0</v>
      </c>
      <c r="U391" s="8">
        <f>IFERROR(T391/T445, "NA")</f>
        <v>0</v>
      </c>
      <c r="V391" s="9"/>
      <c r="W391" s="10">
        <f t="shared" si="98"/>
        <v>0</v>
      </c>
      <c r="X391" s="8">
        <f>IFERROR(W391/W445, "NA")</f>
        <v>0</v>
      </c>
      <c r="Y391" s="9"/>
      <c r="Z391" s="7">
        <v>0</v>
      </c>
      <c r="AA391" s="8">
        <f>IFERROR(Z391/Z445, "NA")</f>
        <v>0</v>
      </c>
      <c r="AB391" s="9"/>
      <c r="AC391" s="10">
        <f t="shared" si="99"/>
        <v>0</v>
      </c>
      <c r="AD391" s="8">
        <f>IFERROR(AC391/AC445,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IFERROR(B392/B445, "NA")</f>
        <v>0</v>
      </c>
      <c r="D392" s="9"/>
      <c r="E392" s="7">
        <v>0</v>
      </c>
      <c r="F392" s="8">
        <f>IFERROR(E392/E445, "NA")</f>
        <v>0</v>
      </c>
      <c r="G392" s="9"/>
      <c r="H392" s="10">
        <f t="shared" si="96"/>
        <v>0</v>
      </c>
      <c r="I392" s="8">
        <f>IFERROR(H392/H445, "NA")</f>
        <v>0</v>
      </c>
      <c r="J392" s="9"/>
      <c r="K392" s="7">
        <v>0</v>
      </c>
      <c r="L392" s="8">
        <f>IFERROR(K392/K445, "NA")</f>
        <v>0</v>
      </c>
      <c r="M392" s="9"/>
      <c r="N392" s="10">
        <f t="shared" si="97"/>
        <v>0</v>
      </c>
      <c r="O392" s="8">
        <f>IFERROR(N392/N445, "NA")</f>
        <v>0</v>
      </c>
      <c r="P392" s="9"/>
      <c r="Q392" s="7">
        <v>0</v>
      </c>
      <c r="R392" s="8">
        <f>IFERROR(Q392/Q445, "NA")</f>
        <v>0</v>
      </c>
      <c r="S392" s="9"/>
      <c r="T392" s="7">
        <v>0</v>
      </c>
      <c r="U392" s="8">
        <f>IFERROR(T392/T445, "NA")</f>
        <v>0</v>
      </c>
      <c r="V392" s="9"/>
      <c r="W392" s="10">
        <f t="shared" si="98"/>
        <v>0</v>
      </c>
      <c r="X392" s="8">
        <f>IFERROR(W392/W445, "NA")</f>
        <v>0</v>
      </c>
      <c r="Y392" s="9"/>
      <c r="Z392" s="7">
        <v>0</v>
      </c>
      <c r="AA392" s="8">
        <f>IFERROR(Z392/Z445, "NA")</f>
        <v>0</v>
      </c>
      <c r="AB392" s="9"/>
      <c r="AC392" s="10">
        <f t="shared" si="99"/>
        <v>0</v>
      </c>
      <c r="AD392" s="8">
        <f>IFERROR(AC392/AC445, "NA")</f>
        <v>0</v>
      </c>
    </row>
    <row r="393" spans="1:30" ht="16.5" hidden="1" customHeight="1" x14ac:dyDescent="0.45">
      <c r="A393" s="12" t="s">
        <v>359</v>
      </c>
      <c r="B393" s="7">
        <v>0</v>
      </c>
      <c r="C393" s="8">
        <f>IFERROR(B393/B445, "NA")</f>
        <v>0</v>
      </c>
      <c r="D393" s="9"/>
      <c r="E393" s="7">
        <v>0</v>
      </c>
      <c r="F393" s="8">
        <f>IFERROR(E393/E445, "NA")</f>
        <v>0</v>
      </c>
      <c r="G393" s="9"/>
      <c r="H393" s="10">
        <f t="shared" si="96"/>
        <v>0</v>
      </c>
      <c r="I393" s="8">
        <f>IFERROR(H393/H445, "NA")</f>
        <v>0</v>
      </c>
      <c r="J393" s="9"/>
      <c r="K393" s="7">
        <v>0</v>
      </c>
      <c r="L393" s="8">
        <f>IFERROR(K393/K445, "NA")</f>
        <v>0</v>
      </c>
      <c r="M393" s="9"/>
      <c r="N393" s="10">
        <f t="shared" si="97"/>
        <v>0</v>
      </c>
      <c r="O393" s="8">
        <f>IFERROR(N393/N445, "NA")</f>
        <v>0</v>
      </c>
      <c r="P393" s="9"/>
      <c r="Q393" s="7">
        <v>0</v>
      </c>
      <c r="R393" s="8">
        <f>IFERROR(Q393/Q445, "NA")</f>
        <v>0</v>
      </c>
      <c r="S393" s="9"/>
      <c r="T393" s="7">
        <v>0</v>
      </c>
      <c r="U393" s="8">
        <f>IFERROR(T393/T445, "NA")</f>
        <v>0</v>
      </c>
      <c r="V393" s="9"/>
      <c r="W393" s="10">
        <f t="shared" si="98"/>
        <v>0</v>
      </c>
      <c r="X393" s="8">
        <f>IFERROR(W393/W445, "NA")</f>
        <v>0</v>
      </c>
      <c r="Y393" s="9"/>
      <c r="Z393" s="7">
        <v>0</v>
      </c>
      <c r="AA393" s="8">
        <f>IFERROR(Z393/Z445, "NA")</f>
        <v>0</v>
      </c>
      <c r="AB393" s="9"/>
      <c r="AC393" s="10">
        <f t="shared" si="99"/>
        <v>0</v>
      </c>
      <c r="AD393" s="8">
        <f>IFERROR(AC393/AC445, "NA")</f>
        <v>0</v>
      </c>
    </row>
    <row r="394" spans="1:30" ht="16.5" customHeight="1" x14ac:dyDescent="0.45">
      <c r="A394" s="13" t="s">
        <v>360</v>
      </c>
      <c r="B394" s="14">
        <f>IFERROR(B389+B390+B391+B392+B393, "NA")</f>
        <v>0</v>
      </c>
      <c r="C394" s="15">
        <f>IFERROR(B394/B445, "NA")</f>
        <v>0</v>
      </c>
      <c r="D394" s="2"/>
      <c r="E394" s="14">
        <f>IFERROR(E389+E390+E391+E392+E393, "NA")</f>
        <v>0</v>
      </c>
      <c r="F394" s="15">
        <f>IFERROR(E394/E445, "NA")</f>
        <v>0</v>
      </c>
      <c r="G394" s="2"/>
      <c r="H394" s="14">
        <f t="shared" si="96"/>
        <v>0</v>
      </c>
      <c r="I394" s="15">
        <f>IFERROR(H394/H445, "NA")</f>
        <v>0</v>
      </c>
      <c r="J394" s="2"/>
      <c r="K394" s="14">
        <f>IFERROR(K389+K390+K391+K392+K393, "NA")</f>
        <v>0</v>
      </c>
      <c r="L394" s="15">
        <f>IFERROR(K394/K445, "NA")</f>
        <v>0</v>
      </c>
      <c r="M394" s="2"/>
      <c r="N394" s="14">
        <f t="shared" si="97"/>
        <v>0</v>
      </c>
      <c r="O394" s="15">
        <f>IFERROR(N394/N445, "NA")</f>
        <v>0</v>
      </c>
      <c r="P394" s="2"/>
      <c r="Q394" s="14">
        <f>IFERROR(Q389+Q390+Q391+Q392+Q393, "NA")</f>
        <v>0</v>
      </c>
      <c r="R394" s="15">
        <f>IFERROR(Q394/Q445, "NA")</f>
        <v>0</v>
      </c>
      <c r="S394" s="2"/>
      <c r="T394" s="14">
        <f>IFERROR(T389+T390+T391+T392+T393, "NA")</f>
        <v>0</v>
      </c>
      <c r="U394" s="15">
        <f>IFERROR(T394/T445, "NA")</f>
        <v>0</v>
      </c>
      <c r="V394" s="2"/>
      <c r="W394" s="14">
        <f t="shared" si="98"/>
        <v>0</v>
      </c>
      <c r="X394" s="15">
        <f>IFERROR(W394/W445, "NA")</f>
        <v>0</v>
      </c>
      <c r="Y394" s="2"/>
      <c r="Z394" s="14">
        <f>IFERROR(Z389+Z390+Z391+Z392+Z393, "NA")</f>
        <v>0</v>
      </c>
      <c r="AA394" s="15">
        <f>IFERROR(Z394/Z445, "NA")</f>
        <v>0</v>
      </c>
      <c r="AB394" s="2"/>
      <c r="AC394" s="14">
        <f t="shared" si="99"/>
        <v>0</v>
      </c>
      <c r="AD394" s="15">
        <f>IFERROR(AC394/AC445,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IFERROR(B395/B445, "NA")</f>
        <v>0</v>
      </c>
      <c r="D395" s="9"/>
      <c r="E395" s="7">
        <v>0</v>
      </c>
      <c r="F395" s="8">
        <f>IFERROR(E395/E445, "NA")</f>
        <v>0</v>
      </c>
      <c r="G395" s="9"/>
      <c r="H395" s="10">
        <f t="shared" si="96"/>
        <v>0</v>
      </c>
      <c r="I395" s="8">
        <f>IFERROR(H395/H445, "NA")</f>
        <v>0</v>
      </c>
      <c r="J395" s="9"/>
      <c r="K395" s="7">
        <v>0</v>
      </c>
      <c r="L395" s="8">
        <f>IFERROR(K395/K445, "NA")</f>
        <v>0</v>
      </c>
      <c r="M395" s="9"/>
      <c r="N395" s="10">
        <f t="shared" si="97"/>
        <v>0</v>
      </c>
      <c r="O395" s="8">
        <f>IFERROR(N395/N445, "NA")</f>
        <v>0</v>
      </c>
      <c r="P395" s="9"/>
      <c r="Q395" s="7">
        <v>0</v>
      </c>
      <c r="R395" s="8">
        <f>IFERROR(Q395/Q445, "NA")</f>
        <v>0</v>
      </c>
      <c r="S395" s="9"/>
      <c r="T395" s="7">
        <v>0</v>
      </c>
      <c r="U395" s="8">
        <f>IFERROR(T395/T445, "NA")</f>
        <v>0</v>
      </c>
      <c r="V395" s="9"/>
      <c r="W395" s="10">
        <f t="shared" si="98"/>
        <v>0</v>
      </c>
      <c r="X395" s="8">
        <f>IFERROR(W395/W445, "NA")</f>
        <v>0</v>
      </c>
      <c r="Y395" s="9"/>
      <c r="Z395" s="7">
        <v>0</v>
      </c>
      <c r="AA395" s="8">
        <f>IFERROR(Z395/Z445, "NA")</f>
        <v>0</v>
      </c>
      <c r="AB395" s="9"/>
      <c r="AC395" s="10">
        <f t="shared" si="99"/>
        <v>0</v>
      </c>
      <c r="AD395" s="8">
        <f>IFERROR(AC395/AC445, "NA")</f>
        <v>0</v>
      </c>
    </row>
    <row r="396" spans="1:30" ht="16.5" hidden="1" customHeight="1" x14ac:dyDescent="0.45">
      <c r="A396" s="6" t="s">
        <v>362</v>
      </c>
      <c r="B396" s="7">
        <v>0</v>
      </c>
      <c r="C396" s="8">
        <f>IFERROR(B396/B445, "NA")</f>
        <v>0</v>
      </c>
      <c r="D396" s="9"/>
      <c r="E396" s="7">
        <v>0</v>
      </c>
      <c r="F396" s="8">
        <f>IFERROR(E396/E445, "NA")</f>
        <v>0</v>
      </c>
      <c r="G396" s="9"/>
      <c r="H396" s="10">
        <f t="shared" si="96"/>
        <v>0</v>
      </c>
      <c r="I396" s="8">
        <f>IFERROR(H396/H445, "NA")</f>
        <v>0</v>
      </c>
      <c r="J396" s="9"/>
      <c r="K396" s="7">
        <v>0</v>
      </c>
      <c r="L396" s="8">
        <f>IFERROR(K396/K445, "NA")</f>
        <v>0</v>
      </c>
      <c r="M396" s="9"/>
      <c r="N396" s="10">
        <f t="shared" si="97"/>
        <v>0</v>
      </c>
      <c r="O396" s="8">
        <f>IFERROR(N396/N445, "NA")</f>
        <v>0</v>
      </c>
      <c r="P396" s="9"/>
      <c r="Q396" s="7">
        <v>0</v>
      </c>
      <c r="R396" s="8">
        <f>IFERROR(Q396/Q445, "NA")</f>
        <v>0</v>
      </c>
      <c r="S396" s="9"/>
      <c r="T396" s="7">
        <v>0</v>
      </c>
      <c r="U396" s="8">
        <f>IFERROR(T396/T445, "NA")</f>
        <v>0</v>
      </c>
      <c r="V396" s="9"/>
      <c r="W396" s="10">
        <f t="shared" si="98"/>
        <v>0</v>
      </c>
      <c r="X396" s="8">
        <f>IFERROR(W396/W445, "NA")</f>
        <v>0</v>
      </c>
      <c r="Y396" s="9"/>
      <c r="Z396" s="7">
        <v>0</v>
      </c>
      <c r="AA396" s="8">
        <f>IFERROR(Z396/Z445, "NA")</f>
        <v>0</v>
      </c>
      <c r="AB396" s="9"/>
      <c r="AC396" s="10">
        <f t="shared" si="99"/>
        <v>0</v>
      </c>
      <c r="AD396" s="8">
        <f>IFERROR(AC396/AC445, "NA")</f>
        <v>0</v>
      </c>
    </row>
    <row r="397" spans="1:30" ht="16.5" customHeight="1" x14ac:dyDescent="0.45">
      <c r="A397" s="19" t="s">
        <v>363</v>
      </c>
      <c r="B397" s="14">
        <f>IFERROR(B386+B387+B389+B390+B391+B392+B393+B395+B396, "NA")</f>
        <v>0</v>
      </c>
      <c r="C397" s="15">
        <f>IFERROR(B397/B445, "NA")</f>
        <v>0</v>
      </c>
      <c r="D397" s="2"/>
      <c r="E397" s="14">
        <f>IFERROR(E386+E387+E389+E390+E391+E392+E393+E395+E396, "NA")</f>
        <v>0</v>
      </c>
      <c r="F397" s="15">
        <f>IFERROR(E397/E445, "NA")</f>
        <v>0</v>
      </c>
      <c r="G397" s="2"/>
      <c r="H397" s="14">
        <f t="shared" si="96"/>
        <v>0</v>
      </c>
      <c r="I397" s="15">
        <f>IFERROR(H397/H445, "NA")</f>
        <v>0</v>
      </c>
      <c r="J397" s="2"/>
      <c r="K397" s="14">
        <f>IFERROR(K386+K387+K389+K390+K391+K392+K393+K395+K396, "NA")</f>
        <v>0</v>
      </c>
      <c r="L397" s="15">
        <f>IFERROR(K397/K445, "NA")</f>
        <v>0</v>
      </c>
      <c r="M397" s="2"/>
      <c r="N397" s="14">
        <f t="shared" si="97"/>
        <v>0</v>
      </c>
      <c r="O397" s="15">
        <f>IFERROR(N397/N445, "NA")</f>
        <v>0</v>
      </c>
      <c r="P397" s="2"/>
      <c r="Q397" s="14">
        <f>IFERROR(Q386+Q387+Q389+Q390+Q391+Q392+Q393+Q395+Q396, "NA")</f>
        <v>0</v>
      </c>
      <c r="R397" s="15">
        <f>IFERROR(Q397/Q445, "NA")</f>
        <v>0</v>
      </c>
      <c r="S397" s="2"/>
      <c r="T397" s="14">
        <f>IFERROR(T386+T387+T389+T390+T391+T392+T393+T395+T396, "NA")</f>
        <v>0</v>
      </c>
      <c r="U397" s="15">
        <f>IFERROR(T397/T445, "NA")</f>
        <v>0</v>
      </c>
      <c r="V397" s="2"/>
      <c r="W397" s="14">
        <f t="shared" si="98"/>
        <v>0</v>
      </c>
      <c r="X397" s="15">
        <f>IFERROR(W397/W445, "NA")</f>
        <v>0</v>
      </c>
      <c r="Y397" s="2"/>
      <c r="Z397" s="14">
        <f>IFERROR(Z386+Z387+Z389+Z390+Z391+Z392+Z393+Z395+Z396, "NA")</f>
        <v>0</v>
      </c>
      <c r="AA397" s="15">
        <f>IFERROR(Z397/Z445, "NA")</f>
        <v>0</v>
      </c>
      <c r="AB397" s="2"/>
      <c r="AC397" s="14">
        <f t="shared" si="99"/>
        <v>0</v>
      </c>
      <c r="AD397" s="15">
        <f>IFERROR(AC397/AC445,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IFERROR(B398/B445, "NA")</f>
        <v>0</v>
      </c>
      <c r="D398" s="9"/>
      <c r="E398" s="7">
        <v>0</v>
      </c>
      <c r="F398" s="8">
        <f>IFERROR(E398/E445, "NA")</f>
        <v>0</v>
      </c>
      <c r="G398" s="9"/>
      <c r="H398" s="10">
        <f t="shared" si="96"/>
        <v>0</v>
      </c>
      <c r="I398" s="8">
        <f>IFERROR(H398/H445, "NA")</f>
        <v>0</v>
      </c>
      <c r="J398" s="9"/>
      <c r="K398" s="7">
        <v>0</v>
      </c>
      <c r="L398" s="8">
        <f>IFERROR(K398/K445, "NA")</f>
        <v>0</v>
      </c>
      <c r="M398" s="9"/>
      <c r="N398" s="10">
        <f t="shared" si="97"/>
        <v>0</v>
      </c>
      <c r="O398" s="8">
        <f>IFERROR(N398/N445, "NA")</f>
        <v>0</v>
      </c>
      <c r="P398" s="9"/>
      <c r="Q398" s="7">
        <v>0</v>
      </c>
      <c r="R398" s="8">
        <f>IFERROR(Q398/Q445, "NA")</f>
        <v>0</v>
      </c>
      <c r="S398" s="9"/>
      <c r="T398" s="7">
        <v>0</v>
      </c>
      <c r="U398" s="8">
        <f>IFERROR(T398/T445, "NA")</f>
        <v>0</v>
      </c>
      <c r="V398" s="9"/>
      <c r="W398" s="10">
        <f t="shared" si="98"/>
        <v>0</v>
      </c>
      <c r="X398" s="8">
        <f>IFERROR(W398/W445, "NA")</f>
        <v>0</v>
      </c>
      <c r="Y398" s="9"/>
      <c r="Z398" s="7">
        <v>0</v>
      </c>
      <c r="AA398" s="8">
        <f>IFERROR(Z398/Z445, "NA")</f>
        <v>0</v>
      </c>
      <c r="AB398" s="9"/>
      <c r="AC398" s="10">
        <f t="shared" si="99"/>
        <v>0</v>
      </c>
      <c r="AD398" s="8">
        <f>IFERROR(AC398/AC445,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IFERROR(B399/B445, "NA")</f>
        <v>0</v>
      </c>
      <c r="D399" s="9"/>
      <c r="E399" s="7">
        <v>0</v>
      </c>
      <c r="F399" s="8">
        <f>IFERROR(E399/E445, "NA")</f>
        <v>0</v>
      </c>
      <c r="G399" s="9"/>
      <c r="H399" s="10">
        <f t="shared" si="96"/>
        <v>0</v>
      </c>
      <c r="I399" s="8">
        <f>IFERROR(H399/H445, "NA")</f>
        <v>0</v>
      </c>
      <c r="J399" s="9"/>
      <c r="K399" s="7">
        <v>0</v>
      </c>
      <c r="L399" s="8">
        <f>IFERROR(K399/K445, "NA")</f>
        <v>0</v>
      </c>
      <c r="M399" s="9"/>
      <c r="N399" s="10">
        <f t="shared" si="97"/>
        <v>0</v>
      </c>
      <c r="O399" s="8">
        <f>IFERROR(N399/N445, "NA")</f>
        <v>0</v>
      </c>
      <c r="P399" s="9"/>
      <c r="Q399" s="7">
        <v>0</v>
      </c>
      <c r="R399" s="8">
        <f>IFERROR(Q399/Q445, "NA")</f>
        <v>0</v>
      </c>
      <c r="S399" s="9"/>
      <c r="T399" s="7">
        <v>0</v>
      </c>
      <c r="U399" s="8">
        <f>IFERROR(T399/T445, "NA")</f>
        <v>0</v>
      </c>
      <c r="V399" s="9"/>
      <c r="W399" s="10">
        <f t="shared" si="98"/>
        <v>0</v>
      </c>
      <c r="X399" s="8">
        <f>IFERROR(W399/W445, "NA")</f>
        <v>0</v>
      </c>
      <c r="Y399" s="9"/>
      <c r="Z399" s="7">
        <v>0</v>
      </c>
      <c r="AA399" s="8">
        <f>IFERROR(Z399/Z445, "NA")</f>
        <v>0</v>
      </c>
      <c r="AB399" s="9"/>
      <c r="AC399" s="10">
        <f t="shared" si="99"/>
        <v>0</v>
      </c>
      <c r="AD399" s="8">
        <f>IFERROR(AC399/AC445,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IFERROR(B400/B445, "NA")</f>
        <v>0</v>
      </c>
      <c r="D400" s="9"/>
      <c r="E400" s="7">
        <v>0</v>
      </c>
      <c r="F400" s="8">
        <f>IFERROR(E400/E445, "NA")</f>
        <v>0</v>
      </c>
      <c r="G400" s="9"/>
      <c r="H400" s="10">
        <f t="shared" si="96"/>
        <v>0</v>
      </c>
      <c r="I400" s="8">
        <f>IFERROR(H400/H445, "NA")</f>
        <v>0</v>
      </c>
      <c r="J400" s="9"/>
      <c r="K400" s="7">
        <v>0</v>
      </c>
      <c r="L400" s="8">
        <f>IFERROR(K400/K445, "NA")</f>
        <v>0</v>
      </c>
      <c r="M400" s="9"/>
      <c r="N400" s="10">
        <f t="shared" si="97"/>
        <v>0</v>
      </c>
      <c r="O400" s="8">
        <f>IFERROR(N400/N445, "NA")</f>
        <v>0</v>
      </c>
      <c r="P400" s="9"/>
      <c r="Q400" s="7">
        <v>0</v>
      </c>
      <c r="R400" s="8">
        <f>IFERROR(Q400/Q445, "NA")</f>
        <v>0</v>
      </c>
      <c r="S400" s="9"/>
      <c r="T400" s="7">
        <v>0</v>
      </c>
      <c r="U400" s="8">
        <f>IFERROR(T400/T445, "NA")</f>
        <v>0</v>
      </c>
      <c r="V400" s="9"/>
      <c r="W400" s="10">
        <f t="shared" si="98"/>
        <v>0</v>
      </c>
      <c r="X400" s="8">
        <f>IFERROR(W400/W445, "NA")</f>
        <v>0</v>
      </c>
      <c r="Y400" s="9"/>
      <c r="Z400" s="7">
        <v>0</v>
      </c>
      <c r="AA400" s="8">
        <f>IFERROR(Z400/Z445, "NA")</f>
        <v>0</v>
      </c>
      <c r="AB400" s="9"/>
      <c r="AC400" s="10">
        <f t="shared" si="99"/>
        <v>0</v>
      </c>
      <c r="AD400" s="8">
        <f>IFERROR(AC400/AC445,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IFERROR(B401/B445, "NA")</f>
        <v>0</v>
      </c>
      <c r="D401" s="9"/>
      <c r="E401" s="7">
        <v>0</v>
      </c>
      <c r="F401" s="8">
        <f>IFERROR(E401/E445, "NA")</f>
        <v>0</v>
      </c>
      <c r="G401" s="9"/>
      <c r="H401" s="10">
        <f t="shared" si="96"/>
        <v>0</v>
      </c>
      <c r="I401" s="8">
        <f>IFERROR(H401/H445, "NA")</f>
        <v>0</v>
      </c>
      <c r="J401" s="9"/>
      <c r="K401" s="7">
        <v>0</v>
      </c>
      <c r="L401" s="8">
        <f>IFERROR(K401/K445, "NA")</f>
        <v>0</v>
      </c>
      <c r="M401" s="9"/>
      <c r="N401" s="10">
        <f t="shared" si="97"/>
        <v>0</v>
      </c>
      <c r="O401" s="8">
        <f>IFERROR(N401/N445, "NA")</f>
        <v>0</v>
      </c>
      <c r="P401" s="9"/>
      <c r="Q401" s="7">
        <v>0</v>
      </c>
      <c r="R401" s="8">
        <f>IFERROR(Q401/Q445, "NA")</f>
        <v>0</v>
      </c>
      <c r="S401" s="9"/>
      <c r="T401" s="7">
        <v>0</v>
      </c>
      <c r="U401" s="8">
        <f>IFERROR(T401/T445, "NA")</f>
        <v>0</v>
      </c>
      <c r="V401" s="9"/>
      <c r="W401" s="10">
        <f t="shared" si="98"/>
        <v>0</v>
      </c>
      <c r="X401" s="8">
        <f>IFERROR(W401/W445, "NA")</f>
        <v>0</v>
      </c>
      <c r="Y401" s="9"/>
      <c r="Z401" s="7">
        <v>0</v>
      </c>
      <c r="AA401" s="8">
        <f>IFERROR(Z401/Z445, "NA")</f>
        <v>0</v>
      </c>
      <c r="AB401" s="9"/>
      <c r="AC401" s="10">
        <f t="shared" si="99"/>
        <v>0</v>
      </c>
      <c r="AD401" s="8">
        <f>IFERROR(AC401/AC445,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IFERROR(B402/B445, "NA")</f>
        <v>0</v>
      </c>
      <c r="D402" s="9"/>
      <c r="E402" s="7">
        <v>0</v>
      </c>
      <c r="F402" s="8">
        <f>IFERROR(E402/E445, "NA")</f>
        <v>0</v>
      </c>
      <c r="G402" s="9"/>
      <c r="H402" s="10">
        <f t="shared" si="96"/>
        <v>0</v>
      </c>
      <c r="I402" s="8">
        <f>IFERROR(H402/H445, "NA")</f>
        <v>0</v>
      </c>
      <c r="J402" s="9"/>
      <c r="K402" s="7">
        <v>0</v>
      </c>
      <c r="L402" s="8">
        <f>IFERROR(K402/K445, "NA")</f>
        <v>0</v>
      </c>
      <c r="M402" s="9"/>
      <c r="N402" s="10">
        <f t="shared" si="97"/>
        <v>0</v>
      </c>
      <c r="O402" s="8">
        <f>IFERROR(N402/N445, "NA")</f>
        <v>0</v>
      </c>
      <c r="P402" s="9"/>
      <c r="Q402" s="7">
        <v>0</v>
      </c>
      <c r="R402" s="8">
        <f>IFERROR(Q402/Q445, "NA")</f>
        <v>0</v>
      </c>
      <c r="S402" s="9"/>
      <c r="T402" s="7">
        <v>0</v>
      </c>
      <c r="U402" s="8">
        <f>IFERROR(T402/T445, "NA")</f>
        <v>0</v>
      </c>
      <c r="V402" s="9"/>
      <c r="W402" s="10">
        <f t="shared" si="98"/>
        <v>0</v>
      </c>
      <c r="X402" s="8">
        <f>IFERROR(W402/W445, "NA")</f>
        <v>0</v>
      </c>
      <c r="Y402" s="9"/>
      <c r="Z402" s="7">
        <v>0</v>
      </c>
      <c r="AA402" s="8">
        <f>IFERROR(Z402/Z445, "NA")</f>
        <v>0</v>
      </c>
      <c r="AB402" s="9"/>
      <c r="AC402" s="10">
        <f t="shared" si="99"/>
        <v>0</v>
      </c>
      <c r="AD402" s="8">
        <f>IFERROR(AC402/AC445, "NA")</f>
        <v>0</v>
      </c>
    </row>
    <row r="403" spans="1:30" ht="16.5" hidden="1" customHeight="1" x14ac:dyDescent="0.45">
      <c r="A403" s="20" t="s">
        <v>369</v>
      </c>
      <c r="B403" s="7">
        <v>0</v>
      </c>
      <c r="C403" s="8">
        <f>IFERROR(B403/B445, "NA")</f>
        <v>0</v>
      </c>
      <c r="D403" s="9"/>
      <c r="E403" s="7">
        <v>0</v>
      </c>
      <c r="F403" s="8">
        <f>IFERROR(E403/E445, "NA")</f>
        <v>0</v>
      </c>
      <c r="G403" s="9"/>
      <c r="H403" s="10">
        <f t="shared" si="96"/>
        <v>0</v>
      </c>
      <c r="I403" s="8">
        <f>IFERROR(H403/H445, "NA")</f>
        <v>0</v>
      </c>
      <c r="J403" s="9"/>
      <c r="K403" s="7">
        <v>0</v>
      </c>
      <c r="L403" s="8">
        <f>IFERROR(K403/K445, "NA")</f>
        <v>0</v>
      </c>
      <c r="M403" s="9"/>
      <c r="N403" s="10">
        <f t="shared" si="97"/>
        <v>0</v>
      </c>
      <c r="O403" s="8">
        <f>IFERROR(N403/N445, "NA")</f>
        <v>0</v>
      </c>
      <c r="P403" s="9"/>
      <c r="Q403" s="7">
        <v>0</v>
      </c>
      <c r="R403" s="8">
        <f>IFERROR(Q403/Q445, "NA")</f>
        <v>0</v>
      </c>
      <c r="S403" s="9"/>
      <c r="T403" s="7">
        <v>0</v>
      </c>
      <c r="U403" s="8">
        <f>IFERROR(T403/T445, "NA")</f>
        <v>0</v>
      </c>
      <c r="V403" s="9"/>
      <c r="W403" s="10">
        <f t="shared" si="98"/>
        <v>0</v>
      </c>
      <c r="X403" s="8">
        <f>IFERROR(W403/W445, "NA")</f>
        <v>0</v>
      </c>
      <c r="Y403" s="9"/>
      <c r="Z403" s="7">
        <v>0</v>
      </c>
      <c r="AA403" s="8">
        <f>IFERROR(Z403/Z445, "NA")</f>
        <v>0</v>
      </c>
      <c r="AB403" s="9"/>
      <c r="AC403" s="10">
        <f t="shared" si="99"/>
        <v>0</v>
      </c>
      <c r="AD403" s="8">
        <f>IFERROR(AC403/AC445, "NA")</f>
        <v>0</v>
      </c>
    </row>
    <row r="404" spans="1:30" ht="16.5" customHeight="1" x14ac:dyDescent="0.45">
      <c r="A404" s="21" t="s">
        <v>370</v>
      </c>
      <c r="B404" s="14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5">
        <f>IFERROR(B404/B445, "NA")</f>
        <v>0</v>
      </c>
      <c r="D404" s="2"/>
      <c r="E404" s="14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5">
        <f>IFERROR(E404/E445, "NA")</f>
        <v>0</v>
      </c>
      <c r="G404" s="2"/>
      <c r="H404" s="14">
        <f t="shared" si="96"/>
        <v>0</v>
      </c>
      <c r="I404" s="15">
        <f>IFERROR(H404/H445, "NA")</f>
        <v>0</v>
      </c>
      <c r="J404" s="2"/>
      <c r="K404" s="14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5">
        <f>IFERROR(K404/K445, "NA")</f>
        <v>0</v>
      </c>
      <c r="M404" s="2"/>
      <c r="N404" s="14">
        <f t="shared" si="97"/>
        <v>0</v>
      </c>
      <c r="O404" s="15">
        <f>IFERROR(N404/N445, "NA")</f>
        <v>0</v>
      </c>
      <c r="P404" s="2"/>
      <c r="Q404" s="14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5">
        <f>IFERROR(Q404/Q445, "NA")</f>
        <v>0</v>
      </c>
      <c r="S404" s="2"/>
      <c r="T404" s="14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5">
        <f>IFERROR(T404/T445, "NA")</f>
        <v>0</v>
      </c>
      <c r="V404" s="2"/>
      <c r="W404" s="14">
        <f t="shared" si="98"/>
        <v>0</v>
      </c>
      <c r="X404" s="15">
        <f>IFERROR(W404/W445, "NA")</f>
        <v>0</v>
      </c>
      <c r="Y404" s="2"/>
      <c r="Z404" s="14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5">
        <f>IFERROR(Z404/Z445, "NA")</f>
        <v>0</v>
      </c>
      <c r="AB404" s="2"/>
      <c r="AC404" s="14">
        <f t="shared" si="99"/>
        <v>0</v>
      </c>
      <c r="AD404" s="15">
        <f>IFERROR(AC404/AC445, "NA")</f>
        <v>0</v>
      </c>
    </row>
    <row r="405" spans="1:30" ht="16.5" customHeight="1" x14ac:dyDescent="0.45">
      <c r="A405" s="22" t="s">
        <v>371</v>
      </c>
      <c r="B405" s="23">
        <f>IFERROR(B346-B404, "NA")</f>
        <v>11283.110000000033</v>
      </c>
      <c r="C405" s="24">
        <f>IFERROR(B405/B445, "NA")</f>
        <v>9.2747424337976059E-2</v>
      </c>
      <c r="D405" s="25"/>
      <c r="E405" s="23">
        <f>IFERROR(E346-E404, "NA")</f>
        <v>23624.560000000016</v>
      </c>
      <c r="F405" s="24">
        <f>IFERROR(E405/E445, "NA")</f>
        <v>0.16561436784151432</v>
      </c>
      <c r="G405" s="25"/>
      <c r="H405" s="23">
        <f>IFERROR(B405-E405, "NA")</f>
        <v>-12341.449999999983</v>
      </c>
      <c r="I405" s="24">
        <f>IFERROR(H405/H445, "NA")</f>
        <v>0.5878602543125715</v>
      </c>
      <c r="J405" s="25"/>
      <c r="K405" s="23">
        <f>IFERROR(K346-K404, "NA")</f>
        <v>17599.650000000081</v>
      </c>
      <c r="L405" s="24">
        <f>IFERROR(K405/K445, "NA")</f>
        <v>0.13479064834519042</v>
      </c>
      <c r="M405" s="25"/>
      <c r="N405" s="23">
        <f>IFERROR(B405-K405, "NA")</f>
        <v>-6316.5400000000482</v>
      </c>
      <c r="O405" s="24">
        <f>IFERROR(N405/N445, "NA")</f>
        <v>0.70844203183006638</v>
      </c>
      <c r="P405" s="25"/>
      <c r="Q405" s="23">
        <f>IFERROR(Q346-Q404, "NA")</f>
        <v>14807.760000000097</v>
      </c>
      <c r="R405" s="24">
        <f>IFERROR(Q405/Q445, "NA")</f>
        <v>2.8403676571023925E-2</v>
      </c>
      <c r="S405" s="25"/>
      <c r="T405" s="23">
        <f>IFERROR(T346-T404, "NA")</f>
        <v>55836.519999999888</v>
      </c>
      <c r="U405" s="24">
        <f>IFERROR(T405/T445, "NA")</f>
        <v>9.4114476664349259E-2</v>
      </c>
      <c r="V405" s="25"/>
      <c r="W405" s="23">
        <f>IFERROR(Q405-T405, "NA")</f>
        <v>-41028.759999999791</v>
      </c>
      <c r="X405" s="24">
        <f>IFERROR(W405/W445, "NA")</f>
        <v>0.5702359260880715</v>
      </c>
      <c r="Y405" s="25"/>
      <c r="Z405" s="23">
        <f>IFERROR(Z346-Z404, "NA")</f>
        <v>15099.590000000026</v>
      </c>
      <c r="AA405" s="24">
        <f>IFERROR(Z405/Z445, "NA")</f>
        <v>2.7378084662407761E-2</v>
      </c>
      <c r="AB405" s="25"/>
      <c r="AC405" s="23">
        <f>IFERROR(Q405-Z405, "NA")</f>
        <v>-291.82999999992899</v>
      </c>
      <c r="AD405" s="24">
        <f>IFERROR(AC405/AC445, "NA")</f>
        <v>9.6669133386354106E-3</v>
      </c>
    </row>
    <row r="406" spans="1:30" ht="16.5" customHeight="1" x14ac:dyDescent="0.45">
      <c r="A406" s="1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5" t="s">
        <v>373</v>
      </c>
      <c r="B407" s="2"/>
      <c r="C407" s="3"/>
      <c r="D407" s="4"/>
      <c r="E407" s="2"/>
      <c r="F407" s="3"/>
      <c r="G407" s="4"/>
      <c r="H407" s="2"/>
      <c r="I407" s="3"/>
      <c r="J407" s="4"/>
      <c r="K407" s="2"/>
      <c r="L407" s="3"/>
      <c r="M407" s="4"/>
      <c r="N407" s="2"/>
      <c r="O407" s="3"/>
      <c r="P407" s="4"/>
      <c r="Q407" s="2"/>
      <c r="R407" s="3"/>
      <c r="S407" s="4"/>
      <c r="T407" s="2"/>
      <c r="U407" s="3"/>
      <c r="V407" s="4"/>
      <c r="W407" s="2"/>
      <c r="X407" s="3"/>
      <c r="Y407" s="4"/>
      <c r="Z407" s="2"/>
      <c r="AA407" s="3"/>
      <c r="AB407" s="4"/>
      <c r="AC407" s="2"/>
      <c r="AD407" s="3"/>
    </row>
    <row r="408" spans="1:30" ht="16.5" customHeight="1" x14ac:dyDescent="0.45">
      <c r="A408" s="6" t="s">
        <v>373</v>
      </c>
      <c r="B408" s="7">
        <v>0</v>
      </c>
      <c r="C408" s="8">
        <f>IFERROR(B408/B445, "NA")</f>
        <v>0</v>
      </c>
      <c r="D408" s="9"/>
      <c r="E408" s="7">
        <v>8826.74</v>
      </c>
      <c r="F408" s="8">
        <f>IFERROR(E408/E445, "NA")</f>
        <v>6.1877764716100833E-2</v>
      </c>
      <c r="G408" s="9"/>
      <c r="H408" s="10">
        <f t="shared" ref="H408:H430" si="100">IFERROR(-(B408-E408), "NA")</f>
        <v>8826.74</v>
      </c>
      <c r="I408" s="8">
        <f>IFERROR(H408/H445, "NA")</f>
        <v>-0.42044408243366499</v>
      </c>
      <c r="J408" s="9"/>
      <c r="K408" s="7">
        <v>0</v>
      </c>
      <c r="L408" s="8">
        <f>IFERROR(K408/K445, "NA")</f>
        <v>0</v>
      </c>
      <c r="M408" s="9"/>
      <c r="N408" s="10">
        <f t="shared" ref="N408:N430" si="101">IFERROR(-(B408-K408), "NA")</f>
        <v>0</v>
      </c>
      <c r="O408" s="8">
        <f>IFERROR(N408/N445, "NA")</f>
        <v>0</v>
      </c>
      <c r="P408" s="9"/>
      <c r="Q408" s="7">
        <v>0</v>
      </c>
      <c r="R408" s="8">
        <f>IFERROR(Q408/Q445, "NA")</f>
        <v>0</v>
      </c>
      <c r="S408" s="9"/>
      <c r="T408" s="7">
        <v>42810.58</v>
      </c>
      <c r="U408" s="8">
        <f>IFERROR(T408/T445, "NA")</f>
        <v>7.2158783040154814E-2</v>
      </c>
      <c r="V408" s="9"/>
      <c r="W408" s="10">
        <f t="shared" ref="W408:W430" si="102">IFERROR(-(Q408-T408), "NA")</f>
        <v>42810.58</v>
      </c>
      <c r="X408" s="8">
        <f>IFERROR(W408/W445, "NA")</f>
        <v>-0.59500045169943228</v>
      </c>
      <c r="Y408" s="9"/>
      <c r="Z408" s="7">
        <v>0</v>
      </c>
      <c r="AA408" s="8">
        <f>IFERROR(Z408/Z445, "NA")</f>
        <v>0</v>
      </c>
      <c r="AB408" s="9"/>
      <c r="AC408" s="10">
        <f t="shared" ref="AC408:AC430" si="103">IFERROR(-(Q408-Z408), "NA")</f>
        <v>0</v>
      </c>
      <c r="AD408" s="8">
        <f>IFERROR(AC408/AC445,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IFERROR(B409/B445, "NA")</f>
        <v>0</v>
      </c>
      <c r="D409" s="9"/>
      <c r="E409" s="7">
        <v>0</v>
      </c>
      <c r="F409" s="8">
        <f>IFERROR(E409/E445, "NA")</f>
        <v>0</v>
      </c>
      <c r="G409" s="9"/>
      <c r="H409" s="10">
        <f t="shared" si="100"/>
        <v>0</v>
      </c>
      <c r="I409" s="8">
        <f>IFERROR(H409/H445, "NA")</f>
        <v>0</v>
      </c>
      <c r="J409" s="9"/>
      <c r="K409" s="7">
        <v>0</v>
      </c>
      <c r="L409" s="8">
        <f>IFERROR(K409/K445, "NA")</f>
        <v>0</v>
      </c>
      <c r="M409" s="9"/>
      <c r="N409" s="10">
        <f t="shared" si="101"/>
        <v>0</v>
      </c>
      <c r="O409" s="8">
        <f>IFERROR(N409/N445, "NA")</f>
        <v>0</v>
      </c>
      <c r="P409" s="9"/>
      <c r="Q409" s="7">
        <v>0</v>
      </c>
      <c r="R409" s="8">
        <f>IFERROR(Q409/Q445, "NA")</f>
        <v>0</v>
      </c>
      <c r="S409" s="9"/>
      <c r="T409" s="7">
        <v>0</v>
      </c>
      <c r="U409" s="8">
        <f>IFERROR(T409/T445, "NA")</f>
        <v>0</v>
      </c>
      <c r="V409" s="9"/>
      <c r="W409" s="10">
        <f t="shared" si="102"/>
        <v>0</v>
      </c>
      <c r="X409" s="8">
        <f>IFERROR(W409/W445, "NA")</f>
        <v>0</v>
      </c>
      <c r="Y409" s="9"/>
      <c r="Z409" s="7">
        <v>0</v>
      </c>
      <c r="AA409" s="8">
        <f>IFERROR(Z409/Z445, "NA")</f>
        <v>0</v>
      </c>
      <c r="AB409" s="9"/>
      <c r="AC409" s="10">
        <f t="shared" si="103"/>
        <v>0</v>
      </c>
      <c r="AD409" s="8">
        <f>IFERROR(AC409/AC445, "NA")</f>
        <v>0</v>
      </c>
    </row>
    <row r="410" spans="1:30" ht="16.5" hidden="1" customHeight="1" x14ac:dyDescent="0.45">
      <c r="A410" s="6" t="s">
        <v>375</v>
      </c>
      <c r="B410" s="7">
        <v>0</v>
      </c>
      <c r="C410" s="8">
        <f>IFERROR(B410/B445, "NA")</f>
        <v>0</v>
      </c>
      <c r="D410" s="9"/>
      <c r="E410" s="7">
        <v>0</v>
      </c>
      <c r="F410" s="8">
        <f>IFERROR(E410/E445, "NA")</f>
        <v>0</v>
      </c>
      <c r="G410" s="9"/>
      <c r="H410" s="10">
        <f t="shared" si="100"/>
        <v>0</v>
      </c>
      <c r="I410" s="8">
        <f>IFERROR(H410/H445, "NA")</f>
        <v>0</v>
      </c>
      <c r="J410" s="9"/>
      <c r="K410" s="7">
        <v>0</v>
      </c>
      <c r="L410" s="8">
        <f>IFERROR(K410/K445, "NA")</f>
        <v>0</v>
      </c>
      <c r="M410" s="9"/>
      <c r="N410" s="10">
        <f t="shared" si="101"/>
        <v>0</v>
      </c>
      <c r="O410" s="8">
        <f>IFERROR(N410/N445, "NA")</f>
        <v>0</v>
      </c>
      <c r="P410" s="9"/>
      <c r="Q410" s="7">
        <v>0</v>
      </c>
      <c r="R410" s="8">
        <f>IFERROR(Q410/Q445, "NA")</f>
        <v>0</v>
      </c>
      <c r="S410" s="9"/>
      <c r="T410" s="7">
        <v>0</v>
      </c>
      <c r="U410" s="8">
        <f>IFERROR(T410/T445, "NA")</f>
        <v>0</v>
      </c>
      <c r="V410" s="9"/>
      <c r="W410" s="10">
        <f t="shared" si="102"/>
        <v>0</v>
      </c>
      <c r="X410" s="8">
        <f>IFERROR(W410/W445, "NA")</f>
        <v>0</v>
      </c>
      <c r="Y410" s="9"/>
      <c r="Z410" s="7">
        <v>0</v>
      </c>
      <c r="AA410" s="8">
        <f>IFERROR(Z410/Z445, "NA")</f>
        <v>0</v>
      </c>
      <c r="AB410" s="9"/>
      <c r="AC410" s="10">
        <f t="shared" si="103"/>
        <v>0</v>
      </c>
      <c r="AD410" s="8">
        <f>IFERROR(AC410/AC445, "NA")</f>
        <v>0</v>
      </c>
    </row>
    <row r="411" spans="1:30" ht="16.5" customHeight="1" x14ac:dyDescent="0.45">
      <c r="A411" s="6" t="s">
        <v>376</v>
      </c>
      <c r="B411" s="7">
        <v>8507.9500000000007</v>
      </c>
      <c r="C411" s="8">
        <f>IFERROR(B411/B445, "NA")</f>
        <v>6.9935545155217049E-2</v>
      </c>
      <c r="D411" s="9"/>
      <c r="E411" s="7">
        <v>0</v>
      </c>
      <c r="F411" s="8">
        <f>IFERROR(E411/E445, "NA")</f>
        <v>0</v>
      </c>
      <c r="G411" s="9"/>
      <c r="H411" s="10">
        <f t="shared" si="100"/>
        <v>-8507.9500000000007</v>
      </c>
      <c r="I411" s="8">
        <f>IFERROR(H411/H445, "NA")</f>
        <v>0.40525915922996492</v>
      </c>
      <c r="J411" s="9"/>
      <c r="K411" s="7">
        <v>8150.72</v>
      </c>
      <c r="L411" s="8">
        <f>IFERROR(K411/K445, "NA")</f>
        <v>6.2424016004869722E-2</v>
      </c>
      <c r="M411" s="9"/>
      <c r="N411" s="10">
        <f t="shared" si="101"/>
        <v>-357.23000000000047</v>
      </c>
      <c r="O411" s="8">
        <f>IFERROR(N411/N445, "NA")</f>
        <v>4.0065723803008137E-2</v>
      </c>
      <c r="P411" s="9"/>
      <c r="Q411" s="7">
        <v>42538.22</v>
      </c>
      <c r="R411" s="8">
        <f>IFERROR(Q411/Q445, "NA")</f>
        <v>8.1595180012848226E-2</v>
      </c>
      <c r="S411" s="9"/>
      <c r="T411" s="7">
        <v>0</v>
      </c>
      <c r="U411" s="8">
        <f>IFERROR(T411/T445, "NA")</f>
        <v>0</v>
      </c>
      <c r="V411" s="9"/>
      <c r="W411" s="10">
        <f t="shared" si="102"/>
        <v>-42538.22</v>
      </c>
      <c r="X411" s="8">
        <f>IFERROR(W411/W445, "NA")</f>
        <v>0.59121507147274865</v>
      </c>
      <c r="Y411" s="9"/>
      <c r="Z411" s="7">
        <v>40456.160000000003</v>
      </c>
      <c r="AA411" s="8">
        <f>IFERROR(Z411/Z445, "NA")</f>
        <v>7.3353791301347435E-2</v>
      </c>
      <c r="AB411" s="9"/>
      <c r="AC411" s="10">
        <f t="shared" si="103"/>
        <v>-2082.0599999999977</v>
      </c>
      <c r="AD411" s="8">
        <f>IFERROR(AC411/AC445, "NA")</f>
        <v>6.8968555617462624E-2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IFERROR(B412/B445, "NA")</f>
        <v>0</v>
      </c>
      <c r="D412" s="9"/>
      <c r="E412" s="7">
        <v>0</v>
      </c>
      <c r="F412" s="8">
        <f>IFERROR(E412/E445, "NA")</f>
        <v>0</v>
      </c>
      <c r="G412" s="9"/>
      <c r="H412" s="10">
        <f t="shared" si="100"/>
        <v>0</v>
      </c>
      <c r="I412" s="8">
        <f>IFERROR(H412/H445, "NA")</f>
        <v>0</v>
      </c>
      <c r="J412" s="9"/>
      <c r="K412" s="7">
        <v>0</v>
      </c>
      <c r="L412" s="8">
        <f>IFERROR(K412/K445, "NA")</f>
        <v>0</v>
      </c>
      <c r="M412" s="9"/>
      <c r="N412" s="10">
        <f t="shared" si="101"/>
        <v>0</v>
      </c>
      <c r="O412" s="8">
        <f>IFERROR(N412/N445, "NA")</f>
        <v>0</v>
      </c>
      <c r="P412" s="9"/>
      <c r="Q412" s="7">
        <v>0</v>
      </c>
      <c r="R412" s="8">
        <f>IFERROR(Q412/Q445, "NA")</f>
        <v>0</v>
      </c>
      <c r="S412" s="9"/>
      <c r="T412" s="7">
        <v>0</v>
      </c>
      <c r="U412" s="8">
        <f>IFERROR(T412/T445, "NA")</f>
        <v>0</v>
      </c>
      <c r="V412" s="9"/>
      <c r="W412" s="10">
        <f t="shared" si="102"/>
        <v>0</v>
      </c>
      <c r="X412" s="8">
        <f>IFERROR(W412/W445, "NA")</f>
        <v>0</v>
      </c>
      <c r="Y412" s="9"/>
      <c r="Z412" s="7">
        <v>0</v>
      </c>
      <c r="AA412" s="8">
        <f>IFERROR(Z412/Z445, "NA")</f>
        <v>0</v>
      </c>
      <c r="AB412" s="9"/>
      <c r="AC412" s="10">
        <f t="shared" si="103"/>
        <v>0</v>
      </c>
      <c r="AD412" s="8">
        <f>IFERROR(AC412/AC445,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IFERROR(B413/B445, "NA")</f>
        <v>0</v>
      </c>
      <c r="D413" s="9"/>
      <c r="E413" s="7">
        <v>0</v>
      </c>
      <c r="F413" s="8">
        <f>IFERROR(E413/E445, "NA")</f>
        <v>0</v>
      </c>
      <c r="G413" s="9"/>
      <c r="H413" s="10">
        <f t="shared" si="100"/>
        <v>0</v>
      </c>
      <c r="I413" s="8">
        <f>IFERROR(H413/H445, "NA")</f>
        <v>0</v>
      </c>
      <c r="J413" s="9"/>
      <c r="K413" s="7">
        <v>0</v>
      </c>
      <c r="L413" s="8">
        <f>IFERROR(K413/K445, "NA")</f>
        <v>0</v>
      </c>
      <c r="M413" s="9"/>
      <c r="N413" s="10">
        <f t="shared" si="101"/>
        <v>0</v>
      </c>
      <c r="O413" s="8">
        <f>IFERROR(N413/N445, "NA")</f>
        <v>0</v>
      </c>
      <c r="P413" s="9"/>
      <c r="Q413" s="7">
        <v>0</v>
      </c>
      <c r="R413" s="8">
        <f>IFERROR(Q413/Q445, "NA")</f>
        <v>0</v>
      </c>
      <c r="S413" s="9"/>
      <c r="T413" s="7">
        <v>0</v>
      </c>
      <c r="U413" s="8">
        <f>IFERROR(T413/T445, "NA")</f>
        <v>0</v>
      </c>
      <c r="V413" s="9"/>
      <c r="W413" s="10">
        <f t="shared" si="102"/>
        <v>0</v>
      </c>
      <c r="X413" s="8">
        <f>IFERROR(W413/W445, "NA")</f>
        <v>0</v>
      </c>
      <c r="Y413" s="9"/>
      <c r="Z413" s="7">
        <v>0</v>
      </c>
      <c r="AA413" s="8">
        <f>IFERROR(Z413/Z445, "NA")</f>
        <v>0</v>
      </c>
      <c r="AB413" s="9"/>
      <c r="AC413" s="10">
        <f t="shared" si="103"/>
        <v>0</v>
      </c>
      <c r="AD413" s="8">
        <f>IFERROR(AC413/AC445,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IFERROR(B414/B445, "NA")</f>
        <v>0</v>
      </c>
      <c r="D414" s="9"/>
      <c r="E414" s="7">
        <v>0</v>
      </c>
      <c r="F414" s="8">
        <f>IFERROR(E414/E445, "NA")</f>
        <v>0</v>
      </c>
      <c r="G414" s="9"/>
      <c r="H414" s="10">
        <f t="shared" si="100"/>
        <v>0</v>
      </c>
      <c r="I414" s="8">
        <f>IFERROR(H414/H445, "NA")</f>
        <v>0</v>
      </c>
      <c r="J414" s="9"/>
      <c r="K414" s="7">
        <v>0</v>
      </c>
      <c r="L414" s="8">
        <f>IFERROR(K414/K445, "NA")</f>
        <v>0</v>
      </c>
      <c r="M414" s="9"/>
      <c r="N414" s="10">
        <f t="shared" si="101"/>
        <v>0</v>
      </c>
      <c r="O414" s="8">
        <f>IFERROR(N414/N445, "NA")</f>
        <v>0</v>
      </c>
      <c r="P414" s="9"/>
      <c r="Q414" s="7">
        <v>0</v>
      </c>
      <c r="R414" s="8">
        <f>IFERROR(Q414/Q445, "NA")</f>
        <v>0</v>
      </c>
      <c r="S414" s="9"/>
      <c r="T414" s="7">
        <v>0</v>
      </c>
      <c r="U414" s="8">
        <f>IFERROR(T414/T445, "NA")</f>
        <v>0</v>
      </c>
      <c r="V414" s="9"/>
      <c r="W414" s="10">
        <f t="shared" si="102"/>
        <v>0</v>
      </c>
      <c r="X414" s="8">
        <f>IFERROR(W414/W445, "NA")</f>
        <v>0</v>
      </c>
      <c r="Y414" s="9"/>
      <c r="Z414" s="7">
        <v>0</v>
      </c>
      <c r="AA414" s="8">
        <f>IFERROR(Z414/Z445, "NA")</f>
        <v>0</v>
      </c>
      <c r="AB414" s="9"/>
      <c r="AC414" s="10">
        <f t="shared" si="103"/>
        <v>0</v>
      </c>
      <c r="AD414" s="8">
        <f>IFERROR(AC414/AC445,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IFERROR(B415/B445, "NA")</f>
        <v>0</v>
      </c>
      <c r="D415" s="9"/>
      <c r="E415" s="7">
        <v>0</v>
      </c>
      <c r="F415" s="8">
        <f>IFERROR(E415/E445, "NA")</f>
        <v>0</v>
      </c>
      <c r="G415" s="9"/>
      <c r="H415" s="10">
        <f t="shared" si="100"/>
        <v>0</v>
      </c>
      <c r="I415" s="8">
        <f>IFERROR(H415/H445, "NA")</f>
        <v>0</v>
      </c>
      <c r="J415" s="9"/>
      <c r="K415" s="7">
        <v>0</v>
      </c>
      <c r="L415" s="8">
        <f>IFERROR(K415/K445, "NA")</f>
        <v>0</v>
      </c>
      <c r="M415" s="9"/>
      <c r="N415" s="10">
        <f t="shared" si="101"/>
        <v>0</v>
      </c>
      <c r="O415" s="8">
        <f>IFERROR(N415/N445, "NA")</f>
        <v>0</v>
      </c>
      <c r="P415" s="9"/>
      <c r="Q415" s="7">
        <v>0</v>
      </c>
      <c r="R415" s="8">
        <f>IFERROR(Q415/Q445, "NA")</f>
        <v>0</v>
      </c>
      <c r="S415" s="9"/>
      <c r="T415" s="7">
        <v>0</v>
      </c>
      <c r="U415" s="8">
        <f>IFERROR(T415/T445, "NA")</f>
        <v>0</v>
      </c>
      <c r="V415" s="9"/>
      <c r="W415" s="10">
        <f t="shared" si="102"/>
        <v>0</v>
      </c>
      <c r="X415" s="8">
        <f>IFERROR(W415/W445, "NA")</f>
        <v>0</v>
      </c>
      <c r="Y415" s="9"/>
      <c r="Z415" s="7">
        <v>0</v>
      </c>
      <c r="AA415" s="8">
        <f>IFERROR(Z415/Z445, "NA")</f>
        <v>0</v>
      </c>
      <c r="AB415" s="9"/>
      <c r="AC415" s="10">
        <f t="shared" si="103"/>
        <v>0</v>
      </c>
      <c r="AD415" s="8">
        <f>IFERROR(AC415/AC445,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IFERROR(B416/B445, "NA")</f>
        <v>0</v>
      </c>
      <c r="D416" s="9"/>
      <c r="E416" s="7">
        <v>0</v>
      </c>
      <c r="F416" s="8">
        <f>IFERROR(E416/E445, "NA")</f>
        <v>0</v>
      </c>
      <c r="G416" s="9"/>
      <c r="H416" s="10">
        <f t="shared" si="100"/>
        <v>0</v>
      </c>
      <c r="I416" s="8">
        <f>IFERROR(H416/H445, "NA")</f>
        <v>0</v>
      </c>
      <c r="J416" s="9"/>
      <c r="K416" s="7">
        <v>0</v>
      </c>
      <c r="L416" s="8">
        <f>IFERROR(K416/K445, "NA")</f>
        <v>0</v>
      </c>
      <c r="M416" s="9"/>
      <c r="N416" s="10">
        <f t="shared" si="101"/>
        <v>0</v>
      </c>
      <c r="O416" s="8">
        <f>IFERROR(N416/N445, "NA")</f>
        <v>0</v>
      </c>
      <c r="P416" s="9"/>
      <c r="Q416" s="7">
        <v>0</v>
      </c>
      <c r="R416" s="8">
        <f>IFERROR(Q416/Q445, "NA")</f>
        <v>0</v>
      </c>
      <c r="S416" s="9"/>
      <c r="T416" s="7">
        <v>0</v>
      </c>
      <c r="U416" s="8">
        <f>IFERROR(T416/T445, "NA")</f>
        <v>0</v>
      </c>
      <c r="V416" s="9"/>
      <c r="W416" s="10">
        <f t="shared" si="102"/>
        <v>0</v>
      </c>
      <c r="X416" s="8">
        <f>IFERROR(W416/W445, "NA")</f>
        <v>0</v>
      </c>
      <c r="Y416" s="9"/>
      <c r="Z416" s="7">
        <v>0</v>
      </c>
      <c r="AA416" s="8">
        <f>IFERROR(Z416/Z445, "NA")</f>
        <v>0</v>
      </c>
      <c r="AB416" s="9"/>
      <c r="AC416" s="10">
        <f t="shared" si="103"/>
        <v>0</v>
      </c>
      <c r="AD416" s="8">
        <f>IFERROR(AC416/AC445, "NA")</f>
        <v>0</v>
      </c>
    </row>
    <row r="417" spans="1:30" ht="16.5" customHeight="1" x14ac:dyDescent="0.45">
      <c r="A417" s="6" t="s">
        <v>382</v>
      </c>
      <c r="B417" s="7">
        <v>-168.54</v>
      </c>
      <c r="C417" s="8">
        <f>IFERROR(B417/B445, "NA")</f>
        <v>-1.385402685777453E-3</v>
      </c>
      <c r="D417" s="9"/>
      <c r="E417" s="7">
        <v>0</v>
      </c>
      <c r="F417" s="8">
        <f>IFERROR(E417/E445, "NA")</f>
        <v>0</v>
      </c>
      <c r="G417" s="9"/>
      <c r="H417" s="10">
        <f t="shared" si="100"/>
        <v>168.54</v>
      </c>
      <c r="I417" s="8">
        <f>IFERROR(H417/H445, "NA")</f>
        <v>-8.0280653619988693E-3</v>
      </c>
      <c r="J417" s="9"/>
      <c r="K417" s="7">
        <v>0</v>
      </c>
      <c r="L417" s="8">
        <f>IFERROR(K417/K445, "NA")</f>
        <v>0</v>
      </c>
      <c r="M417" s="9"/>
      <c r="N417" s="10">
        <f t="shared" si="101"/>
        <v>168.54</v>
      </c>
      <c r="O417" s="8">
        <f>IFERROR(N417/N445, "NA")</f>
        <v>-1.8902883547739502E-2</v>
      </c>
      <c r="P417" s="9"/>
      <c r="Q417" s="7">
        <v>-577.16999999999996</v>
      </c>
      <c r="R417" s="8">
        <f>IFERROR(Q417/Q445, "NA")</f>
        <v>-1.1071053289962677E-3</v>
      </c>
      <c r="S417" s="9"/>
      <c r="T417" s="7">
        <v>0</v>
      </c>
      <c r="U417" s="8">
        <f>IFERROR(T417/T445, "NA")</f>
        <v>0</v>
      </c>
      <c r="V417" s="9"/>
      <c r="W417" s="10">
        <f t="shared" si="102"/>
        <v>577.16999999999996</v>
      </c>
      <c r="X417" s="8">
        <f>IFERROR(W417/W445, "NA")</f>
        <v>-8.0217649634123454E-3</v>
      </c>
      <c r="Y417" s="9"/>
      <c r="Z417" s="7">
        <v>-123.13</v>
      </c>
      <c r="AA417" s="8">
        <f>IFERROR(Z417/Z445, "NA")</f>
        <v>-2.2325530457994303E-4</v>
      </c>
      <c r="AB417" s="9"/>
      <c r="AC417" s="10">
        <f t="shared" si="103"/>
        <v>454.03999999999996</v>
      </c>
      <c r="AD417" s="8">
        <f>IFERROR(AC417/AC445, "NA")</f>
        <v>-1.50401443726659E-2</v>
      </c>
    </row>
    <row r="418" spans="1:30" ht="16.5" customHeight="1" x14ac:dyDescent="0.45">
      <c r="A418" s="6" t="s">
        <v>383</v>
      </c>
      <c r="B418" s="7">
        <v>-102.27</v>
      </c>
      <c r="C418" s="8">
        <f>IFERROR(B418/B445, "NA")</f>
        <v>-8.4066175788809845E-4</v>
      </c>
      <c r="D418" s="9"/>
      <c r="E418" s="7">
        <v>0</v>
      </c>
      <c r="F418" s="8">
        <f>IFERROR(E418/E445, "NA")</f>
        <v>0</v>
      </c>
      <c r="G418" s="9"/>
      <c r="H418" s="10">
        <f t="shared" si="100"/>
        <v>102.27</v>
      </c>
      <c r="I418" s="8">
        <f>IFERROR(H418/H445, "NA")</f>
        <v>-4.871426632085109E-3</v>
      </c>
      <c r="J418" s="9"/>
      <c r="K418" s="7">
        <v>-71.319999999999993</v>
      </c>
      <c r="L418" s="8">
        <f>IFERROR(K418/K445, "NA")</f>
        <v>-5.4621933049685278E-4</v>
      </c>
      <c r="M418" s="9"/>
      <c r="N418" s="10">
        <f t="shared" si="101"/>
        <v>30.950000000000003</v>
      </c>
      <c r="O418" s="8">
        <f>IFERROR(N418/N445, "NA")</f>
        <v>-3.4712486401004962E-3</v>
      </c>
      <c r="P418" s="9"/>
      <c r="Q418" s="7">
        <v>396.47</v>
      </c>
      <c r="R418" s="8">
        <f>IFERROR(Q418/Q445, "NA")</f>
        <v>7.6049352840090484E-4</v>
      </c>
      <c r="S418" s="9"/>
      <c r="T418" s="7">
        <v>0</v>
      </c>
      <c r="U418" s="8">
        <f>IFERROR(T418/T445, "NA")</f>
        <v>0</v>
      </c>
      <c r="V418" s="9"/>
      <c r="W418" s="10">
        <f t="shared" si="102"/>
        <v>-396.47</v>
      </c>
      <c r="X418" s="8">
        <f>IFERROR(W418/W445, "NA")</f>
        <v>5.5103161201103543E-3</v>
      </c>
      <c r="Y418" s="9"/>
      <c r="Z418" s="7">
        <v>-353.82</v>
      </c>
      <c r="AA418" s="8">
        <f>IFERROR(Z418/Z445, "NA")</f>
        <v>-6.4153489699078571E-4</v>
      </c>
      <c r="AB418" s="9"/>
      <c r="AC418" s="10">
        <f t="shared" si="103"/>
        <v>-750.29</v>
      </c>
      <c r="AD418" s="8">
        <f>IFERROR(AC418/AC445, "NA")</f>
        <v>2.4853470886634432E-2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IFERROR(B419/B445, "NA")</f>
        <v>0</v>
      </c>
      <c r="D419" s="9"/>
      <c r="E419" s="7">
        <v>0</v>
      </c>
      <c r="F419" s="8">
        <f>IFERROR(E419/E445, "NA")</f>
        <v>0</v>
      </c>
      <c r="G419" s="9"/>
      <c r="H419" s="10">
        <f t="shared" si="100"/>
        <v>0</v>
      </c>
      <c r="I419" s="8">
        <f>IFERROR(H419/H445, "NA")</f>
        <v>0</v>
      </c>
      <c r="J419" s="9"/>
      <c r="K419" s="7">
        <v>0</v>
      </c>
      <c r="L419" s="8">
        <f>IFERROR(K419/K445, "NA")</f>
        <v>0</v>
      </c>
      <c r="M419" s="9"/>
      <c r="N419" s="10">
        <f t="shared" si="101"/>
        <v>0</v>
      </c>
      <c r="O419" s="8">
        <f>IFERROR(N419/N445, "NA")</f>
        <v>0</v>
      </c>
      <c r="P419" s="9"/>
      <c r="Q419" s="7">
        <v>0</v>
      </c>
      <c r="R419" s="8">
        <f>IFERROR(Q419/Q445, "NA")</f>
        <v>0</v>
      </c>
      <c r="S419" s="9"/>
      <c r="T419" s="7">
        <v>0</v>
      </c>
      <c r="U419" s="8">
        <f>IFERROR(T419/T445, "NA")</f>
        <v>0</v>
      </c>
      <c r="V419" s="9"/>
      <c r="W419" s="10">
        <f t="shared" si="102"/>
        <v>0</v>
      </c>
      <c r="X419" s="8">
        <f>IFERROR(W419/W445, "NA")</f>
        <v>0</v>
      </c>
      <c r="Y419" s="9"/>
      <c r="Z419" s="7">
        <v>0</v>
      </c>
      <c r="AA419" s="8">
        <f>IFERROR(Z419/Z445, "NA")</f>
        <v>0</v>
      </c>
      <c r="AB419" s="9"/>
      <c r="AC419" s="10">
        <f t="shared" si="103"/>
        <v>0</v>
      </c>
      <c r="AD419" s="8">
        <f>IFERROR(AC419/AC445,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IFERROR(B420/B445, "NA")</f>
        <v>0</v>
      </c>
      <c r="D420" s="9"/>
      <c r="E420" s="7">
        <v>0</v>
      </c>
      <c r="F420" s="8">
        <f>IFERROR(E420/E445, "NA")</f>
        <v>0</v>
      </c>
      <c r="G420" s="9"/>
      <c r="H420" s="10">
        <f t="shared" si="100"/>
        <v>0</v>
      </c>
      <c r="I420" s="8">
        <f>IFERROR(H420/H445, "NA")</f>
        <v>0</v>
      </c>
      <c r="J420" s="9"/>
      <c r="K420" s="7">
        <v>0</v>
      </c>
      <c r="L420" s="8">
        <f>IFERROR(K420/K445, "NA")</f>
        <v>0</v>
      </c>
      <c r="M420" s="9"/>
      <c r="N420" s="10">
        <f t="shared" si="101"/>
        <v>0</v>
      </c>
      <c r="O420" s="8">
        <f>IFERROR(N420/N445, "NA")</f>
        <v>0</v>
      </c>
      <c r="P420" s="9"/>
      <c r="Q420" s="7">
        <v>0</v>
      </c>
      <c r="R420" s="8">
        <f>IFERROR(Q420/Q445, "NA")</f>
        <v>0</v>
      </c>
      <c r="S420" s="9"/>
      <c r="T420" s="7">
        <v>0</v>
      </c>
      <c r="U420" s="8">
        <f>IFERROR(T420/T445, "NA")</f>
        <v>0</v>
      </c>
      <c r="V420" s="9"/>
      <c r="W420" s="10">
        <f t="shared" si="102"/>
        <v>0</v>
      </c>
      <c r="X420" s="8">
        <f>IFERROR(W420/W445, "NA")</f>
        <v>0</v>
      </c>
      <c r="Y420" s="9"/>
      <c r="Z420" s="7">
        <v>0</v>
      </c>
      <c r="AA420" s="8">
        <f>IFERROR(Z420/Z445, "NA")</f>
        <v>0</v>
      </c>
      <c r="AB420" s="9"/>
      <c r="AC420" s="10">
        <f t="shared" si="103"/>
        <v>0</v>
      </c>
      <c r="AD420" s="8">
        <f>IFERROR(AC420/AC445,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IFERROR(B421/B445, "NA")</f>
        <v>0</v>
      </c>
      <c r="D421" s="9"/>
      <c r="E421" s="7">
        <v>0</v>
      </c>
      <c r="F421" s="8">
        <f>IFERROR(E421/E445, "NA")</f>
        <v>0</v>
      </c>
      <c r="G421" s="9"/>
      <c r="H421" s="10">
        <f t="shared" si="100"/>
        <v>0</v>
      </c>
      <c r="I421" s="8">
        <f>IFERROR(H421/H445, "NA")</f>
        <v>0</v>
      </c>
      <c r="J421" s="9"/>
      <c r="K421" s="7">
        <v>0</v>
      </c>
      <c r="L421" s="8">
        <f>IFERROR(K421/K445, "NA")</f>
        <v>0</v>
      </c>
      <c r="M421" s="9"/>
      <c r="N421" s="10">
        <f t="shared" si="101"/>
        <v>0</v>
      </c>
      <c r="O421" s="8">
        <f>IFERROR(N421/N445, "NA")</f>
        <v>0</v>
      </c>
      <c r="P421" s="9"/>
      <c r="Q421" s="7">
        <v>0</v>
      </c>
      <c r="R421" s="8">
        <f>IFERROR(Q421/Q445, "NA")</f>
        <v>0</v>
      </c>
      <c r="S421" s="9"/>
      <c r="T421" s="7">
        <v>0</v>
      </c>
      <c r="U421" s="8">
        <f>IFERROR(T421/T445, "NA")</f>
        <v>0</v>
      </c>
      <c r="V421" s="9"/>
      <c r="W421" s="10">
        <f t="shared" si="102"/>
        <v>0</v>
      </c>
      <c r="X421" s="8">
        <f>IFERROR(W421/W445, "NA")</f>
        <v>0</v>
      </c>
      <c r="Y421" s="9"/>
      <c r="Z421" s="7">
        <v>0</v>
      </c>
      <c r="AA421" s="8">
        <f>IFERROR(Z421/Z445, "NA")</f>
        <v>0</v>
      </c>
      <c r="AB421" s="9"/>
      <c r="AC421" s="10">
        <f t="shared" si="103"/>
        <v>0</v>
      </c>
      <c r="AD421" s="8">
        <f>IFERROR(AC421/AC445,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IFERROR(B422/B445, "NA")</f>
        <v>0</v>
      </c>
      <c r="D422" s="9"/>
      <c r="E422" s="7">
        <v>0</v>
      </c>
      <c r="F422" s="8">
        <f>IFERROR(E422/E445, "NA")</f>
        <v>0</v>
      </c>
      <c r="G422" s="9"/>
      <c r="H422" s="10">
        <f t="shared" si="100"/>
        <v>0</v>
      </c>
      <c r="I422" s="8">
        <f>IFERROR(H422/H445, "NA")</f>
        <v>0</v>
      </c>
      <c r="J422" s="9"/>
      <c r="K422" s="7">
        <v>0</v>
      </c>
      <c r="L422" s="8">
        <f>IFERROR(K422/K445, "NA")</f>
        <v>0</v>
      </c>
      <c r="M422" s="9"/>
      <c r="N422" s="10">
        <f t="shared" si="101"/>
        <v>0</v>
      </c>
      <c r="O422" s="8">
        <f>IFERROR(N422/N445, "NA")</f>
        <v>0</v>
      </c>
      <c r="P422" s="9"/>
      <c r="Q422" s="7">
        <v>0</v>
      </c>
      <c r="R422" s="8">
        <f>IFERROR(Q422/Q445, "NA")</f>
        <v>0</v>
      </c>
      <c r="S422" s="9"/>
      <c r="T422" s="7">
        <v>0</v>
      </c>
      <c r="U422" s="8">
        <f>IFERROR(T422/T445, "NA")</f>
        <v>0</v>
      </c>
      <c r="V422" s="9"/>
      <c r="W422" s="10">
        <f t="shared" si="102"/>
        <v>0</v>
      </c>
      <c r="X422" s="8">
        <f>IFERROR(W422/W445, "NA")</f>
        <v>0</v>
      </c>
      <c r="Y422" s="9"/>
      <c r="Z422" s="7">
        <v>0</v>
      </c>
      <c r="AA422" s="8">
        <f>IFERROR(Z422/Z445, "NA")</f>
        <v>0</v>
      </c>
      <c r="AB422" s="9"/>
      <c r="AC422" s="10">
        <f t="shared" si="103"/>
        <v>0</v>
      </c>
      <c r="AD422" s="8">
        <f>IFERROR(AC422/AC445,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IFERROR(B423/B445, "NA")</f>
        <v>0</v>
      </c>
      <c r="D423" s="9"/>
      <c r="E423" s="7">
        <v>0</v>
      </c>
      <c r="F423" s="8">
        <f>IFERROR(E423/E445, "NA")</f>
        <v>0</v>
      </c>
      <c r="G423" s="9"/>
      <c r="H423" s="10">
        <f t="shared" si="100"/>
        <v>0</v>
      </c>
      <c r="I423" s="8">
        <f>IFERROR(H423/H445, "NA")</f>
        <v>0</v>
      </c>
      <c r="J423" s="9"/>
      <c r="K423" s="7">
        <v>0</v>
      </c>
      <c r="L423" s="8">
        <f>IFERROR(K423/K445, "NA")</f>
        <v>0</v>
      </c>
      <c r="M423" s="9"/>
      <c r="N423" s="10">
        <f t="shared" si="101"/>
        <v>0</v>
      </c>
      <c r="O423" s="8">
        <f>IFERROR(N423/N445, "NA")</f>
        <v>0</v>
      </c>
      <c r="P423" s="9"/>
      <c r="Q423" s="7">
        <v>0</v>
      </c>
      <c r="R423" s="8">
        <f>IFERROR(Q423/Q445, "NA")</f>
        <v>0</v>
      </c>
      <c r="S423" s="9"/>
      <c r="T423" s="7">
        <v>0</v>
      </c>
      <c r="U423" s="8">
        <f>IFERROR(T423/T445, "NA")</f>
        <v>0</v>
      </c>
      <c r="V423" s="9"/>
      <c r="W423" s="10">
        <f t="shared" si="102"/>
        <v>0</v>
      </c>
      <c r="X423" s="8">
        <f>IFERROR(W423/W445, "NA")</f>
        <v>0</v>
      </c>
      <c r="Y423" s="9"/>
      <c r="Z423" s="7">
        <v>0</v>
      </c>
      <c r="AA423" s="8">
        <f>IFERROR(Z423/Z445, "NA")</f>
        <v>0</v>
      </c>
      <c r="AB423" s="9"/>
      <c r="AC423" s="10">
        <f t="shared" si="103"/>
        <v>0</v>
      </c>
      <c r="AD423" s="8">
        <f>IFERROR(AC423/AC445,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IFERROR(B424/B445, "NA")</f>
        <v>0</v>
      </c>
      <c r="D424" s="9"/>
      <c r="E424" s="7">
        <v>0</v>
      </c>
      <c r="F424" s="8">
        <f>IFERROR(E424/E445, "NA")</f>
        <v>0</v>
      </c>
      <c r="G424" s="9"/>
      <c r="H424" s="10">
        <f t="shared" si="100"/>
        <v>0</v>
      </c>
      <c r="I424" s="8">
        <f>IFERROR(H424/H445, "NA")</f>
        <v>0</v>
      </c>
      <c r="J424" s="9"/>
      <c r="K424" s="7">
        <v>0</v>
      </c>
      <c r="L424" s="8">
        <f>IFERROR(K424/K445, "NA")</f>
        <v>0</v>
      </c>
      <c r="M424" s="9"/>
      <c r="N424" s="10">
        <f t="shared" si="101"/>
        <v>0</v>
      </c>
      <c r="O424" s="8">
        <f>IFERROR(N424/N445, "NA")</f>
        <v>0</v>
      </c>
      <c r="P424" s="9"/>
      <c r="Q424" s="7">
        <v>0</v>
      </c>
      <c r="R424" s="8">
        <f>IFERROR(Q424/Q445, "NA")</f>
        <v>0</v>
      </c>
      <c r="S424" s="9"/>
      <c r="T424" s="7">
        <v>0</v>
      </c>
      <c r="U424" s="8">
        <f>IFERROR(T424/T445, "NA")</f>
        <v>0</v>
      </c>
      <c r="V424" s="9"/>
      <c r="W424" s="10">
        <f t="shared" si="102"/>
        <v>0</v>
      </c>
      <c r="X424" s="8">
        <f>IFERROR(W424/W445, "NA")</f>
        <v>0</v>
      </c>
      <c r="Y424" s="9"/>
      <c r="Z424" s="7">
        <v>0</v>
      </c>
      <c r="AA424" s="8">
        <f>IFERROR(Z424/Z445, "NA")</f>
        <v>0</v>
      </c>
      <c r="AB424" s="9"/>
      <c r="AC424" s="10">
        <f t="shared" si="103"/>
        <v>0</v>
      </c>
      <c r="AD424" s="8">
        <f>IFERROR(AC424/AC445,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IFERROR(B425/B445, "NA")</f>
        <v>0</v>
      </c>
      <c r="D425" s="9"/>
      <c r="E425" s="7">
        <v>0</v>
      </c>
      <c r="F425" s="8">
        <f>IFERROR(E425/E445, "NA")</f>
        <v>0</v>
      </c>
      <c r="G425" s="9"/>
      <c r="H425" s="10">
        <f t="shared" si="100"/>
        <v>0</v>
      </c>
      <c r="I425" s="8">
        <f>IFERROR(H425/H445, "NA")</f>
        <v>0</v>
      </c>
      <c r="J425" s="9"/>
      <c r="K425" s="7">
        <v>0</v>
      </c>
      <c r="L425" s="8">
        <f>IFERROR(K425/K445, "NA")</f>
        <v>0</v>
      </c>
      <c r="M425" s="9"/>
      <c r="N425" s="10">
        <f t="shared" si="101"/>
        <v>0</v>
      </c>
      <c r="O425" s="8">
        <f>IFERROR(N425/N445, "NA")</f>
        <v>0</v>
      </c>
      <c r="P425" s="9"/>
      <c r="Q425" s="7">
        <v>0</v>
      </c>
      <c r="R425" s="8">
        <f>IFERROR(Q425/Q445, "NA")</f>
        <v>0</v>
      </c>
      <c r="S425" s="9"/>
      <c r="T425" s="7">
        <v>0</v>
      </c>
      <c r="U425" s="8">
        <f>IFERROR(T425/T445, "NA")</f>
        <v>0</v>
      </c>
      <c r="V425" s="9"/>
      <c r="W425" s="10">
        <f t="shared" si="102"/>
        <v>0</v>
      </c>
      <c r="X425" s="8">
        <f>IFERROR(W425/W445, "NA")</f>
        <v>0</v>
      </c>
      <c r="Y425" s="9"/>
      <c r="Z425" s="7">
        <v>0</v>
      </c>
      <c r="AA425" s="8">
        <f>IFERROR(Z425/Z445, "NA")</f>
        <v>0</v>
      </c>
      <c r="AB425" s="9"/>
      <c r="AC425" s="10">
        <f t="shared" si="103"/>
        <v>0</v>
      </c>
      <c r="AD425" s="8">
        <f>IFERROR(AC425/AC445,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IFERROR(B426/B445, "NA")</f>
        <v>0</v>
      </c>
      <c r="D426" s="9"/>
      <c r="E426" s="7">
        <v>0</v>
      </c>
      <c r="F426" s="8">
        <f>IFERROR(E426/E445, "NA")</f>
        <v>0</v>
      </c>
      <c r="G426" s="9"/>
      <c r="H426" s="10">
        <f t="shared" si="100"/>
        <v>0</v>
      </c>
      <c r="I426" s="8">
        <f>IFERROR(H426/H445, "NA")</f>
        <v>0</v>
      </c>
      <c r="J426" s="9"/>
      <c r="K426" s="7">
        <v>0</v>
      </c>
      <c r="L426" s="8">
        <f>IFERROR(K426/K445, "NA")</f>
        <v>0</v>
      </c>
      <c r="M426" s="9"/>
      <c r="N426" s="10">
        <f t="shared" si="101"/>
        <v>0</v>
      </c>
      <c r="O426" s="8">
        <f>IFERROR(N426/N445, "NA")</f>
        <v>0</v>
      </c>
      <c r="P426" s="9"/>
      <c r="Q426" s="7">
        <v>0</v>
      </c>
      <c r="R426" s="8">
        <f>IFERROR(Q426/Q445, "NA")</f>
        <v>0</v>
      </c>
      <c r="S426" s="9"/>
      <c r="T426" s="7">
        <v>0</v>
      </c>
      <c r="U426" s="8">
        <f>IFERROR(T426/T445, "NA")</f>
        <v>0</v>
      </c>
      <c r="V426" s="9"/>
      <c r="W426" s="10">
        <f t="shared" si="102"/>
        <v>0</v>
      </c>
      <c r="X426" s="8">
        <f>IFERROR(W426/W445, "NA")</f>
        <v>0</v>
      </c>
      <c r="Y426" s="9"/>
      <c r="Z426" s="7">
        <v>0</v>
      </c>
      <c r="AA426" s="8">
        <f>IFERROR(Z426/Z445, "NA")</f>
        <v>0</v>
      </c>
      <c r="AB426" s="9"/>
      <c r="AC426" s="10">
        <f t="shared" si="103"/>
        <v>0</v>
      </c>
      <c r="AD426" s="8">
        <f>IFERROR(AC426/AC445,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IFERROR(B427/B445, "NA")</f>
        <v>0</v>
      </c>
      <c r="D427" s="9"/>
      <c r="E427" s="7">
        <v>0</v>
      </c>
      <c r="F427" s="8">
        <f>IFERROR(E427/E445, "NA")</f>
        <v>0</v>
      </c>
      <c r="G427" s="9"/>
      <c r="H427" s="10">
        <f t="shared" si="100"/>
        <v>0</v>
      </c>
      <c r="I427" s="8">
        <f>IFERROR(H427/H445, "NA")</f>
        <v>0</v>
      </c>
      <c r="J427" s="9"/>
      <c r="K427" s="7">
        <v>0</v>
      </c>
      <c r="L427" s="8">
        <f>IFERROR(K427/K445, "NA")</f>
        <v>0</v>
      </c>
      <c r="M427" s="9"/>
      <c r="N427" s="10">
        <f t="shared" si="101"/>
        <v>0</v>
      </c>
      <c r="O427" s="8">
        <f>IFERROR(N427/N445, "NA")</f>
        <v>0</v>
      </c>
      <c r="P427" s="9"/>
      <c r="Q427" s="7">
        <v>0</v>
      </c>
      <c r="R427" s="8">
        <f>IFERROR(Q427/Q445, "NA")</f>
        <v>0</v>
      </c>
      <c r="S427" s="9"/>
      <c r="T427" s="7">
        <v>0</v>
      </c>
      <c r="U427" s="8">
        <f>IFERROR(T427/T445, "NA")</f>
        <v>0</v>
      </c>
      <c r="V427" s="9"/>
      <c r="W427" s="10">
        <f t="shared" si="102"/>
        <v>0</v>
      </c>
      <c r="X427" s="8">
        <f>IFERROR(W427/W445, "NA")</f>
        <v>0</v>
      </c>
      <c r="Y427" s="9"/>
      <c r="Z427" s="7">
        <v>0</v>
      </c>
      <c r="AA427" s="8">
        <f>IFERROR(Z427/Z445, "NA")</f>
        <v>0</v>
      </c>
      <c r="AB427" s="9"/>
      <c r="AC427" s="10">
        <f t="shared" si="103"/>
        <v>0</v>
      </c>
      <c r="AD427" s="8">
        <f>IFERROR(AC427/AC445, "NA")</f>
        <v>0</v>
      </c>
    </row>
    <row r="428" spans="1:30" ht="16.5" hidden="1" customHeight="1" x14ac:dyDescent="0.45">
      <c r="A428" s="6" t="s">
        <v>393</v>
      </c>
      <c r="B428" s="7">
        <v>0</v>
      </c>
      <c r="C428" s="8">
        <f>IFERROR(B428/B445, "NA")</f>
        <v>0</v>
      </c>
      <c r="D428" s="9"/>
      <c r="E428" s="7">
        <v>0</v>
      </c>
      <c r="F428" s="8">
        <f>IFERROR(E428/E445, "NA")</f>
        <v>0</v>
      </c>
      <c r="G428" s="9"/>
      <c r="H428" s="10">
        <f t="shared" si="100"/>
        <v>0</v>
      </c>
      <c r="I428" s="8">
        <f>IFERROR(H428/H445, "NA")</f>
        <v>0</v>
      </c>
      <c r="J428" s="9"/>
      <c r="K428" s="7">
        <v>0</v>
      </c>
      <c r="L428" s="8">
        <f>IFERROR(K428/K445, "NA")</f>
        <v>0</v>
      </c>
      <c r="M428" s="9"/>
      <c r="N428" s="10">
        <f t="shared" si="101"/>
        <v>0</v>
      </c>
      <c r="O428" s="8">
        <f>IFERROR(N428/N445, "NA")</f>
        <v>0</v>
      </c>
      <c r="P428" s="9"/>
      <c r="Q428" s="7">
        <v>0</v>
      </c>
      <c r="R428" s="8">
        <f>IFERROR(Q428/Q445, "NA")</f>
        <v>0</v>
      </c>
      <c r="S428" s="9"/>
      <c r="T428" s="7">
        <v>0</v>
      </c>
      <c r="U428" s="8">
        <f>IFERROR(T428/T445, "NA")</f>
        <v>0</v>
      </c>
      <c r="V428" s="9"/>
      <c r="W428" s="10">
        <f t="shared" si="102"/>
        <v>0</v>
      </c>
      <c r="X428" s="8">
        <f>IFERROR(W428/W445, "NA")</f>
        <v>0</v>
      </c>
      <c r="Y428" s="9"/>
      <c r="Z428" s="7">
        <v>0</v>
      </c>
      <c r="AA428" s="8">
        <f>IFERROR(Z428/Z445, "NA")</f>
        <v>0</v>
      </c>
      <c r="AB428" s="9"/>
      <c r="AC428" s="10">
        <f t="shared" si="103"/>
        <v>0</v>
      </c>
      <c r="AD428" s="8">
        <f>IFERROR(AC428/AC445, "NA")</f>
        <v>0</v>
      </c>
    </row>
    <row r="429" spans="1:30" ht="16.5" customHeight="1" x14ac:dyDescent="0.45">
      <c r="A429" s="19" t="s">
        <v>394</v>
      </c>
      <c r="B429" s="14">
        <f>IFERROR(B408+B409+B410+B411+B412+B413+B414+B415+B416+B417+B418+B419+B420+B421+B422+B423+B424+B425+B426+B427+B428, "NA")</f>
        <v>8237.14</v>
      </c>
      <c r="C429" s="15">
        <f>IFERROR(B429/B445, "NA")</f>
        <v>6.7709480711551487E-2</v>
      </c>
      <c r="D429" s="2"/>
      <c r="E429" s="14">
        <f>IFERROR(E408+E409+E410+E411+E412+E413+E414+E415+E416+E417+E418+E419+E420+E421+E422+E423+E424+E425+E426+E427+E428, "NA")</f>
        <v>8826.74</v>
      </c>
      <c r="F429" s="15">
        <f>IFERROR(E429/E445, "NA")</f>
        <v>6.1877764716100833E-2</v>
      </c>
      <c r="G429" s="2"/>
      <c r="H429" s="14">
        <f t="shared" si="100"/>
        <v>589.60000000000036</v>
      </c>
      <c r="I429" s="15">
        <f>IFERROR(H429/H445, "NA")</f>
        <v>-2.8084415197784124E-2</v>
      </c>
      <c r="J429" s="2"/>
      <c r="K429" s="14">
        <f>IFERROR(K408+K409+K410+K411+K412+K413+K414+K415+K416+K417+K418+K419+K420+K421+K422+K423+K424+K425+K426+K427+K428, "NA")</f>
        <v>8079.4000000000005</v>
      </c>
      <c r="L429" s="15">
        <f>IFERROR(K429/K445, "NA")</f>
        <v>6.1877796674372869E-2</v>
      </c>
      <c r="M429" s="2"/>
      <c r="N429" s="14">
        <f t="shared" si="101"/>
        <v>-157.73999999999887</v>
      </c>
      <c r="O429" s="15">
        <f>IFERROR(N429/N445, "NA")</f>
        <v>1.7691591615167958E-2</v>
      </c>
      <c r="P429" s="2"/>
      <c r="Q429" s="14">
        <f>IFERROR(Q408+Q409+Q410+Q411+Q412+Q413+Q414+Q415+Q416+Q417+Q418+Q419+Q420+Q421+Q422+Q423+Q424+Q425+Q426+Q427+Q428, "NA")</f>
        <v>42357.520000000004</v>
      </c>
      <c r="R429" s="15">
        <f>IFERROR(Q429/Q445, "NA")</f>
        <v>8.1248568212252875E-2</v>
      </c>
      <c r="S429" s="2"/>
      <c r="T429" s="14">
        <f>IFERROR(T408+T409+T410+T411+T412+T413+T414+T415+T416+T417+T418+T419+T420+T421+T422+T423+T424+T425+T426+T427+T428, "NA")</f>
        <v>42810.58</v>
      </c>
      <c r="U429" s="15">
        <f>IFERROR(T429/T445, "NA")</f>
        <v>7.2158783040154814E-2</v>
      </c>
      <c r="V429" s="2"/>
      <c r="W429" s="14">
        <f t="shared" si="102"/>
        <v>453.05999999999767</v>
      </c>
      <c r="X429" s="15">
        <f>IFERROR(W429/W445, "NA")</f>
        <v>-6.2968290699855827E-3</v>
      </c>
      <c r="Y429" s="2"/>
      <c r="Z429" s="14">
        <f>IFERROR(Z408+Z409+Z410+Z411+Z412+Z413+Z414+Z415+Z416+Z417+Z418+Z419+Z420+Z421+Z422+Z423+Z424+Z425+Z426+Z427+Z428, "NA")</f>
        <v>39979.210000000006</v>
      </c>
      <c r="AA429" s="15">
        <f>IFERROR(Z429/Z445, "NA")</f>
        <v>7.2489001099776698E-2</v>
      </c>
      <c r="AB429" s="2"/>
      <c r="AC429" s="14">
        <f t="shared" si="103"/>
        <v>-2378.3099999999977</v>
      </c>
      <c r="AD429" s="15">
        <f>IFERROR(AC429/AC445, "NA")</f>
        <v>7.8781882131431155E-2</v>
      </c>
    </row>
    <row r="430" spans="1:30" ht="16.5" customHeight="1" x14ac:dyDescent="0.45">
      <c r="A430" s="21" t="s">
        <v>395</v>
      </c>
      <c r="B430" s="14">
        <f>IFERROR(B408+B409+B410+B411+B412+B413+B414+B415+B416+B417+B418+B419+B420+B421+B422+B423+B424+B425+B426+B427+B428, "NA")</f>
        <v>8237.14</v>
      </c>
      <c r="C430" s="15">
        <f>IFERROR(B430/B445, "NA")</f>
        <v>6.7709480711551487E-2</v>
      </c>
      <c r="D430" s="2"/>
      <c r="E430" s="14">
        <f>IFERROR(E408+E409+E410+E411+E412+E413+E414+E415+E416+E417+E418+E419+E420+E421+E422+E423+E424+E425+E426+E427+E428, "NA")</f>
        <v>8826.74</v>
      </c>
      <c r="F430" s="15">
        <f>IFERROR(E430/E445, "NA")</f>
        <v>6.1877764716100833E-2</v>
      </c>
      <c r="G430" s="2"/>
      <c r="H430" s="14">
        <f t="shared" si="100"/>
        <v>589.60000000000036</v>
      </c>
      <c r="I430" s="15">
        <f>IFERROR(H430/H445, "NA")</f>
        <v>-2.8084415197784124E-2</v>
      </c>
      <c r="J430" s="2"/>
      <c r="K430" s="14">
        <f>IFERROR(K408+K409+K410+K411+K412+K413+K414+K415+K416+K417+K418+K419+K420+K421+K422+K423+K424+K425+K426+K427+K428, "NA")</f>
        <v>8079.4000000000005</v>
      </c>
      <c r="L430" s="15">
        <f>IFERROR(K430/K445, "NA")</f>
        <v>6.1877796674372869E-2</v>
      </c>
      <c r="M430" s="2"/>
      <c r="N430" s="14">
        <f t="shared" si="101"/>
        <v>-157.73999999999887</v>
      </c>
      <c r="O430" s="15">
        <f>IFERROR(N430/N445, "NA")</f>
        <v>1.7691591615167958E-2</v>
      </c>
      <c r="P430" s="2"/>
      <c r="Q430" s="14">
        <f>IFERROR(Q408+Q409+Q410+Q411+Q412+Q413+Q414+Q415+Q416+Q417+Q418+Q419+Q420+Q421+Q422+Q423+Q424+Q425+Q426+Q427+Q428, "NA")</f>
        <v>42357.520000000004</v>
      </c>
      <c r="R430" s="15">
        <f>IFERROR(Q430/Q445, "NA")</f>
        <v>8.1248568212252875E-2</v>
      </c>
      <c r="S430" s="2"/>
      <c r="T430" s="14">
        <f>IFERROR(T408+T409+T410+T411+T412+T413+T414+T415+T416+T417+T418+T419+T420+T421+T422+T423+T424+T425+T426+T427+T428, "NA")</f>
        <v>42810.58</v>
      </c>
      <c r="U430" s="15">
        <f>IFERROR(T430/T445, "NA")</f>
        <v>7.2158783040154814E-2</v>
      </c>
      <c r="V430" s="2"/>
      <c r="W430" s="14">
        <f t="shared" si="102"/>
        <v>453.05999999999767</v>
      </c>
      <c r="X430" s="15">
        <f>IFERROR(W430/W445, "NA")</f>
        <v>-6.2968290699855827E-3</v>
      </c>
      <c r="Y430" s="2"/>
      <c r="Z430" s="14">
        <f>IFERROR(Z408+Z409+Z410+Z411+Z412+Z413+Z414+Z415+Z416+Z417+Z418+Z419+Z420+Z421+Z422+Z423+Z424+Z425+Z426+Z427+Z428, "NA")</f>
        <v>39979.210000000006</v>
      </c>
      <c r="AA430" s="15">
        <f>IFERROR(Z430/Z445, "NA")</f>
        <v>7.2489001099776698E-2</v>
      </c>
      <c r="AB430" s="2"/>
      <c r="AC430" s="14">
        <f t="shared" si="103"/>
        <v>-2378.3099999999977</v>
      </c>
      <c r="AD430" s="15">
        <f>IFERROR(AC430/AC445, "NA")</f>
        <v>7.8781882131431155E-2</v>
      </c>
    </row>
    <row r="431" spans="1:30" ht="16.5" customHeight="1" x14ac:dyDescent="0.45">
      <c r="A431" s="1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customHeight="1" x14ac:dyDescent="0.45">
      <c r="A432" s="5" t="s">
        <v>397</v>
      </c>
      <c r="B432" s="2"/>
      <c r="C432" s="3"/>
      <c r="D432" s="4"/>
      <c r="E432" s="2"/>
      <c r="F432" s="3"/>
      <c r="G432" s="4"/>
      <c r="H432" s="2"/>
      <c r="I432" s="3"/>
      <c r="J432" s="4"/>
      <c r="K432" s="2"/>
      <c r="L432" s="3"/>
      <c r="M432" s="4"/>
      <c r="N432" s="2"/>
      <c r="O432" s="3"/>
      <c r="P432" s="4"/>
      <c r="Q432" s="2"/>
      <c r="R432" s="3"/>
      <c r="S432" s="4"/>
      <c r="T432" s="2"/>
      <c r="U432" s="3"/>
      <c r="V432" s="4"/>
      <c r="W432" s="2"/>
      <c r="X432" s="3"/>
      <c r="Y432" s="4"/>
      <c r="Z432" s="2"/>
      <c r="AA432" s="3"/>
      <c r="AB432" s="4"/>
      <c r="AC432" s="2"/>
      <c r="AD432" s="3"/>
    </row>
    <row r="433" spans="1:30" ht="16.5" hidden="1" customHeight="1" x14ac:dyDescent="0.45">
      <c r="A433" s="6" t="s">
        <v>397</v>
      </c>
      <c r="B433" s="7">
        <v>0</v>
      </c>
      <c r="C433" s="8">
        <f>IFERROR(B433/B445, "NA")</f>
        <v>0</v>
      </c>
      <c r="D433" s="9"/>
      <c r="E433" s="7">
        <v>0</v>
      </c>
      <c r="F433" s="8">
        <f>IFERROR(E433/E445, "NA")</f>
        <v>0</v>
      </c>
      <c r="G433" s="9"/>
      <c r="H433" s="10">
        <f t="shared" ref="H433:H443" si="104">IFERROR(-(B433-E433), "NA")</f>
        <v>0</v>
      </c>
      <c r="I433" s="8">
        <f>IFERROR(H433/H445, "NA")</f>
        <v>0</v>
      </c>
      <c r="J433" s="9"/>
      <c r="K433" s="7">
        <v>0</v>
      </c>
      <c r="L433" s="8">
        <f>IFERROR(K433/K445, "NA")</f>
        <v>0</v>
      </c>
      <c r="M433" s="9"/>
      <c r="N433" s="10">
        <f t="shared" ref="N433:N443" si="105">IFERROR(-(B433-K433), "NA")</f>
        <v>0</v>
      </c>
      <c r="O433" s="8">
        <f>IFERROR(N433/N445, "NA")</f>
        <v>0</v>
      </c>
      <c r="P433" s="9"/>
      <c r="Q433" s="7">
        <v>0</v>
      </c>
      <c r="R433" s="8">
        <f>IFERROR(Q433/Q445, "NA")</f>
        <v>0</v>
      </c>
      <c r="S433" s="9"/>
      <c r="T433" s="7">
        <v>0</v>
      </c>
      <c r="U433" s="8">
        <f>IFERROR(T433/T445, "NA")</f>
        <v>0</v>
      </c>
      <c r="V433" s="9"/>
      <c r="W433" s="10">
        <f t="shared" ref="W433:W443" si="106">IFERROR(-(Q433-T433), "NA")</f>
        <v>0</v>
      </c>
      <c r="X433" s="8">
        <f>IFERROR(W433/W445, "NA")</f>
        <v>0</v>
      </c>
      <c r="Y433" s="9"/>
      <c r="Z433" s="7">
        <v>0</v>
      </c>
      <c r="AA433" s="8">
        <f>IFERROR(Z433/Z445, "NA")</f>
        <v>0</v>
      </c>
      <c r="AB433" s="9"/>
      <c r="AC433" s="10">
        <f t="shared" ref="AC433:AC443" si="107">IFERROR(-(Q433-Z433), "NA")</f>
        <v>0</v>
      </c>
      <c r="AD433" s="8">
        <f>IFERROR(AC433/AC445,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IFERROR(B434/B445, "NA")</f>
        <v>0</v>
      </c>
      <c r="D434" s="9"/>
      <c r="E434" s="7">
        <v>0</v>
      </c>
      <c r="F434" s="8">
        <f>IFERROR(E434/E445, "NA")</f>
        <v>0</v>
      </c>
      <c r="G434" s="9"/>
      <c r="H434" s="10">
        <f t="shared" si="104"/>
        <v>0</v>
      </c>
      <c r="I434" s="8">
        <f>IFERROR(H434/H445, "NA")</f>
        <v>0</v>
      </c>
      <c r="J434" s="9"/>
      <c r="K434" s="7">
        <v>0</v>
      </c>
      <c r="L434" s="8">
        <f>IFERROR(K434/K445, "NA")</f>
        <v>0</v>
      </c>
      <c r="M434" s="9"/>
      <c r="N434" s="10">
        <f t="shared" si="105"/>
        <v>0</v>
      </c>
      <c r="O434" s="8">
        <f>IFERROR(N434/N445, "NA")</f>
        <v>0</v>
      </c>
      <c r="P434" s="9"/>
      <c r="Q434" s="7">
        <v>0</v>
      </c>
      <c r="R434" s="8">
        <f>IFERROR(Q434/Q445, "NA")</f>
        <v>0</v>
      </c>
      <c r="S434" s="9"/>
      <c r="T434" s="7">
        <v>0</v>
      </c>
      <c r="U434" s="8">
        <f>IFERROR(T434/T445, "NA")</f>
        <v>0</v>
      </c>
      <c r="V434" s="9"/>
      <c r="W434" s="10">
        <f t="shared" si="106"/>
        <v>0</v>
      </c>
      <c r="X434" s="8">
        <f>IFERROR(W434/W445, "NA")</f>
        <v>0</v>
      </c>
      <c r="Y434" s="9"/>
      <c r="Z434" s="7">
        <v>0</v>
      </c>
      <c r="AA434" s="8">
        <f>IFERROR(Z434/Z445, "NA")</f>
        <v>0</v>
      </c>
      <c r="AB434" s="9"/>
      <c r="AC434" s="10">
        <f t="shared" si="107"/>
        <v>0</v>
      </c>
      <c r="AD434" s="8">
        <f>IFERROR(AC434/AC445,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IFERROR(B435/B445, "NA")</f>
        <v>0</v>
      </c>
      <c r="D435" s="9"/>
      <c r="E435" s="7">
        <v>0</v>
      </c>
      <c r="F435" s="8">
        <f>IFERROR(E435/E445, "NA")</f>
        <v>0</v>
      </c>
      <c r="G435" s="9"/>
      <c r="H435" s="10">
        <f t="shared" si="104"/>
        <v>0</v>
      </c>
      <c r="I435" s="8">
        <f>IFERROR(H435/H445, "NA")</f>
        <v>0</v>
      </c>
      <c r="J435" s="9"/>
      <c r="K435" s="7">
        <v>0</v>
      </c>
      <c r="L435" s="8">
        <f>IFERROR(K435/K445, "NA")</f>
        <v>0</v>
      </c>
      <c r="M435" s="9"/>
      <c r="N435" s="10">
        <f t="shared" si="105"/>
        <v>0</v>
      </c>
      <c r="O435" s="8">
        <f>IFERROR(N435/N445, "NA")</f>
        <v>0</v>
      </c>
      <c r="P435" s="9"/>
      <c r="Q435" s="7">
        <v>0</v>
      </c>
      <c r="R435" s="8">
        <f>IFERROR(Q435/Q445, "NA")</f>
        <v>0</v>
      </c>
      <c r="S435" s="9"/>
      <c r="T435" s="7">
        <v>0</v>
      </c>
      <c r="U435" s="8">
        <f>IFERROR(T435/T445, "NA")</f>
        <v>0</v>
      </c>
      <c r="V435" s="9"/>
      <c r="W435" s="10">
        <f t="shared" si="106"/>
        <v>0</v>
      </c>
      <c r="X435" s="8">
        <f>IFERROR(W435/W445, "NA")</f>
        <v>0</v>
      </c>
      <c r="Y435" s="9"/>
      <c r="Z435" s="7">
        <v>0</v>
      </c>
      <c r="AA435" s="8">
        <f>IFERROR(Z435/Z445, "NA")</f>
        <v>0</v>
      </c>
      <c r="AB435" s="9"/>
      <c r="AC435" s="10">
        <f t="shared" si="107"/>
        <v>0</v>
      </c>
      <c r="AD435" s="8">
        <f>IFERROR(AC435/AC445,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IFERROR(B436/B445, "NA")</f>
        <v>0</v>
      </c>
      <c r="D436" s="9"/>
      <c r="E436" s="7">
        <v>0</v>
      </c>
      <c r="F436" s="8">
        <f>IFERROR(E436/E445, "NA")</f>
        <v>0</v>
      </c>
      <c r="G436" s="9"/>
      <c r="H436" s="10">
        <f t="shared" si="104"/>
        <v>0</v>
      </c>
      <c r="I436" s="8">
        <f>IFERROR(H436/H445, "NA")</f>
        <v>0</v>
      </c>
      <c r="J436" s="9"/>
      <c r="K436" s="7">
        <v>0</v>
      </c>
      <c r="L436" s="8">
        <f>IFERROR(K436/K445, "NA")</f>
        <v>0</v>
      </c>
      <c r="M436" s="9"/>
      <c r="N436" s="10">
        <f t="shared" si="105"/>
        <v>0</v>
      </c>
      <c r="O436" s="8">
        <f>IFERROR(N436/N445, "NA")</f>
        <v>0</v>
      </c>
      <c r="P436" s="9"/>
      <c r="Q436" s="7">
        <v>0</v>
      </c>
      <c r="R436" s="8">
        <f>IFERROR(Q436/Q445, "NA")</f>
        <v>0</v>
      </c>
      <c r="S436" s="9"/>
      <c r="T436" s="7">
        <v>0</v>
      </c>
      <c r="U436" s="8">
        <f>IFERROR(T436/T445, "NA")</f>
        <v>0</v>
      </c>
      <c r="V436" s="9"/>
      <c r="W436" s="10">
        <f t="shared" si="106"/>
        <v>0</v>
      </c>
      <c r="X436" s="8">
        <f>IFERROR(W436/W445, "NA")</f>
        <v>0</v>
      </c>
      <c r="Y436" s="9"/>
      <c r="Z436" s="7">
        <v>0</v>
      </c>
      <c r="AA436" s="8">
        <f>IFERROR(Z436/Z445, "NA")</f>
        <v>0</v>
      </c>
      <c r="AB436" s="9"/>
      <c r="AC436" s="10">
        <f t="shared" si="107"/>
        <v>0</v>
      </c>
      <c r="AD436" s="8">
        <f>IFERROR(AC436/AC445,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IFERROR(B437/B445, "NA")</f>
        <v>0</v>
      </c>
      <c r="D437" s="9"/>
      <c r="E437" s="7">
        <v>0</v>
      </c>
      <c r="F437" s="8">
        <f>IFERROR(E437/E445, "NA")</f>
        <v>0</v>
      </c>
      <c r="G437" s="9"/>
      <c r="H437" s="10">
        <f t="shared" si="104"/>
        <v>0</v>
      </c>
      <c r="I437" s="8">
        <f>IFERROR(H437/H445, "NA")</f>
        <v>0</v>
      </c>
      <c r="J437" s="9"/>
      <c r="K437" s="7">
        <v>0</v>
      </c>
      <c r="L437" s="8">
        <f>IFERROR(K437/K445, "NA")</f>
        <v>0</v>
      </c>
      <c r="M437" s="9"/>
      <c r="N437" s="10">
        <f t="shared" si="105"/>
        <v>0</v>
      </c>
      <c r="O437" s="8">
        <f>IFERROR(N437/N445, "NA")</f>
        <v>0</v>
      </c>
      <c r="P437" s="9"/>
      <c r="Q437" s="7">
        <v>0</v>
      </c>
      <c r="R437" s="8">
        <f>IFERROR(Q437/Q445, "NA")</f>
        <v>0</v>
      </c>
      <c r="S437" s="9"/>
      <c r="T437" s="7">
        <v>0</v>
      </c>
      <c r="U437" s="8">
        <f>IFERROR(T437/T445, "NA")</f>
        <v>0</v>
      </c>
      <c r="V437" s="9"/>
      <c r="W437" s="10">
        <f t="shared" si="106"/>
        <v>0</v>
      </c>
      <c r="X437" s="8">
        <f>IFERROR(W437/W445, "NA")</f>
        <v>0</v>
      </c>
      <c r="Y437" s="9"/>
      <c r="Z437" s="7">
        <v>0</v>
      </c>
      <c r="AA437" s="8">
        <f>IFERROR(Z437/Z445, "NA")</f>
        <v>0</v>
      </c>
      <c r="AB437" s="9"/>
      <c r="AC437" s="10">
        <f t="shared" si="107"/>
        <v>0</v>
      </c>
      <c r="AD437" s="8">
        <f>IFERROR(AC437/AC445, "NA")</f>
        <v>0</v>
      </c>
    </row>
    <row r="438" spans="1:30" ht="16.5" hidden="1" customHeight="1" x14ac:dyDescent="0.45">
      <c r="A438" s="6" t="s">
        <v>402</v>
      </c>
      <c r="B438" s="7">
        <v>0</v>
      </c>
      <c r="C438" s="8">
        <f>IFERROR(B438/B445, "NA")</f>
        <v>0</v>
      </c>
      <c r="D438" s="9"/>
      <c r="E438" s="7">
        <v>0</v>
      </c>
      <c r="F438" s="8">
        <f>IFERROR(E438/E445, "NA")</f>
        <v>0</v>
      </c>
      <c r="G438" s="9"/>
      <c r="H438" s="10">
        <f t="shared" si="104"/>
        <v>0</v>
      </c>
      <c r="I438" s="8">
        <f>IFERROR(H438/H445, "NA")</f>
        <v>0</v>
      </c>
      <c r="J438" s="9"/>
      <c r="K438" s="7">
        <v>0</v>
      </c>
      <c r="L438" s="8">
        <f>IFERROR(K438/K445, "NA")</f>
        <v>0</v>
      </c>
      <c r="M438" s="9"/>
      <c r="N438" s="10">
        <f t="shared" si="105"/>
        <v>0</v>
      </c>
      <c r="O438" s="8">
        <f>IFERROR(N438/N445, "NA")</f>
        <v>0</v>
      </c>
      <c r="P438" s="9"/>
      <c r="Q438" s="7">
        <v>0</v>
      </c>
      <c r="R438" s="8">
        <f>IFERROR(Q438/Q445, "NA")</f>
        <v>0</v>
      </c>
      <c r="S438" s="9"/>
      <c r="T438" s="7">
        <v>0</v>
      </c>
      <c r="U438" s="8">
        <f>IFERROR(T438/T445, "NA")</f>
        <v>0</v>
      </c>
      <c r="V438" s="9"/>
      <c r="W438" s="10">
        <f t="shared" si="106"/>
        <v>0</v>
      </c>
      <c r="X438" s="8">
        <f>IFERROR(W438/W445, "NA")</f>
        <v>0</v>
      </c>
      <c r="Y438" s="9"/>
      <c r="Z438" s="7">
        <v>0</v>
      </c>
      <c r="AA438" s="8">
        <f>IFERROR(Z438/Z445, "NA")</f>
        <v>0</v>
      </c>
      <c r="AB438" s="9"/>
      <c r="AC438" s="10">
        <f t="shared" si="107"/>
        <v>0</v>
      </c>
      <c r="AD438" s="8">
        <f>IFERROR(AC438/AC445, "NA")</f>
        <v>0</v>
      </c>
    </row>
    <row r="439" spans="1:30" ht="30.75" hidden="1" customHeight="1" x14ac:dyDescent="0.45">
      <c r="A439" s="6" t="s">
        <v>403</v>
      </c>
      <c r="B439" s="7">
        <v>0</v>
      </c>
      <c r="C439" s="8">
        <f>IFERROR(B439/B445, "NA")</f>
        <v>0</v>
      </c>
      <c r="D439" s="9"/>
      <c r="E439" s="7">
        <v>0</v>
      </c>
      <c r="F439" s="8">
        <f>IFERROR(E439/E445, "NA")</f>
        <v>0</v>
      </c>
      <c r="G439" s="9"/>
      <c r="H439" s="10">
        <f t="shared" si="104"/>
        <v>0</v>
      </c>
      <c r="I439" s="8">
        <f>IFERROR(H439/H445, "NA")</f>
        <v>0</v>
      </c>
      <c r="J439" s="9"/>
      <c r="K439" s="7">
        <v>0</v>
      </c>
      <c r="L439" s="8">
        <f>IFERROR(K439/K445, "NA")</f>
        <v>0</v>
      </c>
      <c r="M439" s="9"/>
      <c r="N439" s="10">
        <f t="shared" si="105"/>
        <v>0</v>
      </c>
      <c r="O439" s="8">
        <f>IFERROR(N439/N445, "NA")</f>
        <v>0</v>
      </c>
      <c r="P439" s="9"/>
      <c r="Q439" s="7">
        <v>0</v>
      </c>
      <c r="R439" s="8">
        <f>IFERROR(Q439/Q445, "NA")</f>
        <v>0</v>
      </c>
      <c r="S439" s="9"/>
      <c r="T439" s="7">
        <v>0</v>
      </c>
      <c r="U439" s="8">
        <f>IFERROR(T439/T445, "NA")</f>
        <v>0</v>
      </c>
      <c r="V439" s="9"/>
      <c r="W439" s="10">
        <f t="shared" si="106"/>
        <v>0</v>
      </c>
      <c r="X439" s="8">
        <f>IFERROR(W439/W445, "NA")</f>
        <v>0</v>
      </c>
      <c r="Y439" s="9"/>
      <c r="Z439" s="7">
        <v>0</v>
      </c>
      <c r="AA439" s="8">
        <f>IFERROR(Z439/Z445, "NA")</f>
        <v>0</v>
      </c>
      <c r="AB439" s="9"/>
      <c r="AC439" s="10">
        <f t="shared" si="107"/>
        <v>0</v>
      </c>
      <c r="AD439" s="8">
        <f>IFERROR(AC439/AC445, "NA")</f>
        <v>0</v>
      </c>
    </row>
    <row r="440" spans="1:30" ht="16.5" hidden="1" customHeight="1" x14ac:dyDescent="0.45">
      <c r="A440" s="6" t="s">
        <v>404</v>
      </c>
      <c r="B440" s="7">
        <v>0</v>
      </c>
      <c r="C440" s="8">
        <f>IFERROR(B440/B445, "NA")</f>
        <v>0</v>
      </c>
      <c r="D440" s="9"/>
      <c r="E440" s="7">
        <v>0</v>
      </c>
      <c r="F440" s="8">
        <f>IFERROR(E440/E445, "NA")</f>
        <v>0</v>
      </c>
      <c r="G440" s="9"/>
      <c r="H440" s="10">
        <f t="shared" si="104"/>
        <v>0</v>
      </c>
      <c r="I440" s="8">
        <f>IFERROR(H440/H445, "NA")</f>
        <v>0</v>
      </c>
      <c r="J440" s="9"/>
      <c r="K440" s="7">
        <v>0</v>
      </c>
      <c r="L440" s="8">
        <f>IFERROR(K440/K445, "NA")</f>
        <v>0</v>
      </c>
      <c r="M440" s="9"/>
      <c r="N440" s="10">
        <f t="shared" si="105"/>
        <v>0</v>
      </c>
      <c r="O440" s="8">
        <f>IFERROR(N440/N445, "NA")</f>
        <v>0</v>
      </c>
      <c r="P440" s="9"/>
      <c r="Q440" s="7">
        <v>0</v>
      </c>
      <c r="R440" s="8">
        <f>IFERROR(Q440/Q445, "NA")</f>
        <v>0</v>
      </c>
      <c r="S440" s="9"/>
      <c r="T440" s="7">
        <v>0</v>
      </c>
      <c r="U440" s="8">
        <f>IFERROR(T440/T445, "NA")</f>
        <v>0</v>
      </c>
      <c r="V440" s="9"/>
      <c r="W440" s="10">
        <f t="shared" si="106"/>
        <v>0</v>
      </c>
      <c r="X440" s="8">
        <f>IFERROR(W440/W445, "NA")</f>
        <v>0</v>
      </c>
      <c r="Y440" s="9"/>
      <c r="Z440" s="7">
        <v>0</v>
      </c>
      <c r="AA440" s="8">
        <f>IFERROR(Z440/Z445, "NA")</f>
        <v>0</v>
      </c>
      <c r="AB440" s="9"/>
      <c r="AC440" s="10">
        <f t="shared" si="107"/>
        <v>0</v>
      </c>
      <c r="AD440" s="8">
        <f>IFERROR(AC440/AC445, "NA")</f>
        <v>0</v>
      </c>
    </row>
    <row r="441" spans="1:30" ht="30.75" hidden="1" customHeight="1" x14ac:dyDescent="0.45">
      <c r="A441" s="6" t="s">
        <v>405</v>
      </c>
      <c r="B441" s="7">
        <v>0</v>
      </c>
      <c r="C441" s="8">
        <f>IFERROR(B441/B445, "NA")</f>
        <v>0</v>
      </c>
      <c r="D441" s="9"/>
      <c r="E441" s="7">
        <v>0</v>
      </c>
      <c r="F441" s="8">
        <f>IFERROR(E441/E445, "NA")</f>
        <v>0</v>
      </c>
      <c r="G441" s="9"/>
      <c r="H441" s="10">
        <f t="shared" si="104"/>
        <v>0</v>
      </c>
      <c r="I441" s="8">
        <f>IFERROR(H441/H445, "NA")</f>
        <v>0</v>
      </c>
      <c r="J441" s="9"/>
      <c r="K441" s="7">
        <v>0</v>
      </c>
      <c r="L441" s="8">
        <f>IFERROR(K441/K445, "NA")</f>
        <v>0</v>
      </c>
      <c r="M441" s="9"/>
      <c r="N441" s="10">
        <f t="shared" si="105"/>
        <v>0</v>
      </c>
      <c r="O441" s="8">
        <f>IFERROR(N441/N445, "NA")</f>
        <v>0</v>
      </c>
      <c r="P441" s="9"/>
      <c r="Q441" s="7">
        <v>0</v>
      </c>
      <c r="R441" s="8">
        <f>IFERROR(Q441/Q445, "NA")</f>
        <v>0</v>
      </c>
      <c r="S441" s="9"/>
      <c r="T441" s="7">
        <v>0</v>
      </c>
      <c r="U441" s="8">
        <f>IFERROR(T441/T445, "NA")</f>
        <v>0</v>
      </c>
      <c r="V441" s="9"/>
      <c r="W441" s="10">
        <f t="shared" si="106"/>
        <v>0</v>
      </c>
      <c r="X441" s="8">
        <f>IFERROR(W441/W445, "NA")</f>
        <v>0</v>
      </c>
      <c r="Y441" s="9"/>
      <c r="Z441" s="7">
        <v>0</v>
      </c>
      <c r="AA441" s="8">
        <f>IFERROR(Z441/Z445, "NA")</f>
        <v>0</v>
      </c>
      <c r="AB441" s="9"/>
      <c r="AC441" s="10">
        <f t="shared" si="107"/>
        <v>0</v>
      </c>
      <c r="AD441" s="8">
        <f>IFERROR(AC441/AC445, "NA")</f>
        <v>0</v>
      </c>
    </row>
    <row r="442" spans="1:30" ht="16.5" customHeight="1" x14ac:dyDescent="0.45">
      <c r="A442" s="19" t="s">
        <v>406</v>
      </c>
      <c r="B442" s="14">
        <f>IFERROR(B433+B434+B435+B436+B437+B438+B439+B440+B441, "NA")</f>
        <v>0</v>
      </c>
      <c r="C442" s="15">
        <f>IFERROR(B442/B445, "NA")</f>
        <v>0</v>
      </c>
      <c r="D442" s="2"/>
      <c r="E442" s="14">
        <f>IFERROR(E433+E434+E435+E436+E437+E438+E439+E440+E441, "NA")</f>
        <v>0</v>
      </c>
      <c r="F442" s="15">
        <f>IFERROR(E442/E445, "NA")</f>
        <v>0</v>
      </c>
      <c r="G442" s="2"/>
      <c r="H442" s="14">
        <f t="shared" si="104"/>
        <v>0</v>
      </c>
      <c r="I442" s="15">
        <f>IFERROR(H442/H445, "NA")</f>
        <v>0</v>
      </c>
      <c r="J442" s="2"/>
      <c r="K442" s="14">
        <f>IFERROR(K433+K434+K435+K436+K437+K438+K439+K440+K441, "NA")</f>
        <v>0</v>
      </c>
      <c r="L442" s="15">
        <f>IFERROR(K442/K445, "NA")</f>
        <v>0</v>
      </c>
      <c r="M442" s="2"/>
      <c r="N442" s="14">
        <f t="shared" si="105"/>
        <v>0</v>
      </c>
      <c r="O442" s="15">
        <f>IFERROR(N442/N445, "NA")</f>
        <v>0</v>
      </c>
      <c r="P442" s="2"/>
      <c r="Q442" s="14">
        <f>IFERROR(Q433+Q434+Q435+Q436+Q437+Q438+Q439+Q440+Q441, "NA")</f>
        <v>0</v>
      </c>
      <c r="R442" s="15">
        <f>IFERROR(Q442/Q445, "NA")</f>
        <v>0</v>
      </c>
      <c r="S442" s="2"/>
      <c r="T442" s="14">
        <f>IFERROR(T433+T434+T435+T436+T437+T438+T439+T440+T441, "NA")</f>
        <v>0</v>
      </c>
      <c r="U442" s="15">
        <f>IFERROR(T442/T445, "NA")</f>
        <v>0</v>
      </c>
      <c r="V442" s="2"/>
      <c r="W442" s="14">
        <f t="shared" si="106"/>
        <v>0</v>
      </c>
      <c r="X442" s="15">
        <f>IFERROR(W442/W445, "NA")</f>
        <v>0</v>
      </c>
      <c r="Y442" s="2"/>
      <c r="Z442" s="14">
        <f>IFERROR(Z433+Z434+Z435+Z436+Z437+Z438+Z439+Z440+Z441, "NA")</f>
        <v>0</v>
      </c>
      <c r="AA442" s="15">
        <f>IFERROR(Z442/Z445, "NA")</f>
        <v>0</v>
      </c>
      <c r="AB442" s="2"/>
      <c r="AC442" s="14">
        <f t="shared" si="107"/>
        <v>0</v>
      </c>
      <c r="AD442" s="15">
        <f>IFERROR(AC442/AC445, "NA")</f>
        <v>0</v>
      </c>
    </row>
    <row r="443" spans="1:30" ht="16.5" customHeight="1" x14ac:dyDescent="0.45">
      <c r="A443" s="21" t="s">
        <v>407</v>
      </c>
      <c r="B443" s="14">
        <f>IFERROR(B433+B434+B435+B436+B437+B438+B439+B440+B441, "NA")</f>
        <v>0</v>
      </c>
      <c r="C443" s="15">
        <f>IFERROR(B443/B445, "NA")</f>
        <v>0</v>
      </c>
      <c r="D443" s="2"/>
      <c r="E443" s="14">
        <f>IFERROR(E433+E434+E435+E436+E437+E438+E439+E440+E441, "NA")</f>
        <v>0</v>
      </c>
      <c r="F443" s="15">
        <f>IFERROR(E443/E445, "NA")</f>
        <v>0</v>
      </c>
      <c r="G443" s="2"/>
      <c r="H443" s="14">
        <f t="shared" si="104"/>
        <v>0</v>
      </c>
      <c r="I443" s="15">
        <f>IFERROR(H443/H445, "NA")</f>
        <v>0</v>
      </c>
      <c r="J443" s="2"/>
      <c r="K443" s="14">
        <f>IFERROR(K433+K434+K435+K436+K437+K438+K439+K440+K441, "NA")</f>
        <v>0</v>
      </c>
      <c r="L443" s="15">
        <f>IFERROR(K443/K445, "NA")</f>
        <v>0</v>
      </c>
      <c r="M443" s="2"/>
      <c r="N443" s="14">
        <f t="shared" si="105"/>
        <v>0</v>
      </c>
      <c r="O443" s="15">
        <f>IFERROR(N443/N445, "NA")</f>
        <v>0</v>
      </c>
      <c r="P443" s="2"/>
      <c r="Q443" s="14">
        <f>IFERROR(Q433+Q434+Q435+Q436+Q437+Q438+Q439+Q440+Q441, "NA")</f>
        <v>0</v>
      </c>
      <c r="R443" s="15">
        <f>IFERROR(Q443/Q445, "NA")</f>
        <v>0</v>
      </c>
      <c r="S443" s="2"/>
      <c r="T443" s="14">
        <f>IFERROR(T433+T434+T435+T436+T437+T438+T439+T440+T441, "NA")</f>
        <v>0</v>
      </c>
      <c r="U443" s="15">
        <f>IFERROR(T443/T445, "NA")</f>
        <v>0</v>
      </c>
      <c r="V443" s="2"/>
      <c r="W443" s="14">
        <f t="shared" si="106"/>
        <v>0</v>
      </c>
      <c r="X443" s="15">
        <f>IFERROR(W443/W445, "NA")</f>
        <v>0</v>
      </c>
      <c r="Y443" s="2"/>
      <c r="Z443" s="14">
        <f>IFERROR(Z433+Z434+Z435+Z436+Z437+Z438+Z439+Z440+Z441, "NA")</f>
        <v>0</v>
      </c>
      <c r="AA443" s="15">
        <f>IFERROR(Z443/Z445, "NA")</f>
        <v>0</v>
      </c>
      <c r="AB443" s="2"/>
      <c r="AC443" s="14">
        <f t="shared" si="107"/>
        <v>0</v>
      </c>
      <c r="AD443" s="15">
        <f>IFERROR(AC443/AC445, "NA")</f>
        <v>0</v>
      </c>
    </row>
    <row r="444" spans="1:30" ht="16.5" customHeight="1" x14ac:dyDescent="0.45">
      <c r="A444" s="22" t="s">
        <v>408</v>
      </c>
      <c r="B444" s="23">
        <f>IFERROR(B405-B430-B443, "NA")</f>
        <v>3045.9700000000339</v>
      </c>
      <c r="C444" s="24">
        <f>IFERROR(B444/B445, "NA")</f>
        <v>2.5037943626424562E-2</v>
      </c>
      <c r="D444" s="25"/>
      <c r="E444" s="23">
        <f>IFERROR(E405-E430-E443, "NA")</f>
        <v>14797.820000000016</v>
      </c>
      <c r="F444" s="24">
        <f>IFERROR(E444/E445, "NA")</f>
        <v>0.1037366031254135</v>
      </c>
      <c r="G444" s="25"/>
      <c r="H444" s="23">
        <f>IFERROR(B444-E444, "NA")</f>
        <v>-11751.849999999982</v>
      </c>
      <c r="I444" s="24">
        <f>IFERROR(H444/H445, "NA")</f>
        <v>0.55977583911478734</v>
      </c>
      <c r="J444" s="25"/>
      <c r="K444" s="23">
        <f>IFERROR(K405-K430-K443, "NA")</f>
        <v>9520.25000000008</v>
      </c>
      <c r="L444" s="24">
        <f>IFERROR(K444/K445, "NA")</f>
        <v>7.2912851670817541E-2</v>
      </c>
      <c r="M444" s="25"/>
      <c r="N444" s="23">
        <f>IFERROR(B444-K444, "NA")</f>
        <v>-6474.2800000000461</v>
      </c>
      <c r="O444" s="24">
        <f>IFERROR(N444/N445, "NA")</f>
        <v>0.72613362344523413</v>
      </c>
      <c r="P444" s="25"/>
      <c r="Q444" s="23">
        <f>IFERROR(Q405-Q430-Q443, "NA")</f>
        <v>-27549.759999999907</v>
      </c>
      <c r="R444" s="24">
        <f>IFERROR(Q444/Q445, "NA")</f>
        <v>-5.284489164122895E-2</v>
      </c>
      <c r="S444" s="25"/>
      <c r="T444" s="23">
        <f>IFERROR(T405-T430-T443, "NA")</f>
        <v>13025.939999999886</v>
      </c>
      <c r="U444" s="24">
        <f>IFERROR(T444/T445, "NA")</f>
        <v>2.1955693624194438E-2</v>
      </c>
      <c r="V444" s="25"/>
      <c r="W444" s="23">
        <f>IFERROR(Q444-T444, "NA")</f>
        <v>-40575.699999999793</v>
      </c>
      <c r="X444" s="24">
        <f>IFERROR(W444/W445, "NA")</f>
        <v>0.56393909701808598</v>
      </c>
      <c r="Y444" s="25"/>
      <c r="Z444" s="23">
        <f>IFERROR(Z405-Z430-Z443, "NA")</f>
        <v>-24879.619999999981</v>
      </c>
      <c r="AA444" s="24">
        <f>IFERROR(Z444/Z445, "NA")</f>
        <v>-4.5110916437368941E-2</v>
      </c>
      <c r="AB444" s="25"/>
      <c r="AC444" s="23">
        <f>IFERROR(Q444-Z444, "NA")</f>
        <v>-2670.1399999999267</v>
      </c>
      <c r="AD444" s="24">
        <f>IFERROR(AC444/AC445, "NA")</f>
        <v>8.8448795470066566E-2</v>
      </c>
    </row>
    <row r="445" spans="1:30" ht="15.75" hidden="1" x14ac:dyDescent="0.45">
      <c r="A445" s="26" t="s">
        <v>117</v>
      </c>
      <c r="B445" s="7">
        <v>121654.16</v>
      </c>
      <c r="C445" s="27"/>
      <c r="D445" s="9"/>
      <c r="E445" s="7">
        <v>142648.01</v>
      </c>
      <c r="F445" s="27"/>
      <c r="G445" s="9"/>
      <c r="H445" s="10">
        <f>IFERROR(B445-E445, "NA")</f>
        <v>-20993.850000000006</v>
      </c>
      <c r="I445" s="27"/>
      <c r="J445" s="9"/>
      <c r="K445" s="7">
        <v>130570.26</v>
      </c>
      <c r="L445" s="27"/>
      <c r="M445" s="9"/>
      <c r="N445" s="10">
        <f>IFERROR(B445-K445, "NA")</f>
        <v>-8916.0999999999913</v>
      </c>
      <c r="O445" s="27"/>
      <c r="P445" s="9"/>
      <c r="Q445" s="7">
        <v>521332.51</v>
      </c>
      <c r="R445" s="27"/>
      <c r="S445" s="9"/>
      <c r="T445" s="7">
        <v>593283.01</v>
      </c>
      <c r="U445" s="27"/>
      <c r="V445" s="9"/>
      <c r="W445" s="10">
        <f>IFERROR(Q445-T445, "NA")</f>
        <v>-71950.5</v>
      </c>
      <c r="X445" s="27"/>
      <c r="Y445" s="9"/>
      <c r="Z445" s="7">
        <v>551521.05000000005</v>
      </c>
      <c r="AA445" s="27"/>
      <c r="AB445" s="9"/>
      <c r="AC445" s="10">
        <f>IFERROR(Q445-Z445, "NA")</f>
        <v>-30188.540000000037</v>
      </c>
      <c r="AD445" s="27"/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  <row r="450" spans="1:1" ht="15.75" x14ac:dyDescent="0.5">
      <c r="A450" s="28" t="s">
        <v>411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5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417</v>
      </c>
      <c r="B3" s="31" t="s">
        <v>417</v>
      </c>
      <c r="C3" s="31" t="s">
        <v>417</v>
      </c>
      <c r="D3" s="31" t="s">
        <v>417</v>
      </c>
      <c r="E3" s="31" t="s">
        <v>417</v>
      </c>
      <c r="F3" s="31" t="s">
        <v>417</v>
      </c>
      <c r="G3" s="31" t="s">
        <v>417</v>
      </c>
      <c r="H3" s="31" t="s">
        <v>417</v>
      </c>
      <c r="I3" s="31" t="s">
        <v>417</v>
      </c>
      <c r="J3" s="31" t="s">
        <v>417</v>
      </c>
      <c r="K3" s="31" t="s">
        <v>417</v>
      </c>
      <c r="L3" s="31" t="s">
        <v>417</v>
      </c>
      <c r="M3" s="31" t="s">
        <v>417</v>
      </c>
      <c r="N3" s="31" t="s">
        <v>417</v>
      </c>
      <c r="O3" s="31" t="s">
        <v>417</v>
      </c>
      <c r="P3" s="31" t="s">
        <v>417</v>
      </c>
      <c r="Q3" s="31" t="s">
        <v>417</v>
      </c>
      <c r="R3" s="31" t="s">
        <v>417</v>
      </c>
      <c r="S3" s="31" t="s">
        <v>417</v>
      </c>
      <c r="T3" s="31" t="s">
        <v>417</v>
      </c>
      <c r="U3" s="31" t="s">
        <v>417</v>
      </c>
      <c r="V3" s="31" t="s">
        <v>417</v>
      </c>
      <c r="W3" s="31" t="s">
        <v>417</v>
      </c>
      <c r="X3" s="31" t="s">
        <v>417</v>
      </c>
      <c r="Y3" s="31" t="s">
        <v>417</v>
      </c>
      <c r="Z3" s="31" t="s">
        <v>417</v>
      </c>
      <c r="AA3" s="31" t="s">
        <v>417</v>
      </c>
      <c r="AB3" s="31" t="s">
        <v>417</v>
      </c>
      <c r="AC3" s="31" t="s">
        <v>417</v>
      </c>
      <c r="AD3" s="31" t="s">
        <v>417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IFERROR(B8/B445, "NA")</f>
        <v>0</v>
      </c>
      <c r="D8" s="9"/>
      <c r="E8" s="7">
        <v>0</v>
      </c>
      <c r="F8" s="8">
        <f>IFERROR(E8/E445, "NA")</f>
        <v>0</v>
      </c>
      <c r="G8" s="9"/>
      <c r="H8" s="10">
        <f>IFERROR(B8-E8, "NA")</f>
        <v>0</v>
      </c>
      <c r="I8" s="8">
        <f>IFERROR(H8/H445, "NA")</f>
        <v>0</v>
      </c>
      <c r="J8" s="9"/>
      <c r="K8" s="7">
        <v>0</v>
      </c>
      <c r="L8" s="8">
        <f>IFERROR(K8/K445, "NA")</f>
        <v>0</v>
      </c>
      <c r="M8" s="9"/>
      <c r="N8" s="10">
        <f>IFERROR(B8-K8, "NA")</f>
        <v>0</v>
      </c>
      <c r="O8" s="8">
        <f>IFERROR(N8/N445, "NA")</f>
        <v>0</v>
      </c>
      <c r="P8" s="9"/>
      <c r="Q8" s="7">
        <v>0</v>
      </c>
      <c r="R8" s="8">
        <f>IFERROR(Q8/Q445, "NA")</f>
        <v>0</v>
      </c>
      <c r="S8" s="9"/>
      <c r="T8" s="7">
        <v>0</v>
      </c>
      <c r="U8" s="8">
        <f>IFERROR(T8/T445, "NA")</f>
        <v>0</v>
      </c>
      <c r="V8" s="9"/>
      <c r="W8" s="10">
        <f>IFERROR(Q8-T8, "NA")</f>
        <v>0</v>
      </c>
      <c r="X8" s="8">
        <f>IFERROR(W8/W445, "NA")</f>
        <v>0</v>
      </c>
      <c r="Y8" s="9"/>
      <c r="Z8" s="7">
        <v>0</v>
      </c>
      <c r="AA8" s="8">
        <f>IFERROR(Z8/Z445, "NA")</f>
        <v>0</v>
      </c>
      <c r="AB8" s="9"/>
      <c r="AC8" s="10">
        <f>IFERROR(Q8-Z8, "NA")</f>
        <v>0</v>
      </c>
      <c r="AD8" s="8">
        <f>IFERROR(AC8/AC445,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IFERROR(B10/B445, "NA")</f>
        <v>0</v>
      </c>
      <c r="D10" s="9"/>
      <c r="E10" s="7">
        <v>59952.97</v>
      </c>
      <c r="F10" s="8">
        <f>IFERROR(E10/E445, "NA")</f>
        <v>0.47800005118612687</v>
      </c>
      <c r="G10" s="9"/>
      <c r="H10" s="10">
        <f t="shared" ref="H10:H19" si="0">IFERROR(B10-E10, "NA")</f>
        <v>-59952.97</v>
      </c>
      <c r="I10" s="8">
        <f>IFERROR(H10/H445, "NA")</f>
        <v>6.4456341189915838</v>
      </c>
      <c r="J10" s="9"/>
      <c r="K10" s="7">
        <v>0</v>
      </c>
      <c r="L10" s="8">
        <f>IFERROR(K10/K445, "NA")</f>
        <v>0</v>
      </c>
      <c r="M10" s="9"/>
      <c r="N10" s="10">
        <f t="shared" ref="N10:N19" si="1">IFERROR(B10-K10, "NA")</f>
        <v>0</v>
      </c>
      <c r="O10" s="8">
        <f>IFERROR(N10/N445, "NA")</f>
        <v>0</v>
      </c>
      <c r="P10" s="9"/>
      <c r="Q10" s="7">
        <v>0</v>
      </c>
      <c r="R10" s="8">
        <f>IFERROR(Q10/Q445, "NA")</f>
        <v>0</v>
      </c>
      <c r="S10" s="9"/>
      <c r="T10" s="7">
        <v>284231.33</v>
      </c>
      <c r="U10" s="8">
        <f>IFERROR(T10/T445, "NA")</f>
        <v>0.47799999468573723</v>
      </c>
      <c r="V10" s="9"/>
      <c r="W10" s="10">
        <f t="shared" ref="W10:W19" si="2">IFERROR(Q10-T10, "NA")</f>
        <v>-284231.33</v>
      </c>
      <c r="X10" s="8">
        <f>IFERROR(W10/W445, "NA")</f>
        <v>4.2501747658063458</v>
      </c>
      <c r="Y10" s="9"/>
      <c r="Z10" s="7">
        <v>0</v>
      </c>
      <c r="AA10" s="8">
        <f>IFERROR(Z10/Z445, "NA")</f>
        <v>0</v>
      </c>
      <c r="AB10" s="9"/>
      <c r="AC10" s="10">
        <f t="shared" ref="AC10:AC19" si="3">IFERROR(Q10-Z10, "NA")</f>
        <v>0</v>
      </c>
      <c r="AD10" s="8">
        <f>IFERROR(AC10/AC445, "NA")</f>
        <v>0</v>
      </c>
    </row>
    <row r="11" spans="1:30" ht="16.5" customHeight="1" x14ac:dyDescent="0.45">
      <c r="A11" s="12" t="s">
        <v>13</v>
      </c>
      <c r="B11" s="7">
        <v>44910.83</v>
      </c>
      <c r="C11" s="8">
        <f>IFERROR(B11/B445, "NA")</f>
        <v>0.38675130430349541</v>
      </c>
      <c r="D11" s="9"/>
      <c r="E11" s="7">
        <v>0</v>
      </c>
      <c r="F11" s="8">
        <f>IFERROR(E11/E445, "NA")</f>
        <v>0</v>
      </c>
      <c r="G11" s="9"/>
      <c r="H11" s="10">
        <f t="shared" si="0"/>
        <v>44910.83</v>
      </c>
      <c r="I11" s="8">
        <f>IFERROR(H11/H445, "NA")</f>
        <v>-4.8284309878264713</v>
      </c>
      <c r="J11" s="9"/>
      <c r="K11" s="7">
        <v>45979.45</v>
      </c>
      <c r="L11" s="8">
        <f>IFERROR(K11/K445, "NA")</f>
        <v>0.39976672749894143</v>
      </c>
      <c r="M11" s="9"/>
      <c r="N11" s="10">
        <f t="shared" si="1"/>
        <v>-1068.6199999999953</v>
      </c>
      <c r="O11" s="8">
        <f>IFERROR(N11/N445, "NA")</f>
        <v>-0.96482421134364438</v>
      </c>
      <c r="P11" s="9"/>
      <c r="Q11" s="7">
        <v>225859.97</v>
      </c>
      <c r="R11" s="8">
        <f>IFERROR(Q11/Q445, "NA")</f>
        <v>0.42796691189657787</v>
      </c>
      <c r="S11" s="9"/>
      <c r="T11" s="7">
        <v>0</v>
      </c>
      <c r="U11" s="8">
        <f>IFERROR(T11/T445, "NA")</f>
        <v>0</v>
      </c>
      <c r="V11" s="9"/>
      <c r="W11" s="10">
        <f t="shared" si="2"/>
        <v>225859.97</v>
      </c>
      <c r="X11" s="8">
        <f>IFERROR(W11/W445, "NA")</f>
        <v>-3.3773347403320324</v>
      </c>
      <c r="Y11" s="9"/>
      <c r="Z11" s="7">
        <v>241055.89</v>
      </c>
      <c r="AA11" s="8">
        <f>IFERROR(Z11/Z445, "NA")</f>
        <v>0.43373526471950058</v>
      </c>
      <c r="AB11" s="9"/>
      <c r="AC11" s="10">
        <f t="shared" si="3"/>
        <v>-15195.920000000013</v>
      </c>
      <c r="AD11" s="8">
        <f>IFERROR(AC11/AC445, "NA")</f>
        <v>0.54239528960263306</v>
      </c>
    </row>
    <row r="12" spans="1:30" ht="16.5" customHeight="1" x14ac:dyDescent="0.45">
      <c r="A12" s="12" t="s">
        <v>14</v>
      </c>
      <c r="B12" s="7">
        <v>5203.2</v>
      </c>
      <c r="C12" s="8">
        <f>IFERROR(B12/B445, "NA")</f>
        <v>4.4807552800782066E-2</v>
      </c>
      <c r="D12" s="9"/>
      <c r="E12" s="7">
        <v>0</v>
      </c>
      <c r="F12" s="8">
        <f>IFERROR(E12/E445, "NA")</f>
        <v>0</v>
      </c>
      <c r="G12" s="9"/>
      <c r="H12" s="10">
        <f t="shared" si="0"/>
        <v>5203.2</v>
      </c>
      <c r="I12" s="8">
        <f>IFERROR(H12/H445, "NA")</f>
        <v>-0.5594038701992079</v>
      </c>
      <c r="J12" s="9"/>
      <c r="K12" s="7">
        <v>5772.15</v>
      </c>
      <c r="L12" s="8">
        <f>IFERROR(K12/K445, "NA")</f>
        <v>5.0185757248792991E-2</v>
      </c>
      <c r="M12" s="9"/>
      <c r="N12" s="10">
        <f t="shared" si="1"/>
        <v>-568.94999999999982</v>
      </c>
      <c r="O12" s="8">
        <f>IFERROR(N12/N445, "NA")</f>
        <v>-0.51368749887141241</v>
      </c>
      <c r="P12" s="9"/>
      <c r="Q12" s="7">
        <v>24991.7</v>
      </c>
      <c r="R12" s="8">
        <f>IFERROR(Q12/Q445, "NA")</f>
        <v>4.7355096487641017E-2</v>
      </c>
      <c r="S12" s="9"/>
      <c r="T12" s="7">
        <v>0</v>
      </c>
      <c r="U12" s="8">
        <f>IFERROR(T12/T445, "NA")</f>
        <v>0</v>
      </c>
      <c r="V12" s="9"/>
      <c r="W12" s="10">
        <f t="shared" si="2"/>
        <v>24991.7</v>
      </c>
      <c r="X12" s="8">
        <f>IFERROR(W12/W445, "NA")</f>
        <v>-0.37370649004317169</v>
      </c>
      <c r="Y12" s="9"/>
      <c r="Z12" s="7">
        <v>29031.65</v>
      </c>
      <c r="AA12" s="8">
        <f>IFERROR(Z12/Z445, "NA")</f>
        <v>5.2237057547085401E-2</v>
      </c>
      <c r="AB12" s="9"/>
      <c r="AC12" s="10">
        <f t="shared" si="3"/>
        <v>-4039.9500000000007</v>
      </c>
      <c r="AD12" s="8">
        <f>IFERROR(AC12/AC445, "NA")</f>
        <v>0.14419988064099812</v>
      </c>
    </row>
    <row r="13" spans="1:30" ht="16.5" customHeight="1" x14ac:dyDescent="0.45">
      <c r="A13" s="12" t="s">
        <v>15</v>
      </c>
      <c r="B13" s="7">
        <v>159</v>
      </c>
      <c r="C13" s="8">
        <f>IFERROR(B13/B445, "NA")</f>
        <v>1.3692344894150423E-3</v>
      </c>
      <c r="D13" s="9"/>
      <c r="E13" s="7">
        <v>0</v>
      </c>
      <c r="F13" s="8">
        <f>IFERROR(E13/E445, "NA")</f>
        <v>0</v>
      </c>
      <c r="G13" s="9"/>
      <c r="H13" s="10">
        <f t="shared" si="0"/>
        <v>159</v>
      </c>
      <c r="I13" s="8">
        <f>IFERROR(H13/H445, "NA")</f>
        <v>-1.709432952061694E-2</v>
      </c>
      <c r="J13" s="9"/>
      <c r="K13" s="7">
        <v>141.5</v>
      </c>
      <c r="L13" s="8">
        <f>IFERROR(K13/K445, "NA")</f>
        <v>1.2302668244422283E-3</v>
      </c>
      <c r="M13" s="9"/>
      <c r="N13" s="10">
        <f t="shared" si="1"/>
        <v>17.5</v>
      </c>
      <c r="O13" s="8">
        <f>IFERROR(N13/N445, "NA")</f>
        <v>1.5800213077159186E-2</v>
      </c>
      <c r="P13" s="9"/>
      <c r="Q13" s="7">
        <v>810.5</v>
      </c>
      <c r="R13" s="8">
        <f>IFERROR(Q13/Q445, "NA")</f>
        <v>1.5357621011469025E-3</v>
      </c>
      <c r="S13" s="9"/>
      <c r="T13" s="7">
        <v>0</v>
      </c>
      <c r="U13" s="8">
        <f>IFERROR(T13/T445, "NA")</f>
        <v>0</v>
      </c>
      <c r="V13" s="9"/>
      <c r="W13" s="10">
        <f t="shared" si="2"/>
        <v>810.5</v>
      </c>
      <c r="X13" s="8">
        <f>IFERROR(W13/W445, "NA")</f>
        <v>-1.2119588110452295E-2</v>
      </c>
      <c r="Y13" s="9"/>
      <c r="Z13" s="7">
        <v>827.5</v>
      </c>
      <c r="AA13" s="8">
        <f>IFERROR(Z13/Z445, "NA")</f>
        <v>1.4889324278920821E-3</v>
      </c>
      <c r="AB13" s="9"/>
      <c r="AC13" s="10">
        <f t="shared" si="3"/>
        <v>-17</v>
      </c>
      <c r="AD13" s="8">
        <f>IFERROR(AC13/AC445, "NA")</f>
        <v>6.06789185731746E-4</v>
      </c>
    </row>
    <row r="14" spans="1:30" ht="16.5" customHeight="1" x14ac:dyDescent="0.45">
      <c r="A14" s="12" t="s">
        <v>16</v>
      </c>
      <c r="B14" s="7">
        <v>0</v>
      </c>
      <c r="C14" s="8">
        <f>IFERROR(B14/B445, "NA")</f>
        <v>0</v>
      </c>
      <c r="D14" s="9"/>
      <c r="E14" s="7">
        <v>0</v>
      </c>
      <c r="F14" s="8">
        <f>IFERROR(E14/E445, "NA")</f>
        <v>0</v>
      </c>
      <c r="G14" s="9"/>
      <c r="H14" s="10">
        <f t="shared" si="0"/>
        <v>0</v>
      </c>
      <c r="I14" s="8">
        <f>IFERROR(H14/H445, "NA")</f>
        <v>0</v>
      </c>
      <c r="J14" s="9"/>
      <c r="K14" s="7">
        <v>490</v>
      </c>
      <c r="L14" s="8">
        <f>IFERROR(K14/K445, "NA")</f>
        <v>4.2602879432981763E-3</v>
      </c>
      <c r="M14" s="9"/>
      <c r="N14" s="10">
        <f t="shared" si="1"/>
        <v>-490</v>
      </c>
      <c r="O14" s="8">
        <f>IFERROR(N14/N445, "NA")</f>
        <v>-0.44240596616045724</v>
      </c>
      <c r="P14" s="9"/>
      <c r="Q14" s="7">
        <v>80</v>
      </c>
      <c r="R14" s="8">
        <f>IFERROR(Q14/Q445, "NA")</f>
        <v>1.5158663552344504E-4</v>
      </c>
      <c r="S14" s="9"/>
      <c r="T14" s="7">
        <v>0</v>
      </c>
      <c r="U14" s="8">
        <f>IFERROR(T14/T445, "NA")</f>
        <v>0</v>
      </c>
      <c r="V14" s="9"/>
      <c r="W14" s="10">
        <f t="shared" si="2"/>
        <v>80</v>
      </c>
      <c r="X14" s="8">
        <f>IFERROR(W14/W445, "NA")</f>
        <v>-1.1962579257695047E-3</v>
      </c>
      <c r="Y14" s="9"/>
      <c r="Z14" s="7">
        <v>1990</v>
      </c>
      <c r="AA14" s="8">
        <f>IFERROR(Z14/Z445, "NA")</f>
        <v>3.5806350833900223E-3</v>
      </c>
      <c r="AB14" s="9"/>
      <c r="AC14" s="10">
        <f t="shared" si="3"/>
        <v>-1910</v>
      </c>
      <c r="AD14" s="8">
        <f>IFERROR(AC14/AC445, "NA")</f>
        <v>6.8174549691037353E-2</v>
      </c>
    </row>
    <row r="15" spans="1:30" ht="16.5" customHeight="1" x14ac:dyDescent="0.45">
      <c r="A15" s="12" t="s">
        <v>17</v>
      </c>
      <c r="B15" s="7">
        <v>5</v>
      </c>
      <c r="C15" s="8">
        <f>IFERROR(B15/B445, "NA")</f>
        <v>4.3057688346384983E-5</v>
      </c>
      <c r="D15" s="9"/>
      <c r="E15" s="7">
        <v>0</v>
      </c>
      <c r="F15" s="8">
        <f>IFERROR(E15/E445, "NA")</f>
        <v>0</v>
      </c>
      <c r="G15" s="9"/>
      <c r="H15" s="10">
        <f t="shared" si="0"/>
        <v>5</v>
      </c>
      <c r="I15" s="8">
        <f>IFERROR(H15/H445, "NA")</f>
        <v>-5.3755753209487232E-4</v>
      </c>
      <c r="J15" s="9"/>
      <c r="K15" s="7">
        <v>81</v>
      </c>
      <c r="L15" s="8">
        <f>IFERROR(K15/K445, "NA")</f>
        <v>7.0425168042275972E-4</v>
      </c>
      <c r="M15" s="9"/>
      <c r="N15" s="10">
        <f t="shared" si="1"/>
        <v>-76</v>
      </c>
      <c r="O15" s="8">
        <f>IFERROR(N15/N445, "NA")</f>
        <v>-6.8618068220805614E-2</v>
      </c>
      <c r="P15" s="9"/>
      <c r="Q15" s="7">
        <v>96</v>
      </c>
      <c r="R15" s="8">
        <f>IFERROR(Q15/Q445, "NA")</f>
        <v>1.8190396262813405E-4</v>
      </c>
      <c r="S15" s="9"/>
      <c r="T15" s="7">
        <v>0</v>
      </c>
      <c r="U15" s="8">
        <f>IFERROR(T15/T445, "NA")</f>
        <v>0</v>
      </c>
      <c r="V15" s="9"/>
      <c r="W15" s="10">
        <f t="shared" si="2"/>
        <v>96</v>
      </c>
      <c r="X15" s="8">
        <f>IFERROR(W15/W445, "NA")</f>
        <v>-1.4355095109234058E-3</v>
      </c>
      <c r="Y15" s="9"/>
      <c r="Z15" s="7">
        <v>244</v>
      </c>
      <c r="AA15" s="8">
        <f>IFERROR(Z15/Z445, "NA")</f>
        <v>4.3903264339053541E-4</v>
      </c>
      <c r="AB15" s="9"/>
      <c r="AC15" s="10">
        <f t="shared" si="3"/>
        <v>-148</v>
      </c>
      <c r="AD15" s="8">
        <f>IFERROR(AC15/AC445, "NA")</f>
        <v>5.2826352640175534E-3</v>
      </c>
    </row>
    <row r="16" spans="1:30" ht="16.5" customHeight="1" x14ac:dyDescent="0.45">
      <c r="A16" s="12" t="s">
        <v>18</v>
      </c>
      <c r="B16" s="7">
        <v>0.34</v>
      </c>
      <c r="C16" s="8">
        <f>IFERROR(B16/B445, "NA")</f>
        <v>2.9279228075541787E-6</v>
      </c>
      <c r="D16" s="9"/>
      <c r="E16" s="7">
        <v>0</v>
      </c>
      <c r="F16" s="8">
        <f>IFERROR(E16/E445, "NA")</f>
        <v>0</v>
      </c>
      <c r="G16" s="9"/>
      <c r="H16" s="10">
        <f t="shared" si="0"/>
        <v>0.34</v>
      </c>
      <c r="I16" s="8">
        <f>IFERROR(H16/H445, "NA")</f>
        <v>-3.6553912182451326E-5</v>
      </c>
      <c r="J16" s="9"/>
      <c r="K16" s="7">
        <v>0</v>
      </c>
      <c r="L16" s="8">
        <f>IFERROR(K16/K445, "NA")</f>
        <v>0</v>
      </c>
      <c r="M16" s="9"/>
      <c r="N16" s="10">
        <f t="shared" si="1"/>
        <v>0.34</v>
      </c>
      <c r="O16" s="8">
        <f>IFERROR(N16/N445, "NA")</f>
        <v>3.0697556835623563E-4</v>
      </c>
      <c r="P16" s="9"/>
      <c r="Q16" s="7">
        <v>0.5</v>
      </c>
      <c r="R16" s="8">
        <f>IFERROR(Q16/Q445, "NA")</f>
        <v>9.4741647202153153E-7</v>
      </c>
      <c r="S16" s="9"/>
      <c r="T16" s="7">
        <v>0</v>
      </c>
      <c r="U16" s="8">
        <f>IFERROR(T16/T445, "NA")</f>
        <v>0</v>
      </c>
      <c r="V16" s="9"/>
      <c r="W16" s="10">
        <f t="shared" si="2"/>
        <v>0.5</v>
      </c>
      <c r="X16" s="8">
        <f>IFERROR(W16/W445, "NA")</f>
        <v>-7.4766120360594047E-6</v>
      </c>
      <c r="Y16" s="9"/>
      <c r="Z16" s="7">
        <v>0</v>
      </c>
      <c r="AA16" s="8">
        <f>IFERROR(Z16/Z445, "NA")</f>
        <v>0</v>
      </c>
      <c r="AB16" s="9"/>
      <c r="AC16" s="10">
        <f t="shared" si="3"/>
        <v>0.5</v>
      </c>
      <c r="AD16" s="8">
        <f>IFERROR(AC16/AC445, "NA")</f>
        <v>-1.784674075681606E-5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IFERROR(B17/B445, "NA")</f>
        <v>0</v>
      </c>
      <c r="D17" s="9"/>
      <c r="E17" s="7">
        <v>0</v>
      </c>
      <c r="F17" s="8">
        <f>IFERROR(E17/E445, "NA")</f>
        <v>0</v>
      </c>
      <c r="G17" s="9"/>
      <c r="H17" s="10">
        <f t="shared" si="0"/>
        <v>0</v>
      </c>
      <c r="I17" s="8">
        <f>IFERROR(H17/H445, "NA")</f>
        <v>0</v>
      </c>
      <c r="J17" s="9"/>
      <c r="K17" s="7">
        <v>0</v>
      </c>
      <c r="L17" s="8">
        <f>IFERROR(K17/K445, "NA")</f>
        <v>0</v>
      </c>
      <c r="M17" s="9"/>
      <c r="N17" s="10">
        <f t="shared" si="1"/>
        <v>0</v>
      </c>
      <c r="O17" s="8">
        <f>IFERROR(N17/N445, "NA")</f>
        <v>0</v>
      </c>
      <c r="P17" s="9"/>
      <c r="Q17" s="7">
        <v>0</v>
      </c>
      <c r="R17" s="8">
        <f>IFERROR(Q17/Q445, "NA")</f>
        <v>0</v>
      </c>
      <c r="S17" s="9"/>
      <c r="T17" s="7">
        <v>0</v>
      </c>
      <c r="U17" s="8">
        <f>IFERROR(T17/T445, "NA")</f>
        <v>0</v>
      </c>
      <c r="V17" s="9"/>
      <c r="W17" s="10">
        <f t="shared" si="2"/>
        <v>0</v>
      </c>
      <c r="X17" s="8">
        <f>IFERROR(W17/W445, "NA")</f>
        <v>0</v>
      </c>
      <c r="Y17" s="9"/>
      <c r="Z17" s="7">
        <v>0</v>
      </c>
      <c r="AA17" s="8">
        <f>IFERROR(Z17/Z445, "NA")</f>
        <v>0</v>
      </c>
      <c r="AB17" s="9"/>
      <c r="AC17" s="10">
        <f t="shared" si="3"/>
        <v>0</v>
      </c>
      <c r="AD17" s="8">
        <f>IFERROR(AC17/AC445,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50278.369999999995</v>
      </c>
      <c r="C18" s="15">
        <f>IFERROR(B18/B445, "NA")</f>
        <v>0.43297407720484637</v>
      </c>
      <c r="D18" s="2"/>
      <c r="E18" s="14">
        <f>IFERROR(E10+E11+E12+E13+E14+E15+E16+E17, "NA")</f>
        <v>59952.97</v>
      </c>
      <c r="F18" s="15">
        <f>IFERROR(E18/E445, "NA")</f>
        <v>0.47800005118612687</v>
      </c>
      <c r="G18" s="2"/>
      <c r="H18" s="14">
        <f t="shared" si="0"/>
        <v>-9674.6000000000058</v>
      </c>
      <c r="I18" s="15">
        <f>IFERROR(H18/H445, "NA")</f>
        <v>1.0401308200010111</v>
      </c>
      <c r="J18" s="2"/>
      <c r="K18" s="14">
        <f>IFERROR(K10+K11+K12+K13+K14+K15+K16+K17, "NA")</f>
        <v>52464.1</v>
      </c>
      <c r="L18" s="15">
        <f>IFERROR(K18/K445, "NA")</f>
        <v>0.45614729119589759</v>
      </c>
      <c r="M18" s="2"/>
      <c r="N18" s="14">
        <f t="shared" si="1"/>
        <v>-2185.7300000000032</v>
      </c>
      <c r="O18" s="15">
        <f>IFERROR(N18/N445, "NA")</f>
        <v>-1.9734285559508116</v>
      </c>
      <c r="P18" s="2"/>
      <c r="Q18" s="14">
        <f>IFERROR(Q10+Q11+Q12+Q13+Q14+Q15+Q16+Q17, "NA")</f>
        <v>251838.67</v>
      </c>
      <c r="R18" s="15">
        <f>IFERROR(Q18/Q445, "NA")</f>
        <v>0.47719220849998945</v>
      </c>
      <c r="S18" s="2"/>
      <c r="T18" s="14">
        <f>IFERROR(T10+T11+T12+T13+T14+T15+T16+T17, "NA")</f>
        <v>284231.33</v>
      </c>
      <c r="U18" s="15">
        <f>IFERROR(T18/T445, "NA")</f>
        <v>0.47799999468573723</v>
      </c>
      <c r="V18" s="2"/>
      <c r="W18" s="14">
        <f t="shared" si="2"/>
        <v>-32392.660000000003</v>
      </c>
      <c r="X18" s="15">
        <f>IFERROR(W18/W445, "NA")</f>
        <v>0.48437470327196014</v>
      </c>
      <c r="Y18" s="2"/>
      <c r="Z18" s="14">
        <f>IFERROR(Z10+Z11+Z12+Z13+Z14+Z15+Z16+Z17, "NA")</f>
        <v>273149.04000000004</v>
      </c>
      <c r="AA18" s="15">
        <f>IFERROR(Z18/Z445, "NA")</f>
        <v>0.49148092242125868</v>
      </c>
      <c r="AB18" s="2"/>
      <c r="AC18" s="14">
        <f t="shared" si="3"/>
        <v>-21310.370000000024</v>
      </c>
      <c r="AD18" s="15">
        <f>IFERROR(AC18/AC445, "NA")</f>
        <v>0.7606412976436614</v>
      </c>
    </row>
    <row r="19" spans="1:30" ht="16.5" hidden="1" customHeight="1" x14ac:dyDescent="0.45">
      <c r="A19" s="6" t="s">
        <v>21</v>
      </c>
      <c r="B19" s="7">
        <v>0</v>
      </c>
      <c r="C19" s="8">
        <f>IFERROR(B19/B445, "NA")</f>
        <v>0</v>
      </c>
      <c r="D19" s="9"/>
      <c r="E19" s="7">
        <v>0</v>
      </c>
      <c r="F19" s="8">
        <f>IFERROR(E19/E445, "NA")</f>
        <v>0</v>
      </c>
      <c r="G19" s="9"/>
      <c r="H19" s="10">
        <f t="shared" si="0"/>
        <v>0</v>
      </c>
      <c r="I19" s="8">
        <f>IFERROR(H19/H445, "NA")</f>
        <v>0</v>
      </c>
      <c r="J19" s="9"/>
      <c r="K19" s="7">
        <v>0</v>
      </c>
      <c r="L19" s="8">
        <f>IFERROR(K19/K445, "NA")</f>
        <v>0</v>
      </c>
      <c r="M19" s="9"/>
      <c r="N19" s="10">
        <f t="shared" si="1"/>
        <v>0</v>
      </c>
      <c r="O19" s="8">
        <f>IFERROR(N19/N445, "NA")</f>
        <v>0</v>
      </c>
      <c r="P19" s="9"/>
      <c r="Q19" s="7">
        <v>0</v>
      </c>
      <c r="R19" s="8">
        <f>IFERROR(Q19/Q445, "NA")</f>
        <v>0</v>
      </c>
      <c r="S19" s="9"/>
      <c r="T19" s="7">
        <v>0</v>
      </c>
      <c r="U19" s="8">
        <f>IFERROR(T19/T445, "NA")</f>
        <v>0</v>
      </c>
      <c r="V19" s="9"/>
      <c r="W19" s="10">
        <f t="shared" si="2"/>
        <v>0</v>
      </c>
      <c r="X19" s="8">
        <f>IFERROR(W19/W445, "NA")</f>
        <v>0</v>
      </c>
      <c r="Y19" s="9"/>
      <c r="Z19" s="7">
        <v>0</v>
      </c>
      <c r="AA19" s="8">
        <f>IFERROR(Z19/Z445, "NA")</f>
        <v>0</v>
      </c>
      <c r="AB19" s="9"/>
      <c r="AC19" s="10">
        <f t="shared" si="3"/>
        <v>0</v>
      </c>
      <c r="AD19" s="8">
        <f>IFERROR(AC19/AC445,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IFERROR(B21/B445, "NA")</f>
        <v>0</v>
      </c>
      <c r="D21" s="9"/>
      <c r="E21" s="7">
        <v>13420.43</v>
      </c>
      <c r="F21" s="8">
        <f>IFERROR(E21/E445, "NA")</f>
        <v>0.10699997392856155</v>
      </c>
      <c r="G21" s="9"/>
      <c r="H21" s="10">
        <f t="shared" ref="H21:H29" si="4">IFERROR(B21-E21, "NA")</f>
        <v>-13420.43</v>
      </c>
      <c r="I21" s="8">
        <f>IFERROR(H21/H445, "NA")</f>
        <v>1.4428506460903976</v>
      </c>
      <c r="J21" s="9"/>
      <c r="K21" s="7">
        <v>0</v>
      </c>
      <c r="L21" s="8">
        <f>IFERROR(K21/K445, "NA")</f>
        <v>0</v>
      </c>
      <c r="M21" s="9"/>
      <c r="N21" s="10">
        <f t="shared" ref="N21:N29" si="5">IFERROR(B21-K21, "NA")</f>
        <v>0</v>
      </c>
      <c r="O21" s="8">
        <f>IFERROR(N21/N445, "NA")</f>
        <v>0</v>
      </c>
      <c r="P21" s="9"/>
      <c r="Q21" s="7">
        <v>0</v>
      </c>
      <c r="R21" s="8">
        <f>IFERROR(Q21/Q445, "NA")</f>
        <v>0</v>
      </c>
      <c r="S21" s="9"/>
      <c r="T21" s="7">
        <v>63625</v>
      </c>
      <c r="U21" s="8">
        <f>IFERROR(T21/T445, "NA")</f>
        <v>0.10699999068322281</v>
      </c>
      <c r="V21" s="9"/>
      <c r="W21" s="10">
        <f t="shared" ref="W21:W29" si="6">IFERROR(Q21-T21, "NA")</f>
        <v>-63625</v>
      </c>
      <c r="X21" s="8">
        <f>IFERROR(W21/W445, "NA")</f>
        <v>0.95139888158855923</v>
      </c>
      <c r="Y21" s="9"/>
      <c r="Z21" s="7">
        <v>0</v>
      </c>
      <c r="AA21" s="8">
        <f>IFERROR(Z21/Z445, "NA")</f>
        <v>0</v>
      </c>
      <c r="AB21" s="9"/>
      <c r="AC21" s="10">
        <f t="shared" ref="AC21:AC29" si="7">IFERROR(Q21-Z21, "NA")</f>
        <v>0</v>
      </c>
      <c r="AD21" s="8">
        <f>IFERROR(AC21/AC445,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IFERROR(B22/B445, "NA")</f>
        <v>0</v>
      </c>
      <c r="D22" s="9"/>
      <c r="E22" s="7">
        <v>0</v>
      </c>
      <c r="F22" s="8">
        <f>IFERROR(E22/E445, "NA")</f>
        <v>0</v>
      </c>
      <c r="G22" s="9"/>
      <c r="H22" s="10">
        <f t="shared" si="4"/>
        <v>0</v>
      </c>
      <c r="I22" s="8">
        <f>IFERROR(H22/H445, "NA")</f>
        <v>0</v>
      </c>
      <c r="J22" s="9"/>
      <c r="K22" s="7">
        <v>7995.5</v>
      </c>
      <c r="L22" s="8">
        <f>IFERROR(K22/K445, "NA")</f>
        <v>6.9516596429878702E-2</v>
      </c>
      <c r="M22" s="9"/>
      <c r="N22" s="10">
        <f t="shared" si="5"/>
        <v>-7995.5</v>
      </c>
      <c r="O22" s="8">
        <f>IFERROR(N22/N445, "NA")</f>
        <v>-7.2188916376243588</v>
      </c>
      <c r="P22" s="9"/>
      <c r="Q22" s="7">
        <v>5232.59</v>
      </c>
      <c r="R22" s="8">
        <f>IFERROR(Q22/Q445, "NA")</f>
        <v>9.914883914670292E-3</v>
      </c>
      <c r="S22" s="9"/>
      <c r="T22" s="7">
        <v>0</v>
      </c>
      <c r="U22" s="8">
        <f>IFERROR(T22/T445, "NA")</f>
        <v>0</v>
      </c>
      <c r="V22" s="9"/>
      <c r="W22" s="10">
        <f t="shared" si="6"/>
        <v>5232.59</v>
      </c>
      <c r="X22" s="8">
        <f>IFERROR(W22/W445, "NA")</f>
        <v>-7.8244090747528167E-2</v>
      </c>
      <c r="Y22" s="9"/>
      <c r="Z22" s="7">
        <v>44572.15</v>
      </c>
      <c r="AA22" s="8">
        <f>IFERROR(Z22/Z445, "NA")</f>
        <v>8.0199298508604314E-2</v>
      </c>
      <c r="AB22" s="9"/>
      <c r="AC22" s="10">
        <f t="shared" si="7"/>
        <v>-39339.56</v>
      </c>
      <c r="AD22" s="8">
        <f>IFERROR(AC22/AC445, "NA")</f>
        <v>1.4041658576144216</v>
      </c>
    </row>
    <row r="23" spans="1:30" ht="16.5" customHeight="1" x14ac:dyDescent="0.45">
      <c r="A23" s="12" t="s">
        <v>24</v>
      </c>
      <c r="B23" s="7">
        <v>9838.67</v>
      </c>
      <c r="C23" s="8">
        <f>IFERROR(B23/B445, "NA")</f>
        <v>8.4726077320585499E-2</v>
      </c>
      <c r="D23" s="9"/>
      <c r="E23" s="7">
        <v>0</v>
      </c>
      <c r="F23" s="8">
        <f>IFERROR(E23/E445, "NA")</f>
        <v>0</v>
      </c>
      <c r="G23" s="9"/>
      <c r="H23" s="10">
        <f t="shared" si="4"/>
        <v>9838.67</v>
      </c>
      <c r="I23" s="8">
        <f>IFERROR(H23/H445, "NA")</f>
        <v>-1.0577702328591716</v>
      </c>
      <c r="J23" s="9"/>
      <c r="K23" s="7">
        <v>0</v>
      </c>
      <c r="L23" s="8">
        <f>IFERROR(K23/K445, "NA")</f>
        <v>0</v>
      </c>
      <c r="M23" s="9"/>
      <c r="N23" s="10">
        <f t="shared" si="5"/>
        <v>9838.67</v>
      </c>
      <c r="O23" s="8">
        <f>IFERROR(N23/N445, "NA")</f>
        <v>8.8830332797630724</v>
      </c>
      <c r="P23" s="9"/>
      <c r="Q23" s="7">
        <v>34693.230000000003</v>
      </c>
      <c r="R23" s="8">
        <f>IFERROR(Q23/Q445, "NA")</f>
        <v>6.5737875139263116E-2</v>
      </c>
      <c r="S23" s="9"/>
      <c r="T23" s="7">
        <v>0</v>
      </c>
      <c r="U23" s="8">
        <f>IFERROR(T23/T445, "NA")</f>
        <v>0</v>
      </c>
      <c r="V23" s="9"/>
      <c r="W23" s="10">
        <f t="shared" si="6"/>
        <v>34693.230000000003</v>
      </c>
      <c r="X23" s="8">
        <f>IFERROR(W23/W445, "NA")</f>
        <v>-0.51877564197555448</v>
      </c>
      <c r="Y23" s="9"/>
      <c r="Z23" s="7">
        <v>0</v>
      </c>
      <c r="AA23" s="8">
        <f>IFERROR(Z23/Z445, "NA")</f>
        <v>0</v>
      </c>
      <c r="AB23" s="9"/>
      <c r="AC23" s="10">
        <f t="shared" si="7"/>
        <v>34693.230000000003</v>
      </c>
      <c r="AD23" s="8">
        <f>IFERROR(AC23/AC445, "NA")</f>
        <v>-1.2383221636531874</v>
      </c>
    </row>
    <row r="24" spans="1:30" ht="16.5" customHeight="1" x14ac:dyDescent="0.45">
      <c r="A24" s="12" t="s">
        <v>25</v>
      </c>
      <c r="B24" s="7">
        <v>832.48</v>
      </c>
      <c r="C24" s="8">
        <f>IFERROR(B24/B445, "NA")</f>
        <v>7.1689328789197142E-3</v>
      </c>
      <c r="D24" s="9"/>
      <c r="E24" s="7">
        <v>0</v>
      </c>
      <c r="F24" s="8">
        <f>IFERROR(E24/E445, "NA")</f>
        <v>0</v>
      </c>
      <c r="G24" s="9"/>
      <c r="H24" s="10">
        <f t="shared" si="4"/>
        <v>832.48</v>
      </c>
      <c r="I24" s="8">
        <f>IFERROR(H24/H445, "NA")</f>
        <v>-8.9501178863667874E-2</v>
      </c>
      <c r="J24" s="9"/>
      <c r="K24" s="7">
        <v>595.65</v>
      </c>
      <c r="L24" s="8">
        <f>IFERROR(K24/K445, "NA")</f>
        <v>5.178858190664405E-3</v>
      </c>
      <c r="M24" s="9"/>
      <c r="N24" s="10">
        <f t="shared" si="5"/>
        <v>236.83000000000004</v>
      </c>
      <c r="O24" s="8">
        <f>IFERROR(N24/N445, "NA")</f>
        <v>0.21382654074649204</v>
      </c>
      <c r="P24" s="9"/>
      <c r="Q24" s="7">
        <v>3388.73</v>
      </c>
      <c r="R24" s="8">
        <f>IFERROR(Q24/Q445, "NA")</f>
        <v>6.4210772424670489E-3</v>
      </c>
      <c r="S24" s="9"/>
      <c r="T24" s="7">
        <v>0</v>
      </c>
      <c r="U24" s="8">
        <f>IFERROR(T24/T445, "NA")</f>
        <v>0</v>
      </c>
      <c r="V24" s="9"/>
      <c r="W24" s="10">
        <f t="shared" si="6"/>
        <v>3388.73</v>
      </c>
      <c r="X24" s="8">
        <f>IFERROR(W24/W445, "NA")</f>
        <v>-5.0672439009911176E-2</v>
      </c>
      <c r="Y24" s="9"/>
      <c r="Z24" s="7">
        <v>5463.76</v>
      </c>
      <c r="AA24" s="8">
        <f>IFERROR(Z24/Z445, "NA")</f>
        <v>9.831020473981442E-3</v>
      </c>
      <c r="AB24" s="9"/>
      <c r="AC24" s="10">
        <f t="shared" si="7"/>
        <v>-2075.0300000000002</v>
      </c>
      <c r="AD24" s="8">
        <f>IFERROR(AC24/AC445, "NA")</f>
        <v>7.406504494523207E-2</v>
      </c>
    </row>
    <row r="25" spans="1:30" ht="16.5" customHeight="1" x14ac:dyDescent="0.45">
      <c r="A25" s="12" t="s">
        <v>26</v>
      </c>
      <c r="B25" s="7">
        <v>173.44</v>
      </c>
      <c r="C25" s="8">
        <f>IFERROR(B25/B445, "NA")</f>
        <v>1.4935850933594022E-3</v>
      </c>
      <c r="D25" s="9"/>
      <c r="E25" s="7">
        <v>0</v>
      </c>
      <c r="F25" s="8">
        <f>IFERROR(E25/E445, "NA")</f>
        <v>0</v>
      </c>
      <c r="G25" s="9"/>
      <c r="H25" s="10">
        <f t="shared" si="4"/>
        <v>173.44</v>
      </c>
      <c r="I25" s="8">
        <f>IFERROR(H25/H445, "NA")</f>
        <v>-1.8646795673306932E-2</v>
      </c>
      <c r="J25" s="9"/>
      <c r="K25" s="7">
        <v>0</v>
      </c>
      <c r="L25" s="8">
        <f>IFERROR(K25/K445, "NA")</f>
        <v>0</v>
      </c>
      <c r="M25" s="9"/>
      <c r="N25" s="10">
        <f t="shared" si="5"/>
        <v>173.44</v>
      </c>
      <c r="O25" s="8">
        <f>IFERROR(N25/N445, "NA")</f>
        <v>0.15659365463442795</v>
      </c>
      <c r="P25" s="9"/>
      <c r="Q25" s="7">
        <v>740.23</v>
      </c>
      <c r="R25" s="8">
        <f>IFERROR(Q25/Q445, "NA")</f>
        <v>1.4026121901689966E-3</v>
      </c>
      <c r="S25" s="9"/>
      <c r="T25" s="7">
        <v>0</v>
      </c>
      <c r="U25" s="8">
        <f>IFERROR(T25/T445, "NA")</f>
        <v>0</v>
      </c>
      <c r="V25" s="9"/>
      <c r="W25" s="10">
        <f t="shared" si="6"/>
        <v>740.23</v>
      </c>
      <c r="X25" s="8">
        <f>IFERROR(W25/W445, "NA")</f>
        <v>-1.1068825054904507E-2</v>
      </c>
      <c r="Y25" s="9"/>
      <c r="Z25" s="7">
        <v>0</v>
      </c>
      <c r="AA25" s="8">
        <f>IFERROR(Z25/Z445, "NA")</f>
        <v>0</v>
      </c>
      <c r="AB25" s="9"/>
      <c r="AC25" s="10">
        <f t="shared" si="7"/>
        <v>740.23</v>
      </c>
      <c r="AD25" s="8">
        <f>IFERROR(AC25/AC445, "NA")</f>
        <v>-2.6421385820835905E-2</v>
      </c>
    </row>
    <row r="26" spans="1:30" ht="16.5" customHeight="1" x14ac:dyDescent="0.45">
      <c r="A26" s="12" t="s">
        <v>27</v>
      </c>
      <c r="B26" s="7">
        <v>1154.1400000000001</v>
      </c>
      <c r="C26" s="8">
        <f>IFERROR(B26/B445, "NA")</f>
        <v>9.9389200856193523E-3</v>
      </c>
      <c r="D26" s="9"/>
      <c r="E26" s="7">
        <v>0</v>
      </c>
      <c r="F26" s="8">
        <f>IFERROR(E26/E445, "NA")</f>
        <v>0</v>
      </c>
      <c r="G26" s="9"/>
      <c r="H26" s="10">
        <f t="shared" si="4"/>
        <v>1154.1400000000001</v>
      </c>
      <c r="I26" s="8">
        <f>IFERROR(H26/H445, "NA")</f>
        <v>-0.12408333001839521</v>
      </c>
      <c r="J26" s="9"/>
      <c r="K26" s="7">
        <v>0</v>
      </c>
      <c r="L26" s="8">
        <f>IFERROR(K26/K445, "NA")</f>
        <v>0</v>
      </c>
      <c r="M26" s="9"/>
      <c r="N26" s="10">
        <f t="shared" si="5"/>
        <v>1154.1400000000001</v>
      </c>
      <c r="O26" s="8">
        <f>IFERROR(N26/N445, "NA")</f>
        <v>1.0420375954784289</v>
      </c>
      <c r="P26" s="9"/>
      <c r="Q26" s="7">
        <v>6866.43</v>
      </c>
      <c r="R26" s="8">
        <f>IFERROR(Q26/Q445, "NA")</f>
        <v>1.3010737771965609E-2</v>
      </c>
      <c r="S26" s="9"/>
      <c r="T26" s="7">
        <v>0</v>
      </c>
      <c r="U26" s="8">
        <f>IFERROR(T26/T445, "NA")</f>
        <v>0</v>
      </c>
      <c r="V26" s="9"/>
      <c r="W26" s="10">
        <f t="shared" si="6"/>
        <v>6866.43</v>
      </c>
      <c r="X26" s="8">
        <f>IFERROR(W26/W445, "NA")</f>
        <v>-0.10267526636551877</v>
      </c>
      <c r="Y26" s="9"/>
      <c r="Z26" s="7">
        <v>0</v>
      </c>
      <c r="AA26" s="8">
        <f>IFERROR(Z26/Z445, "NA")</f>
        <v>0</v>
      </c>
      <c r="AB26" s="9"/>
      <c r="AC26" s="10">
        <f t="shared" si="7"/>
        <v>6866.43</v>
      </c>
      <c r="AD26" s="8">
        <f>IFERROR(AC26/AC445, "NA")</f>
        <v>-0.245086792269649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IFERROR(B27/B445, "NA")</f>
        <v>0</v>
      </c>
      <c r="D27" s="9"/>
      <c r="E27" s="7">
        <v>0</v>
      </c>
      <c r="F27" s="8">
        <f>IFERROR(E27/E445, "NA")</f>
        <v>0</v>
      </c>
      <c r="G27" s="9"/>
      <c r="H27" s="10">
        <f t="shared" si="4"/>
        <v>0</v>
      </c>
      <c r="I27" s="8">
        <f>IFERROR(H27/H445, "NA")</f>
        <v>0</v>
      </c>
      <c r="J27" s="9"/>
      <c r="K27" s="7">
        <v>0</v>
      </c>
      <c r="L27" s="8">
        <f>IFERROR(K27/K445, "NA")</f>
        <v>0</v>
      </c>
      <c r="M27" s="9"/>
      <c r="N27" s="10">
        <f t="shared" si="5"/>
        <v>0</v>
      </c>
      <c r="O27" s="8">
        <f>IFERROR(N27/N445, "NA")</f>
        <v>0</v>
      </c>
      <c r="P27" s="9"/>
      <c r="Q27" s="7">
        <v>0</v>
      </c>
      <c r="R27" s="8">
        <f>IFERROR(Q27/Q445, "NA")</f>
        <v>0</v>
      </c>
      <c r="S27" s="9"/>
      <c r="T27" s="7">
        <v>0</v>
      </c>
      <c r="U27" s="8">
        <f>IFERROR(T27/T445, "NA")</f>
        <v>0</v>
      </c>
      <c r="V27" s="9"/>
      <c r="W27" s="10">
        <f t="shared" si="6"/>
        <v>0</v>
      </c>
      <c r="X27" s="8">
        <f>IFERROR(W27/W445, "NA")</f>
        <v>0</v>
      </c>
      <c r="Y27" s="9"/>
      <c r="Z27" s="7">
        <v>0</v>
      </c>
      <c r="AA27" s="8">
        <f>IFERROR(Z27/Z445, "NA")</f>
        <v>0</v>
      </c>
      <c r="AB27" s="9"/>
      <c r="AC27" s="10">
        <f t="shared" si="7"/>
        <v>0</v>
      </c>
      <c r="AD27" s="8">
        <f>IFERROR(AC27/AC445, "NA")</f>
        <v>0</v>
      </c>
    </row>
    <row r="28" spans="1:30" ht="16.5" customHeight="1" x14ac:dyDescent="0.45">
      <c r="A28" s="12" t="s">
        <v>29</v>
      </c>
      <c r="B28" s="7">
        <v>910.48</v>
      </c>
      <c r="C28" s="8">
        <f>IFERROR(B28/B445, "NA")</f>
        <v>7.8406328171233188E-3</v>
      </c>
      <c r="D28" s="9"/>
      <c r="E28" s="7">
        <v>0</v>
      </c>
      <c r="F28" s="8">
        <f>IFERROR(E28/E445, "NA")</f>
        <v>0</v>
      </c>
      <c r="G28" s="9"/>
      <c r="H28" s="10">
        <f t="shared" si="4"/>
        <v>910.48</v>
      </c>
      <c r="I28" s="8">
        <f>IFERROR(H28/H445, "NA")</f>
        <v>-9.7887076364347875E-2</v>
      </c>
      <c r="J28" s="9"/>
      <c r="K28" s="7">
        <v>898.5</v>
      </c>
      <c r="L28" s="8">
        <f>IFERROR(K28/K445, "NA")</f>
        <v>7.8119769735783898E-3</v>
      </c>
      <c r="M28" s="9"/>
      <c r="N28" s="10">
        <f t="shared" si="5"/>
        <v>11.980000000000018</v>
      </c>
      <c r="O28" s="8">
        <f>IFERROR(N28/N445, "NA")</f>
        <v>1.0816374437963849E-2</v>
      </c>
      <c r="P28" s="9"/>
      <c r="Q28" s="7">
        <v>4342.75</v>
      </c>
      <c r="R28" s="8">
        <f>IFERROR(Q28/Q445, "NA")</f>
        <v>8.2287857677430121E-3</v>
      </c>
      <c r="S28" s="9"/>
      <c r="T28" s="7">
        <v>0</v>
      </c>
      <c r="U28" s="8">
        <f>IFERROR(T28/T445, "NA")</f>
        <v>0</v>
      </c>
      <c r="V28" s="9"/>
      <c r="W28" s="10">
        <f t="shared" si="6"/>
        <v>4342.75</v>
      </c>
      <c r="X28" s="8">
        <f>IFERROR(W28/W445, "NA")</f>
        <v>-6.4938113839193956E-2</v>
      </c>
      <c r="Y28" s="9"/>
      <c r="Z28" s="7">
        <v>4342.75</v>
      </c>
      <c r="AA28" s="8">
        <f>IFERROR(Z28/Z445, "NA")</f>
        <v>7.813971361001015E-3</v>
      </c>
      <c r="AB28" s="9"/>
      <c r="AC28" s="10">
        <f t="shared" si="7"/>
        <v>0</v>
      </c>
      <c r="AD28" s="8">
        <f>IFERROR(AC28/AC445, "NA")</f>
        <v>0</v>
      </c>
    </row>
    <row r="29" spans="1:30" ht="16.5" customHeight="1" x14ac:dyDescent="0.45">
      <c r="A29" s="13" t="s">
        <v>30</v>
      </c>
      <c r="B29" s="14">
        <f>IFERROR(B21+B22+B23+B24+B25+B26+B27+B28, "NA")</f>
        <v>12909.21</v>
      </c>
      <c r="C29" s="15">
        <f>IFERROR(B29/B445, "NA")</f>
        <v>0.11116814819560729</v>
      </c>
      <c r="D29" s="2"/>
      <c r="E29" s="14">
        <f>IFERROR(E21+E22+E23+E24+E25+E26+E27+E28, "NA")</f>
        <v>13420.43</v>
      </c>
      <c r="F29" s="15">
        <f>IFERROR(E29/E445, "NA")</f>
        <v>0.10699997392856155</v>
      </c>
      <c r="G29" s="2"/>
      <c r="H29" s="14">
        <f t="shared" si="4"/>
        <v>-511.22000000000116</v>
      </c>
      <c r="I29" s="15">
        <f>IFERROR(H29/H445, "NA")</f>
        <v>5.4962032311508251E-2</v>
      </c>
      <c r="J29" s="2"/>
      <c r="K29" s="14">
        <f>IFERROR(K21+K22+K23+K24+K25+K26+K27+K28, "NA")</f>
        <v>9489.65</v>
      </c>
      <c r="L29" s="15">
        <f>IFERROR(K29/K445, "NA")</f>
        <v>8.2507431594121494E-2</v>
      </c>
      <c r="M29" s="2"/>
      <c r="N29" s="14">
        <f t="shared" si="5"/>
        <v>3419.5599999999995</v>
      </c>
      <c r="O29" s="15">
        <f>IFERROR(N29/N445, "NA")</f>
        <v>3.0874158074360265</v>
      </c>
      <c r="P29" s="2"/>
      <c r="Q29" s="14">
        <f>IFERROR(Q21+Q22+Q23+Q24+Q25+Q26+Q27+Q28, "NA")</f>
        <v>55263.960000000014</v>
      </c>
      <c r="R29" s="15">
        <f>IFERROR(Q29/Q445, "NA")</f>
        <v>0.1047159720262781</v>
      </c>
      <c r="S29" s="2"/>
      <c r="T29" s="14">
        <f>IFERROR(T21+T22+T23+T24+T25+T26+T27+T28, "NA")</f>
        <v>63625</v>
      </c>
      <c r="U29" s="15">
        <f>IFERROR(T29/T445, "NA")</f>
        <v>0.10699999068322281</v>
      </c>
      <c r="V29" s="2"/>
      <c r="W29" s="14">
        <f t="shared" si="6"/>
        <v>-8361.0399999999863</v>
      </c>
      <c r="X29" s="15">
        <f>IFERROR(W29/W445, "NA")</f>
        <v>0.12502450459594805</v>
      </c>
      <c r="Y29" s="2"/>
      <c r="Z29" s="14">
        <f>IFERROR(Z21+Z22+Z23+Z24+Z25+Z26+Z27+Z28, "NA")</f>
        <v>54378.66</v>
      </c>
      <c r="AA29" s="15">
        <f>IFERROR(Z29/Z445, "NA")</f>
        <v>9.7844290343586784E-2</v>
      </c>
      <c r="AB29" s="2"/>
      <c r="AC29" s="14">
        <f t="shared" si="7"/>
        <v>885.30000000001019</v>
      </c>
      <c r="AD29" s="15">
        <f>IFERROR(AC29/AC445, "NA")</f>
        <v>-3.1599439184018877E-2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IFERROR(B31/B445, "NA")</f>
        <v>0</v>
      </c>
      <c r="D31" s="9"/>
      <c r="E31" s="7">
        <v>22827.279999999999</v>
      </c>
      <c r="F31" s="8">
        <f>IFERROR(E31/E445, "NA")</f>
        <v>0.1820000078134586</v>
      </c>
      <c r="G31" s="9"/>
      <c r="H31" s="10">
        <f t="shared" ref="H31:H40" si="8">IFERROR(B31-E31, "NA")</f>
        <v>-22827.279999999999</v>
      </c>
      <c r="I31" s="8">
        <f>IFERROR(H31/H445, "NA")</f>
        <v>2.4541952602477273</v>
      </c>
      <c r="J31" s="9"/>
      <c r="K31" s="7">
        <v>0</v>
      </c>
      <c r="L31" s="8">
        <f>IFERROR(K31/K445, "NA")</f>
        <v>0</v>
      </c>
      <c r="M31" s="9"/>
      <c r="N31" s="10">
        <f t="shared" ref="N31:N40" si="9">IFERROR(B31-K31, "NA")</f>
        <v>0</v>
      </c>
      <c r="O31" s="8">
        <f>IFERROR(N31/N445, "NA")</f>
        <v>0</v>
      </c>
      <c r="P31" s="9"/>
      <c r="Q31" s="7">
        <v>0</v>
      </c>
      <c r="R31" s="8">
        <f>IFERROR(Q31/Q445, "NA")</f>
        <v>0</v>
      </c>
      <c r="S31" s="9"/>
      <c r="T31" s="7">
        <v>108221.97</v>
      </c>
      <c r="U31" s="8">
        <f>IFERROR(T31/T445, "NA")</f>
        <v>0.1819999965692734</v>
      </c>
      <c r="V31" s="9"/>
      <c r="W31" s="10">
        <f t="shared" ref="W31:W40" si="10">IFERROR(Q31-T31, "NA")</f>
        <v>-108221.97</v>
      </c>
      <c r="X31" s="8">
        <f>IFERROR(W31/W445, "NA")</f>
        <v>1.6182673669361196</v>
      </c>
      <c r="Y31" s="9"/>
      <c r="Z31" s="7">
        <v>0</v>
      </c>
      <c r="AA31" s="8">
        <f>IFERROR(Z31/Z445, "NA")</f>
        <v>0</v>
      </c>
      <c r="AB31" s="9"/>
      <c r="AC31" s="10">
        <f t="shared" ref="AC31:AC40" si="11">IFERROR(Q31-Z31, "NA")</f>
        <v>0</v>
      </c>
      <c r="AD31" s="8">
        <f>IFERROR(AC31/AC445,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IFERROR(B32/B445, "NA")</f>
        <v>0</v>
      </c>
      <c r="D32" s="9"/>
      <c r="E32" s="7">
        <v>0</v>
      </c>
      <c r="F32" s="8">
        <f>IFERROR(E32/E445, "NA")</f>
        <v>0</v>
      </c>
      <c r="G32" s="9"/>
      <c r="H32" s="10">
        <f t="shared" si="8"/>
        <v>0</v>
      </c>
      <c r="I32" s="8">
        <f>IFERROR(H32/H445, "NA")</f>
        <v>0</v>
      </c>
      <c r="J32" s="9"/>
      <c r="K32" s="7">
        <v>0</v>
      </c>
      <c r="L32" s="8">
        <f>IFERROR(K32/K445, "NA")</f>
        <v>0</v>
      </c>
      <c r="M32" s="9"/>
      <c r="N32" s="10">
        <f t="shared" si="9"/>
        <v>0</v>
      </c>
      <c r="O32" s="8">
        <f>IFERROR(N32/N445, "NA")</f>
        <v>0</v>
      </c>
      <c r="P32" s="9"/>
      <c r="Q32" s="7">
        <v>0</v>
      </c>
      <c r="R32" s="8">
        <f>IFERROR(Q32/Q445, "NA")</f>
        <v>0</v>
      </c>
      <c r="S32" s="9"/>
      <c r="T32" s="7">
        <v>0</v>
      </c>
      <c r="U32" s="8">
        <f>IFERROR(T32/T445, "NA")</f>
        <v>0</v>
      </c>
      <c r="V32" s="9"/>
      <c r="W32" s="10">
        <f t="shared" si="10"/>
        <v>0</v>
      </c>
      <c r="X32" s="8">
        <f>IFERROR(W32/W445, "NA")</f>
        <v>0</v>
      </c>
      <c r="Y32" s="9"/>
      <c r="Z32" s="7">
        <v>0</v>
      </c>
      <c r="AA32" s="8">
        <f>IFERROR(Z32/Z445, "NA")</f>
        <v>0</v>
      </c>
      <c r="AB32" s="9"/>
      <c r="AC32" s="10">
        <f t="shared" si="11"/>
        <v>0</v>
      </c>
      <c r="AD32" s="8">
        <f>IFERROR(AC32/AC445, "NA")</f>
        <v>0</v>
      </c>
    </row>
    <row r="33" spans="1:30" ht="16.5" customHeight="1" x14ac:dyDescent="0.45">
      <c r="A33" s="12" t="s">
        <v>33</v>
      </c>
      <c r="B33" s="7">
        <v>9006.52</v>
      </c>
      <c r="C33" s="8">
        <f>IFERROR(B33/B445, "NA")</f>
        <v>7.7559986249096657E-2</v>
      </c>
      <c r="D33" s="9"/>
      <c r="E33" s="7">
        <v>0</v>
      </c>
      <c r="F33" s="8">
        <f>IFERROR(E33/E445, "NA")</f>
        <v>0</v>
      </c>
      <c r="G33" s="9"/>
      <c r="H33" s="10">
        <f t="shared" si="8"/>
        <v>9006.52</v>
      </c>
      <c r="I33" s="8">
        <f>IFERROR(H33/H445, "NA")</f>
        <v>-0.96830453279262196</v>
      </c>
      <c r="J33" s="9"/>
      <c r="K33" s="7">
        <v>6309.19</v>
      </c>
      <c r="L33" s="8">
        <f>IFERROR(K33/K445, "NA")</f>
        <v>5.4855032834647786E-2</v>
      </c>
      <c r="M33" s="9"/>
      <c r="N33" s="10">
        <f t="shared" si="9"/>
        <v>2697.3300000000008</v>
      </c>
      <c r="O33" s="8">
        <f>IFERROR(N33/N445, "NA")</f>
        <v>2.4353364993950746</v>
      </c>
      <c r="P33" s="9"/>
      <c r="Q33" s="7">
        <v>52393.120000000003</v>
      </c>
      <c r="R33" s="8">
        <f>IFERROR(Q33/Q445, "NA")</f>
        <v>9.9276209817201491E-2</v>
      </c>
      <c r="S33" s="9"/>
      <c r="T33" s="7">
        <v>0</v>
      </c>
      <c r="U33" s="8">
        <f>IFERROR(T33/T445, "NA")</f>
        <v>0</v>
      </c>
      <c r="V33" s="9"/>
      <c r="W33" s="10">
        <f t="shared" si="10"/>
        <v>52393.120000000003</v>
      </c>
      <c r="X33" s="8">
        <f>IFERROR(W33/W445, "NA")</f>
        <v>-0.7834460631974095</v>
      </c>
      <c r="Y33" s="9"/>
      <c r="Z33" s="7">
        <v>40123.99</v>
      </c>
      <c r="AA33" s="8">
        <f>IFERROR(Z33/Z445, "NA")</f>
        <v>7.2195661447030365E-2</v>
      </c>
      <c r="AB33" s="9"/>
      <c r="AC33" s="10">
        <f t="shared" si="11"/>
        <v>12269.130000000005</v>
      </c>
      <c r="AD33" s="8">
        <f>IFERROR(AC33/AC445, "NA")</f>
        <v>-0.43792796484334939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IFERROR(B34/B445, "NA")</f>
        <v>0</v>
      </c>
      <c r="D34" s="9"/>
      <c r="E34" s="7">
        <v>0</v>
      </c>
      <c r="F34" s="8">
        <f>IFERROR(E34/E445, "NA")</f>
        <v>0</v>
      </c>
      <c r="G34" s="9"/>
      <c r="H34" s="10">
        <f t="shared" si="8"/>
        <v>0</v>
      </c>
      <c r="I34" s="8">
        <f>IFERROR(H34/H445, "NA")</f>
        <v>0</v>
      </c>
      <c r="J34" s="9"/>
      <c r="K34" s="7">
        <v>0</v>
      </c>
      <c r="L34" s="8">
        <f>IFERROR(K34/K445, "NA")</f>
        <v>0</v>
      </c>
      <c r="M34" s="9"/>
      <c r="N34" s="10">
        <f t="shared" si="9"/>
        <v>0</v>
      </c>
      <c r="O34" s="8">
        <f>IFERROR(N34/N445, "NA")</f>
        <v>0</v>
      </c>
      <c r="P34" s="9"/>
      <c r="Q34" s="7">
        <v>0</v>
      </c>
      <c r="R34" s="8">
        <f>IFERROR(Q34/Q445, "NA")</f>
        <v>0</v>
      </c>
      <c r="S34" s="9"/>
      <c r="T34" s="7">
        <v>0</v>
      </c>
      <c r="U34" s="8">
        <f>IFERROR(T34/T445, "NA")</f>
        <v>0</v>
      </c>
      <c r="V34" s="9"/>
      <c r="W34" s="10">
        <f t="shared" si="10"/>
        <v>0</v>
      </c>
      <c r="X34" s="8">
        <f>IFERROR(W34/W445, "NA")</f>
        <v>0</v>
      </c>
      <c r="Y34" s="9"/>
      <c r="Z34" s="7">
        <v>0</v>
      </c>
      <c r="AA34" s="8">
        <f>IFERROR(Z34/Z445, "NA")</f>
        <v>0</v>
      </c>
      <c r="AB34" s="9"/>
      <c r="AC34" s="10">
        <f t="shared" si="11"/>
        <v>0</v>
      </c>
      <c r="AD34" s="8">
        <f>IFERROR(AC34/AC445, "NA")</f>
        <v>0</v>
      </c>
    </row>
    <row r="35" spans="1:30" ht="16.5" customHeight="1" x14ac:dyDescent="0.45">
      <c r="A35" s="12" t="s">
        <v>35</v>
      </c>
      <c r="B35" s="7">
        <v>708.1</v>
      </c>
      <c r="C35" s="8">
        <f>IFERROR(B35/B445, "NA")</f>
        <v>6.0978298236150407E-3</v>
      </c>
      <c r="D35" s="9"/>
      <c r="E35" s="7">
        <v>0</v>
      </c>
      <c r="F35" s="8">
        <f>IFERROR(E35/E445, "NA")</f>
        <v>0</v>
      </c>
      <c r="G35" s="9"/>
      <c r="H35" s="10">
        <f t="shared" si="8"/>
        <v>708.1</v>
      </c>
      <c r="I35" s="8">
        <f>IFERROR(H35/H445, "NA")</f>
        <v>-7.6128897695275824E-2</v>
      </c>
      <c r="J35" s="9"/>
      <c r="K35" s="7">
        <v>1245.26</v>
      </c>
      <c r="L35" s="8">
        <f>IFERROR(K35/K445, "NA")</f>
        <v>1.0826869723003034E-2</v>
      </c>
      <c r="M35" s="9"/>
      <c r="N35" s="10">
        <f t="shared" si="9"/>
        <v>-537.16</v>
      </c>
      <c r="O35" s="8">
        <f>IFERROR(N35/N445, "NA")</f>
        <v>-0.48498528323010448</v>
      </c>
      <c r="P35" s="9"/>
      <c r="Q35" s="7">
        <v>3689.78</v>
      </c>
      <c r="R35" s="8">
        <f>IFERROR(Q35/Q445, "NA")</f>
        <v>6.9915167002712131E-3</v>
      </c>
      <c r="S35" s="9"/>
      <c r="T35" s="7">
        <v>0</v>
      </c>
      <c r="U35" s="8">
        <f>IFERROR(T35/T445, "NA")</f>
        <v>0</v>
      </c>
      <c r="V35" s="9"/>
      <c r="W35" s="10">
        <f t="shared" si="10"/>
        <v>3689.78</v>
      </c>
      <c r="X35" s="8">
        <f>IFERROR(W35/W445, "NA")</f>
        <v>-5.5174107116822545E-2</v>
      </c>
      <c r="Y35" s="9"/>
      <c r="Z35" s="7">
        <v>6504.44</v>
      </c>
      <c r="AA35" s="8">
        <f>IFERROR(Z35/Z445, "NA")</f>
        <v>1.170353068432432E-2</v>
      </c>
      <c r="AB35" s="9"/>
      <c r="AC35" s="10">
        <f t="shared" si="11"/>
        <v>-2814.6599999999994</v>
      </c>
      <c r="AD35" s="8">
        <f>IFERROR(AC35/AC445, "NA")</f>
        <v>0.10046501467715976</v>
      </c>
    </row>
    <row r="36" spans="1:30" ht="16.5" customHeight="1" x14ac:dyDescent="0.45">
      <c r="A36" s="12" t="s">
        <v>36</v>
      </c>
      <c r="B36" s="7">
        <v>10019.219999999999</v>
      </c>
      <c r="C36" s="8">
        <f>IFERROR(B36/B445, "NA")</f>
        <v>8.6280890446773464E-2</v>
      </c>
      <c r="D36" s="9"/>
      <c r="E36" s="7">
        <v>0</v>
      </c>
      <c r="F36" s="8">
        <f>IFERROR(E36/E445, "NA")</f>
        <v>0</v>
      </c>
      <c r="G36" s="9"/>
      <c r="H36" s="10">
        <f t="shared" si="8"/>
        <v>10019.219999999999</v>
      </c>
      <c r="I36" s="8">
        <f>IFERROR(H36/H445, "NA")</f>
        <v>-1.0771814353431173</v>
      </c>
      <c r="J36" s="9"/>
      <c r="K36" s="7">
        <v>7494.27</v>
      </c>
      <c r="L36" s="8">
        <f>IFERROR(K36/K445, "NA")</f>
        <v>6.5158669642492298E-2</v>
      </c>
      <c r="M36" s="9"/>
      <c r="N36" s="10">
        <f t="shared" si="9"/>
        <v>2524.9499999999989</v>
      </c>
      <c r="O36" s="8">
        <f>IFERROR(N36/N445, "NA")</f>
        <v>2.2796998862384612</v>
      </c>
      <c r="P36" s="9"/>
      <c r="Q36" s="7">
        <v>49308.959999999999</v>
      </c>
      <c r="R36" s="8">
        <f>IFERROR(Q36/Q445, "NA")</f>
        <v>9.3432241844501634E-2</v>
      </c>
      <c r="S36" s="9"/>
      <c r="T36" s="7">
        <v>0</v>
      </c>
      <c r="U36" s="8">
        <f>IFERROR(T36/T445, "NA")</f>
        <v>0</v>
      </c>
      <c r="V36" s="9"/>
      <c r="W36" s="10">
        <f t="shared" si="10"/>
        <v>49308.959999999999</v>
      </c>
      <c r="X36" s="8">
        <f>IFERROR(W36/W445, "NA")</f>
        <v>-0.73732792764314348</v>
      </c>
      <c r="Y36" s="9"/>
      <c r="Z36" s="7">
        <v>52286.69</v>
      </c>
      <c r="AA36" s="8">
        <f>IFERROR(Z36/Z445, "NA")</f>
        <v>9.4080179200169978E-2</v>
      </c>
      <c r="AB36" s="9"/>
      <c r="AC36" s="10">
        <f t="shared" si="11"/>
        <v>-2977.7300000000032</v>
      </c>
      <c r="AD36" s="8">
        <f>IFERROR(AC36/AC445, "NA")</f>
        <v>0.10628555070758788</v>
      </c>
    </row>
    <row r="37" spans="1:30" ht="16.5" customHeight="1" x14ac:dyDescent="0.45">
      <c r="A37" s="12" t="s">
        <v>37</v>
      </c>
      <c r="B37" s="7">
        <v>1157.6600000000001</v>
      </c>
      <c r="C37" s="8">
        <f>IFERROR(B37/B445, "NA")</f>
        <v>9.9692326982152076E-3</v>
      </c>
      <c r="D37" s="9"/>
      <c r="E37" s="7">
        <v>0</v>
      </c>
      <c r="F37" s="8">
        <f>IFERROR(E37/E445, "NA")</f>
        <v>0</v>
      </c>
      <c r="G37" s="9"/>
      <c r="H37" s="10">
        <f t="shared" si="8"/>
        <v>1157.6600000000001</v>
      </c>
      <c r="I37" s="8">
        <f>IFERROR(H37/H445, "NA")</f>
        <v>-0.12446177052099</v>
      </c>
      <c r="J37" s="9"/>
      <c r="K37" s="7">
        <v>0</v>
      </c>
      <c r="L37" s="8">
        <f>IFERROR(K37/K445, "NA")</f>
        <v>0</v>
      </c>
      <c r="M37" s="9"/>
      <c r="N37" s="10">
        <f t="shared" si="9"/>
        <v>1157.6600000000001</v>
      </c>
      <c r="O37" s="8">
        <f>IFERROR(N37/N445, "NA")</f>
        <v>1.0452156954802345</v>
      </c>
      <c r="P37" s="9"/>
      <c r="Q37" s="7">
        <v>4183.93</v>
      </c>
      <c r="R37" s="8">
        <f>IFERROR(Q37/Q445, "NA")</f>
        <v>7.9278483995700935E-3</v>
      </c>
      <c r="S37" s="9"/>
      <c r="T37" s="7">
        <v>0</v>
      </c>
      <c r="U37" s="8">
        <f>IFERROR(T37/T445, "NA")</f>
        <v>0</v>
      </c>
      <c r="V37" s="9"/>
      <c r="W37" s="10">
        <f t="shared" si="10"/>
        <v>4183.93</v>
      </c>
      <c r="X37" s="8">
        <f>IFERROR(W37/W445, "NA")</f>
        <v>-6.2563242792060061E-2</v>
      </c>
      <c r="Y37" s="9"/>
      <c r="Z37" s="7">
        <v>0</v>
      </c>
      <c r="AA37" s="8">
        <f>IFERROR(Z37/Z445, "NA")</f>
        <v>0</v>
      </c>
      <c r="AB37" s="9"/>
      <c r="AC37" s="10">
        <f t="shared" si="11"/>
        <v>4183.93</v>
      </c>
      <c r="AD37" s="8">
        <f>IFERROR(AC37/AC445, "NA")</f>
        <v>-0.14933902810933083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IFERROR(B38/B445, "NA")</f>
        <v>0</v>
      </c>
      <c r="D38" s="9"/>
      <c r="E38" s="7">
        <v>0</v>
      </c>
      <c r="F38" s="8">
        <f>IFERROR(E38/E445, "NA")</f>
        <v>0</v>
      </c>
      <c r="G38" s="9"/>
      <c r="H38" s="10">
        <f t="shared" si="8"/>
        <v>0</v>
      </c>
      <c r="I38" s="8">
        <f>IFERROR(H38/H445, "NA")</f>
        <v>0</v>
      </c>
      <c r="J38" s="9"/>
      <c r="K38" s="7">
        <v>0</v>
      </c>
      <c r="L38" s="8">
        <f>IFERROR(K38/K445, "NA")</f>
        <v>0</v>
      </c>
      <c r="M38" s="9"/>
      <c r="N38" s="10">
        <f t="shared" si="9"/>
        <v>0</v>
      </c>
      <c r="O38" s="8">
        <f>IFERROR(N38/N445, "NA")</f>
        <v>0</v>
      </c>
      <c r="P38" s="9"/>
      <c r="Q38" s="7">
        <v>0</v>
      </c>
      <c r="R38" s="8">
        <f>IFERROR(Q38/Q445, "NA")</f>
        <v>0</v>
      </c>
      <c r="S38" s="9"/>
      <c r="T38" s="7">
        <v>0</v>
      </c>
      <c r="U38" s="8">
        <f>IFERROR(T38/T445, "NA")</f>
        <v>0</v>
      </c>
      <c r="V38" s="9"/>
      <c r="W38" s="10">
        <f t="shared" si="10"/>
        <v>0</v>
      </c>
      <c r="X38" s="8">
        <f>IFERROR(W38/W445, "NA")</f>
        <v>0</v>
      </c>
      <c r="Y38" s="9"/>
      <c r="Z38" s="7">
        <v>0</v>
      </c>
      <c r="AA38" s="8">
        <f>IFERROR(Z38/Z445, "NA")</f>
        <v>0</v>
      </c>
      <c r="AB38" s="9"/>
      <c r="AC38" s="10">
        <f t="shared" si="11"/>
        <v>0</v>
      </c>
      <c r="AD38" s="8">
        <f>IFERROR(AC38/AC445,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IFERROR(B39/B445, "NA")</f>
        <v>0</v>
      </c>
      <c r="D39" s="9"/>
      <c r="E39" s="7">
        <v>0</v>
      </c>
      <c r="F39" s="8">
        <f>IFERROR(E39/E445, "NA")</f>
        <v>0</v>
      </c>
      <c r="G39" s="9"/>
      <c r="H39" s="10">
        <f t="shared" si="8"/>
        <v>0</v>
      </c>
      <c r="I39" s="8">
        <f>IFERROR(H39/H445, "NA")</f>
        <v>0</v>
      </c>
      <c r="J39" s="9"/>
      <c r="K39" s="7">
        <v>865.65</v>
      </c>
      <c r="L39" s="8">
        <f>IFERROR(K39/K445, "NA")</f>
        <v>7.5263637920736041E-3</v>
      </c>
      <c r="M39" s="9"/>
      <c r="N39" s="10">
        <f t="shared" si="9"/>
        <v>-865.65</v>
      </c>
      <c r="O39" s="8">
        <f>IFERROR(N39/N445, "NA")</f>
        <v>-0.78156882572816289</v>
      </c>
      <c r="P39" s="9"/>
      <c r="Q39" s="7">
        <v>521.4</v>
      </c>
      <c r="R39" s="8">
        <f>IFERROR(Q39/Q445, "NA")</f>
        <v>9.8796589702405306E-4</v>
      </c>
      <c r="S39" s="9"/>
      <c r="T39" s="7">
        <v>0</v>
      </c>
      <c r="U39" s="8">
        <f>IFERROR(T39/T445, "NA")</f>
        <v>0</v>
      </c>
      <c r="V39" s="9"/>
      <c r="W39" s="10">
        <f t="shared" si="10"/>
        <v>521.4</v>
      </c>
      <c r="X39" s="8">
        <f>IFERROR(W39/W445, "NA")</f>
        <v>-7.7966110312027471E-3</v>
      </c>
      <c r="Y39" s="9"/>
      <c r="Z39" s="7">
        <v>4762.75</v>
      </c>
      <c r="AA39" s="8">
        <f>IFERROR(Z39/Z445, "NA")</f>
        <v>8.5696832881486575E-3</v>
      </c>
      <c r="AB39" s="9"/>
      <c r="AC39" s="10">
        <f t="shared" si="11"/>
        <v>-4241.3500000000004</v>
      </c>
      <c r="AD39" s="8">
        <f>IFERROR(AC39/AC445, "NA")</f>
        <v>0.15138854781784361</v>
      </c>
    </row>
    <row r="40" spans="1:30" ht="16.5" customHeight="1" x14ac:dyDescent="0.45">
      <c r="A40" s="13" t="s">
        <v>40</v>
      </c>
      <c r="B40" s="14">
        <f>IFERROR(B31+B32+B33+B34+B35+B36+B37+B38+B39, "NA")</f>
        <v>20891.5</v>
      </c>
      <c r="C40" s="15">
        <f>IFERROR(B40/B445, "NA")</f>
        <v>0.17990793921770037</v>
      </c>
      <c r="D40" s="2"/>
      <c r="E40" s="14">
        <f>IFERROR(E31+E32+E33+E34+E35+E36+E37+E38+E39, "NA")</f>
        <v>22827.279999999999</v>
      </c>
      <c r="F40" s="15">
        <f>IFERROR(E40/E445, "NA")</f>
        <v>0.1820000078134586</v>
      </c>
      <c r="G40" s="2"/>
      <c r="H40" s="14">
        <f t="shared" si="8"/>
        <v>-1935.7799999999988</v>
      </c>
      <c r="I40" s="15">
        <f>IFERROR(H40/H445, "NA")</f>
        <v>0.20811862389572228</v>
      </c>
      <c r="J40" s="2"/>
      <c r="K40" s="14">
        <f>IFERROR(K31+K32+K33+K34+K35+K36+K37+K38+K39, "NA")</f>
        <v>15914.37</v>
      </c>
      <c r="L40" s="15">
        <f>IFERROR(K40/K445, "NA")</f>
        <v>0.13836693599221672</v>
      </c>
      <c r="M40" s="2"/>
      <c r="N40" s="14">
        <f t="shared" si="9"/>
        <v>4977.1299999999992</v>
      </c>
      <c r="O40" s="15">
        <f>IFERROR(N40/N445, "NA")</f>
        <v>4.4936979721555028</v>
      </c>
      <c r="P40" s="2"/>
      <c r="Q40" s="14">
        <f>IFERROR(Q31+Q32+Q33+Q34+Q35+Q36+Q37+Q38+Q39, "NA")</f>
        <v>110097.19</v>
      </c>
      <c r="R40" s="15">
        <f>IFERROR(Q40/Q445, "NA")</f>
        <v>0.20861578265856848</v>
      </c>
      <c r="S40" s="2"/>
      <c r="T40" s="14">
        <f>IFERROR(T31+T32+T33+T34+T35+T36+T37+T38+T39, "NA")</f>
        <v>108221.97</v>
      </c>
      <c r="U40" s="15">
        <f>IFERROR(T40/T445, "NA")</f>
        <v>0.1819999965692734</v>
      </c>
      <c r="V40" s="2"/>
      <c r="W40" s="14">
        <f t="shared" si="10"/>
        <v>1875.2200000000012</v>
      </c>
      <c r="X40" s="15">
        <f>IFERROR(W40/W445, "NA")</f>
        <v>-2.8040584844518653E-2</v>
      </c>
      <c r="Y40" s="2"/>
      <c r="Z40" s="14">
        <f>IFERROR(Z31+Z32+Z33+Z34+Z35+Z36+Z37+Z38+Z39, "NA")</f>
        <v>103677.87</v>
      </c>
      <c r="AA40" s="15">
        <f>IFERROR(Z40/Z445, "NA")</f>
        <v>0.1865490546196733</v>
      </c>
      <c r="AB40" s="2"/>
      <c r="AC40" s="14">
        <f t="shared" si="11"/>
        <v>6419.320000000007</v>
      </c>
      <c r="AD40" s="15">
        <f>IFERROR(AC40/AC445, "NA")</f>
        <v>-0.22912787975008919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IFERROR(B42/B445, "NA")</f>
        <v>0</v>
      </c>
      <c r="D42" s="9"/>
      <c r="E42" s="7">
        <v>23203.55</v>
      </c>
      <c r="F42" s="8">
        <f>IFERROR(E42/E445, "NA")</f>
        <v>0.18499997727718667</v>
      </c>
      <c r="G42" s="9"/>
      <c r="H42" s="10">
        <f>IFERROR(B42-E42, "NA")</f>
        <v>-23203.55</v>
      </c>
      <c r="I42" s="8">
        <f>IFERROR(H42/H445, "NA")</f>
        <v>2.4946486147679949</v>
      </c>
      <c r="J42" s="9"/>
      <c r="K42" s="7">
        <v>0</v>
      </c>
      <c r="L42" s="8">
        <f>IFERROR(K42/K445, "NA")</f>
        <v>0</v>
      </c>
      <c r="M42" s="9"/>
      <c r="N42" s="10">
        <f>IFERROR(B42-K42, "NA")</f>
        <v>0</v>
      </c>
      <c r="O42" s="8">
        <f>IFERROR(N42/N445, "NA")</f>
        <v>0</v>
      </c>
      <c r="P42" s="9"/>
      <c r="Q42" s="7">
        <v>0</v>
      </c>
      <c r="R42" s="8">
        <f>IFERROR(Q42/Q445, "NA")</f>
        <v>0</v>
      </c>
      <c r="S42" s="9"/>
      <c r="T42" s="7">
        <v>110005.85</v>
      </c>
      <c r="U42" s="8">
        <f>IFERROR(T42/T445, "NA")</f>
        <v>0.18499999882278992</v>
      </c>
      <c r="V42" s="9"/>
      <c r="W42" s="10">
        <f>IFERROR(Q42-T42, "NA")</f>
        <v>-110005.85</v>
      </c>
      <c r="X42" s="8">
        <f>IFERROR(W42/W445, "NA")</f>
        <v>1.6449421242938911</v>
      </c>
      <c r="Y42" s="9"/>
      <c r="Z42" s="7">
        <v>0</v>
      </c>
      <c r="AA42" s="8">
        <f>IFERROR(Z42/Z445, "NA")</f>
        <v>0</v>
      </c>
      <c r="AB42" s="9"/>
      <c r="AC42" s="10">
        <f>IFERROR(Q42-Z42, "NA")</f>
        <v>0</v>
      </c>
      <c r="AD42" s="8">
        <f>IFERROR(AC42/AC445, "NA")</f>
        <v>0</v>
      </c>
    </row>
    <row r="43" spans="1:30" ht="16.5" customHeight="1" x14ac:dyDescent="0.45">
      <c r="A43" s="12" t="s">
        <v>42</v>
      </c>
      <c r="B43" s="7">
        <v>3024.14</v>
      </c>
      <c r="C43" s="8">
        <f>IFERROR(B43/B445, "NA")</f>
        <v>2.6042495527167333E-2</v>
      </c>
      <c r="D43" s="9"/>
      <c r="E43" s="7">
        <v>0</v>
      </c>
      <c r="F43" s="8">
        <f>IFERROR(E43/E445, "NA")</f>
        <v>0</v>
      </c>
      <c r="G43" s="9"/>
      <c r="H43" s="10">
        <f>IFERROR(B43-E43, "NA")</f>
        <v>3024.14</v>
      </c>
      <c r="I43" s="8">
        <f>IFERROR(H43/H445, "NA")</f>
        <v>-0.32512984702187742</v>
      </c>
      <c r="J43" s="9"/>
      <c r="K43" s="7">
        <v>4191.07</v>
      </c>
      <c r="L43" s="8">
        <f>IFERROR(K43/K445, "NA")</f>
        <v>3.643911222554834E-2</v>
      </c>
      <c r="M43" s="9"/>
      <c r="N43" s="10">
        <f>IFERROR(B43-K43, "NA")</f>
        <v>-1166.9299999999998</v>
      </c>
      <c r="O43" s="8">
        <f>IFERROR(N43/N445, "NA")</f>
        <v>-1.0535852940645354</v>
      </c>
      <c r="P43" s="9"/>
      <c r="Q43" s="7">
        <v>14615.01</v>
      </c>
      <c r="R43" s="8">
        <f>IFERROR(Q43/Q445, "NA")</f>
        <v>2.7693002425518806E-2</v>
      </c>
      <c r="S43" s="9"/>
      <c r="T43" s="7">
        <v>0</v>
      </c>
      <c r="U43" s="8">
        <f>IFERROR(T43/T445, "NA")</f>
        <v>0</v>
      </c>
      <c r="V43" s="9"/>
      <c r="W43" s="10">
        <f>IFERROR(Q43-T43, "NA")</f>
        <v>14615.01</v>
      </c>
      <c r="X43" s="8">
        <f>IFERROR(W43/W445, "NA")</f>
        <v>-0.21854151934625712</v>
      </c>
      <c r="Y43" s="9"/>
      <c r="Z43" s="7">
        <v>21455.26</v>
      </c>
      <c r="AA43" s="8">
        <f>IFERROR(Z43/Z445, "NA")</f>
        <v>3.8604752100127947E-2</v>
      </c>
      <c r="AB43" s="9"/>
      <c r="AC43" s="10">
        <f>IFERROR(Q43-Z43, "NA")</f>
        <v>-6840.2499999999982</v>
      </c>
      <c r="AD43" s="8">
        <f>IFERROR(AC43/AC445, "NA")</f>
        <v>0.24415233692362204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IFERROR(B44/B445, "NA")</f>
        <v>0</v>
      </c>
      <c r="D44" s="9"/>
      <c r="E44" s="7">
        <v>0</v>
      </c>
      <c r="F44" s="8">
        <f>IFERROR(E44/E445, "NA")</f>
        <v>0</v>
      </c>
      <c r="G44" s="9"/>
      <c r="H44" s="10">
        <f>IFERROR(B44-E44, "NA")</f>
        <v>0</v>
      </c>
      <c r="I44" s="8">
        <f>IFERROR(H44/H445, "NA")</f>
        <v>0</v>
      </c>
      <c r="J44" s="9"/>
      <c r="K44" s="7">
        <v>0</v>
      </c>
      <c r="L44" s="8">
        <f>IFERROR(K44/K445, "NA")</f>
        <v>0</v>
      </c>
      <c r="M44" s="9"/>
      <c r="N44" s="10">
        <f>IFERROR(B44-K44, "NA")</f>
        <v>0</v>
      </c>
      <c r="O44" s="8">
        <f>IFERROR(N44/N445, "NA")</f>
        <v>0</v>
      </c>
      <c r="P44" s="9"/>
      <c r="Q44" s="7">
        <v>0</v>
      </c>
      <c r="R44" s="8">
        <f>IFERROR(Q44/Q445, "NA")</f>
        <v>0</v>
      </c>
      <c r="S44" s="9"/>
      <c r="T44" s="7">
        <v>0</v>
      </c>
      <c r="U44" s="8">
        <f>IFERROR(T44/T445, "NA")</f>
        <v>0</v>
      </c>
      <c r="V44" s="9"/>
      <c r="W44" s="10">
        <f>IFERROR(Q44-T44, "NA")</f>
        <v>0</v>
      </c>
      <c r="X44" s="8">
        <f>IFERROR(W44/W445, "NA")</f>
        <v>0</v>
      </c>
      <c r="Y44" s="9"/>
      <c r="Z44" s="7">
        <v>0</v>
      </c>
      <c r="AA44" s="8">
        <f>IFERROR(Z44/Z445, "NA")</f>
        <v>0</v>
      </c>
      <c r="AB44" s="9"/>
      <c r="AC44" s="10">
        <f>IFERROR(Q44-Z44, "NA")</f>
        <v>0</v>
      </c>
      <c r="AD44" s="8">
        <f>IFERROR(AC44/AC445,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IFERROR(B46/B445, "NA")</f>
        <v>0</v>
      </c>
      <c r="D46" s="9"/>
      <c r="E46" s="7">
        <v>0</v>
      </c>
      <c r="F46" s="8">
        <f>IFERROR(E46/E445, "NA")</f>
        <v>0</v>
      </c>
      <c r="G46" s="9"/>
      <c r="H46" s="10">
        <f t="shared" ref="H46:H62" si="12">IFERROR(B46-E46, "NA")</f>
        <v>0</v>
      </c>
      <c r="I46" s="8">
        <f>IFERROR(H46/H445, "NA")</f>
        <v>0</v>
      </c>
      <c r="J46" s="9"/>
      <c r="K46" s="7">
        <v>0</v>
      </c>
      <c r="L46" s="8">
        <f>IFERROR(K46/K445, "NA")</f>
        <v>0</v>
      </c>
      <c r="M46" s="9"/>
      <c r="N46" s="10">
        <f t="shared" ref="N46:N62" si="13">IFERROR(B46-K46, "NA")</f>
        <v>0</v>
      </c>
      <c r="O46" s="8">
        <f>IFERROR(N46/N445, "NA")</f>
        <v>0</v>
      </c>
      <c r="P46" s="9"/>
      <c r="Q46" s="7">
        <v>0</v>
      </c>
      <c r="R46" s="8">
        <f>IFERROR(Q46/Q445, "NA")</f>
        <v>0</v>
      </c>
      <c r="S46" s="9"/>
      <c r="T46" s="7">
        <v>0</v>
      </c>
      <c r="U46" s="8">
        <f>IFERROR(T46/T445, "NA")</f>
        <v>0</v>
      </c>
      <c r="V46" s="9"/>
      <c r="W46" s="10">
        <f t="shared" ref="W46:W62" si="14">IFERROR(Q46-T46, "NA")</f>
        <v>0</v>
      </c>
      <c r="X46" s="8">
        <f>IFERROR(W46/W445, "NA")</f>
        <v>0</v>
      </c>
      <c r="Y46" s="9"/>
      <c r="Z46" s="7">
        <v>0</v>
      </c>
      <c r="AA46" s="8">
        <f>IFERROR(Z46/Z445, "NA")</f>
        <v>0</v>
      </c>
      <c r="AB46" s="9"/>
      <c r="AC46" s="10">
        <f t="shared" ref="AC46:AC62" si="15">IFERROR(Q46-Z46, "NA")</f>
        <v>0</v>
      </c>
      <c r="AD46" s="8">
        <f>IFERROR(AC46/AC445,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IFERROR(B47/B445, "NA")</f>
        <v>0</v>
      </c>
      <c r="D47" s="9"/>
      <c r="E47" s="7">
        <v>0</v>
      </c>
      <c r="F47" s="8">
        <f>IFERROR(E47/E445, "NA")</f>
        <v>0</v>
      </c>
      <c r="G47" s="9"/>
      <c r="H47" s="10">
        <f t="shared" si="12"/>
        <v>0</v>
      </c>
      <c r="I47" s="8">
        <f>IFERROR(H47/H445, "NA")</f>
        <v>0</v>
      </c>
      <c r="J47" s="9"/>
      <c r="K47" s="7">
        <v>0</v>
      </c>
      <c r="L47" s="8">
        <f>IFERROR(K47/K445, "NA")</f>
        <v>0</v>
      </c>
      <c r="M47" s="9"/>
      <c r="N47" s="10">
        <f t="shared" si="13"/>
        <v>0</v>
      </c>
      <c r="O47" s="8">
        <f>IFERROR(N47/N445, "NA")</f>
        <v>0</v>
      </c>
      <c r="P47" s="9"/>
      <c r="Q47" s="7">
        <v>0</v>
      </c>
      <c r="R47" s="8">
        <f>IFERROR(Q47/Q445, "NA")</f>
        <v>0</v>
      </c>
      <c r="S47" s="9"/>
      <c r="T47" s="7">
        <v>0</v>
      </c>
      <c r="U47" s="8">
        <f>IFERROR(T47/T445, "NA")</f>
        <v>0</v>
      </c>
      <c r="V47" s="9"/>
      <c r="W47" s="10">
        <f t="shared" si="14"/>
        <v>0</v>
      </c>
      <c r="X47" s="8">
        <f>IFERROR(W47/W445, "NA")</f>
        <v>0</v>
      </c>
      <c r="Y47" s="9"/>
      <c r="Z47" s="7">
        <v>0</v>
      </c>
      <c r="AA47" s="8">
        <f>IFERROR(Z47/Z445, "NA")</f>
        <v>0</v>
      </c>
      <c r="AB47" s="9"/>
      <c r="AC47" s="10">
        <f t="shared" si="15"/>
        <v>0</v>
      </c>
      <c r="AD47" s="8">
        <f>IFERROR(AC47/AC445, "NA")</f>
        <v>0</v>
      </c>
    </row>
    <row r="48" spans="1:30" ht="16.5" customHeight="1" x14ac:dyDescent="0.45">
      <c r="A48" s="17" t="s">
        <v>46</v>
      </c>
      <c r="B48" s="7">
        <v>15843.33</v>
      </c>
      <c r="C48" s="8">
        <f>IFERROR(B48/B445, "NA")</f>
        <v>0.1364354331017863</v>
      </c>
      <c r="D48" s="9"/>
      <c r="E48" s="7">
        <v>0</v>
      </c>
      <c r="F48" s="8">
        <f>IFERROR(E48/E445, "NA")</f>
        <v>0</v>
      </c>
      <c r="G48" s="9"/>
      <c r="H48" s="10">
        <f t="shared" si="12"/>
        <v>15843.33</v>
      </c>
      <c r="I48" s="8">
        <f>IFERROR(H48/H445, "NA")</f>
        <v>-1.7033402749929307</v>
      </c>
      <c r="J48" s="9"/>
      <c r="K48" s="7">
        <v>24541.02</v>
      </c>
      <c r="L48" s="8">
        <f>IFERROR(K48/K445, "NA")</f>
        <v>0.21337104412701918</v>
      </c>
      <c r="M48" s="9"/>
      <c r="N48" s="10">
        <f t="shared" si="13"/>
        <v>-8697.69</v>
      </c>
      <c r="O48" s="8">
        <f>IFERROR(N48/N445, "NA")</f>
        <v>-7.8528774445186684</v>
      </c>
      <c r="P48" s="9"/>
      <c r="Q48" s="7">
        <v>55544.33</v>
      </c>
      <c r="R48" s="8">
        <f>IFERROR(Q48/Q445, "NA")</f>
        <v>0.10524722633879943</v>
      </c>
      <c r="S48" s="9"/>
      <c r="T48" s="7">
        <v>0</v>
      </c>
      <c r="U48" s="8">
        <f>IFERROR(T48/T445, "NA")</f>
        <v>0</v>
      </c>
      <c r="V48" s="9"/>
      <c r="W48" s="10">
        <f t="shared" si="14"/>
        <v>55544.33</v>
      </c>
      <c r="X48" s="8">
        <f>IFERROR(W48/W445, "NA")</f>
        <v>-0.83056681242571095</v>
      </c>
      <c r="Y48" s="9"/>
      <c r="Z48" s="7">
        <v>84795.8</v>
      </c>
      <c r="AA48" s="8">
        <f>IFERROR(Z48/Z445, "NA")</f>
        <v>0.15257427960006215</v>
      </c>
      <c r="AB48" s="9"/>
      <c r="AC48" s="10">
        <f t="shared" si="15"/>
        <v>-29251.47</v>
      </c>
      <c r="AD48" s="8">
        <f>IFERROR(AC48/AC445, "NA")</f>
        <v>1.0440868036915645</v>
      </c>
    </row>
    <row r="49" spans="1:30" ht="16.5" customHeight="1" x14ac:dyDescent="0.45">
      <c r="A49" s="17" t="s">
        <v>47</v>
      </c>
      <c r="B49" s="7">
        <v>0</v>
      </c>
      <c r="C49" s="8">
        <f>IFERROR(B49/B445, "NA")</f>
        <v>0</v>
      </c>
      <c r="D49" s="9"/>
      <c r="E49" s="7">
        <v>0</v>
      </c>
      <c r="F49" s="8">
        <f>IFERROR(E49/E445, "NA")</f>
        <v>0</v>
      </c>
      <c r="G49" s="9"/>
      <c r="H49" s="10">
        <f t="shared" si="12"/>
        <v>0</v>
      </c>
      <c r="I49" s="8">
        <f>IFERROR(H49/H445, "NA")</f>
        <v>0</v>
      </c>
      <c r="J49" s="9"/>
      <c r="K49" s="7">
        <v>0</v>
      </c>
      <c r="L49" s="8">
        <f>IFERROR(K49/K445, "NA")</f>
        <v>0</v>
      </c>
      <c r="M49" s="9"/>
      <c r="N49" s="10">
        <f t="shared" si="13"/>
        <v>0</v>
      </c>
      <c r="O49" s="8">
        <f>IFERROR(N49/N445, "NA")</f>
        <v>0</v>
      </c>
      <c r="P49" s="9"/>
      <c r="Q49" s="7">
        <v>0</v>
      </c>
      <c r="R49" s="8">
        <f>IFERROR(Q49/Q445, "NA")</f>
        <v>0</v>
      </c>
      <c r="S49" s="9"/>
      <c r="T49" s="7">
        <v>0</v>
      </c>
      <c r="U49" s="8">
        <f>IFERROR(T49/T445, "NA")</f>
        <v>0</v>
      </c>
      <c r="V49" s="9"/>
      <c r="W49" s="10">
        <f t="shared" si="14"/>
        <v>0</v>
      </c>
      <c r="X49" s="8">
        <f>IFERROR(W49/W445, "NA")</f>
        <v>0</v>
      </c>
      <c r="Y49" s="9"/>
      <c r="Z49" s="7">
        <v>12.85</v>
      </c>
      <c r="AA49" s="8">
        <f>IFERROR(Z49/Z445, "NA")</f>
        <v>2.3121186342493361E-5</v>
      </c>
      <c r="AB49" s="9"/>
      <c r="AC49" s="10">
        <f t="shared" si="15"/>
        <v>-12.85</v>
      </c>
      <c r="AD49" s="8">
        <f>IFERROR(AC49/AC445, "NA")</f>
        <v>4.5866123745017272E-4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IFERROR(B50/B445, "NA")</f>
        <v>0</v>
      </c>
      <c r="D50" s="9"/>
      <c r="E50" s="7">
        <v>0</v>
      </c>
      <c r="F50" s="8">
        <f>IFERROR(E50/E445, "NA")</f>
        <v>0</v>
      </c>
      <c r="G50" s="9"/>
      <c r="H50" s="10">
        <f t="shared" si="12"/>
        <v>0</v>
      </c>
      <c r="I50" s="8">
        <f>IFERROR(H50/H445, "NA")</f>
        <v>0</v>
      </c>
      <c r="J50" s="9"/>
      <c r="K50" s="7">
        <v>0</v>
      </c>
      <c r="L50" s="8">
        <f>IFERROR(K50/K445, "NA")</f>
        <v>0</v>
      </c>
      <c r="M50" s="9"/>
      <c r="N50" s="10">
        <f t="shared" si="13"/>
        <v>0</v>
      </c>
      <c r="O50" s="8">
        <f>IFERROR(N50/N445, "NA")</f>
        <v>0</v>
      </c>
      <c r="P50" s="9"/>
      <c r="Q50" s="7">
        <v>0</v>
      </c>
      <c r="R50" s="8">
        <f>IFERROR(Q50/Q445, "NA")</f>
        <v>0</v>
      </c>
      <c r="S50" s="9"/>
      <c r="T50" s="7">
        <v>0</v>
      </c>
      <c r="U50" s="8">
        <f>IFERROR(T50/T445, "NA")</f>
        <v>0</v>
      </c>
      <c r="V50" s="9"/>
      <c r="W50" s="10">
        <f t="shared" si="14"/>
        <v>0</v>
      </c>
      <c r="X50" s="8">
        <f>IFERROR(W50/W445, "NA")</f>
        <v>0</v>
      </c>
      <c r="Y50" s="9"/>
      <c r="Z50" s="7">
        <v>0</v>
      </c>
      <c r="AA50" s="8">
        <f>IFERROR(Z50/Z445, "NA")</f>
        <v>0</v>
      </c>
      <c r="AB50" s="9"/>
      <c r="AC50" s="10">
        <f t="shared" si="15"/>
        <v>0</v>
      </c>
      <c r="AD50" s="8">
        <f>IFERROR(AC50/AC445,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IFERROR(B51/B445, "NA")</f>
        <v>0</v>
      </c>
      <c r="D51" s="9"/>
      <c r="E51" s="7">
        <v>0</v>
      </c>
      <c r="F51" s="8">
        <f>IFERROR(E51/E445, "NA")</f>
        <v>0</v>
      </c>
      <c r="G51" s="9"/>
      <c r="H51" s="10">
        <f t="shared" si="12"/>
        <v>0</v>
      </c>
      <c r="I51" s="8">
        <f>IFERROR(H51/H445, "NA")</f>
        <v>0</v>
      </c>
      <c r="J51" s="9"/>
      <c r="K51" s="7">
        <v>0</v>
      </c>
      <c r="L51" s="8">
        <f>IFERROR(K51/K445, "NA")</f>
        <v>0</v>
      </c>
      <c r="M51" s="9"/>
      <c r="N51" s="10">
        <f t="shared" si="13"/>
        <v>0</v>
      </c>
      <c r="O51" s="8">
        <f>IFERROR(N51/N445, "NA")</f>
        <v>0</v>
      </c>
      <c r="P51" s="9"/>
      <c r="Q51" s="7">
        <v>0</v>
      </c>
      <c r="R51" s="8">
        <f>IFERROR(Q51/Q445, "NA")</f>
        <v>0</v>
      </c>
      <c r="S51" s="9"/>
      <c r="T51" s="7">
        <v>0</v>
      </c>
      <c r="U51" s="8">
        <f>IFERROR(T51/T445, "NA")</f>
        <v>0</v>
      </c>
      <c r="V51" s="9"/>
      <c r="W51" s="10">
        <f t="shared" si="14"/>
        <v>0</v>
      </c>
      <c r="X51" s="8">
        <f>IFERROR(W51/W445, "NA")</f>
        <v>0</v>
      </c>
      <c r="Y51" s="9"/>
      <c r="Z51" s="7">
        <v>0</v>
      </c>
      <c r="AA51" s="8">
        <f>IFERROR(Z51/Z445, "NA")</f>
        <v>0</v>
      </c>
      <c r="AB51" s="9"/>
      <c r="AC51" s="10">
        <f t="shared" si="15"/>
        <v>0</v>
      </c>
      <c r="AD51" s="8">
        <f>IFERROR(AC51/AC445,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IFERROR(B52/B445, "NA")</f>
        <v>0</v>
      </c>
      <c r="D52" s="9"/>
      <c r="E52" s="7">
        <v>0</v>
      </c>
      <c r="F52" s="8">
        <f>IFERROR(E52/E445, "NA")</f>
        <v>0</v>
      </c>
      <c r="G52" s="9"/>
      <c r="H52" s="10">
        <f t="shared" si="12"/>
        <v>0</v>
      </c>
      <c r="I52" s="8">
        <f>IFERROR(H52/H445, "NA")</f>
        <v>0</v>
      </c>
      <c r="J52" s="9"/>
      <c r="K52" s="7">
        <v>0</v>
      </c>
      <c r="L52" s="8">
        <f>IFERROR(K52/K445, "NA")</f>
        <v>0</v>
      </c>
      <c r="M52" s="9"/>
      <c r="N52" s="10">
        <f t="shared" si="13"/>
        <v>0</v>
      </c>
      <c r="O52" s="8">
        <f>IFERROR(N52/N445, "NA")</f>
        <v>0</v>
      </c>
      <c r="P52" s="9"/>
      <c r="Q52" s="7">
        <v>0</v>
      </c>
      <c r="R52" s="8">
        <f>IFERROR(Q52/Q445, "NA")</f>
        <v>0</v>
      </c>
      <c r="S52" s="9"/>
      <c r="T52" s="7">
        <v>0</v>
      </c>
      <c r="U52" s="8">
        <f>IFERROR(T52/T445, "NA")</f>
        <v>0</v>
      </c>
      <c r="V52" s="9"/>
      <c r="W52" s="10">
        <f t="shared" si="14"/>
        <v>0</v>
      </c>
      <c r="X52" s="8">
        <f>IFERROR(W52/W445, "NA")</f>
        <v>0</v>
      </c>
      <c r="Y52" s="9"/>
      <c r="Z52" s="7">
        <v>0</v>
      </c>
      <c r="AA52" s="8">
        <f>IFERROR(Z52/Z445, "NA")</f>
        <v>0</v>
      </c>
      <c r="AB52" s="9"/>
      <c r="AC52" s="10">
        <f t="shared" si="15"/>
        <v>0</v>
      </c>
      <c r="AD52" s="8">
        <f>IFERROR(AC52/AC445,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IFERROR(B53/B445, "NA")</f>
        <v>0</v>
      </c>
      <c r="D53" s="9"/>
      <c r="E53" s="7">
        <v>0</v>
      </c>
      <c r="F53" s="8">
        <f>IFERROR(E53/E445, "NA")</f>
        <v>0</v>
      </c>
      <c r="G53" s="9"/>
      <c r="H53" s="10">
        <f t="shared" si="12"/>
        <v>0</v>
      </c>
      <c r="I53" s="8">
        <f>IFERROR(H53/H445, "NA")</f>
        <v>0</v>
      </c>
      <c r="J53" s="9"/>
      <c r="K53" s="7">
        <v>0</v>
      </c>
      <c r="L53" s="8">
        <f>IFERROR(K53/K445, "NA")</f>
        <v>0</v>
      </c>
      <c r="M53" s="9"/>
      <c r="N53" s="10">
        <f t="shared" si="13"/>
        <v>0</v>
      </c>
      <c r="O53" s="8">
        <f>IFERROR(N53/N445, "NA")</f>
        <v>0</v>
      </c>
      <c r="P53" s="9"/>
      <c r="Q53" s="7">
        <v>0</v>
      </c>
      <c r="R53" s="8">
        <f>IFERROR(Q53/Q445, "NA")</f>
        <v>0</v>
      </c>
      <c r="S53" s="9"/>
      <c r="T53" s="7">
        <v>0</v>
      </c>
      <c r="U53" s="8">
        <f>IFERROR(T53/T445, "NA")</f>
        <v>0</v>
      </c>
      <c r="V53" s="9"/>
      <c r="W53" s="10">
        <f t="shared" si="14"/>
        <v>0</v>
      </c>
      <c r="X53" s="8">
        <f>IFERROR(W53/W445, "NA")</f>
        <v>0</v>
      </c>
      <c r="Y53" s="9"/>
      <c r="Z53" s="7">
        <v>0</v>
      </c>
      <c r="AA53" s="8">
        <f>IFERROR(Z53/Z445, "NA")</f>
        <v>0</v>
      </c>
      <c r="AB53" s="9"/>
      <c r="AC53" s="10">
        <f t="shared" si="15"/>
        <v>0</v>
      </c>
      <c r="AD53" s="8">
        <f>IFERROR(AC53/AC445,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IFERROR(B54/B445, "NA")</f>
        <v>0</v>
      </c>
      <c r="D54" s="9"/>
      <c r="E54" s="7">
        <v>0</v>
      </c>
      <c r="F54" s="8">
        <f>IFERROR(E54/E445, "NA")</f>
        <v>0</v>
      </c>
      <c r="G54" s="9"/>
      <c r="H54" s="10">
        <f t="shared" si="12"/>
        <v>0</v>
      </c>
      <c r="I54" s="8">
        <f>IFERROR(H54/H445, "NA")</f>
        <v>0</v>
      </c>
      <c r="J54" s="9"/>
      <c r="K54" s="7">
        <v>0</v>
      </c>
      <c r="L54" s="8">
        <f>IFERROR(K54/K445, "NA")</f>
        <v>0</v>
      </c>
      <c r="M54" s="9"/>
      <c r="N54" s="10">
        <f t="shared" si="13"/>
        <v>0</v>
      </c>
      <c r="O54" s="8">
        <f>IFERROR(N54/N445, "NA")</f>
        <v>0</v>
      </c>
      <c r="P54" s="9"/>
      <c r="Q54" s="7">
        <v>0</v>
      </c>
      <c r="R54" s="8">
        <f>IFERROR(Q54/Q445, "NA")</f>
        <v>0</v>
      </c>
      <c r="S54" s="9"/>
      <c r="T54" s="7">
        <v>0</v>
      </c>
      <c r="U54" s="8">
        <f>IFERROR(T54/T445, "NA")</f>
        <v>0</v>
      </c>
      <c r="V54" s="9"/>
      <c r="W54" s="10">
        <f t="shared" si="14"/>
        <v>0</v>
      </c>
      <c r="X54" s="8">
        <f>IFERROR(W54/W445, "NA")</f>
        <v>0</v>
      </c>
      <c r="Y54" s="9"/>
      <c r="Z54" s="7">
        <v>23.3</v>
      </c>
      <c r="AA54" s="8">
        <f>IFERROR(Z54/Z445, "NA")</f>
        <v>4.1924018815571619E-5</v>
      </c>
      <c r="AB54" s="9"/>
      <c r="AC54" s="10">
        <f t="shared" si="15"/>
        <v>-23.3</v>
      </c>
      <c r="AD54" s="8">
        <f>IFERROR(AC54/AC445, "NA")</f>
        <v>8.3165811926762842E-4</v>
      </c>
    </row>
    <row r="55" spans="1:30" ht="16.5" customHeight="1" x14ac:dyDescent="0.45">
      <c r="A55" s="17" t="s">
        <v>53</v>
      </c>
      <c r="B55" s="7">
        <v>0</v>
      </c>
      <c r="C55" s="8">
        <f>IFERROR(B55/B445, "NA")</f>
        <v>0</v>
      </c>
      <c r="D55" s="9"/>
      <c r="E55" s="7">
        <v>0</v>
      </c>
      <c r="F55" s="8">
        <f>IFERROR(E55/E445, "NA")</f>
        <v>0</v>
      </c>
      <c r="G55" s="9"/>
      <c r="H55" s="10">
        <f t="shared" si="12"/>
        <v>0</v>
      </c>
      <c r="I55" s="8">
        <f>IFERROR(H55/H445, "NA")</f>
        <v>0</v>
      </c>
      <c r="J55" s="9"/>
      <c r="K55" s="7">
        <v>10</v>
      </c>
      <c r="L55" s="8">
        <f>IFERROR(K55/K445, "NA")</f>
        <v>8.6944651904044404E-5</v>
      </c>
      <c r="M55" s="9"/>
      <c r="N55" s="10">
        <f t="shared" si="13"/>
        <v>-10</v>
      </c>
      <c r="O55" s="8">
        <f>IFERROR(N55/N445, "NA")</f>
        <v>-9.0286931869481071E-3</v>
      </c>
      <c r="P55" s="9"/>
      <c r="Q55" s="7">
        <v>0</v>
      </c>
      <c r="R55" s="8">
        <f>IFERROR(Q55/Q445, "NA")</f>
        <v>0</v>
      </c>
      <c r="S55" s="9"/>
      <c r="T55" s="7">
        <v>0</v>
      </c>
      <c r="U55" s="8">
        <f>IFERROR(T55/T445, "NA")</f>
        <v>0</v>
      </c>
      <c r="V55" s="9"/>
      <c r="W55" s="10">
        <f t="shared" si="14"/>
        <v>0</v>
      </c>
      <c r="X55" s="8">
        <f>IFERROR(W55/W445, "NA")</f>
        <v>0</v>
      </c>
      <c r="Y55" s="9"/>
      <c r="Z55" s="7">
        <v>35.75</v>
      </c>
      <c r="AA55" s="8">
        <f>IFERROR(Z55/Z445, "NA")</f>
        <v>6.4325479513162458E-5</v>
      </c>
      <c r="AB55" s="9"/>
      <c r="AC55" s="10">
        <f t="shared" si="15"/>
        <v>-35.75</v>
      </c>
      <c r="AD55" s="8">
        <f>IFERROR(AC55/AC445, "NA")</f>
        <v>1.2760419641123482E-3</v>
      </c>
    </row>
    <row r="56" spans="1:30" ht="16.5" customHeight="1" x14ac:dyDescent="0.45">
      <c r="A56" s="17" t="s">
        <v>54</v>
      </c>
      <c r="B56" s="7">
        <v>0</v>
      </c>
      <c r="C56" s="8">
        <f>IFERROR(B56/B445, "NA")</f>
        <v>0</v>
      </c>
      <c r="D56" s="9"/>
      <c r="E56" s="7">
        <v>0</v>
      </c>
      <c r="F56" s="8">
        <f>IFERROR(E56/E445, "NA")</f>
        <v>0</v>
      </c>
      <c r="G56" s="9"/>
      <c r="H56" s="10">
        <f t="shared" si="12"/>
        <v>0</v>
      </c>
      <c r="I56" s="8">
        <f>IFERROR(H56/H445, "NA")</f>
        <v>0</v>
      </c>
      <c r="J56" s="9"/>
      <c r="K56" s="7">
        <v>16</v>
      </c>
      <c r="L56" s="8">
        <f>IFERROR(K56/K445, "NA")</f>
        <v>1.3911144304647104E-4</v>
      </c>
      <c r="M56" s="9"/>
      <c r="N56" s="10">
        <f t="shared" si="13"/>
        <v>-16</v>
      </c>
      <c r="O56" s="8">
        <f>IFERROR(N56/N445, "NA")</f>
        <v>-1.4445909099116971E-2</v>
      </c>
      <c r="P56" s="9"/>
      <c r="Q56" s="7">
        <v>0</v>
      </c>
      <c r="R56" s="8">
        <f>IFERROR(Q56/Q445, "NA")</f>
        <v>0</v>
      </c>
      <c r="S56" s="9"/>
      <c r="T56" s="7">
        <v>0</v>
      </c>
      <c r="U56" s="8">
        <f>IFERROR(T56/T445, "NA")</f>
        <v>0</v>
      </c>
      <c r="V56" s="9"/>
      <c r="W56" s="10">
        <f t="shared" si="14"/>
        <v>0</v>
      </c>
      <c r="X56" s="8">
        <f>IFERROR(W56/W445, "NA")</f>
        <v>0</v>
      </c>
      <c r="Y56" s="9"/>
      <c r="Z56" s="7">
        <v>56.2</v>
      </c>
      <c r="AA56" s="8">
        <f>IFERROR(Z56/Z445, "NA")</f>
        <v>1.0112145310880366E-4</v>
      </c>
      <c r="AB56" s="9"/>
      <c r="AC56" s="10">
        <f t="shared" si="15"/>
        <v>-56.2</v>
      </c>
      <c r="AD56" s="8">
        <f>IFERROR(AC56/AC445, "NA")</f>
        <v>2.0059736610661253E-3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IFERROR(B57/B445, "NA")</f>
        <v>0</v>
      </c>
      <c r="D57" s="9"/>
      <c r="E57" s="7">
        <v>0</v>
      </c>
      <c r="F57" s="8">
        <f>IFERROR(E57/E445, "NA")</f>
        <v>0</v>
      </c>
      <c r="G57" s="9"/>
      <c r="H57" s="10">
        <f t="shared" si="12"/>
        <v>0</v>
      </c>
      <c r="I57" s="8">
        <f>IFERROR(H57/H445, "NA")</f>
        <v>0</v>
      </c>
      <c r="J57" s="9"/>
      <c r="K57" s="7">
        <v>0</v>
      </c>
      <c r="L57" s="8">
        <f>IFERROR(K57/K445, "NA")</f>
        <v>0</v>
      </c>
      <c r="M57" s="9"/>
      <c r="N57" s="10">
        <f t="shared" si="13"/>
        <v>0</v>
      </c>
      <c r="O57" s="8">
        <f>IFERROR(N57/N445, "NA")</f>
        <v>0</v>
      </c>
      <c r="P57" s="9"/>
      <c r="Q57" s="7">
        <v>0</v>
      </c>
      <c r="R57" s="8">
        <f>IFERROR(Q57/Q445, "NA")</f>
        <v>0</v>
      </c>
      <c r="S57" s="9"/>
      <c r="T57" s="7">
        <v>0</v>
      </c>
      <c r="U57" s="8">
        <f>IFERROR(T57/T445, "NA")</f>
        <v>0</v>
      </c>
      <c r="V57" s="9"/>
      <c r="W57" s="10">
        <f t="shared" si="14"/>
        <v>0</v>
      </c>
      <c r="X57" s="8">
        <f>IFERROR(W57/W445, "NA")</f>
        <v>0</v>
      </c>
      <c r="Y57" s="9"/>
      <c r="Z57" s="7">
        <v>0</v>
      </c>
      <c r="AA57" s="8">
        <f>IFERROR(Z57/Z445, "NA")</f>
        <v>0</v>
      </c>
      <c r="AB57" s="9"/>
      <c r="AC57" s="10">
        <f t="shared" si="15"/>
        <v>0</v>
      </c>
      <c r="AD57" s="8">
        <f>IFERROR(AC57/AC445,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IFERROR(B58/B445, "NA")</f>
        <v>0</v>
      </c>
      <c r="D58" s="9"/>
      <c r="E58" s="7">
        <v>0</v>
      </c>
      <c r="F58" s="8">
        <f>IFERROR(E58/E445, "NA")</f>
        <v>0</v>
      </c>
      <c r="G58" s="9"/>
      <c r="H58" s="10">
        <f t="shared" si="12"/>
        <v>0</v>
      </c>
      <c r="I58" s="8">
        <f>IFERROR(H58/H445, "NA")</f>
        <v>0</v>
      </c>
      <c r="J58" s="9"/>
      <c r="K58" s="7">
        <v>0</v>
      </c>
      <c r="L58" s="8">
        <f>IFERROR(K58/K445, "NA")</f>
        <v>0</v>
      </c>
      <c r="M58" s="9"/>
      <c r="N58" s="10">
        <f t="shared" si="13"/>
        <v>0</v>
      </c>
      <c r="O58" s="8">
        <f>IFERROR(N58/N445, "NA")</f>
        <v>0</v>
      </c>
      <c r="P58" s="9"/>
      <c r="Q58" s="7">
        <v>0</v>
      </c>
      <c r="R58" s="8">
        <f>IFERROR(Q58/Q445, "NA")</f>
        <v>0</v>
      </c>
      <c r="S58" s="9"/>
      <c r="T58" s="7">
        <v>0</v>
      </c>
      <c r="U58" s="8">
        <f>IFERROR(T58/T445, "NA")</f>
        <v>0</v>
      </c>
      <c r="V58" s="9"/>
      <c r="W58" s="10">
        <f t="shared" si="14"/>
        <v>0</v>
      </c>
      <c r="X58" s="8">
        <f>IFERROR(W58/W445, "NA")</f>
        <v>0</v>
      </c>
      <c r="Y58" s="9"/>
      <c r="Z58" s="7">
        <v>0</v>
      </c>
      <c r="AA58" s="8">
        <f>IFERROR(Z58/Z445, "NA")</f>
        <v>0</v>
      </c>
      <c r="AB58" s="9"/>
      <c r="AC58" s="10">
        <f t="shared" si="15"/>
        <v>0</v>
      </c>
      <c r="AD58" s="8">
        <f>IFERROR(AC58/AC445,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IFERROR(B59/B445, "NA")</f>
        <v>0</v>
      </c>
      <c r="D59" s="9"/>
      <c r="E59" s="7">
        <v>0</v>
      </c>
      <c r="F59" s="8">
        <f>IFERROR(E59/E445, "NA")</f>
        <v>0</v>
      </c>
      <c r="G59" s="9"/>
      <c r="H59" s="10">
        <f t="shared" si="12"/>
        <v>0</v>
      </c>
      <c r="I59" s="8">
        <f>IFERROR(H59/H445, "NA")</f>
        <v>0</v>
      </c>
      <c r="J59" s="9"/>
      <c r="K59" s="7">
        <v>0</v>
      </c>
      <c r="L59" s="8">
        <f>IFERROR(K59/K445, "NA")</f>
        <v>0</v>
      </c>
      <c r="M59" s="9"/>
      <c r="N59" s="10">
        <f t="shared" si="13"/>
        <v>0</v>
      </c>
      <c r="O59" s="8">
        <f>IFERROR(N59/N445, "NA")</f>
        <v>0</v>
      </c>
      <c r="P59" s="9"/>
      <c r="Q59" s="7">
        <v>0</v>
      </c>
      <c r="R59" s="8">
        <f>IFERROR(Q59/Q445, "NA")</f>
        <v>0</v>
      </c>
      <c r="S59" s="9"/>
      <c r="T59" s="7">
        <v>0</v>
      </c>
      <c r="U59" s="8">
        <f>IFERROR(T59/T445, "NA")</f>
        <v>0</v>
      </c>
      <c r="V59" s="9"/>
      <c r="W59" s="10">
        <f t="shared" si="14"/>
        <v>0</v>
      </c>
      <c r="X59" s="8">
        <f>IFERROR(W59/W445, "NA")</f>
        <v>0</v>
      </c>
      <c r="Y59" s="9"/>
      <c r="Z59" s="7">
        <v>0</v>
      </c>
      <c r="AA59" s="8">
        <f>IFERROR(Z59/Z445, "NA")</f>
        <v>0</v>
      </c>
      <c r="AB59" s="9"/>
      <c r="AC59" s="10">
        <f t="shared" si="15"/>
        <v>0</v>
      </c>
      <c r="AD59" s="8">
        <f>IFERROR(AC59/AC445,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IFERROR(B60/B445, "NA")</f>
        <v>0</v>
      </c>
      <c r="D60" s="9"/>
      <c r="E60" s="7">
        <v>0</v>
      </c>
      <c r="F60" s="8">
        <f>IFERROR(E60/E445, "NA")</f>
        <v>0</v>
      </c>
      <c r="G60" s="9"/>
      <c r="H60" s="10">
        <f t="shared" si="12"/>
        <v>0</v>
      </c>
      <c r="I60" s="8">
        <f>IFERROR(H60/H445, "NA")</f>
        <v>0</v>
      </c>
      <c r="J60" s="9"/>
      <c r="K60" s="7">
        <v>0</v>
      </c>
      <c r="L60" s="8">
        <f>IFERROR(K60/K445, "NA")</f>
        <v>0</v>
      </c>
      <c r="M60" s="9"/>
      <c r="N60" s="10">
        <f t="shared" si="13"/>
        <v>0</v>
      </c>
      <c r="O60" s="8">
        <f>IFERROR(N60/N445, "NA")</f>
        <v>0</v>
      </c>
      <c r="P60" s="9"/>
      <c r="Q60" s="7">
        <v>0</v>
      </c>
      <c r="R60" s="8">
        <f>IFERROR(Q60/Q445, "NA")</f>
        <v>0</v>
      </c>
      <c r="S60" s="9"/>
      <c r="T60" s="7">
        <v>0</v>
      </c>
      <c r="U60" s="8">
        <f>IFERROR(T60/T445, "NA")</f>
        <v>0</v>
      </c>
      <c r="V60" s="9"/>
      <c r="W60" s="10">
        <f t="shared" si="14"/>
        <v>0</v>
      </c>
      <c r="X60" s="8">
        <f>IFERROR(W60/W445, "NA")</f>
        <v>0</v>
      </c>
      <c r="Y60" s="9"/>
      <c r="Z60" s="7">
        <v>0</v>
      </c>
      <c r="AA60" s="8">
        <f>IFERROR(Z60/Z445, "NA")</f>
        <v>0</v>
      </c>
      <c r="AB60" s="9"/>
      <c r="AC60" s="10">
        <f t="shared" si="15"/>
        <v>0</v>
      </c>
      <c r="AD60" s="8">
        <f>IFERROR(AC60/AC445,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15843.33</v>
      </c>
      <c r="C61" s="15">
        <f>IFERROR(B61/B445, "NA")</f>
        <v>0.1364354331017863</v>
      </c>
      <c r="D61" s="2"/>
      <c r="E61" s="14">
        <f>IFERROR(E46+E47+E48+E49+E50+E51+E52+E53+E54+E55+E56+E57+E58+E59+E60, "NA")</f>
        <v>0</v>
      </c>
      <c r="F61" s="15">
        <f>IFERROR(E61/E445, "NA")</f>
        <v>0</v>
      </c>
      <c r="G61" s="2"/>
      <c r="H61" s="14">
        <f t="shared" si="12"/>
        <v>15843.33</v>
      </c>
      <c r="I61" s="15">
        <f>IFERROR(H61/H445, "NA")</f>
        <v>-1.7033402749929307</v>
      </c>
      <c r="J61" s="2"/>
      <c r="K61" s="14">
        <f>IFERROR(K46+K47+K48+K49+K50+K51+K52+K53+K54+K55+K56+K57+K58+K59+K60, "NA")</f>
        <v>24567.02</v>
      </c>
      <c r="L61" s="15">
        <f>IFERROR(K61/K445, "NA")</f>
        <v>0.2135971002219697</v>
      </c>
      <c r="M61" s="2"/>
      <c r="N61" s="14">
        <f t="shared" si="13"/>
        <v>-8723.69</v>
      </c>
      <c r="O61" s="15">
        <f>IFERROR(N61/N445, "NA")</f>
        <v>-7.8763520468047332</v>
      </c>
      <c r="P61" s="2"/>
      <c r="Q61" s="14">
        <f>IFERROR(Q46+Q47+Q48+Q49+Q50+Q51+Q52+Q53+Q54+Q55+Q56+Q57+Q58+Q59+Q60, "NA")</f>
        <v>55544.33</v>
      </c>
      <c r="R61" s="15">
        <f>IFERROR(Q61/Q445, "NA")</f>
        <v>0.10524722633879943</v>
      </c>
      <c r="S61" s="2"/>
      <c r="T61" s="14">
        <f>IFERROR(T46+T47+T48+T49+T50+T51+T52+T53+T54+T55+T56+T57+T58+T59+T60, "NA")</f>
        <v>0</v>
      </c>
      <c r="U61" s="15">
        <f>IFERROR(T61/T445, "NA")</f>
        <v>0</v>
      </c>
      <c r="V61" s="2"/>
      <c r="W61" s="14">
        <f t="shared" si="14"/>
        <v>55544.33</v>
      </c>
      <c r="X61" s="15">
        <f>IFERROR(W61/W445, "NA")</f>
        <v>-0.83056681242571095</v>
      </c>
      <c r="Y61" s="2"/>
      <c r="Z61" s="14">
        <f>IFERROR(Z46+Z47+Z48+Z49+Z50+Z51+Z52+Z53+Z54+Z55+Z56+Z57+Z58+Z59+Z60, "NA")</f>
        <v>84923.900000000009</v>
      </c>
      <c r="AA61" s="15">
        <f>IFERROR(Z61/Z445, "NA")</f>
        <v>0.15280477173784218</v>
      </c>
      <c r="AB61" s="2"/>
      <c r="AC61" s="14">
        <f t="shared" si="15"/>
        <v>-29379.570000000007</v>
      </c>
      <c r="AD61" s="15">
        <f>IFERROR(AC61/AC445, "NA")</f>
        <v>1.0486591386734612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18867.47</v>
      </c>
      <c r="C62" s="15">
        <f>IFERROR(B62/B445, "NA")</f>
        <v>0.16247792862895366</v>
      </c>
      <c r="D62" s="2"/>
      <c r="E62" s="14">
        <f>IFERROR(E42+E43+E44+E46+E47+E48+E49+E50+E51+E52+E53+E54+E55+E56+E57+E58+E59+E60, "NA")</f>
        <v>23203.55</v>
      </c>
      <c r="F62" s="15">
        <f>IFERROR(E62/E445, "NA")</f>
        <v>0.18499997727718667</v>
      </c>
      <c r="G62" s="2"/>
      <c r="H62" s="14">
        <f t="shared" si="12"/>
        <v>-4336.0799999999981</v>
      </c>
      <c r="I62" s="15">
        <f>IFERROR(H62/H445, "NA")</f>
        <v>0.46617849275318662</v>
      </c>
      <c r="J62" s="2"/>
      <c r="K62" s="14">
        <f>IFERROR(K42+K43+K44+K46+K47+K48+K49+K50+K51+K52+K53+K54+K55+K56+K57+K58+K59+K60, "NA")</f>
        <v>28758.09</v>
      </c>
      <c r="L62" s="15">
        <f>IFERROR(K62/K445, "NA")</f>
        <v>0.25003621244751806</v>
      </c>
      <c r="M62" s="2"/>
      <c r="N62" s="14">
        <f t="shared" si="13"/>
        <v>-9890.619999999999</v>
      </c>
      <c r="O62" s="15">
        <f>IFERROR(N62/N445, "NA")</f>
        <v>-8.9299373408692677</v>
      </c>
      <c r="P62" s="2"/>
      <c r="Q62" s="14">
        <f>IFERROR(Q42+Q43+Q44+Q46+Q47+Q48+Q49+Q50+Q51+Q52+Q53+Q54+Q55+Q56+Q57+Q58+Q59+Q60, "NA")</f>
        <v>70159.34</v>
      </c>
      <c r="R62" s="15">
        <f>IFERROR(Q62/Q445, "NA")</f>
        <v>0.13294022876431821</v>
      </c>
      <c r="S62" s="2"/>
      <c r="T62" s="14">
        <f>IFERROR(T42+T43+T44+T46+T47+T48+T49+T50+T51+T52+T53+T54+T55+T56+T57+T58+T59+T60, "NA")</f>
        <v>110005.85</v>
      </c>
      <c r="U62" s="15">
        <f>IFERROR(T62/T445, "NA")</f>
        <v>0.18499999882278992</v>
      </c>
      <c r="V62" s="2"/>
      <c r="W62" s="14">
        <f t="shared" si="14"/>
        <v>-39846.510000000009</v>
      </c>
      <c r="X62" s="15">
        <f>IFERROR(W62/W445, "NA")</f>
        <v>0.59583379252192303</v>
      </c>
      <c r="Y62" s="2"/>
      <c r="Z62" s="14">
        <f>IFERROR(Z42+Z43+Z44+Z46+Z47+Z48+Z49+Z50+Z51+Z52+Z53+Z54+Z55+Z56+Z57+Z58+Z59+Z60, "NA")</f>
        <v>106379.16</v>
      </c>
      <c r="AA62" s="15">
        <f>IFERROR(Z62/Z445, "NA")</f>
        <v>0.19140952383797014</v>
      </c>
      <c r="AB62" s="2"/>
      <c r="AC62" s="14">
        <f t="shared" si="15"/>
        <v>-36219.820000000007</v>
      </c>
      <c r="AD62" s="15">
        <f>IFERROR(AC62/AC445, "NA")</f>
        <v>1.2928114755970832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IFERROR(B64/B445, "NA")</f>
        <v>0</v>
      </c>
      <c r="D64" s="9"/>
      <c r="E64" s="7">
        <v>10033.969999999999</v>
      </c>
      <c r="F64" s="8">
        <f>IFERROR(E64/E445, "NA")</f>
        <v>8.0000009567500349E-2</v>
      </c>
      <c r="G64" s="9"/>
      <c r="H64" s="10">
        <f t="shared" ref="H64:H73" si="16">IFERROR(B64-E64, "NA")</f>
        <v>-10033.969999999999</v>
      </c>
      <c r="I64" s="8">
        <f>IFERROR(H64/H445, "NA")</f>
        <v>1.0787672300627973</v>
      </c>
      <c r="J64" s="9"/>
      <c r="K64" s="7">
        <v>0</v>
      </c>
      <c r="L64" s="8">
        <f>IFERROR(K64/K445, "NA")</f>
        <v>0</v>
      </c>
      <c r="M64" s="9"/>
      <c r="N64" s="10">
        <f t="shared" ref="N64:N73" si="17">IFERROR(B64-K64, "NA")</f>
        <v>0</v>
      </c>
      <c r="O64" s="8">
        <f>IFERROR(N64/N445, "NA")</f>
        <v>0</v>
      </c>
      <c r="P64" s="9"/>
      <c r="Q64" s="7">
        <v>0</v>
      </c>
      <c r="R64" s="8">
        <f>IFERROR(Q64/Q445, "NA")</f>
        <v>0</v>
      </c>
      <c r="S64" s="9"/>
      <c r="T64" s="7">
        <v>47570.11</v>
      </c>
      <c r="U64" s="8">
        <f>IFERROR(T64/T445, "NA")</f>
        <v>8.0000020853436299E-2</v>
      </c>
      <c r="V64" s="9"/>
      <c r="W64" s="10">
        <f t="shared" ref="W64:W73" si="18">IFERROR(Q64-T64, "NA")</f>
        <v>-47570.11</v>
      </c>
      <c r="X64" s="8">
        <f>IFERROR(W64/W445, "NA")</f>
        <v>0.71132651396533975</v>
      </c>
      <c r="Y64" s="9"/>
      <c r="Z64" s="7">
        <v>0</v>
      </c>
      <c r="AA64" s="8">
        <f>IFERROR(Z64/Z445, "NA")</f>
        <v>0</v>
      </c>
      <c r="AB64" s="9"/>
      <c r="AC64" s="10">
        <f t="shared" ref="AC64:AC73" si="19">IFERROR(Q64-Z64, "NA")</f>
        <v>0</v>
      </c>
      <c r="AD64" s="8">
        <f>IFERROR(AC64/AC445, "NA")</f>
        <v>0</v>
      </c>
    </row>
    <row r="65" spans="1:30" ht="16.5" customHeight="1" x14ac:dyDescent="0.45">
      <c r="A65" s="12" t="s">
        <v>62</v>
      </c>
      <c r="B65" s="7">
        <v>3533.54</v>
      </c>
      <c r="C65" s="8">
        <f>IFERROR(B65/B445, "NA")</f>
        <v>3.0429212815897035E-2</v>
      </c>
      <c r="D65" s="9"/>
      <c r="E65" s="7">
        <v>0</v>
      </c>
      <c r="F65" s="8">
        <f>IFERROR(E65/E445, "NA")</f>
        <v>0</v>
      </c>
      <c r="G65" s="9"/>
      <c r="H65" s="10">
        <f t="shared" si="16"/>
        <v>3533.54</v>
      </c>
      <c r="I65" s="8">
        <f>IFERROR(H65/H445, "NA")</f>
        <v>-0.37989620839170307</v>
      </c>
      <c r="J65" s="9"/>
      <c r="K65" s="7">
        <v>3139.03</v>
      </c>
      <c r="L65" s="8">
        <f>IFERROR(K65/K445, "NA")</f>
        <v>2.7292187066635252E-2</v>
      </c>
      <c r="M65" s="9"/>
      <c r="N65" s="10">
        <f t="shared" si="17"/>
        <v>394.50999999999976</v>
      </c>
      <c r="O65" s="8">
        <f>IFERROR(N65/N445, "NA")</f>
        <v>0.35619097491828955</v>
      </c>
      <c r="P65" s="9"/>
      <c r="Q65" s="7">
        <v>20546.11</v>
      </c>
      <c r="R65" s="8">
        <f>IFERROR(Q65/Q445, "NA")</f>
        <v>3.8931446099932619E-2</v>
      </c>
      <c r="S65" s="9"/>
      <c r="T65" s="7">
        <v>0</v>
      </c>
      <c r="U65" s="8">
        <f>IFERROR(T65/T445, "NA")</f>
        <v>0</v>
      </c>
      <c r="V65" s="9"/>
      <c r="W65" s="10">
        <f t="shared" si="18"/>
        <v>20546.11</v>
      </c>
      <c r="X65" s="8">
        <f>IFERROR(W65/W445, "NA")</f>
        <v>-0.30723058664040104</v>
      </c>
      <c r="Y65" s="9"/>
      <c r="Z65" s="7">
        <v>4332.5</v>
      </c>
      <c r="AA65" s="8">
        <f>IFERROR(Z65/Z445, "NA")</f>
        <v>7.7955283913503882E-3</v>
      </c>
      <c r="AB65" s="9"/>
      <c r="AC65" s="10">
        <f t="shared" si="19"/>
        <v>16213.61</v>
      </c>
      <c r="AD65" s="8">
        <f>IFERROR(AC65/AC445, "NA")</f>
        <v>-0.57872018880424092</v>
      </c>
    </row>
    <row r="66" spans="1:30" ht="16.5" customHeight="1" x14ac:dyDescent="0.45">
      <c r="A66" s="12" t="s">
        <v>63</v>
      </c>
      <c r="B66" s="7">
        <v>0</v>
      </c>
      <c r="C66" s="8">
        <f>IFERROR(B66/B445, "NA")</f>
        <v>0</v>
      </c>
      <c r="D66" s="9"/>
      <c r="E66" s="7">
        <v>0</v>
      </c>
      <c r="F66" s="8">
        <f>IFERROR(E66/E445, "NA")</f>
        <v>0</v>
      </c>
      <c r="G66" s="9"/>
      <c r="H66" s="10">
        <f t="shared" si="16"/>
        <v>0</v>
      </c>
      <c r="I66" s="8">
        <f>IFERROR(H66/H445, "NA")</f>
        <v>0</v>
      </c>
      <c r="J66" s="9"/>
      <c r="K66" s="7">
        <v>6237.82</v>
      </c>
      <c r="L66" s="8">
        <f>IFERROR(K66/K445, "NA")</f>
        <v>5.4234508854008628E-2</v>
      </c>
      <c r="M66" s="9"/>
      <c r="N66" s="10">
        <f t="shared" si="17"/>
        <v>-6237.82</v>
      </c>
      <c r="O66" s="8">
        <f>IFERROR(N66/N445, "NA")</f>
        <v>-5.6319362935408641</v>
      </c>
      <c r="P66" s="9"/>
      <c r="Q66" s="7">
        <v>12739.36</v>
      </c>
      <c r="R66" s="8">
        <f>IFERROR(Q66/Q445, "NA")</f>
        <v>2.4138959014024436E-2</v>
      </c>
      <c r="S66" s="9"/>
      <c r="T66" s="7">
        <v>0</v>
      </c>
      <c r="U66" s="8">
        <f>IFERROR(T66/T445, "NA")</f>
        <v>0</v>
      </c>
      <c r="V66" s="9"/>
      <c r="W66" s="10">
        <f t="shared" si="18"/>
        <v>12739.36</v>
      </c>
      <c r="X66" s="8">
        <f>IFERROR(W66/W445, "NA")</f>
        <v>-0.1904945046153875</v>
      </c>
      <c r="Y66" s="9"/>
      <c r="Z66" s="7">
        <v>31284.9</v>
      </c>
      <c r="AA66" s="8">
        <f>IFERROR(Z66/Z445, "NA")</f>
        <v>5.6291362070526894E-2</v>
      </c>
      <c r="AB66" s="9"/>
      <c r="AC66" s="10">
        <f t="shared" si="19"/>
        <v>-18545.54</v>
      </c>
      <c r="AD66" s="8">
        <f>IFERROR(AC66/AC445, "NA")</f>
        <v>0.66195488915032508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IFERROR(B67/B445, "NA")</f>
        <v>0</v>
      </c>
      <c r="D67" s="9"/>
      <c r="E67" s="7">
        <v>0</v>
      </c>
      <c r="F67" s="8">
        <f>IFERROR(E67/E445, "NA")</f>
        <v>0</v>
      </c>
      <c r="G67" s="9"/>
      <c r="H67" s="10">
        <f t="shared" si="16"/>
        <v>0</v>
      </c>
      <c r="I67" s="8">
        <f>IFERROR(H67/H445, "NA")</f>
        <v>0</v>
      </c>
      <c r="J67" s="9"/>
      <c r="K67" s="7">
        <v>0</v>
      </c>
      <c r="L67" s="8">
        <f>IFERROR(K67/K445, "NA")</f>
        <v>0</v>
      </c>
      <c r="M67" s="9"/>
      <c r="N67" s="10">
        <f t="shared" si="17"/>
        <v>0</v>
      </c>
      <c r="O67" s="8">
        <f>IFERROR(N67/N445, "NA")</f>
        <v>0</v>
      </c>
      <c r="P67" s="9"/>
      <c r="Q67" s="7">
        <v>0</v>
      </c>
      <c r="R67" s="8">
        <f>IFERROR(Q67/Q445, "NA")</f>
        <v>0</v>
      </c>
      <c r="S67" s="9"/>
      <c r="T67" s="7">
        <v>0</v>
      </c>
      <c r="U67" s="8">
        <f>IFERROR(T67/T445, "NA")</f>
        <v>0</v>
      </c>
      <c r="V67" s="9"/>
      <c r="W67" s="10">
        <f t="shared" si="18"/>
        <v>0</v>
      </c>
      <c r="X67" s="8">
        <f>IFERROR(W67/W445, "NA")</f>
        <v>0</v>
      </c>
      <c r="Y67" s="9"/>
      <c r="Z67" s="7">
        <v>0</v>
      </c>
      <c r="AA67" s="8">
        <f>IFERROR(Z67/Z445, "NA")</f>
        <v>0</v>
      </c>
      <c r="AB67" s="9"/>
      <c r="AC67" s="10">
        <f t="shared" si="19"/>
        <v>0</v>
      </c>
      <c r="AD67" s="8">
        <f>IFERROR(AC67/AC445, "NA")</f>
        <v>0</v>
      </c>
    </row>
    <row r="68" spans="1:30" ht="16.5" customHeight="1" x14ac:dyDescent="0.45">
      <c r="A68" s="12" t="s">
        <v>65</v>
      </c>
      <c r="B68" s="7">
        <v>6124.17</v>
      </c>
      <c r="C68" s="8">
        <f>IFERROR(B68/B445, "NA")</f>
        <v>5.2738520648056099E-2</v>
      </c>
      <c r="D68" s="9"/>
      <c r="E68" s="7">
        <v>0</v>
      </c>
      <c r="F68" s="8">
        <f>IFERROR(E68/E445, "NA")</f>
        <v>0</v>
      </c>
      <c r="G68" s="9"/>
      <c r="H68" s="10">
        <f t="shared" si="16"/>
        <v>6124.17</v>
      </c>
      <c r="I68" s="8">
        <f>IFERROR(H68/H445, "NA")</f>
        <v>-0.65841874226589092</v>
      </c>
      <c r="J68" s="9"/>
      <c r="K68" s="7">
        <v>838.35</v>
      </c>
      <c r="L68" s="8">
        <f>IFERROR(K68/K445, "NA")</f>
        <v>7.2890048923755632E-3</v>
      </c>
      <c r="M68" s="9"/>
      <c r="N68" s="10">
        <f t="shared" si="17"/>
        <v>5285.82</v>
      </c>
      <c r="O68" s="8">
        <f>IFERROR(N68/N445, "NA")</f>
        <v>4.7724047021434037</v>
      </c>
      <c r="P68" s="9"/>
      <c r="Q68" s="7">
        <v>11740.96</v>
      </c>
      <c r="R68" s="8">
        <f>IFERROR(Q68/Q445, "NA")</f>
        <v>2.224715780269184E-2</v>
      </c>
      <c r="S68" s="9"/>
      <c r="T68" s="7">
        <v>0</v>
      </c>
      <c r="U68" s="8">
        <f>IFERROR(T68/T445, "NA")</f>
        <v>0</v>
      </c>
      <c r="V68" s="9"/>
      <c r="W68" s="10">
        <f t="shared" si="18"/>
        <v>11740.96</v>
      </c>
      <c r="X68" s="8">
        <f>IFERROR(W68/W445, "NA")</f>
        <v>-0.17556520570178405</v>
      </c>
      <c r="Y68" s="9"/>
      <c r="Z68" s="7">
        <v>838.35</v>
      </c>
      <c r="AA68" s="8">
        <f>IFERROR(Z68/Z445, "NA")</f>
        <v>1.5084549860100631E-3</v>
      </c>
      <c r="AB68" s="9"/>
      <c r="AC68" s="10">
        <f t="shared" si="19"/>
        <v>10902.609999999999</v>
      </c>
      <c r="AD68" s="8">
        <f>IFERROR(AC68/AC445, "NA")</f>
        <v>-0.38915210848534065</v>
      </c>
    </row>
    <row r="69" spans="1:30" ht="16.5" customHeight="1" x14ac:dyDescent="0.45">
      <c r="A69" s="12" t="s">
        <v>66</v>
      </c>
      <c r="B69" s="7">
        <v>0</v>
      </c>
      <c r="C69" s="8">
        <f>IFERROR(B69/B445, "NA")</f>
        <v>0</v>
      </c>
      <c r="D69" s="9"/>
      <c r="E69" s="7">
        <v>0</v>
      </c>
      <c r="F69" s="8">
        <f>IFERROR(E69/E445, "NA")</f>
        <v>0</v>
      </c>
      <c r="G69" s="9"/>
      <c r="H69" s="10">
        <f t="shared" si="16"/>
        <v>0</v>
      </c>
      <c r="I69" s="8">
        <f>IFERROR(H69/H445, "NA")</f>
        <v>0</v>
      </c>
      <c r="J69" s="9"/>
      <c r="K69" s="7">
        <v>0</v>
      </c>
      <c r="L69" s="8">
        <f>IFERROR(K69/K445, "NA")</f>
        <v>0</v>
      </c>
      <c r="M69" s="9"/>
      <c r="N69" s="10">
        <f t="shared" si="17"/>
        <v>0</v>
      </c>
      <c r="O69" s="8">
        <f>IFERROR(N69/N445, "NA")</f>
        <v>0</v>
      </c>
      <c r="P69" s="9"/>
      <c r="Q69" s="7">
        <v>-17.850000000000001</v>
      </c>
      <c r="R69" s="8">
        <f>IFERROR(Q69/Q445, "NA")</f>
        <v>-3.3822768051168674E-5</v>
      </c>
      <c r="S69" s="9"/>
      <c r="T69" s="7">
        <v>0</v>
      </c>
      <c r="U69" s="8">
        <f>IFERROR(T69/T445, "NA")</f>
        <v>0</v>
      </c>
      <c r="V69" s="9"/>
      <c r="W69" s="10">
        <f t="shared" si="18"/>
        <v>-17.850000000000001</v>
      </c>
      <c r="X69" s="8">
        <f>IFERROR(W69/W445, "NA")</f>
        <v>2.6691504968732077E-4</v>
      </c>
      <c r="Y69" s="9"/>
      <c r="Z69" s="7">
        <v>0</v>
      </c>
      <c r="AA69" s="8">
        <f>IFERROR(Z69/Z445, "NA")</f>
        <v>0</v>
      </c>
      <c r="AB69" s="9"/>
      <c r="AC69" s="10">
        <f t="shared" si="19"/>
        <v>-17.850000000000001</v>
      </c>
      <c r="AD69" s="8">
        <f>IFERROR(AC69/AC445, "NA")</f>
        <v>6.3712864501833338E-4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IFERROR(B70/B445, "NA")</f>
        <v>0</v>
      </c>
      <c r="D70" s="9"/>
      <c r="E70" s="7">
        <v>0</v>
      </c>
      <c r="F70" s="8">
        <f>IFERROR(E70/E445, "NA")</f>
        <v>0</v>
      </c>
      <c r="G70" s="9"/>
      <c r="H70" s="10">
        <f t="shared" si="16"/>
        <v>0</v>
      </c>
      <c r="I70" s="8">
        <f>IFERROR(H70/H445, "NA")</f>
        <v>0</v>
      </c>
      <c r="J70" s="9"/>
      <c r="K70" s="7">
        <v>0</v>
      </c>
      <c r="L70" s="8">
        <f>IFERROR(K70/K445, "NA")</f>
        <v>0</v>
      </c>
      <c r="M70" s="9"/>
      <c r="N70" s="10">
        <f t="shared" si="17"/>
        <v>0</v>
      </c>
      <c r="O70" s="8">
        <f>IFERROR(N70/N445, "NA")</f>
        <v>0</v>
      </c>
      <c r="P70" s="9"/>
      <c r="Q70" s="7">
        <v>0</v>
      </c>
      <c r="R70" s="8">
        <f>IFERROR(Q70/Q445, "NA")</f>
        <v>0</v>
      </c>
      <c r="S70" s="9"/>
      <c r="T70" s="7">
        <v>0</v>
      </c>
      <c r="U70" s="8">
        <f>IFERROR(T70/T445, "NA")</f>
        <v>0</v>
      </c>
      <c r="V70" s="9"/>
      <c r="W70" s="10">
        <f t="shared" si="18"/>
        <v>0</v>
      </c>
      <c r="X70" s="8">
        <f>IFERROR(W70/W445, "NA")</f>
        <v>0</v>
      </c>
      <c r="Y70" s="9"/>
      <c r="Z70" s="7">
        <v>0</v>
      </c>
      <c r="AA70" s="8">
        <f>IFERROR(Z70/Z445, "NA")</f>
        <v>0</v>
      </c>
      <c r="AB70" s="9"/>
      <c r="AC70" s="10">
        <f t="shared" si="19"/>
        <v>0</v>
      </c>
      <c r="AD70" s="8">
        <f>IFERROR(AC70/AC445,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IFERROR(B71/B445, "NA")</f>
        <v>0</v>
      </c>
      <c r="D71" s="9"/>
      <c r="E71" s="7">
        <v>0</v>
      </c>
      <c r="F71" s="8">
        <f>IFERROR(E71/E445, "NA")</f>
        <v>0</v>
      </c>
      <c r="G71" s="9"/>
      <c r="H71" s="10">
        <f t="shared" si="16"/>
        <v>0</v>
      </c>
      <c r="I71" s="8">
        <f>IFERROR(H71/H445, "NA")</f>
        <v>0</v>
      </c>
      <c r="J71" s="9"/>
      <c r="K71" s="7">
        <v>0</v>
      </c>
      <c r="L71" s="8">
        <f>IFERROR(K71/K445, "NA")</f>
        <v>0</v>
      </c>
      <c r="M71" s="9"/>
      <c r="N71" s="10">
        <f t="shared" si="17"/>
        <v>0</v>
      </c>
      <c r="O71" s="8">
        <f>IFERROR(N71/N445, "NA")</f>
        <v>0</v>
      </c>
      <c r="P71" s="9"/>
      <c r="Q71" s="7">
        <v>0</v>
      </c>
      <c r="R71" s="8">
        <f>IFERROR(Q71/Q445, "NA")</f>
        <v>0</v>
      </c>
      <c r="S71" s="9"/>
      <c r="T71" s="7">
        <v>0</v>
      </c>
      <c r="U71" s="8">
        <f>IFERROR(T71/T445, "NA")</f>
        <v>0</v>
      </c>
      <c r="V71" s="9"/>
      <c r="W71" s="10">
        <f t="shared" si="18"/>
        <v>0</v>
      </c>
      <c r="X71" s="8">
        <f>IFERROR(W71/W445, "NA")</f>
        <v>0</v>
      </c>
      <c r="Y71" s="9"/>
      <c r="Z71" s="7">
        <v>0</v>
      </c>
      <c r="AA71" s="8">
        <f>IFERROR(Z71/Z445, "NA")</f>
        <v>0</v>
      </c>
      <c r="AB71" s="9"/>
      <c r="AC71" s="10">
        <f t="shared" si="19"/>
        <v>0</v>
      </c>
      <c r="AD71" s="8">
        <f>IFERROR(AC71/AC445, "NA")</f>
        <v>0</v>
      </c>
    </row>
    <row r="72" spans="1:30" ht="16.5" customHeight="1" x14ac:dyDescent="0.45">
      <c r="A72" s="12" t="s">
        <v>69</v>
      </c>
      <c r="B72" s="7">
        <v>5959.7</v>
      </c>
      <c r="C72" s="8">
        <f>IFERROR(B72/B445, "NA")</f>
        <v>5.1322181047590114E-2</v>
      </c>
      <c r="D72" s="9"/>
      <c r="E72" s="7">
        <v>0</v>
      </c>
      <c r="F72" s="8">
        <f>IFERROR(E72/E445, "NA")</f>
        <v>0</v>
      </c>
      <c r="G72" s="9"/>
      <c r="H72" s="10">
        <f t="shared" si="16"/>
        <v>5959.7</v>
      </c>
      <c r="I72" s="8">
        <f>IFERROR(H72/H445, "NA")</f>
        <v>-0.64073632480516218</v>
      </c>
      <c r="J72" s="9"/>
      <c r="K72" s="7">
        <v>0</v>
      </c>
      <c r="L72" s="8">
        <f>IFERROR(K72/K445, "NA")</f>
        <v>0</v>
      </c>
      <c r="M72" s="9"/>
      <c r="N72" s="10">
        <f t="shared" si="17"/>
        <v>5959.7</v>
      </c>
      <c r="O72" s="8">
        <f>IFERROR(N72/N445, "NA")</f>
        <v>5.3808302786254627</v>
      </c>
      <c r="P72" s="9"/>
      <c r="Q72" s="7">
        <v>10128.5</v>
      </c>
      <c r="R72" s="8">
        <f>IFERROR(Q72/Q445, "NA")</f>
        <v>1.9191815473740163E-2</v>
      </c>
      <c r="S72" s="9"/>
      <c r="T72" s="7">
        <v>0</v>
      </c>
      <c r="U72" s="8">
        <f>IFERROR(T72/T445, "NA")</f>
        <v>0</v>
      </c>
      <c r="V72" s="9"/>
      <c r="W72" s="10">
        <f t="shared" si="18"/>
        <v>10128.5</v>
      </c>
      <c r="X72" s="8">
        <f>IFERROR(W72/W445, "NA")</f>
        <v>-0.15145373001445536</v>
      </c>
      <c r="Y72" s="9"/>
      <c r="Z72" s="7">
        <v>0</v>
      </c>
      <c r="AA72" s="8">
        <f>IFERROR(Z72/Z445, "NA")</f>
        <v>0</v>
      </c>
      <c r="AB72" s="9"/>
      <c r="AC72" s="10">
        <f t="shared" si="19"/>
        <v>10128.5</v>
      </c>
      <c r="AD72" s="8">
        <f>IFERROR(AC72/AC445, "NA")</f>
        <v>-0.36152142751082295</v>
      </c>
    </row>
    <row r="73" spans="1:30" ht="16.5" customHeight="1" x14ac:dyDescent="0.45">
      <c r="A73" s="13" t="s">
        <v>70</v>
      </c>
      <c r="B73" s="14">
        <f>IFERROR(B64+B65+B66+B67+B68+B69+B70+B71+B72, "NA")</f>
        <v>15617.41</v>
      </c>
      <c r="C73" s="15">
        <f>IFERROR(B73/B445, "NA")</f>
        <v>0.13448991451154324</v>
      </c>
      <c r="D73" s="2"/>
      <c r="E73" s="14">
        <f>IFERROR(E64+E65+E66+E67+E68+E69+E70+E71+E72, "NA")</f>
        <v>10033.969999999999</v>
      </c>
      <c r="F73" s="15">
        <f>IFERROR(E73/E445, "NA")</f>
        <v>8.0000009567500349E-2</v>
      </c>
      <c r="G73" s="2"/>
      <c r="H73" s="14">
        <f t="shared" si="16"/>
        <v>5583.4400000000005</v>
      </c>
      <c r="I73" s="15">
        <f>IFERROR(H73/H445, "NA")</f>
        <v>-0.60028404539995883</v>
      </c>
      <c r="J73" s="2"/>
      <c r="K73" s="14">
        <f>IFERROR(K64+K65+K66+K67+K68+K69+K70+K71+K72, "NA")</f>
        <v>10215.200000000001</v>
      </c>
      <c r="L73" s="15">
        <f>IFERROR(K73/K445, "NA")</f>
        <v>8.8815700813019455E-2</v>
      </c>
      <c r="M73" s="2"/>
      <c r="N73" s="14">
        <f t="shared" si="17"/>
        <v>5402.2099999999991</v>
      </c>
      <c r="O73" s="15">
        <f>IFERROR(N73/N445, "NA")</f>
        <v>4.8774896621462922</v>
      </c>
      <c r="P73" s="2"/>
      <c r="Q73" s="14">
        <f>IFERROR(Q64+Q65+Q66+Q67+Q68+Q69+Q70+Q71+Q72, "NA")</f>
        <v>55137.08</v>
      </c>
      <c r="R73" s="15">
        <f>IFERROR(Q73/Q445, "NA")</f>
        <v>0.10447555562233789</v>
      </c>
      <c r="S73" s="2"/>
      <c r="T73" s="14">
        <f>IFERROR(T64+T65+T66+T67+T68+T69+T70+T71+T72, "NA")</f>
        <v>47570.11</v>
      </c>
      <c r="U73" s="15">
        <f>IFERROR(T73/T445, "NA")</f>
        <v>8.0000020853436299E-2</v>
      </c>
      <c r="V73" s="2"/>
      <c r="W73" s="14">
        <f t="shared" si="18"/>
        <v>7566.9700000000012</v>
      </c>
      <c r="X73" s="15">
        <f>IFERROR(W73/W445, "NA")</f>
        <v>-0.11315059795700089</v>
      </c>
      <c r="Y73" s="2"/>
      <c r="Z73" s="14">
        <f>IFERROR(Z64+Z65+Z66+Z67+Z68+Z69+Z70+Z71+Z72, "NA")</f>
        <v>36455.75</v>
      </c>
      <c r="AA73" s="15">
        <f>IFERROR(Z73/Z445, "NA")</f>
        <v>6.5595345447887338E-2</v>
      </c>
      <c r="AB73" s="2"/>
      <c r="AC73" s="14">
        <f t="shared" si="19"/>
        <v>18681.330000000002</v>
      </c>
      <c r="AD73" s="15">
        <f>IFERROR(AC73/AC445, "NA")</f>
        <v>-0.66680170700506114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IFERROR(B75/B445, "NA")</f>
        <v>0</v>
      </c>
      <c r="D75" s="9"/>
      <c r="E75" s="7">
        <v>1881.37</v>
      </c>
      <c r="F75" s="8">
        <f>IFERROR(E75/E445, "NA")</f>
        <v>1.5000006776979413E-2</v>
      </c>
      <c r="G75" s="9"/>
      <c r="H75" s="10">
        <f t="shared" ref="H75:H92" si="20">IFERROR(B75-E75, "NA")</f>
        <v>-1881.37</v>
      </c>
      <c r="I75" s="8">
        <f>IFERROR(H75/H445, "NA")</f>
        <v>0.202268922831466</v>
      </c>
      <c r="J75" s="9"/>
      <c r="K75" s="7">
        <v>0</v>
      </c>
      <c r="L75" s="8">
        <f>IFERROR(K75/K445, "NA")</f>
        <v>0</v>
      </c>
      <c r="M75" s="9"/>
      <c r="N75" s="10">
        <f t="shared" ref="N75:N92" si="21">IFERROR(B75-K75, "NA")</f>
        <v>0</v>
      </c>
      <c r="O75" s="8">
        <f>IFERROR(N75/N445, "NA")</f>
        <v>0</v>
      </c>
      <c r="P75" s="9"/>
      <c r="Q75" s="7">
        <v>0</v>
      </c>
      <c r="R75" s="8">
        <f>IFERROR(Q75/Q445, "NA")</f>
        <v>0</v>
      </c>
      <c r="S75" s="9"/>
      <c r="T75" s="7">
        <v>8919.4</v>
      </c>
      <c r="U75" s="8">
        <f>IFERROR(T75/T445, "NA")</f>
        <v>1.5000011267582516E-2</v>
      </c>
      <c r="V75" s="9"/>
      <c r="W75" s="10">
        <f t="shared" ref="W75:W92" si="22">IFERROR(Q75-T75, "NA")</f>
        <v>-8919.4</v>
      </c>
      <c r="X75" s="8">
        <f>IFERROR(W75/W445, "NA")</f>
        <v>0.1333737867888565</v>
      </c>
      <c r="Y75" s="9"/>
      <c r="Z75" s="7">
        <v>0</v>
      </c>
      <c r="AA75" s="8">
        <f>IFERROR(Z75/Z445, "NA")</f>
        <v>0</v>
      </c>
      <c r="AB75" s="9"/>
      <c r="AC75" s="10">
        <f t="shared" ref="AC75:AC92" si="23">IFERROR(Q75-Z75, "NA")</f>
        <v>0</v>
      </c>
      <c r="AD75" s="8">
        <f>IFERROR(AC75/AC445,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IFERROR(B76/B445, "NA")</f>
        <v>0</v>
      </c>
      <c r="D76" s="9"/>
      <c r="E76" s="7">
        <v>0</v>
      </c>
      <c r="F76" s="8">
        <f>IFERROR(E76/E445, "NA")</f>
        <v>0</v>
      </c>
      <c r="G76" s="9"/>
      <c r="H76" s="10">
        <f t="shared" si="20"/>
        <v>0</v>
      </c>
      <c r="I76" s="8">
        <f>IFERROR(H76/H445, "NA")</f>
        <v>0</v>
      </c>
      <c r="J76" s="9"/>
      <c r="K76" s="7">
        <v>0</v>
      </c>
      <c r="L76" s="8">
        <f>IFERROR(K76/K445, "NA")</f>
        <v>0</v>
      </c>
      <c r="M76" s="9"/>
      <c r="N76" s="10">
        <f t="shared" si="21"/>
        <v>0</v>
      </c>
      <c r="O76" s="8">
        <f>IFERROR(N76/N445, "NA")</f>
        <v>0</v>
      </c>
      <c r="P76" s="9"/>
      <c r="Q76" s="7">
        <v>0</v>
      </c>
      <c r="R76" s="8">
        <f>IFERROR(Q76/Q445, "NA")</f>
        <v>0</v>
      </c>
      <c r="S76" s="9"/>
      <c r="T76" s="7">
        <v>0</v>
      </c>
      <c r="U76" s="8">
        <f>IFERROR(T76/T445, "NA")</f>
        <v>0</v>
      </c>
      <c r="V76" s="9"/>
      <c r="W76" s="10">
        <f t="shared" si="22"/>
        <v>0</v>
      </c>
      <c r="X76" s="8">
        <f>IFERROR(W76/W445, "NA")</f>
        <v>0</v>
      </c>
      <c r="Y76" s="9"/>
      <c r="Z76" s="7">
        <v>0</v>
      </c>
      <c r="AA76" s="8">
        <f>IFERROR(Z76/Z445, "NA")</f>
        <v>0</v>
      </c>
      <c r="AB76" s="9"/>
      <c r="AC76" s="10">
        <f t="shared" si="23"/>
        <v>0</v>
      </c>
      <c r="AD76" s="8">
        <f>IFERROR(AC76/AC445, "NA")</f>
        <v>0</v>
      </c>
    </row>
    <row r="77" spans="1:30" ht="16.5" customHeight="1" x14ac:dyDescent="0.45">
      <c r="A77" s="12" t="s">
        <v>73</v>
      </c>
      <c r="B77" s="7">
        <v>231.8</v>
      </c>
      <c r="C77" s="8">
        <f>IFERROR(B77/B445, "NA")</f>
        <v>1.9961544317384076E-3</v>
      </c>
      <c r="D77" s="9"/>
      <c r="E77" s="7">
        <v>0</v>
      </c>
      <c r="F77" s="8">
        <f>IFERROR(E77/E445, "NA")</f>
        <v>0</v>
      </c>
      <c r="G77" s="9"/>
      <c r="H77" s="10">
        <f t="shared" si="20"/>
        <v>231.8</v>
      </c>
      <c r="I77" s="8">
        <f>IFERROR(H77/H445, "NA")</f>
        <v>-2.4921167187918283E-2</v>
      </c>
      <c r="J77" s="9"/>
      <c r="K77" s="7">
        <v>350.84</v>
      </c>
      <c r="L77" s="8">
        <f>IFERROR(K77/K445, "NA")</f>
        <v>3.0503661674014938E-3</v>
      </c>
      <c r="M77" s="9"/>
      <c r="N77" s="10">
        <f t="shared" si="21"/>
        <v>-119.03999999999996</v>
      </c>
      <c r="O77" s="8">
        <f>IFERROR(N77/N445, "NA")</f>
        <v>-0.10747756369743024</v>
      </c>
      <c r="P77" s="9"/>
      <c r="Q77" s="7">
        <v>1088.92</v>
      </c>
      <c r="R77" s="8">
        <f>IFERROR(Q77/Q445, "NA")</f>
        <v>2.0633214894273722E-3</v>
      </c>
      <c r="S77" s="9"/>
      <c r="T77" s="7">
        <v>0</v>
      </c>
      <c r="U77" s="8">
        <f>IFERROR(T77/T445, "NA")</f>
        <v>0</v>
      </c>
      <c r="V77" s="9"/>
      <c r="W77" s="10">
        <f t="shared" si="22"/>
        <v>1088.92</v>
      </c>
      <c r="X77" s="8">
        <f>IFERROR(W77/W445, "NA")</f>
        <v>-1.6282864756611615E-2</v>
      </c>
      <c r="Y77" s="9"/>
      <c r="Z77" s="7">
        <v>1777.04</v>
      </c>
      <c r="AA77" s="8">
        <f>IFERROR(Z77/Z445, "NA")</f>
        <v>3.1974531500439224E-3</v>
      </c>
      <c r="AB77" s="9"/>
      <c r="AC77" s="10">
        <f t="shared" si="23"/>
        <v>-688.11999999999989</v>
      </c>
      <c r="AD77" s="8">
        <f>IFERROR(AC77/AC445, "NA")</f>
        <v>2.4561398499160531E-2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IFERROR(B78/B445, "NA")</f>
        <v>0</v>
      </c>
      <c r="D78" s="9"/>
      <c r="E78" s="7">
        <v>0</v>
      </c>
      <c r="F78" s="8">
        <f>IFERROR(E78/E445, "NA")</f>
        <v>0</v>
      </c>
      <c r="G78" s="9"/>
      <c r="H78" s="10">
        <f t="shared" si="20"/>
        <v>0</v>
      </c>
      <c r="I78" s="8">
        <f>IFERROR(H78/H445, "NA")</f>
        <v>0</v>
      </c>
      <c r="J78" s="9"/>
      <c r="K78" s="7">
        <v>0</v>
      </c>
      <c r="L78" s="8">
        <f>IFERROR(K78/K445, "NA")</f>
        <v>0</v>
      </c>
      <c r="M78" s="9"/>
      <c r="N78" s="10">
        <f t="shared" si="21"/>
        <v>0</v>
      </c>
      <c r="O78" s="8">
        <f>IFERROR(N78/N445, "NA")</f>
        <v>0</v>
      </c>
      <c r="P78" s="9"/>
      <c r="Q78" s="7">
        <v>0</v>
      </c>
      <c r="R78" s="8">
        <f>IFERROR(Q78/Q445, "NA")</f>
        <v>0</v>
      </c>
      <c r="S78" s="9"/>
      <c r="T78" s="7">
        <v>0</v>
      </c>
      <c r="U78" s="8">
        <f>IFERROR(T78/T445, "NA")</f>
        <v>0</v>
      </c>
      <c r="V78" s="9"/>
      <c r="W78" s="10">
        <f t="shared" si="22"/>
        <v>0</v>
      </c>
      <c r="X78" s="8">
        <f>IFERROR(W78/W445, "NA")</f>
        <v>0</v>
      </c>
      <c r="Y78" s="9"/>
      <c r="Z78" s="7">
        <v>0</v>
      </c>
      <c r="AA78" s="8">
        <f>IFERROR(Z78/Z445, "NA")</f>
        <v>0</v>
      </c>
      <c r="AB78" s="9"/>
      <c r="AC78" s="10">
        <f t="shared" si="23"/>
        <v>0</v>
      </c>
      <c r="AD78" s="8">
        <f>IFERROR(AC78/AC445,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IFERROR(B79/B445, "NA")</f>
        <v>0</v>
      </c>
      <c r="D79" s="9"/>
      <c r="E79" s="7">
        <v>0</v>
      </c>
      <c r="F79" s="8">
        <f>IFERROR(E79/E445, "NA")</f>
        <v>0</v>
      </c>
      <c r="G79" s="9"/>
      <c r="H79" s="10">
        <f t="shared" si="20"/>
        <v>0</v>
      </c>
      <c r="I79" s="8">
        <f>IFERROR(H79/H445, "NA")</f>
        <v>0</v>
      </c>
      <c r="J79" s="9"/>
      <c r="K79" s="7">
        <v>0</v>
      </c>
      <c r="L79" s="8">
        <f>IFERROR(K79/K445, "NA")</f>
        <v>0</v>
      </c>
      <c r="M79" s="9"/>
      <c r="N79" s="10">
        <f t="shared" si="21"/>
        <v>0</v>
      </c>
      <c r="O79" s="8">
        <f>IFERROR(N79/N445, "NA")</f>
        <v>0</v>
      </c>
      <c r="P79" s="9"/>
      <c r="Q79" s="7">
        <v>0</v>
      </c>
      <c r="R79" s="8">
        <f>IFERROR(Q79/Q445, "NA")</f>
        <v>0</v>
      </c>
      <c r="S79" s="9"/>
      <c r="T79" s="7">
        <v>0</v>
      </c>
      <c r="U79" s="8">
        <f>IFERROR(T79/T445, "NA")</f>
        <v>0</v>
      </c>
      <c r="V79" s="9"/>
      <c r="W79" s="10">
        <f t="shared" si="22"/>
        <v>0</v>
      </c>
      <c r="X79" s="8">
        <f>IFERROR(W79/W445, "NA")</f>
        <v>0</v>
      </c>
      <c r="Y79" s="9"/>
      <c r="Z79" s="7">
        <v>0</v>
      </c>
      <c r="AA79" s="8">
        <f>IFERROR(Z79/Z445, "NA")</f>
        <v>0</v>
      </c>
      <c r="AB79" s="9"/>
      <c r="AC79" s="10">
        <f t="shared" si="23"/>
        <v>0</v>
      </c>
      <c r="AD79" s="8">
        <f>IFERROR(AC79/AC445, "NA")</f>
        <v>0</v>
      </c>
    </row>
    <row r="80" spans="1:30" ht="16.5" customHeight="1" x14ac:dyDescent="0.45">
      <c r="A80" s="12" t="s">
        <v>76</v>
      </c>
      <c r="B80" s="7">
        <v>1471.06</v>
      </c>
      <c r="C80" s="8">
        <f>IFERROR(B80/B445, "NA")</f>
        <v>1.2668088603766618E-2</v>
      </c>
      <c r="D80" s="9"/>
      <c r="E80" s="7">
        <v>0</v>
      </c>
      <c r="F80" s="8">
        <f>IFERROR(E80/E445, "NA")</f>
        <v>0</v>
      </c>
      <c r="G80" s="9"/>
      <c r="H80" s="10">
        <f t="shared" si="20"/>
        <v>1471.06</v>
      </c>
      <c r="I80" s="8">
        <f>IFERROR(H80/H445, "NA")</f>
        <v>-0.15815587663269659</v>
      </c>
      <c r="J80" s="9"/>
      <c r="K80" s="7">
        <v>2012.7</v>
      </c>
      <c r="L80" s="8">
        <f>IFERROR(K80/K445, "NA")</f>
        <v>1.7499350088727019E-2</v>
      </c>
      <c r="M80" s="9"/>
      <c r="N80" s="10">
        <f t="shared" si="21"/>
        <v>-541.6400000000001</v>
      </c>
      <c r="O80" s="8">
        <f>IFERROR(N80/N445, "NA")</f>
        <v>-0.48903013777785737</v>
      </c>
      <c r="P80" s="9"/>
      <c r="Q80" s="7">
        <v>5322.74</v>
      </c>
      <c r="R80" s="8">
        <f>IFERROR(Q80/Q445, "NA")</f>
        <v>1.0085703104575773E-2</v>
      </c>
      <c r="S80" s="9"/>
      <c r="T80" s="7">
        <v>0</v>
      </c>
      <c r="U80" s="8">
        <f>IFERROR(T80/T445, "NA")</f>
        <v>0</v>
      </c>
      <c r="V80" s="9"/>
      <c r="W80" s="10">
        <f t="shared" si="22"/>
        <v>5322.74</v>
      </c>
      <c r="X80" s="8">
        <f>IFERROR(W80/W445, "NA")</f>
        <v>-7.9592123897629666E-2</v>
      </c>
      <c r="Y80" s="9"/>
      <c r="Z80" s="7">
        <v>6586.95</v>
      </c>
      <c r="AA80" s="8">
        <f>IFERROR(Z80/Z445, "NA")</f>
        <v>1.1851992091726587E-2</v>
      </c>
      <c r="AB80" s="9"/>
      <c r="AC80" s="10">
        <f t="shared" si="23"/>
        <v>-1264.21</v>
      </c>
      <c r="AD80" s="8">
        <f>IFERROR(AC80/AC445, "NA")</f>
        <v>4.5124056264348865E-2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IFERROR(B81/B445, "NA")</f>
        <v>0</v>
      </c>
      <c r="D81" s="9"/>
      <c r="E81" s="7">
        <v>0</v>
      </c>
      <c r="F81" s="8">
        <f>IFERROR(E81/E445, "NA")</f>
        <v>0</v>
      </c>
      <c r="G81" s="9"/>
      <c r="H81" s="10">
        <f t="shared" si="20"/>
        <v>0</v>
      </c>
      <c r="I81" s="8">
        <f>IFERROR(H81/H445, "NA")</f>
        <v>0</v>
      </c>
      <c r="J81" s="9"/>
      <c r="K81" s="7">
        <v>0</v>
      </c>
      <c r="L81" s="8">
        <f>IFERROR(K81/K445, "NA")</f>
        <v>0</v>
      </c>
      <c r="M81" s="9"/>
      <c r="N81" s="10">
        <f t="shared" si="21"/>
        <v>0</v>
      </c>
      <c r="O81" s="8">
        <f>IFERROR(N81/N445, "NA")</f>
        <v>0</v>
      </c>
      <c r="P81" s="9"/>
      <c r="Q81" s="7">
        <v>0</v>
      </c>
      <c r="R81" s="8">
        <f>IFERROR(Q81/Q445, "NA")</f>
        <v>0</v>
      </c>
      <c r="S81" s="9"/>
      <c r="T81" s="7">
        <v>0</v>
      </c>
      <c r="U81" s="8">
        <f>IFERROR(T81/T445, "NA")</f>
        <v>0</v>
      </c>
      <c r="V81" s="9"/>
      <c r="W81" s="10">
        <f t="shared" si="22"/>
        <v>0</v>
      </c>
      <c r="X81" s="8">
        <f>IFERROR(W81/W445, "NA")</f>
        <v>0</v>
      </c>
      <c r="Y81" s="9"/>
      <c r="Z81" s="7">
        <v>0</v>
      </c>
      <c r="AA81" s="8">
        <f>IFERROR(Z81/Z445, "NA")</f>
        <v>0</v>
      </c>
      <c r="AB81" s="9"/>
      <c r="AC81" s="10">
        <f t="shared" si="23"/>
        <v>0</v>
      </c>
      <c r="AD81" s="8">
        <f>IFERROR(AC81/AC445,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IFERROR(B82/B445, "NA")</f>
        <v>0</v>
      </c>
      <c r="D82" s="9"/>
      <c r="E82" s="7">
        <v>0</v>
      </c>
      <c r="F82" s="8">
        <f>IFERROR(E82/E445, "NA")</f>
        <v>0</v>
      </c>
      <c r="G82" s="9"/>
      <c r="H82" s="10">
        <f t="shared" si="20"/>
        <v>0</v>
      </c>
      <c r="I82" s="8">
        <f>IFERROR(H82/H445, "NA")</f>
        <v>0</v>
      </c>
      <c r="J82" s="9"/>
      <c r="K82" s="7">
        <v>0</v>
      </c>
      <c r="L82" s="8">
        <f>IFERROR(K82/K445, "NA")</f>
        <v>0</v>
      </c>
      <c r="M82" s="9"/>
      <c r="N82" s="10">
        <f t="shared" si="21"/>
        <v>0</v>
      </c>
      <c r="O82" s="8">
        <f>IFERROR(N82/N445, "NA")</f>
        <v>0</v>
      </c>
      <c r="P82" s="9"/>
      <c r="Q82" s="7">
        <v>0</v>
      </c>
      <c r="R82" s="8">
        <f>IFERROR(Q82/Q445, "NA")</f>
        <v>0</v>
      </c>
      <c r="S82" s="9"/>
      <c r="T82" s="7">
        <v>0</v>
      </c>
      <c r="U82" s="8">
        <f>IFERROR(T82/T445, "NA")</f>
        <v>0</v>
      </c>
      <c r="V82" s="9"/>
      <c r="W82" s="10">
        <f t="shared" si="22"/>
        <v>0</v>
      </c>
      <c r="X82" s="8">
        <f>IFERROR(W82/W445, "NA")</f>
        <v>0</v>
      </c>
      <c r="Y82" s="9"/>
      <c r="Z82" s="7">
        <v>0</v>
      </c>
      <c r="AA82" s="8">
        <f>IFERROR(Z82/Z445, "NA")</f>
        <v>0</v>
      </c>
      <c r="AB82" s="9"/>
      <c r="AC82" s="10">
        <f t="shared" si="23"/>
        <v>0</v>
      </c>
      <c r="AD82" s="8">
        <f>IFERROR(AC82/AC445,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IFERROR(B83/B445, "NA")</f>
        <v>0</v>
      </c>
      <c r="D83" s="9"/>
      <c r="E83" s="7">
        <v>0</v>
      </c>
      <c r="F83" s="8">
        <f>IFERROR(E83/E445, "NA")</f>
        <v>0</v>
      </c>
      <c r="G83" s="9"/>
      <c r="H83" s="10">
        <f t="shared" si="20"/>
        <v>0</v>
      </c>
      <c r="I83" s="8">
        <f>IFERROR(H83/H445, "NA")</f>
        <v>0</v>
      </c>
      <c r="J83" s="9"/>
      <c r="K83" s="7">
        <v>0</v>
      </c>
      <c r="L83" s="8">
        <f>IFERROR(K83/K445, "NA")</f>
        <v>0</v>
      </c>
      <c r="M83" s="9"/>
      <c r="N83" s="10">
        <f t="shared" si="21"/>
        <v>0</v>
      </c>
      <c r="O83" s="8">
        <f>IFERROR(N83/N445, "NA")</f>
        <v>0</v>
      </c>
      <c r="P83" s="9"/>
      <c r="Q83" s="7">
        <v>0</v>
      </c>
      <c r="R83" s="8">
        <f>IFERROR(Q83/Q445, "NA")</f>
        <v>0</v>
      </c>
      <c r="S83" s="9"/>
      <c r="T83" s="7">
        <v>0</v>
      </c>
      <c r="U83" s="8">
        <f>IFERROR(T83/T445, "NA")</f>
        <v>0</v>
      </c>
      <c r="V83" s="9"/>
      <c r="W83" s="10">
        <f t="shared" si="22"/>
        <v>0</v>
      </c>
      <c r="X83" s="8">
        <f>IFERROR(W83/W445, "NA")</f>
        <v>0</v>
      </c>
      <c r="Y83" s="9"/>
      <c r="Z83" s="7">
        <v>0</v>
      </c>
      <c r="AA83" s="8">
        <f>IFERROR(Z83/Z445, "NA")</f>
        <v>0</v>
      </c>
      <c r="AB83" s="9"/>
      <c r="AC83" s="10">
        <f t="shared" si="23"/>
        <v>0</v>
      </c>
      <c r="AD83" s="8">
        <f>IFERROR(AC83/AC445,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IFERROR(B84/B445, "NA")</f>
        <v>0</v>
      </c>
      <c r="D84" s="9"/>
      <c r="E84" s="7">
        <v>0</v>
      </c>
      <c r="F84" s="8">
        <f>IFERROR(E84/E445, "NA")</f>
        <v>0</v>
      </c>
      <c r="G84" s="9"/>
      <c r="H84" s="10">
        <f t="shared" si="20"/>
        <v>0</v>
      </c>
      <c r="I84" s="8">
        <f>IFERROR(H84/H445, "NA")</f>
        <v>0</v>
      </c>
      <c r="J84" s="9"/>
      <c r="K84" s="7">
        <v>0</v>
      </c>
      <c r="L84" s="8">
        <f>IFERROR(K84/K445, "NA")</f>
        <v>0</v>
      </c>
      <c r="M84" s="9"/>
      <c r="N84" s="10">
        <f t="shared" si="21"/>
        <v>0</v>
      </c>
      <c r="O84" s="8">
        <f>IFERROR(N84/N445, "NA")</f>
        <v>0</v>
      </c>
      <c r="P84" s="9"/>
      <c r="Q84" s="7">
        <v>0</v>
      </c>
      <c r="R84" s="8">
        <f>IFERROR(Q84/Q445, "NA")</f>
        <v>0</v>
      </c>
      <c r="S84" s="9"/>
      <c r="T84" s="7">
        <v>0</v>
      </c>
      <c r="U84" s="8">
        <f>IFERROR(T84/T445, "NA")</f>
        <v>0</v>
      </c>
      <c r="V84" s="9"/>
      <c r="W84" s="10">
        <f t="shared" si="22"/>
        <v>0</v>
      </c>
      <c r="X84" s="8">
        <f>IFERROR(W84/W445, "NA")</f>
        <v>0</v>
      </c>
      <c r="Y84" s="9"/>
      <c r="Z84" s="7">
        <v>0</v>
      </c>
      <c r="AA84" s="8">
        <f>IFERROR(Z84/Z445, "NA")</f>
        <v>0</v>
      </c>
      <c r="AB84" s="9"/>
      <c r="AC84" s="10">
        <f t="shared" si="23"/>
        <v>0</v>
      </c>
      <c r="AD84" s="8">
        <f>IFERROR(AC84/AC445,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IFERROR(B85/B445, "NA")</f>
        <v>0</v>
      </c>
      <c r="D85" s="9"/>
      <c r="E85" s="7">
        <v>0</v>
      </c>
      <c r="F85" s="8">
        <f>IFERROR(E85/E445, "NA")</f>
        <v>0</v>
      </c>
      <c r="G85" s="9"/>
      <c r="H85" s="10">
        <f t="shared" si="20"/>
        <v>0</v>
      </c>
      <c r="I85" s="8">
        <f>IFERROR(H85/H445, "NA")</f>
        <v>0</v>
      </c>
      <c r="J85" s="9"/>
      <c r="K85" s="7">
        <v>0</v>
      </c>
      <c r="L85" s="8">
        <f>IFERROR(K85/K445, "NA")</f>
        <v>0</v>
      </c>
      <c r="M85" s="9"/>
      <c r="N85" s="10">
        <f t="shared" si="21"/>
        <v>0</v>
      </c>
      <c r="O85" s="8">
        <f>IFERROR(N85/N445, "NA")</f>
        <v>0</v>
      </c>
      <c r="P85" s="9"/>
      <c r="Q85" s="7">
        <v>0</v>
      </c>
      <c r="R85" s="8">
        <f>IFERROR(Q85/Q445, "NA")</f>
        <v>0</v>
      </c>
      <c r="S85" s="9"/>
      <c r="T85" s="7">
        <v>0</v>
      </c>
      <c r="U85" s="8">
        <f>IFERROR(T85/T445, "NA")</f>
        <v>0</v>
      </c>
      <c r="V85" s="9"/>
      <c r="W85" s="10">
        <f t="shared" si="22"/>
        <v>0</v>
      </c>
      <c r="X85" s="8">
        <f>IFERROR(W85/W445, "NA")</f>
        <v>0</v>
      </c>
      <c r="Y85" s="9"/>
      <c r="Z85" s="7">
        <v>0</v>
      </c>
      <c r="AA85" s="8">
        <f>IFERROR(Z85/Z445, "NA")</f>
        <v>0</v>
      </c>
      <c r="AB85" s="9"/>
      <c r="AC85" s="10">
        <f t="shared" si="23"/>
        <v>0</v>
      </c>
      <c r="AD85" s="8">
        <f>IFERROR(AC85/AC445,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IFERROR(B86/B445, "NA")</f>
        <v>0</v>
      </c>
      <c r="D86" s="9"/>
      <c r="E86" s="7">
        <v>0</v>
      </c>
      <c r="F86" s="8">
        <f>IFERROR(E86/E445, "NA")</f>
        <v>0</v>
      </c>
      <c r="G86" s="9"/>
      <c r="H86" s="10">
        <f t="shared" si="20"/>
        <v>0</v>
      </c>
      <c r="I86" s="8">
        <f>IFERROR(H86/H445, "NA")</f>
        <v>0</v>
      </c>
      <c r="J86" s="9"/>
      <c r="K86" s="7">
        <v>0</v>
      </c>
      <c r="L86" s="8">
        <f>IFERROR(K86/K445, "NA")</f>
        <v>0</v>
      </c>
      <c r="M86" s="9"/>
      <c r="N86" s="10">
        <f t="shared" si="21"/>
        <v>0</v>
      </c>
      <c r="O86" s="8">
        <f>IFERROR(N86/N445, "NA")</f>
        <v>0</v>
      </c>
      <c r="P86" s="9"/>
      <c r="Q86" s="7">
        <v>0</v>
      </c>
      <c r="R86" s="8">
        <f>IFERROR(Q86/Q445, "NA")</f>
        <v>0</v>
      </c>
      <c r="S86" s="9"/>
      <c r="T86" s="7">
        <v>0</v>
      </c>
      <c r="U86" s="8">
        <f>IFERROR(T86/T445, "NA")</f>
        <v>0</v>
      </c>
      <c r="V86" s="9"/>
      <c r="W86" s="10">
        <f t="shared" si="22"/>
        <v>0</v>
      </c>
      <c r="X86" s="8">
        <f>IFERROR(W86/W445, "NA")</f>
        <v>0</v>
      </c>
      <c r="Y86" s="9"/>
      <c r="Z86" s="7">
        <v>0</v>
      </c>
      <c r="AA86" s="8">
        <f>IFERROR(Z86/Z445, "NA")</f>
        <v>0</v>
      </c>
      <c r="AB86" s="9"/>
      <c r="AC86" s="10">
        <f t="shared" si="23"/>
        <v>0</v>
      </c>
      <c r="AD86" s="8">
        <f>IFERROR(AC86/AC445,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IFERROR(B87/B445, "NA")</f>
        <v>0</v>
      </c>
      <c r="D87" s="9"/>
      <c r="E87" s="7">
        <v>0</v>
      </c>
      <c r="F87" s="8">
        <f>IFERROR(E87/E445, "NA")</f>
        <v>0</v>
      </c>
      <c r="G87" s="9"/>
      <c r="H87" s="10">
        <f t="shared" si="20"/>
        <v>0</v>
      </c>
      <c r="I87" s="8">
        <f>IFERROR(H87/H445, "NA")</f>
        <v>0</v>
      </c>
      <c r="J87" s="9"/>
      <c r="K87" s="7">
        <v>0</v>
      </c>
      <c r="L87" s="8">
        <f>IFERROR(K87/K445, "NA")</f>
        <v>0</v>
      </c>
      <c r="M87" s="9"/>
      <c r="N87" s="10">
        <f t="shared" si="21"/>
        <v>0</v>
      </c>
      <c r="O87" s="8">
        <f>IFERROR(N87/N445, "NA")</f>
        <v>0</v>
      </c>
      <c r="P87" s="9"/>
      <c r="Q87" s="7">
        <v>0</v>
      </c>
      <c r="R87" s="8">
        <f>IFERROR(Q87/Q445, "NA")</f>
        <v>0</v>
      </c>
      <c r="S87" s="9"/>
      <c r="T87" s="7">
        <v>0</v>
      </c>
      <c r="U87" s="8">
        <f>IFERROR(T87/T445, "NA")</f>
        <v>0</v>
      </c>
      <c r="V87" s="9"/>
      <c r="W87" s="10">
        <f t="shared" si="22"/>
        <v>0</v>
      </c>
      <c r="X87" s="8">
        <f>IFERROR(W87/W445, "NA")</f>
        <v>0</v>
      </c>
      <c r="Y87" s="9"/>
      <c r="Z87" s="7">
        <v>0</v>
      </c>
      <c r="AA87" s="8">
        <f>IFERROR(Z87/Z445, "NA")</f>
        <v>0</v>
      </c>
      <c r="AB87" s="9"/>
      <c r="AC87" s="10">
        <f t="shared" si="23"/>
        <v>0</v>
      </c>
      <c r="AD87" s="8">
        <f>IFERROR(AC87/AC445,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1702.86</v>
      </c>
      <c r="C88" s="15">
        <f>IFERROR(B88/B445, "NA")</f>
        <v>1.4664243035505025E-2</v>
      </c>
      <c r="D88" s="2"/>
      <c r="E88" s="14">
        <f>IFERROR(E75+E76+E77+E78+E79+E80+E81+E82+E83+E84+E85+E86+E87, "NA")</f>
        <v>1881.37</v>
      </c>
      <c r="F88" s="15">
        <f>IFERROR(E88/E445, "NA")</f>
        <v>1.5000006776979413E-2</v>
      </c>
      <c r="G88" s="2"/>
      <c r="H88" s="14">
        <f t="shared" si="20"/>
        <v>-178.51</v>
      </c>
      <c r="I88" s="15">
        <f>IFERROR(H88/H445, "NA")</f>
        <v>1.9191879010851131E-2</v>
      </c>
      <c r="J88" s="2"/>
      <c r="K88" s="14">
        <f>IFERROR(K75+K76+K77+K78+K79+K80+K81+K82+K83+K84+K85+K86+K87, "NA")</f>
        <v>2363.54</v>
      </c>
      <c r="L88" s="15">
        <f>IFERROR(K88/K445, "NA")</f>
        <v>2.054971625612851E-2</v>
      </c>
      <c r="M88" s="2"/>
      <c r="N88" s="14">
        <f t="shared" si="21"/>
        <v>-660.68000000000006</v>
      </c>
      <c r="O88" s="15">
        <f>IFERROR(N88/N445, "NA")</f>
        <v>-0.59650770147528753</v>
      </c>
      <c r="P88" s="2"/>
      <c r="Q88" s="14">
        <f>IFERROR(Q75+Q76+Q77+Q78+Q79+Q80+Q81+Q82+Q83+Q84+Q85+Q86+Q87, "NA")</f>
        <v>6411.66</v>
      </c>
      <c r="R88" s="15">
        <f>IFERROR(Q88/Q445, "NA")</f>
        <v>1.2149024594003145E-2</v>
      </c>
      <c r="S88" s="2"/>
      <c r="T88" s="14">
        <f>IFERROR(T75+T76+T77+T78+T79+T80+T81+T82+T83+T84+T85+T86+T87, "NA")</f>
        <v>8919.4</v>
      </c>
      <c r="U88" s="15">
        <f>IFERROR(T88/T445, "NA")</f>
        <v>1.5000011267582516E-2</v>
      </c>
      <c r="V88" s="2"/>
      <c r="W88" s="14">
        <f t="shared" si="22"/>
        <v>-2507.7399999999998</v>
      </c>
      <c r="X88" s="15">
        <f>IFERROR(W88/W445, "NA")</f>
        <v>3.7498798134615222E-2</v>
      </c>
      <c r="Y88" s="2"/>
      <c r="Z88" s="14">
        <f>IFERROR(Z75+Z76+Z77+Z78+Z79+Z80+Z81+Z82+Z83+Z84+Z85+Z86+Z87, "NA")</f>
        <v>8363.99</v>
      </c>
      <c r="AA88" s="15">
        <f>IFERROR(Z88/Z445, "NA")</f>
        <v>1.504944524177051E-2</v>
      </c>
      <c r="AB88" s="2"/>
      <c r="AC88" s="14">
        <f t="shared" si="23"/>
        <v>-1952.33</v>
      </c>
      <c r="AD88" s="15">
        <f>IFERROR(AC88/AC445, "NA")</f>
        <v>6.9685454763509388E-2</v>
      </c>
    </row>
    <row r="89" spans="1:30" ht="16.5" customHeight="1" x14ac:dyDescent="0.45">
      <c r="A89" s="6" t="s">
        <v>85</v>
      </c>
      <c r="B89" s="7">
        <v>0</v>
      </c>
      <c r="C89" s="8">
        <f>IFERROR(B89/B445, "NA")</f>
        <v>0</v>
      </c>
      <c r="D89" s="9"/>
      <c r="E89" s="7">
        <v>0</v>
      </c>
      <c r="F89" s="8">
        <f>IFERROR(E89/E445, "NA")</f>
        <v>0</v>
      </c>
      <c r="G89" s="9"/>
      <c r="H89" s="10">
        <f t="shared" si="20"/>
        <v>0</v>
      </c>
      <c r="I89" s="8">
        <f>IFERROR(H89/H445, "NA")</f>
        <v>0</v>
      </c>
      <c r="J89" s="9"/>
      <c r="K89" s="7">
        <v>0</v>
      </c>
      <c r="L89" s="8">
        <f>IFERROR(K89/K445, "NA")</f>
        <v>0</v>
      </c>
      <c r="M89" s="9"/>
      <c r="N89" s="10">
        <f t="shared" si="21"/>
        <v>0</v>
      </c>
      <c r="O89" s="8">
        <f>IFERROR(N89/N445, "NA")</f>
        <v>0</v>
      </c>
      <c r="P89" s="9"/>
      <c r="Q89" s="7">
        <v>-32.31</v>
      </c>
      <c r="R89" s="8">
        <f>IFERROR(Q89/Q445, "NA")</f>
        <v>-6.1222052422031374E-5</v>
      </c>
      <c r="S89" s="9"/>
      <c r="T89" s="7">
        <v>0</v>
      </c>
      <c r="U89" s="8">
        <f>IFERROR(T89/T445, "NA")</f>
        <v>0</v>
      </c>
      <c r="V89" s="9"/>
      <c r="W89" s="10">
        <f t="shared" si="22"/>
        <v>-32.31</v>
      </c>
      <c r="X89" s="8">
        <f>IFERROR(W89/W445, "NA")</f>
        <v>4.831386697701588E-4</v>
      </c>
      <c r="Y89" s="9"/>
      <c r="Z89" s="7">
        <v>-15.94</v>
      </c>
      <c r="AA89" s="8">
        <f>IFERROR(Z89/Z445, "NA")</f>
        <v>-2.8681066949365304E-5</v>
      </c>
      <c r="AB89" s="9"/>
      <c r="AC89" s="10">
        <f t="shared" si="23"/>
        <v>-16.370000000000005</v>
      </c>
      <c r="AD89" s="8">
        <f>IFERROR(AC89/AC445, "NA")</f>
        <v>5.8430229237815801E-4</v>
      </c>
    </row>
    <row r="90" spans="1:30" ht="16.5" customHeight="1" x14ac:dyDescent="0.45">
      <c r="A90" s="6" t="s">
        <v>86</v>
      </c>
      <c r="B90" s="7">
        <v>-18.899999999999999</v>
      </c>
      <c r="C90" s="8">
        <f>IFERROR(B90/B445, "NA")</f>
        <v>-1.6275806194933522E-4</v>
      </c>
      <c r="D90" s="9"/>
      <c r="E90" s="7">
        <v>0</v>
      </c>
      <c r="F90" s="8">
        <f>IFERROR(E90/E445, "NA")</f>
        <v>0</v>
      </c>
      <c r="G90" s="9"/>
      <c r="H90" s="10">
        <f t="shared" si="20"/>
        <v>-18.899999999999999</v>
      </c>
      <c r="I90" s="8">
        <f>IFERROR(H90/H445, "NA")</f>
        <v>2.0319674713186174E-3</v>
      </c>
      <c r="J90" s="9"/>
      <c r="K90" s="7">
        <v>0</v>
      </c>
      <c r="L90" s="8">
        <f>IFERROR(K90/K445, "NA")</f>
        <v>0</v>
      </c>
      <c r="M90" s="9"/>
      <c r="N90" s="10">
        <f t="shared" si="21"/>
        <v>-18.899999999999999</v>
      </c>
      <c r="O90" s="8">
        <f>IFERROR(N90/N445, "NA")</f>
        <v>-1.7064230123331921E-2</v>
      </c>
      <c r="P90" s="9"/>
      <c r="Q90" s="7">
        <v>-458.71</v>
      </c>
      <c r="R90" s="8">
        <f>IFERROR(Q90/Q445, "NA")</f>
        <v>-8.6917881976199339E-4</v>
      </c>
      <c r="S90" s="9"/>
      <c r="T90" s="7">
        <v>0</v>
      </c>
      <c r="U90" s="8">
        <f>IFERROR(T90/T445, "NA")</f>
        <v>0</v>
      </c>
      <c r="V90" s="9"/>
      <c r="W90" s="10">
        <f t="shared" si="22"/>
        <v>-458.71</v>
      </c>
      <c r="X90" s="8">
        <f>IFERROR(W90/W445, "NA")</f>
        <v>6.8591934141216193E-3</v>
      </c>
      <c r="Y90" s="9"/>
      <c r="Z90" s="7">
        <v>0</v>
      </c>
      <c r="AA90" s="8">
        <f>IFERROR(Z90/Z445, "NA")</f>
        <v>0</v>
      </c>
      <c r="AB90" s="9"/>
      <c r="AC90" s="10">
        <f t="shared" si="23"/>
        <v>-458.71</v>
      </c>
      <c r="AD90" s="8">
        <f>IFERROR(AC90/AC445, "NA")</f>
        <v>1.637295690511819E-2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IFERROR(B91/B445, "NA")</f>
        <v>0</v>
      </c>
      <c r="D91" s="9"/>
      <c r="E91" s="7">
        <v>0</v>
      </c>
      <c r="F91" s="8">
        <f>IFERROR(E91/E445, "NA")</f>
        <v>0</v>
      </c>
      <c r="G91" s="9"/>
      <c r="H91" s="10">
        <f t="shared" si="20"/>
        <v>0</v>
      </c>
      <c r="I91" s="8">
        <f>IFERROR(H91/H445, "NA")</f>
        <v>0</v>
      </c>
      <c r="J91" s="9"/>
      <c r="K91" s="7">
        <v>0</v>
      </c>
      <c r="L91" s="8">
        <f>IFERROR(K91/K445, "NA")</f>
        <v>0</v>
      </c>
      <c r="M91" s="9"/>
      <c r="N91" s="10">
        <f t="shared" si="21"/>
        <v>0</v>
      </c>
      <c r="O91" s="8">
        <f>IFERROR(N91/N445, "NA")</f>
        <v>0</v>
      </c>
      <c r="P91" s="9"/>
      <c r="Q91" s="7">
        <v>0</v>
      </c>
      <c r="R91" s="8">
        <f>IFERROR(Q91/Q445, "NA")</f>
        <v>0</v>
      </c>
      <c r="S91" s="9"/>
      <c r="T91" s="7">
        <v>0</v>
      </c>
      <c r="U91" s="8">
        <f>IFERROR(T91/T445, "NA")</f>
        <v>0</v>
      </c>
      <c r="V91" s="9"/>
      <c r="W91" s="10">
        <f t="shared" si="22"/>
        <v>0</v>
      </c>
      <c r="X91" s="8">
        <f>IFERROR(W91/W445, "NA")</f>
        <v>0</v>
      </c>
      <c r="Y91" s="9"/>
      <c r="Z91" s="7">
        <v>0</v>
      </c>
      <c r="AA91" s="8">
        <f>IFERROR(Z91/Z445, "NA")</f>
        <v>0</v>
      </c>
      <c r="AB91" s="9"/>
      <c r="AC91" s="10">
        <f t="shared" si="23"/>
        <v>0</v>
      </c>
      <c r="AD91" s="8">
        <f>IFERROR(AC91/AC445,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IFERROR(B92/B445, "NA")</f>
        <v>0</v>
      </c>
      <c r="D92" s="9"/>
      <c r="E92" s="7">
        <v>0</v>
      </c>
      <c r="F92" s="8">
        <f>IFERROR(E92/E445, "NA")</f>
        <v>0</v>
      </c>
      <c r="G92" s="9"/>
      <c r="H92" s="10">
        <f t="shared" si="20"/>
        <v>0</v>
      </c>
      <c r="I92" s="8">
        <f>IFERROR(H92/H445, "NA")</f>
        <v>0</v>
      </c>
      <c r="J92" s="9"/>
      <c r="K92" s="7">
        <v>0</v>
      </c>
      <c r="L92" s="8">
        <f>IFERROR(K92/K445, "NA")</f>
        <v>0</v>
      </c>
      <c r="M92" s="9"/>
      <c r="N92" s="10">
        <f t="shared" si="21"/>
        <v>0</v>
      </c>
      <c r="O92" s="8">
        <f>IFERROR(N92/N445, "NA")</f>
        <v>0</v>
      </c>
      <c r="P92" s="9"/>
      <c r="Q92" s="7">
        <v>0</v>
      </c>
      <c r="R92" s="8">
        <f>IFERROR(Q92/Q445, "NA")</f>
        <v>0</v>
      </c>
      <c r="S92" s="9"/>
      <c r="T92" s="7">
        <v>0</v>
      </c>
      <c r="U92" s="8">
        <f>IFERROR(T92/T445, "NA")</f>
        <v>0</v>
      </c>
      <c r="V92" s="9"/>
      <c r="W92" s="10">
        <f t="shared" si="22"/>
        <v>0</v>
      </c>
      <c r="X92" s="8">
        <f>IFERROR(W92/W445, "NA")</f>
        <v>0</v>
      </c>
      <c r="Y92" s="9"/>
      <c r="Z92" s="7">
        <v>0</v>
      </c>
      <c r="AA92" s="8">
        <f>IFERROR(Z92/Z445, "NA")</f>
        <v>0</v>
      </c>
      <c r="AB92" s="9"/>
      <c r="AC92" s="10">
        <f t="shared" si="23"/>
        <v>0</v>
      </c>
      <c r="AD92" s="8">
        <f>IFERROR(AC92/AC445,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IFERROR(B94/B445, "NA")</f>
        <v>0</v>
      </c>
      <c r="D94" s="9"/>
      <c r="E94" s="7">
        <v>-5894.96</v>
      </c>
      <c r="F94" s="8">
        <f>IFERROR(E94/E445, "NA")</f>
        <v>-4.7000026549813473E-2</v>
      </c>
      <c r="G94" s="9"/>
      <c r="H94" s="10">
        <f t="shared" ref="H94:H124" si="24">IFERROR(B94-E94, "NA")</f>
        <v>5894.96</v>
      </c>
      <c r="I94" s="8">
        <f>IFERROR(H94/H445, "NA")</f>
        <v>-0.6337760298795978</v>
      </c>
      <c r="J94" s="9"/>
      <c r="K94" s="7">
        <v>0</v>
      </c>
      <c r="L94" s="8">
        <f>IFERROR(K94/K445, "NA")</f>
        <v>0</v>
      </c>
      <c r="M94" s="9"/>
      <c r="N94" s="10">
        <f t="shared" ref="N94:N124" si="25">IFERROR(B94-K94, "NA")</f>
        <v>0</v>
      </c>
      <c r="O94" s="8">
        <f>IFERROR(N94/N445, "NA")</f>
        <v>0</v>
      </c>
      <c r="P94" s="9"/>
      <c r="Q94" s="7">
        <v>0</v>
      </c>
      <c r="R94" s="8">
        <f>IFERROR(Q94/Q445, "NA")</f>
        <v>0</v>
      </c>
      <c r="S94" s="9"/>
      <c r="T94" s="7">
        <v>-27947.439999999999</v>
      </c>
      <c r="U94" s="8">
        <f>IFERROR(T94/T445, "NA")</f>
        <v>-4.70000128820421E-2</v>
      </c>
      <c r="V94" s="9"/>
      <c r="W94" s="10">
        <f t="shared" ref="W94:W124" si="26">IFERROR(Q94-T94, "NA")</f>
        <v>27947.439999999999</v>
      </c>
      <c r="X94" s="8">
        <f>IFERROR(W94/W445, "NA")</f>
        <v>-0.41790433256209608</v>
      </c>
      <c r="Y94" s="9"/>
      <c r="Z94" s="7">
        <v>0</v>
      </c>
      <c r="AA94" s="8">
        <f>IFERROR(Z94/Z445, "NA")</f>
        <v>0</v>
      </c>
      <c r="AB94" s="9"/>
      <c r="AC94" s="10">
        <f t="shared" ref="AC94:AC124" si="27">IFERROR(Q94-Z94, "NA")</f>
        <v>0</v>
      </c>
      <c r="AD94" s="8">
        <f>IFERROR(AC94/AC445,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IFERROR(B95/B445, "NA")</f>
        <v>0</v>
      </c>
      <c r="D95" s="9"/>
      <c r="E95" s="7">
        <v>0</v>
      </c>
      <c r="F95" s="8">
        <f>IFERROR(E95/E445, "NA")</f>
        <v>0</v>
      </c>
      <c r="G95" s="9"/>
      <c r="H95" s="10">
        <f t="shared" si="24"/>
        <v>0</v>
      </c>
      <c r="I95" s="8">
        <f>IFERROR(H95/H445, "NA")</f>
        <v>0</v>
      </c>
      <c r="J95" s="9"/>
      <c r="K95" s="7">
        <v>0</v>
      </c>
      <c r="L95" s="8">
        <f>IFERROR(K95/K445, "NA")</f>
        <v>0</v>
      </c>
      <c r="M95" s="9"/>
      <c r="N95" s="10">
        <f t="shared" si="25"/>
        <v>0</v>
      </c>
      <c r="O95" s="8">
        <f>IFERROR(N95/N445, "NA")</f>
        <v>0</v>
      </c>
      <c r="P95" s="9"/>
      <c r="Q95" s="7">
        <v>0</v>
      </c>
      <c r="R95" s="8">
        <f>IFERROR(Q95/Q445, "NA")</f>
        <v>0</v>
      </c>
      <c r="S95" s="9"/>
      <c r="T95" s="7">
        <v>0</v>
      </c>
      <c r="U95" s="8">
        <f>IFERROR(T95/T445, "NA")</f>
        <v>0</v>
      </c>
      <c r="V95" s="9"/>
      <c r="W95" s="10">
        <f t="shared" si="26"/>
        <v>0</v>
      </c>
      <c r="X95" s="8">
        <f>IFERROR(W95/W445, "NA")</f>
        <v>0</v>
      </c>
      <c r="Y95" s="9"/>
      <c r="Z95" s="7">
        <v>0</v>
      </c>
      <c r="AA95" s="8">
        <f>IFERROR(Z95/Z445, "NA")</f>
        <v>0</v>
      </c>
      <c r="AB95" s="9"/>
      <c r="AC95" s="10">
        <f t="shared" si="27"/>
        <v>0</v>
      </c>
      <c r="AD95" s="8">
        <f>IFERROR(AC95/AC445, "NA")</f>
        <v>0</v>
      </c>
    </row>
    <row r="96" spans="1:30" ht="16.5" customHeight="1" x14ac:dyDescent="0.45">
      <c r="A96" s="12" t="s">
        <v>91</v>
      </c>
      <c r="B96" s="7">
        <v>-881.54</v>
      </c>
      <c r="C96" s="8">
        <f>IFERROR(B96/B445, "NA")</f>
        <v>-7.5914149169744429E-3</v>
      </c>
      <c r="D96" s="9"/>
      <c r="E96" s="7">
        <v>0</v>
      </c>
      <c r="F96" s="8">
        <f>IFERROR(E96/E445, "NA")</f>
        <v>0</v>
      </c>
      <c r="G96" s="9"/>
      <c r="H96" s="10">
        <f t="shared" si="24"/>
        <v>-881.54</v>
      </c>
      <c r="I96" s="8">
        <f>IFERROR(H96/H445, "NA")</f>
        <v>9.4775693368582756E-2</v>
      </c>
      <c r="J96" s="9"/>
      <c r="K96" s="7">
        <v>-315.89999999999998</v>
      </c>
      <c r="L96" s="8">
        <f>IFERROR(K96/K445, "NA")</f>
        <v>-2.7465815536487628E-3</v>
      </c>
      <c r="M96" s="9"/>
      <c r="N96" s="10">
        <f t="shared" si="25"/>
        <v>-565.64</v>
      </c>
      <c r="O96" s="8">
        <f>IFERROR(N96/N445, "NA")</f>
        <v>-0.51069900142653268</v>
      </c>
      <c r="P96" s="9"/>
      <c r="Q96" s="7">
        <v>-6285.9</v>
      </c>
      <c r="R96" s="8">
        <f>IFERROR(Q96/Q445, "NA")</f>
        <v>-1.191073040296029E-2</v>
      </c>
      <c r="S96" s="9"/>
      <c r="T96" s="7">
        <v>0</v>
      </c>
      <c r="U96" s="8">
        <f>IFERROR(T96/T445, "NA")</f>
        <v>0</v>
      </c>
      <c r="V96" s="9"/>
      <c r="W96" s="10">
        <f t="shared" si="26"/>
        <v>-6285.9</v>
      </c>
      <c r="X96" s="8">
        <f>IFERROR(W96/W445, "NA")</f>
        <v>9.3994471194931623E-2</v>
      </c>
      <c r="Y96" s="9"/>
      <c r="Z96" s="7">
        <v>-6041.1</v>
      </c>
      <c r="AA96" s="8">
        <f>IFERROR(Z96/Z445, "NA")</f>
        <v>-1.0869836483551491E-2</v>
      </c>
      <c r="AB96" s="9"/>
      <c r="AC96" s="10">
        <f t="shared" si="27"/>
        <v>-244.79999999999927</v>
      </c>
      <c r="AD96" s="8">
        <f>IFERROR(AC96/AC445, "NA")</f>
        <v>8.7377642745371173E-3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IFERROR(B97/B445, "NA")</f>
        <v>0</v>
      </c>
      <c r="D97" s="9"/>
      <c r="E97" s="7">
        <v>0</v>
      </c>
      <c r="F97" s="8">
        <f>IFERROR(E97/E445, "NA")</f>
        <v>0</v>
      </c>
      <c r="G97" s="9"/>
      <c r="H97" s="10">
        <f t="shared" si="24"/>
        <v>0</v>
      </c>
      <c r="I97" s="8">
        <f>IFERROR(H97/H445, "NA")</f>
        <v>0</v>
      </c>
      <c r="J97" s="9"/>
      <c r="K97" s="7">
        <v>0</v>
      </c>
      <c r="L97" s="8">
        <f>IFERROR(K97/K445, "NA")</f>
        <v>0</v>
      </c>
      <c r="M97" s="9"/>
      <c r="N97" s="10">
        <f t="shared" si="25"/>
        <v>0</v>
      </c>
      <c r="O97" s="8">
        <f>IFERROR(N97/N445, "NA")</f>
        <v>0</v>
      </c>
      <c r="P97" s="9"/>
      <c r="Q97" s="7">
        <v>0</v>
      </c>
      <c r="R97" s="8">
        <f>IFERROR(Q97/Q445, "NA")</f>
        <v>0</v>
      </c>
      <c r="S97" s="9"/>
      <c r="T97" s="7">
        <v>0</v>
      </c>
      <c r="U97" s="8">
        <f>IFERROR(T97/T445, "NA")</f>
        <v>0</v>
      </c>
      <c r="V97" s="9"/>
      <c r="W97" s="10">
        <f t="shared" si="26"/>
        <v>0</v>
      </c>
      <c r="X97" s="8">
        <f>IFERROR(W97/W445, "NA")</f>
        <v>0</v>
      </c>
      <c r="Y97" s="9"/>
      <c r="Z97" s="7">
        <v>0</v>
      </c>
      <c r="AA97" s="8">
        <f>IFERROR(Z97/Z445, "NA")</f>
        <v>0</v>
      </c>
      <c r="AB97" s="9"/>
      <c r="AC97" s="10">
        <f t="shared" si="27"/>
        <v>0</v>
      </c>
      <c r="AD97" s="8">
        <f>IFERROR(AC97/AC445, "NA")</f>
        <v>0</v>
      </c>
    </row>
    <row r="98" spans="1:30" ht="16.5" customHeight="1" x14ac:dyDescent="0.45">
      <c r="A98" s="12" t="s">
        <v>93</v>
      </c>
      <c r="B98" s="7">
        <v>-2239</v>
      </c>
      <c r="C98" s="8">
        <f>IFERROR(B98/B445, "NA")</f>
        <v>-1.9281232841511193E-2</v>
      </c>
      <c r="D98" s="9"/>
      <c r="E98" s="7">
        <v>0</v>
      </c>
      <c r="F98" s="8">
        <f>IFERROR(E98/E445, "NA")</f>
        <v>0</v>
      </c>
      <c r="G98" s="9"/>
      <c r="H98" s="10">
        <f t="shared" si="24"/>
        <v>-2239</v>
      </c>
      <c r="I98" s="8">
        <f>IFERROR(H98/H445, "NA")</f>
        <v>0.24071826287208384</v>
      </c>
      <c r="J98" s="9"/>
      <c r="K98" s="7">
        <v>-2336.75</v>
      </c>
      <c r="L98" s="8">
        <f>IFERROR(K98/K445, "NA")</f>
        <v>-2.0316791533677575E-2</v>
      </c>
      <c r="M98" s="9"/>
      <c r="N98" s="10">
        <f t="shared" si="25"/>
        <v>97.75</v>
      </c>
      <c r="O98" s="8">
        <f>IFERROR(N98/N445, "NA")</f>
        <v>8.8255475902417752E-2</v>
      </c>
      <c r="P98" s="9"/>
      <c r="Q98" s="7">
        <v>-9301.61</v>
      </c>
      <c r="R98" s="8">
        <f>IFERROR(Q98/Q445, "NA")</f>
        <v>-1.7624997060640395E-2</v>
      </c>
      <c r="S98" s="9"/>
      <c r="T98" s="7">
        <v>0</v>
      </c>
      <c r="U98" s="8">
        <f>IFERROR(T98/T445, "NA")</f>
        <v>0</v>
      </c>
      <c r="V98" s="9"/>
      <c r="W98" s="10">
        <f t="shared" si="26"/>
        <v>-9301.61</v>
      </c>
      <c r="X98" s="8">
        <f>IFERROR(W98/W445, "NA")</f>
        <v>0.13908905856146106</v>
      </c>
      <c r="Y98" s="9"/>
      <c r="Z98" s="7">
        <v>-12040.92</v>
      </c>
      <c r="AA98" s="8">
        <f>IFERROR(Z98/Z445, "NA")</f>
        <v>-2.1665397280549042E-2</v>
      </c>
      <c r="AB98" s="9"/>
      <c r="AC98" s="10">
        <f t="shared" si="27"/>
        <v>2739.3099999999995</v>
      </c>
      <c r="AD98" s="8">
        <f>IFERROR(AC98/AC445, "NA")</f>
        <v>-9.7775510845107577E-2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IFERROR(B99/B445, "NA")</f>
        <v>0</v>
      </c>
      <c r="D99" s="9"/>
      <c r="E99" s="7">
        <v>0</v>
      </c>
      <c r="F99" s="8">
        <f>IFERROR(E99/E445, "NA")</f>
        <v>0</v>
      </c>
      <c r="G99" s="9"/>
      <c r="H99" s="10">
        <f t="shared" si="24"/>
        <v>0</v>
      </c>
      <c r="I99" s="8">
        <f>IFERROR(H99/H445, "NA")</f>
        <v>0</v>
      </c>
      <c r="J99" s="9"/>
      <c r="K99" s="7">
        <v>0</v>
      </c>
      <c r="L99" s="8">
        <f>IFERROR(K99/K445, "NA")</f>
        <v>0</v>
      </c>
      <c r="M99" s="9"/>
      <c r="N99" s="10">
        <f t="shared" si="25"/>
        <v>0</v>
      </c>
      <c r="O99" s="8">
        <f>IFERROR(N99/N445, "NA")</f>
        <v>0</v>
      </c>
      <c r="P99" s="9"/>
      <c r="Q99" s="7">
        <v>0</v>
      </c>
      <c r="R99" s="8">
        <f>IFERROR(Q99/Q445, "NA")</f>
        <v>0</v>
      </c>
      <c r="S99" s="9"/>
      <c r="T99" s="7">
        <v>0</v>
      </c>
      <c r="U99" s="8">
        <f>IFERROR(T99/T445, "NA")</f>
        <v>0</v>
      </c>
      <c r="V99" s="9"/>
      <c r="W99" s="10">
        <f t="shared" si="26"/>
        <v>0</v>
      </c>
      <c r="X99" s="8">
        <f>IFERROR(W99/W445, "NA")</f>
        <v>0</v>
      </c>
      <c r="Y99" s="9"/>
      <c r="Z99" s="7">
        <v>0</v>
      </c>
      <c r="AA99" s="8">
        <f>IFERROR(Z99/Z445, "NA")</f>
        <v>0</v>
      </c>
      <c r="AB99" s="9"/>
      <c r="AC99" s="10">
        <f t="shared" si="27"/>
        <v>0</v>
      </c>
      <c r="AD99" s="8">
        <f>IFERROR(AC99/AC445, "NA")</f>
        <v>0</v>
      </c>
    </row>
    <row r="100" spans="1:30" ht="16.5" customHeight="1" x14ac:dyDescent="0.45">
      <c r="A100" s="12" t="s">
        <v>95</v>
      </c>
      <c r="B100" s="7">
        <v>-5</v>
      </c>
      <c r="C100" s="8">
        <f>IFERROR(B100/B445, "NA")</f>
        <v>-4.3057688346384983E-5</v>
      </c>
      <c r="D100" s="9"/>
      <c r="E100" s="7">
        <v>0</v>
      </c>
      <c r="F100" s="8">
        <f>IFERROR(E100/E445, "NA")</f>
        <v>0</v>
      </c>
      <c r="G100" s="9"/>
      <c r="H100" s="10">
        <f t="shared" si="24"/>
        <v>-5</v>
      </c>
      <c r="I100" s="8">
        <f>IFERROR(H100/H445, "NA")</f>
        <v>5.3755753209487232E-4</v>
      </c>
      <c r="J100" s="9"/>
      <c r="K100" s="7">
        <v>-71.84</v>
      </c>
      <c r="L100" s="8">
        <f>IFERROR(K100/K445, "NA")</f>
        <v>-6.2461037927865508E-4</v>
      </c>
      <c r="M100" s="9"/>
      <c r="N100" s="10">
        <f t="shared" si="25"/>
        <v>66.84</v>
      </c>
      <c r="O100" s="8">
        <f>IFERROR(N100/N445, "NA")</f>
        <v>6.0347785261561149E-2</v>
      </c>
      <c r="P100" s="9"/>
      <c r="Q100" s="7">
        <v>-261.24</v>
      </c>
      <c r="R100" s="8">
        <f>IFERROR(Q100/Q445, "NA")</f>
        <v>-4.9500615830180979E-4</v>
      </c>
      <c r="S100" s="9"/>
      <c r="T100" s="7">
        <v>0</v>
      </c>
      <c r="U100" s="8">
        <f>IFERROR(T100/T445, "NA")</f>
        <v>0</v>
      </c>
      <c r="V100" s="9"/>
      <c r="W100" s="10">
        <f t="shared" si="26"/>
        <v>-261.24</v>
      </c>
      <c r="X100" s="8">
        <f>IFERROR(W100/W445, "NA")</f>
        <v>3.9063802566003183E-3</v>
      </c>
      <c r="Y100" s="9"/>
      <c r="Z100" s="7">
        <v>-2886.06</v>
      </c>
      <c r="AA100" s="8">
        <f>IFERROR(Z100/Z445, "NA")</f>
        <v>-5.1929284868183958E-3</v>
      </c>
      <c r="AB100" s="9"/>
      <c r="AC100" s="10">
        <f t="shared" si="27"/>
        <v>2624.8199999999997</v>
      </c>
      <c r="AD100" s="8">
        <f>IFERROR(AC100/AC445, "NA")</f>
        <v>-9.3688964146611847E-2</v>
      </c>
    </row>
    <row r="101" spans="1:30" ht="16.5" customHeight="1" x14ac:dyDescent="0.45">
      <c r="A101" s="12" t="s">
        <v>96</v>
      </c>
      <c r="B101" s="7">
        <v>0</v>
      </c>
      <c r="C101" s="8">
        <f>IFERROR(B101/B445, "NA")</f>
        <v>0</v>
      </c>
      <c r="D101" s="9"/>
      <c r="E101" s="7">
        <v>0</v>
      </c>
      <c r="F101" s="8">
        <f>IFERROR(E101/E445, "NA")</f>
        <v>0</v>
      </c>
      <c r="G101" s="9"/>
      <c r="H101" s="10">
        <f t="shared" si="24"/>
        <v>0</v>
      </c>
      <c r="I101" s="8">
        <f>IFERROR(H101/H445, "NA")</f>
        <v>0</v>
      </c>
      <c r="J101" s="9"/>
      <c r="K101" s="7">
        <v>0</v>
      </c>
      <c r="L101" s="8">
        <f>IFERROR(K101/K445, "NA")</f>
        <v>0</v>
      </c>
      <c r="M101" s="9"/>
      <c r="N101" s="10">
        <f t="shared" si="25"/>
        <v>0</v>
      </c>
      <c r="O101" s="8">
        <f>IFERROR(N101/N445, "NA")</f>
        <v>0</v>
      </c>
      <c r="P101" s="9"/>
      <c r="Q101" s="7">
        <v>-105.51</v>
      </c>
      <c r="R101" s="8">
        <f>IFERROR(Q101/Q445, "NA")</f>
        <v>-1.9992382392598358E-4</v>
      </c>
      <c r="S101" s="9"/>
      <c r="T101" s="7">
        <v>0</v>
      </c>
      <c r="U101" s="8">
        <f>IFERROR(T101/T445, "NA")</f>
        <v>0</v>
      </c>
      <c r="V101" s="9"/>
      <c r="W101" s="10">
        <f t="shared" si="26"/>
        <v>-105.51</v>
      </c>
      <c r="X101" s="8">
        <f>IFERROR(W101/W445, "NA")</f>
        <v>1.5777146718492557E-3</v>
      </c>
      <c r="Y101" s="9"/>
      <c r="Z101" s="7">
        <v>0</v>
      </c>
      <c r="AA101" s="8">
        <f>IFERROR(Z101/Z445, "NA")</f>
        <v>0</v>
      </c>
      <c r="AB101" s="9"/>
      <c r="AC101" s="10">
        <f t="shared" si="27"/>
        <v>-105.51</v>
      </c>
      <c r="AD101" s="8">
        <f>IFERROR(AC101/AC445, "NA")</f>
        <v>3.766019234503325E-3</v>
      </c>
    </row>
    <row r="102" spans="1:30" ht="16.5" customHeight="1" x14ac:dyDescent="0.45">
      <c r="A102" s="12" t="s">
        <v>97</v>
      </c>
      <c r="B102" s="7">
        <v>-358.55</v>
      </c>
      <c r="C102" s="8">
        <f>IFERROR(B102/B445, "NA")</f>
        <v>-3.0876668313192671E-3</v>
      </c>
      <c r="D102" s="9"/>
      <c r="E102" s="7">
        <v>0</v>
      </c>
      <c r="F102" s="8">
        <f>IFERROR(E102/E445, "NA")</f>
        <v>0</v>
      </c>
      <c r="G102" s="9"/>
      <c r="H102" s="10">
        <f t="shared" si="24"/>
        <v>-358.55</v>
      </c>
      <c r="I102" s="8">
        <f>IFERROR(H102/H445, "NA")</f>
        <v>3.8548250626523298E-2</v>
      </c>
      <c r="J102" s="9"/>
      <c r="K102" s="7">
        <v>-728.32</v>
      </c>
      <c r="L102" s="8">
        <f>IFERROR(K102/K445, "NA")</f>
        <v>-6.3323528874753626E-3</v>
      </c>
      <c r="M102" s="9"/>
      <c r="N102" s="10">
        <f t="shared" si="25"/>
        <v>369.77000000000004</v>
      </c>
      <c r="O102" s="8">
        <f>IFERROR(N102/N445, "NA")</f>
        <v>0.33385398797378019</v>
      </c>
      <c r="P102" s="9"/>
      <c r="Q102" s="7">
        <v>-1431.28</v>
      </c>
      <c r="R102" s="8">
        <f>IFERROR(Q102/Q445, "NA")</f>
        <v>-2.712036496149955E-3</v>
      </c>
      <c r="S102" s="9"/>
      <c r="T102" s="7">
        <v>0</v>
      </c>
      <c r="U102" s="8">
        <f>IFERROR(T102/T445, "NA")</f>
        <v>0</v>
      </c>
      <c r="V102" s="9"/>
      <c r="W102" s="10">
        <f t="shared" si="26"/>
        <v>-1431.28</v>
      </c>
      <c r="X102" s="8">
        <f>IFERROR(W102/W445, "NA")</f>
        <v>2.1402250549942211E-2</v>
      </c>
      <c r="Y102" s="9"/>
      <c r="Z102" s="7">
        <v>-1722.79</v>
      </c>
      <c r="AA102" s="8">
        <f>IFERROR(Z102/Z445, "NA")</f>
        <v>-3.0998403594540186E-3</v>
      </c>
      <c r="AB102" s="9"/>
      <c r="AC102" s="10">
        <f t="shared" si="27"/>
        <v>291.51</v>
      </c>
      <c r="AD102" s="8">
        <f>IFERROR(AC102/AC445, "NA")</f>
        <v>-1.0405006796038899E-2</v>
      </c>
    </row>
    <row r="103" spans="1:30" ht="16.5" customHeight="1" x14ac:dyDescent="0.45">
      <c r="A103" s="12" t="s">
        <v>98</v>
      </c>
      <c r="B103" s="7">
        <v>-10</v>
      </c>
      <c r="C103" s="8">
        <f>IFERROR(B103/B445, "NA")</f>
        <v>-8.6115376692769965E-5</v>
      </c>
      <c r="D103" s="9"/>
      <c r="E103" s="7">
        <v>0</v>
      </c>
      <c r="F103" s="8">
        <f>IFERROR(E103/E445, "NA")</f>
        <v>0</v>
      </c>
      <c r="G103" s="9"/>
      <c r="H103" s="10">
        <f t="shared" si="24"/>
        <v>-10</v>
      </c>
      <c r="I103" s="8">
        <f>IFERROR(H103/H445, "NA")</f>
        <v>1.0751150641897446E-3</v>
      </c>
      <c r="J103" s="9"/>
      <c r="K103" s="7">
        <v>0</v>
      </c>
      <c r="L103" s="8">
        <f>IFERROR(K103/K445, "NA")</f>
        <v>0</v>
      </c>
      <c r="M103" s="9"/>
      <c r="N103" s="10">
        <f t="shared" si="25"/>
        <v>-10</v>
      </c>
      <c r="O103" s="8">
        <f>IFERROR(N103/N445, "NA")</f>
        <v>-9.0286931869481071E-3</v>
      </c>
      <c r="P103" s="9"/>
      <c r="Q103" s="7">
        <v>-102</v>
      </c>
      <c r="R103" s="8">
        <f>IFERROR(Q103/Q445, "NA")</f>
        <v>-1.9327296029239243E-4</v>
      </c>
      <c r="S103" s="9"/>
      <c r="T103" s="7">
        <v>0</v>
      </c>
      <c r="U103" s="8">
        <f>IFERROR(T103/T445, "NA")</f>
        <v>0</v>
      </c>
      <c r="V103" s="9"/>
      <c r="W103" s="10">
        <f t="shared" si="26"/>
        <v>-102</v>
      </c>
      <c r="X103" s="8">
        <f>IFERROR(W103/W445, "NA")</f>
        <v>1.5252288553561186E-3</v>
      </c>
      <c r="Y103" s="9"/>
      <c r="Z103" s="7">
        <v>0</v>
      </c>
      <c r="AA103" s="8">
        <f>IFERROR(Z103/Z445, "NA")</f>
        <v>0</v>
      </c>
      <c r="AB103" s="9"/>
      <c r="AC103" s="10">
        <f t="shared" si="27"/>
        <v>-102</v>
      </c>
      <c r="AD103" s="8">
        <f>IFERROR(AC103/AC445, "NA")</f>
        <v>3.6407351143904762E-3</v>
      </c>
    </row>
    <row r="104" spans="1:30" ht="16.5" customHeight="1" x14ac:dyDescent="0.45">
      <c r="A104" s="12" t="s">
        <v>99</v>
      </c>
      <c r="B104" s="7">
        <v>-445.55</v>
      </c>
      <c r="C104" s="8">
        <f>IFERROR(B104/B445, "NA")</f>
        <v>-3.8368706085463657E-3</v>
      </c>
      <c r="D104" s="9"/>
      <c r="E104" s="7">
        <v>0</v>
      </c>
      <c r="F104" s="8">
        <f>IFERROR(E104/E445, "NA")</f>
        <v>0</v>
      </c>
      <c r="G104" s="9"/>
      <c r="H104" s="10">
        <f t="shared" si="24"/>
        <v>-445.55</v>
      </c>
      <c r="I104" s="8">
        <f>IFERROR(H104/H445, "NA")</f>
        <v>4.7901751684974077E-2</v>
      </c>
      <c r="J104" s="9"/>
      <c r="K104" s="7">
        <v>-731.44</v>
      </c>
      <c r="L104" s="8">
        <f>IFERROR(K104/K445, "NA")</f>
        <v>-6.3594796188694248E-3</v>
      </c>
      <c r="M104" s="9"/>
      <c r="N104" s="10">
        <f t="shared" si="25"/>
        <v>285.89000000000004</v>
      </c>
      <c r="O104" s="8">
        <f>IFERROR(N104/N445, "NA")</f>
        <v>0.25812130952165946</v>
      </c>
      <c r="P104" s="9"/>
      <c r="Q104" s="7">
        <v>-2898.82</v>
      </c>
      <c r="R104" s="8">
        <f>IFERROR(Q104/Q445, "NA")</f>
        <v>-5.492779634850912E-3</v>
      </c>
      <c r="S104" s="9"/>
      <c r="T104" s="7">
        <v>0</v>
      </c>
      <c r="U104" s="8">
        <f>IFERROR(T104/T445, "NA")</f>
        <v>0</v>
      </c>
      <c r="V104" s="9"/>
      <c r="W104" s="10">
        <f t="shared" si="26"/>
        <v>-2898.82</v>
      </c>
      <c r="X104" s="8">
        <f>IFERROR(W104/W445, "NA")</f>
        <v>4.3346705004739451E-2</v>
      </c>
      <c r="Y104" s="9"/>
      <c r="Z104" s="7">
        <v>-3785.23</v>
      </c>
      <c r="AA104" s="8">
        <f>IFERROR(Z104/Z445, "NA")</f>
        <v>-6.8108177571358872E-3</v>
      </c>
      <c r="AB104" s="9"/>
      <c r="AC104" s="10">
        <f t="shared" si="27"/>
        <v>886.40999999999985</v>
      </c>
      <c r="AD104" s="8">
        <f>IFERROR(AC104/AC445, "NA")</f>
        <v>-3.1639058948498645E-2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IFERROR(B105/B445, "NA")</f>
        <v>0</v>
      </c>
      <c r="D105" s="9"/>
      <c r="E105" s="7">
        <v>0</v>
      </c>
      <c r="F105" s="8">
        <f>IFERROR(E105/E445, "NA")</f>
        <v>0</v>
      </c>
      <c r="G105" s="9"/>
      <c r="H105" s="10">
        <f t="shared" si="24"/>
        <v>0</v>
      </c>
      <c r="I105" s="8">
        <f>IFERROR(H105/H445, "NA")</f>
        <v>0</v>
      </c>
      <c r="J105" s="9"/>
      <c r="K105" s="7">
        <v>0</v>
      </c>
      <c r="L105" s="8">
        <f>IFERROR(K105/K445, "NA")</f>
        <v>0</v>
      </c>
      <c r="M105" s="9"/>
      <c r="N105" s="10">
        <f t="shared" si="25"/>
        <v>0</v>
      </c>
      <c r="O105" s="8">
        <f>IFERROR(N105/N445, "NA")</f>
        <v>0</v>
      </c>
      <c r="P105" s="9"/>
      <c r="Q105" s="7">
        <v>0</v>
      </c>
      <c r="R105" s="8">
        <f>IFERROR(Q105/Q445, "NA")</f>
        <v>0</v>
      </c>
      <c r="S105" s="9"/>
      <c r="T105" s="7">
        <v>0</v>
      </c>
      <c r="U105" s="8">
        <f>IFERROR(T105/T445, "NA")</f>
        <v>0</v>
      </c>
      <c r="V105" s="9"/>
      <c r="W105" s="10">
        <f t="shared" si="26"/>
        <v>0</v>
      </c>
      <c r="X105" s="8">
        <f>IFERROR(W105/W445, "NA")</f>
        <v>0</v>
      </c>
      <c r="Y105" s="9"/>
      <c r="Z105" s="7">
        <v>0</v>
      </c>
      <c r="AA105" s="8">
        <f>IFERROR(Z105/Z445, "NA")</f>
        <v>0</v>
      </c>
      <c r="AB105" s="9"/>
      <c r="AC105" s="10">
        <f t="shared" si="27"/>
        <v>0</v>
      </c>
      <c r="AD105" s="8">
        <f>IFERROR(AC105/AC445, "NA")</f>
        <v>0</v>
      </c>
    </row>
    <row r="106" spans="1:30" ht="16.5" customHeight="1" x14ac:dyDescent="0.45">
      <c r="A106" s="12" t="s">
        <v>101</v>
      </c>
      <c r="B106" s="7">
        <v>-185</v>
      </c>
      <c r="C106" s="8">
        <f>IFERROR(B106/B445, "NA")</f>
        <v>-1.5931344688162442E-3</v>
      </c>
      <c r="D106" s="9"/>
      <c r="E106" s="7">
        <v>0</v>
      </c>
      <c r="F106" s="8">
        <f>IFERROR(E106/E445, "NA")</f>
        <v>0</v>
      </c>
      <c r="G106" s="9"/>
      <c r="H106" s="10">
        <f t="shared" si="24"/>
        <v>-185</v>
      </c>
      <c r="I106" s="8">
        <f>IFERROR(H106/H445, "NA")</f>
        <v>1.9889628687510277E-2</v>
      </c>
      <c r="J106" s="9"/>
      <c r="K106" s="7">
        <v>-5</v>
      </c>
      <c r="L106" s="8">
        <f>IFERROR(K106/K445, "NA")</f>
        <v>-4.3472325952022202E-5</v>
      </c>
      <c r="M106" s="9"/>
      <c r="N106" s="10">
        <f t="shared" si="25"/>
        <v>-180</v>
      </c>
      <c r="O106" s="8">
        <f>IFERROR(N106/N445, "NA")</f>
        <v>-0.16251647736506591</v>
      </c>
      <c r="P106" s="9"/>
      <c r="Q106" s="7">
        <v>-279.51</v>
      </c>
      <c r="R106" s="8">
        <f>IFERROR(Q106/Q445, "NA")</f>
        <v>-5.2962475618947651E-4</v>
      </c>
      <c r="S106" s="9"/>
      <c r="T106" s="7">
        <v>0</v>
      </c>
      <c r="U106" s="8">
        <f>IFERROR(T106/T445, "NA")</f>
        <v>0</v>
      </c>
      <c r="V106" s="9"/>
      <c r="W106" s="10">
        <f t="shared" si="26"/>
        <v>-279.51</v>
      </c>
      <c r="X106" s="8">
        <f>IFERROR(W106/W445, "NA")</f>
        <v>4.1795756603979287E-3</v>
      </c>
      <c r="Y106" s="9"/>
      <c r="Z106" s="7">
        <v>-145.1</v>
      </c>
      <c r="AA106" s="8">
        <f>IFERROR(Z106/Z445, "NA")</f>
        <v>-2.6108047768838805E-4</v>
      </c>
      <c r="AB106" s="9"/>
      <c r="AC106" s="10">
        <f t="shared" si="27"/>
        <v>-134.41</v>
      </c>
      <c r="AD106" s="8">
        <f>IFERROR(AC106/AC445, "NA")</f>
        <v>4.7975608502472929E-3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IFERROR(B107/B445, "NA")</f>
        <v>0</v>
      </c>
      <c r="D107" s="9"/>
      <c r="E107" s="7">
        <v>0</v>
      </c>
      <c r="F107" s="8">
        <f>IFERROR(E107/E445, "NA")</f>
        <v>0</v>
      </c>
      <c r="G107" s="9"/>
      <c r="H107" s="10">
        <f t="shared" si="24"/>
        <v>0</v>
      </c>
      <c r="I107" s="8">
        <f>IFERROR(H107/H445, "NA")</f>
        <v>0</v>
      </c>
      <c r="J107" s="9"/>
      <c r="K107" s="7">
        <v>0</v>
      </c>
      <c r="L107" s="8">
        <f>IFERROR(K107/K445, "NA")</f>
        <v>0</v>
      </c>
      <c r="M107" s="9"/>
      <c r="N107" s="10">
        <f t="shared" si="25"/>
        <v>0</v>
      </c>
      <c r="O107" s="8">
        <f>IFERROR(N107/N445, "NA")</f>
        <v>0</v>
      </c>
      <c r="P107" s="9"/>
      <c r="Q107" s="7">
        <v>0</v>
      </c>
      <c r="R107" s="8">
        <f>IFERROR(Q107/Q445, "NA")</f>
        <v>0</v>
      </c>
      <c r="S107" s="9"/>
      <c r="T107" s="7">
        <v>0</v>
      </c>
      <c r="U107" s="8">
        <f>IFERROR(T107/T445, "NA")</f>
        <v>0</v>
      </c>
      <c r="V107" s="9"/>
      <c r="W107" s="10">
        <f t="shared" si="26"/>
        <v>0</v>
      </c>
      <c r="X107" s="8">
        <f>IFERROR(W107/W445, "NA")</f>
        <v>0</v>
      </c>
      <c r="Y107" s="9"/>
      <c r="Z107" s="7">
        <v>0</v>
      </c>
      <c r="AA107" s="8">
        <f>IFERROR(Z107/Z445, "NA")</f>
        <v>0</v>
      </c>
      <c r="AB107" s="9"/>
      <c r="AC107" s="10">
        <f t="shared" si="27"/>
        <v>0</v>
      </c>
      <c r="AD107" s="8">
        <f>IFERROR(AC107/AC445,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IFERROR(B108/B445, "NA")</f>
        <v>0</v>
      </c>
      <c r="D108" s="9"/>
      <c r="E108" s="7">
        <v>0</v>
      </c>
      <c r="F108" s="8">
        <f>IFERROR(E108/E445, "NA")</f>
        <v>0</v>
      </c>
      <c r="G108" s="9"/>
      <c r="H108" s="10">
        <f t="shared" si="24"/>
        <v>0</v>
      </c>
      <c r="I108" s="8">
        <f>IFERROR(H108/H445, "NA")</f>
        <v>0</v>
      </c>
      <c r="J108" s="9"/>
      <c r="K108" s="7">
        <v>0</v>
      </c>
      <c r="L108" s="8">
        <f>IFERROR(K108/K445, "NA")</f>
        <v>0</v>
      </c>
      <c r="M108" s="9"/>
      <c r="N108" s="10">
        <f t="shared" si="25"/>
        <v>0</v>
      </c>
      <c r="O108" s="8">
        <f>IFERROR(N108/N445, "NA")</f>
        <v>0</v>
      </c>
      <c r="P108" s="9"/>
      <c r="Q108" s="7">
        <v>0</v>
      </c>
      <c r="R108" s="8">
        <f>IFERROR(Q108/Q445, "NA")</f>
        <v>0</v>
      </c>
      <c r="S108" s="9"/>
      <c r="T108" s="7">
        <v>0</v>
      </c>
      <c r="U108" s="8">
        <f>IFERROR(T108/T445, "NA")</f>
        <v>0</v>
      </c>
      <c r="V108" s="9"/>
      <c r="W108" s="10">
        <f t="shared" si="26"/>
        <v>0</v>
      </c>
      <c r="X108" s="8">
        <f>IFERROR(W108/W445, "NA")</f>
        <v>0</v>
      </c>
      <c r="Y108" s="9"/>
      <c r="Z108" s="7">
        <v>0</v>
      </c>
      <c r="AA108" s="8">
        <f>IFERROR(Z108/Z445, "NA")</f>
        <v>0</v>
      </c>
      <c r="AB108" s="9"/>
      <c r="AC108" s="10">
        <f t="shared" si="27"/>
        <v>0</v>
      </c>
      <c r="AD108" s="8">
        <f>IFERROR(AC108/AC445,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IFERROR(B109/B445, "NA")</f>
        <v>0</v>
      </c>
      <c r="D109" s="9"/>
      <c r="E109" s="7">
        <v>0</v>
      </c>
      <c r="F109" s="8">
        <f>IFERROR(E109/E445, "NA")</f>
        <v>0</v>
      </c>
      <c r="G109" s="9"/>
      <c r="H109" s="10">
        <f t="shared" si="24"/>
        <v>0</v>
      </c>
      <c r="I109" s="8">
        <f>IFERROR(H109/H445, "NA")</f>
        <v>0</v>
      </c>
      <c r="J109" s="9"/>
      <c r="K109" s="7">
        <v>0</v>
      </c>
      <c r="L109" s="8">
        <f>IFERROR(K109/K445, "NA")</f>
        <v>0</v>
      </c>
      <c r="M109" s="9"/>
      <c r="N109" s="10">
        <f t="shared" si="25"/>
        <v>0</v>
      </c>
      <c r="O109" s="8">
        <f>IFERROR(N109/N445, "NA")</f>
        <v>0</v>
      </c>
      <c r="P109" s="9"/>
      <c r="Q109" s="7">
        <v>0</v>
      </c>
      <c r="R109" s="8">
        <f>IFERROR(Q109/Q445, "NA")</f>
        <v>0</v>
      </c>
      <c r="S109" s="9"/>
      <c r="T109" s="7">
        <v>0</v>
      </c>
      <c r="U109" s="8">
        <f>IFERROR(T109/T445, "NA")</f>
        <v>0</v>
      </c>
      <c r="V109" s="9"/>
      <c r="W109" s="10">
        <f t="shared" si="26"/>
        <v>0</v>
      </c>
      <c r="X109" s="8">
        <f>IFERROR(W109/W445, "NA")</f>
        <v>0</v>
      </c>
      <c r="Y109" s="9"/>
      <c r="Z109" s="7">
        <v>0</v>
      </c>
      <c r="AA109" s="8">
        <f>IFERROR(Z109/Z445, "NA")</f>
        <v>0</v>
      </c>
      <c r="AB109" s="9"/>
      <c r="AC109" s="10">
        <f t="shared" si="27"/>
        <v>0</v>
      </c>
      <c r="AD109" s="8">
        <f>IFERROR(AC109/AC445,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IFERROR(B110/B445, "NA")</f>
        <v>0</v>
      </c>
      <c r="D110" s="9"/>
      <c r="E110" s="7">
        <v>0</v>
      </c>
      <c r="F110" s="8">
        <f>IFERROR(E110/E445, "NA")</f>
        <v>0</v>
      </c>
      <c r="G110" s="9"/>
      <c r="H110" s="10">
        <f t="shared" si="24"/>
        <v>0</v>
      </c>
      <c r="I110" s="8">
        <f>IFERROR(H110/H445, "NA")</f>
        <v>0</v>
      </c>
      <c r="J110" s="9"/>
      <c r="K110" s="7">
        <v>0</v>
      </c>
      <c r="L110" s="8">
        <f>IFERROR(K110/K445, "NA")</f>
        <v>0</v>
      </c>
      <c r="M110" s="9"/>
      <c r="N110" s="10">
        <f t="shared" si="25"/>
        <v>0</v>
      </c>
      <c r="O110" s="8">
        <f>IFERROR(N110/N445, "NA")</f>
        <v>0</v>
      </c>
      <c r="P110" s="9"/>
      <c r="Q110" s="7">
        <v>0</v>
      </c>
      <c r="R110" s="8">
        <f>IFERROR(Q110/Q445, "NA")</f>
        <v>0</v>
      </c>
      <c r="S110" s="9"/>
      <c r="T110" s="7">
        <v>0</v>
      </c>
      <c r="U110" s="8">
        <f>IFERROR(T110/T445, "NA")</f>
        <v>0</v>
      </c>
      <c r="V110" s="9"/>
      <c r="W110" s="10">
        <f t="shared" si="26"/>
        <v>0</v>
      </c>
      <c r="X110" s="8">
        <f>IFERROR(W110/W445, "NA")</f>
        <v>0</v>
      </c>
      <c r="Y110" s="9"/>
      <c r="Z110" s="7">
        <v>0</v>
      </c>
      <c r="AA110" s="8">
        <f>IFERROR(Z110/Z445, "NA")</f>
        <v>0</v>
      </c>
      <c r="AB110" s="9"/>
      <c r="AC110" s="10">
        <f t="shared" si="27"/>
        <v>0</v>
      </c>
      <c r="AD110" s="8">
        <f>IFERROR(AC110/AC445,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IFERROR(B111/B445, "NA")</f>
        <v>0</v>
      </c>
      <c r="D111" s="9"/>
      <c r="E111" s="7">
        <v>0</v>
      </c>
      <c r="F111" s="8">
        <f>IFERROR(E111/E445, "NA")</f>
        <v>0</v>
      </c>
      <c r="G111" s="9"/>
      <c r="H111" s="10">
        <f t="shared" si="24"/>
        <v>0</v>
      </c>
      <c r="I111" s="8">
        <f>IFERROR(H111/H445, "NA")</f>
        <v>0</v>
      </c>
      <c r="J111" s="9"/>
      <c r="K111" s="7">
        <v>0</v>
      </c>
      <c r="L111" s="8">
        <f>IFERROR(K111/K445, "NA")</f>
        <v>0</v>
      </c>
      <c r="M111" s="9"/>
      <c r="N111" s="10">
        <f t="shared" si="25"/>
        <v>0</v>
      </c>
      <c r="O111" s="8">
        <f>IFERROR(N111/N445, "NA")</f>
        <v>0</v>
      </c>
      <c r="P111" s="9"/>
      <c r="Q111" s="7">
        <v>0</v>
      </c>
      <c r="R111" s="8">
        <f>IFERROR(Q111/Q445, "NA")</f>
        <v>0</v>
      </c>
      <c r="S111" s="9"/>
      <c r="T111" s="7">
        <v>0</v>
      </c>
      <c r="U111" s="8">
        <f>IFERROR(T111/T445, "NA")</f>
        <v>0</v>
      </c>
      <c r="V111" s="9"/>
      <c r="W111" s="10">
        <f t="shared" si="26"/>
        <v>0</v>
      </c>
      <c r="X111" s="8">
        <f>IFERROR(W111/W445, "NA")</f>
        <v>0</v>
      </c>
      <c r="Y111" s="9"/>
      <c r="Z111" s="7">
        <v>0</v>
      </c>
      <c r="AA111" s="8">
        <f>IFERROR(Z111/Z445, "NA")</f>
        <v>0</v>
      </c>
      <c r="AB111" s="9"/>
      <c r="AC111" s="10">
        <f t="shared" si="27"/>
        <v>0</v>
      </c>
      <c r="AD111" s="8">
        <f>IFERROR(AC111/AC445,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IFERROR(B112/B445, "NA")</f>
        <v>0</v>
      </c>
      <c r="D112" s="9"/>
      <c r="E112" s="7">
        <v>0</v>
      </c>
      <c r="F112" s="8">
        <f>IFERROR(E112/E445, "NA")</f>
        <v>0</v>
      </c>
      <c r="G112" s="9"/>
      <c r="H112" s="10">
        <f t="shared" si="24"/>
        <v>0</v>
      </c>
      <c r="I112" s="8">
        <f>IFERROR(H112/H445, "NA")</f>
        <v>0</v>
      </c>
      <c r="J112" s="9"/>
      <c r="K112" s="7">
        <v>0</v>
      </c>
      <c r="L112" s="8">
        <f>IFERROR(K112/K445, "NA")</f>
        <v>0</v>
      </c>
      <c r="M112" s="9"/>
      <c r="N112" s="10">
        <f t="shared" si="25"/>
        <v>0</v>
      </c>
      <c r="O112" s="8">
        <f>IFERROR(N112/N445, "NA")</f>
        <v>0</v>
      </c>
      <c r="P112" s="9"/>
      <c r="Q112" s="7">
        <v>0</v>
      </c>
      <c r="R112" s="8">
        <f>IFERROR(Q112/Q445, "NA")</f>
        <v>0</v>
      </c>
      <c r="S112" s="9"/>
      <c r="T112" s="7">
        <v>0</v>
      </c>
      <c r="U112" s="8">
        <f>IFERROR(T112/T445, "NA")</f>
        <v>0</v>
      </c>
      <c r="V112" s="9"/>
      <c r="W112" s="10">
        <f t="shared" si="26"/>
        <v>0</v>
      </c>
      <c r="X112" s="8">
        <f>IFERROR(W112/W445, "NA")</f>
        <v>0</v>
      </c>
      <c r="Y112" s="9"/>
      <c r="Z112" s="7">
        <v>0</v>
      </c>
      <c r="AA112" s="8">
        <f>IFERROR(Z112/Z445, "NA")</f>
        <v>0</v>
      </c>
      <c r="AB112" s="9"/>
      <c r="AC112" s="10">
        <f t="shared" si="27"/>
        <v>0</v>
      </c>
      <c r="AD112" s="8">
        <f>IFERROR(AC112/AC445,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IFERROR(B113/B445, "NA")</f>
        <v>0</v>
      </c>
      <c r="D113" s="9"/>
      <c r="E113" s="7">
        <v>0</v>
      </c>
      <c r="F113" s="8">
        <f>IFERROR(E113/E445, "NA")</f>
        <v>0</v>
      </c>
      <c r="G113" s="9"/>
      <c r="H113" s="10">
        <f t="shared" si="24"/>
        <v>0</v>
      </c>
      <c r="I113" s="8">
        <f>IFERROR(H113/H445, "NA")</f>
        <v>0</v>
      </c>
      <c r="J113" s="9"/>
      <c r="K113" s="7">
        <v>0</v>
      </c>
      <c r="L113" s="8">
        <f>IFERROR(K113/K445, "NA")</f>
        <v>0</v>
      </c>
      <c r="M113" s="9"/>
      <c r="N113" s="10">
        <f t="shared" si="25"/>
        <v>0</v>
      </c>
      <c r="O113" s="8">
        <f>IFERROR(N113/N445, "NA")</f>
        <v>0</v>
      </c>
      <c r="P113" s="9"/>
      <c r="Q113" s="7">
        <v>0</v>
      </c>
      <c r="R113" s="8">
        <f>IFERROR(Q113/Q445, "NA")</f>
        <v>0</v>
      </c>
      <c r="S113" s="9"/>
      <c r="T113" s="7">
        <v>0</v>
      </c>
      <c r="U113" s="8">
        <f>IFERROR(T113/T445, "NA")</f>
        <v>0</v>
      </c>
      <c r="V113" s="9"/>
      <c r="W113" s="10">
        <f t="shared" si="26"/>
        <v>0</v>
      </c>
      <c r="X113" s="8">
        <f>IFERROR(W113/W445, "NA")</f>
        <v>0</v>
      </c>
      <c r="Y113" s="9"/>
      <c r="Z113" s="7">
        <v>0</v>
      </c>
      <c r="AA113" s="8">
        <f>IFERROR(Z113/Z445, "NA")</f>
        <v>0</v>
      </c>
      <c r="AB113" s="9"/>
      <c r="AC113" s="10">
        <f t="shared" si="27"/>
        <v>0</v>
      </c>
      <c r="AD113" s="8">
        <f>IFERROR(AC113/AC445,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IFERROR(B114/B445, "NA")</f>
        <v>0</v>
      </c>
      <c r="D114" s="9"/>
      <c r="E114" s="7">
        <v>0</v>
      </c>
      <c r="F114" s="8">
        <f>IFERROR(E114/E445, "NA")</f>
        <v>0</v>
      </c>
      <c r="G114" s="9"/>
      <c r="H114" s="10">
        <f t="shared" si="24"/>
        <v>0</v>
      </c>
      <c r="I114" s="8">
        <f>IFERROR(H114/H445, "NA")</f>
        <v>0</v>
      </c>
      <c r="J114" s="9"/>
      <c r="K114" s="7">
        <v>0</v>
      </c>
      <c r="L114" s="8">
        <f>IFERROR(K114/K445, "NA")</f>
        <v>0</v>
      </c>
      <c r="M114" s="9"/>
      <c r="N114" s="10">
        <f t="shared" si="25"/>
        <v>0</v>
      </c>
      <c r="O114" s="8">
        <f>IFERROR(N114/N445, "NA")</f>
        <v>0</v>
      </c>
      <c r="P114" s="9"/>
      <c r="Q114" s="7">
        <v>0</v>
      </c>
      <c r="R114" s="8">
        <f>IFERROR(Q114/Q445, "NA")</f>
        <v>0</v>
      </c>
      <c r="S114" s="9"/>
      <c r="T114" s="7">
        <v>0</v>
      </c>
      <c r="U114" s="8">
        <f>IFERROR(T114/T445, "NA")</f>
        <v>0</v>
      </c>
      <c r="V114" s="9"/>
      <c r="W114" s="10">
        <f t="shared" si="26"/>
        <v>0</v>
      </c>
      <c r="X114" s="8">
        <f>IFERROR(W114/W445, "NA")</f>
        <v>0</v>
      </c>
      <c r="Y114" s="9"/>
      <c r="Z114" s="7">
        <v>0</v>
      </c>
      <c r="AA114" s="8">
        <f>IFERROR(Z114/Z445, "NA")</f>
        <v>0</v>
      </c>
      <c r="AB114" s="9"/>
      <c r="AC114" s="10">
        <f t="shared" si="27"/>
        <v>0</v>
      </c>
      <c r="AD114" s="8">
        <f>IFERROR(AC114/AC445,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IFERROR(B115/B445, "NA")</f>
        <v>0</v>
      </c>
      <c r="D115" s="9"/>
      <c r="E115" s="7">
        <v>0</v>
      </c>
      <c r="F115" s="8">
        <f>IFERROR(E115/E445, "NA")</f>
        <v>0</v>
      </c>
      <c r="G115" s="9"/>
      <c r="H115" s="10">
        <f t="shared" si="24"/>
        <v>0</v>
      </c>
      <c r="I115" s="8">
        <f>IFERROR(H115/H445, "NA")</f>
        <v>0</v>
      </c>
      <c r="J115" s="9"/>
      <c r="K115" s="7">
        <v>0</v>
      </c>
      <c r="L115" s="8">
        <f>IFERROR(K115/K445, "NA")</f>
        <v>0</v>
      </c>
      <c r="M115" s="9"/>
      <c r="N115" s="10">
        <f t="shared" si="25"/>
        <v>0</v>
      </c>
      <c r="O115" s="8">
        <f>IFERROR(N115/N445, "NA")</f>
        <v>0</v>
      </c>
      <c r="P115" s="9"/>
      <c r="Q115" s="7">
        <v>0</v>
      </c>
      <c r="R115" s="8">
        <f>IFERROR(Q115/Q445, "NA")</f>
        <v>0</v>
      </c>
      <c r="S115" s="9"/>
      <c r="T115" s="7">
        <v>0</v>
      </c>
      <c r="U115" s="8">
        <f>IFERROR(T115/T445, "NA")</f>
        <v>0</v>
      </c>
      <c r="V115" s="9"/>
      <c r="W115" s="10">
        <f t="shared" si="26"/>
        <v>0</v>
      </c>
      <c r="X115" s="8">
        <f>IFERROR(W115/W445, "NA")</f>
        <v>0</v>
      </c>
      <c r="Y115" s="9"/>
      <c r="Z115" s="7">
        <v>0</v>
      </c>
      <c r="AA115" s="8">
        <f>IFERROR(Z115/Z445, "NA")</f>
        <v>0</v>
      </c>
      <c r="AB115" s="9"/>
      <c r="AC115" s="10">
        <f t="shared" si="27"/>
        <v>0</v>
      </c>
      <c r="AD115" s="8">
        <f>IFERROR(AC115/AC445,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IFERROR(B116/B445, "NA")</f>
        <v>0</v>
      </c>
      <c r="D116" s="9"/>
      <c r="E116" s="7">
        <v>0</v>
      </c>
      <c r="F116" s="8">
        <f>IFERROR(E116/E445, "NA")</f>
        <v>0</v>
      </c>
      <c r="G116" s="9"/>
      <c r="H116" s="10">
        <f t="shared" si="24"/>
        <v>0</v>
      </c>
      <c r="I116" s="8">
        <f>IFERROR(H116/H445, "NA")</f>
        <v>0</v>
      </c>
      <c r="J116" s="9"/>
      <c r="K116" s="7">
        <v>0</v>
      </c>
      <c r="L116" s="8">
        <f>IFERROR(K116/K445, "NA")</f>
        <v>0</v>
      </c>
      <c r="M116" s="9"/>
      <c r="N116" s="10">
        <f t="shared" si="25"/>
        <v>0</v>
      </c>
      <c r="O116" s="8">
        <f>IFERROR(N116/N445, "NA")</f>
        <v>0</v>
      </c>
      <c r="P116" s="9"/>
      <c r="Q116" s="7">
        <v>0</v>
      </c>
      <c r="R116" s="8">
        <f>IFERROR(Q116/Q445, "NA")</f>
        <v>0</v>
      </c>
      <c r="S116" s="9"/>
      <c r="T116" s="7">
        <v>0</v>
      </c>
      <c r="U116" s="8">
        <f>IFERROR(T116/T445, "NA")</f>
        <v>0</v>
      </c>
      <c r="V116" s="9"/>
      <c r="W116" s="10">
        <f t="shared" si="26"/>
        <v>0</v>
      </c>
      <c r="X116" s="8">
        <f>IFERROR(W116/W445, "NA")</f>
        <v>0</v>
      </c>
      <c r="Y116" s="9"/>
      <c r="Z116" s="7">
        <v>0</v>
      </c>
      <c r="AA116" s="8">
        <f>IFERROR(Z116/Z445, "NA")</f>
        <v>0</v>
      </c>
      <c r="AB116" s="9"/>
      <c r="AC116" s="10">
        <f t="shared" si="27"/>
        <v>0</v>
      </c>
      <c r="AD116" s="8">
        <f>IFERROR(AC116/AC445,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IFERROR(B117/B445, "NA")</f>
        <v>0</v>
      </c>
      <c r="D117" s="9"/>
      <c r="E117" s="7">
        <v>0</v>
      </c>
      <c r="F117" s="8">
        <f>IFERROR(E117/E445, "NA")</f>
        <v>0</v>
      </c>
      <c r="G117" s="9"/>
      <c r="H117" s="10">
        <f t="shared" si="24"/>
        <v>0</v>
      </c>
      <c r="I117" s="8">
        <f>IFERROR(H117/H445, "NA")</f>
        <v>0</v>
      </c>
      <c r="J117" s="9"/>
      <c r="K117" s="7">
        <v>0</v>
      </c>
      <c r="L117" s="8">
        <f>IFERROR(K117/K445, "NA")</f>
        <v>0</v>
      </c>
      <c r="M117" s="9"/>
      <c r="N117" s="10">
        <f t="shared" si="25"/>
        <v>0</v>
      </c>
      <c r="O117" s="8">
        <f>IFERROR(N117/N445, "NA")</f>
        <v>0</v>
      </c>
      <c r="P117" s="9"/>
      <c r="Q117" s="7">
        <v>0</v>
      </c>
      <c r="R117" s="8">
        <f>IFERROR(Q117/Q445, "NA")</f>
        <v>0</v>
      </c>
      <c r="S117" s="9"/>
      <c r="T117" s="7">
        <v>0</v>
      </c>
      <c r="U117" s="8">
        <f>IFERROR(T117/T445, "NA")</f>
        <v>0</v>
      </c>
      <c r="V117" s="9"/>
      <c r="W117" s="10">
        <f t="shared" si="26"/>
        <v>0</v>
      </c>
      <c r="X117" s="8">
        <f>IFERROR(W117/W445, "NA")</f>
        <v>0</v>
      </c>
      <c r="Y117" s="9"/>
      <c r="Z117" s="7">
        <v>0</v>
      </c>
      <c r="AA117" s="8">
        <f>IFERROR(Z117/Z445, "NA")</f>
        <v>0</v>
      </c>
      <c r="AB117" s="9"/>
      <c r="AC117" s="10">
        <f t="shared" si="27"/>
        <v>0</v>
      </c>
      <c r="AD117" s="8">
        <f>IFERROR(AC117/AC445,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-4124.6400000000003</v>
      </c>
      <c r="C118" s="15">
        <f>IFERROR(B118/B445, "NA")</f>
        <v>-3.551949273220667E-2</v>
      </c>
      <c r="D118" s="2"/>
      <c r="E118" s="14">
        <f>IFERROR(E94+E95+E96+E97+E98+E99+E100+E101+E102+E103+E104+E105+E106+E107+E108+E109+E110+E111+E112+E113+E114+E115+E116+E117, "NA")</f>
        <v>-5894.96</v>
      </c>
      <c r="F118" s="15">
        <f>IFERROR(E118/E445, "NA")</f>
        <v>-4.7000026549813473E-2</v>
      </c>
      <c r="G118" s="2"/>
      <c r="H118" s="14">
        <f t="shared" si="24"/>
        <v>1770.3199999999997</v>
      </c>
      <c r="I118" s="15">
        <f>IFERROR(H118/H445, "NA")</f>
        <v>-0.19032977004363885</v>
      </c>
      <c r="J118" s="2"/>
      <c r="K118" s="14">
        <f>IFERROR(K94+K95+K96+K97+K98+K99+K100+K101+K102+K103+K104+K105+K106+K107+K108+K109+K110+K111+K112+K113+K114+K115+K116+K117, "NA")</f>
        <v>-4189.25</v>
      </c>
      <c r="L118" s="15">
        <f>IFERROR(K118/K445, "NA")</f>
        <v>-3.6423288298901804E-2</v>
      </c>
      <c r="M118" s="2"/>
      <c r="N118" s="14">
        <f t="shared" si="25"/>
        <v>64.609999999999673</v>
      </c>
      <c r="O118" s="15">
        <f>IFERROR(N118/N445, "NA")</f>
        <v>5.8334386680871424E-2</v>
      </c>
      <c r="P118" s="2"/>
      <c r="Q118" s="14">
        <f>IFERROR(Q94+Q95+Q96+Q97+Q98+Q99+Q100+Q101+Q102+Q103+Q104+Q105+Q106+Q107+Q108+Q109+Q110+Q111+Q112+Q113+Q114+Q115+Q116+Q117, "NA")</f>
        <v>-20665.87</v>
      </c>
      <c r="R118" s="15">
        <f>IFERROR(Q118/Q445, "NA")</f>
        <v>-3.9158371293311213E-2</v>
      </c>
      <c r="S118" s="2"/>
      <c r="T118" s="14">
        <f>IFERROR(T94+T95+T96+T97+T98+T99+T100+T101+T102+T103+T104+T105+T106+T107+T108+T109+T110+T111+T112+T113+T114+T115+T116+T117, "NA")</f>
        <v>-27947.439999999999</v>
      </c>
      <c r="U118" s="15">
        <f>IFERROR(T118/T445, "NA")</f>
        <v>-4.70000128820421E-2</v>
      </c>
      <c r="V118" s="2"/>
      <c r="W118" s="14">
        <f t="shared" si="26"/>
        <v>7281.57</v>
      </c>
      <c r="X118" s="15">
        <f>IFERROR(W118/W445, "NA")</f>
        <v>-0.10888294780681816</v>
      </c>
      <c r="Y118" s="2"/>
      <c r="Z118" s="14">
        <f>IFERROR(Z94+Z95+Z96+Z97+Z98+Z99+Z100+Z101+Z102+Z103+Z104+Z105+Z106+Z107+Z108+Z109+Z110+Z111+Z112+Z113+Z114+Z115+Z116+Z117, "NA")</f>
        <v>-26621.200000000001</v>
      </c>
      <c r="AA118" s="15">
        <f>IFERROR(Z118/Z445, "NA")</f>
        <v>-4.789990084519722E-2</v>
      </c>
      <c r="AB118" s="2"/>
      <c r="AC118" s="14">
        <f t="shared" si="27"/>
        <v>5955.3300000000017</v>
      </c>
      <c r="AD118" s="15">
        <f>IFERROR(AC118/AC445, "NA")</f>
        <v>-0.21256646126257883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IFERROR(B119/B445, "NA")</f>
        <v>0</v>
      </c>
      <c r="D119" s="9"/>
      <c r="E119" s="7">
        <v>0</v>
      </c>
      <c r="F119" s="8">
        <f>IFERROR(E119/E445, "NA")</f>
        <v>0</v>
      </c>
      <c r="G119" s="9"/>
      <c r="H119" s="10">
        <f t="shared" si="24"/>
        <v>0</v>
      </c>
      <c r="I119" s="8">
        <f>IFERROR(H119/H445, "NA")</f>
        <v>0</v>
      </c>
      <c r="J119" s="9"/>
      <c r="K119" s="7">
        <v>0</v>
      </c>
      <c r="L119" s="8">
        <f>IFERROR(K119/K445, "NA")</f>
        <v>0</v>
      </c>
      <c r="M119" s="9"/>
      <c r="N119" s="10">
        <f t="shared" si="25"/>
        <v>0</v>
      </c>
      <c r="O119" s="8">
        <f>IFERROR(N119/N445, "NA")</f>
        <v>0</v>
      </c>
      <c r="P119" s="9"/>
      <c r="Q119" s="7">
        <v>0</v>
      </c>
      <c r="R119" s="8">
        <f>IFERROR(Q119/Q445, "NA")</f>
        <v>0</v>
      </c>
      <c r="S119" s="9"/>
      <c r="T119" s="7">
        <v>0</v>
      </c>
      <c r="U119" s="8">
        <f>IFERROR(T119/T445, "NA")</f>
        <v>0</v>
      </c>
      <c r="V119" s="9"/>
      <c r="W119" s="10">
        <f t="shared" si="26"/>
        <v>0</v>
      </c>
      <c r="X119" s="8">
        <f>IFERROR(W119/W445, "NA")</f>
        <v>0</v>
      </c>
      <c r="Y119" s="9"/>
      <c r="Z119" s="7">
        <v>0</v>
      </c>
      <c r="AA119" s="8">
        <f>IFERROR(Z119/Z445, "NA")</f>
        <v>0</v>
      </c>
      <c r="AB119" s="9"/>
      <c r="AC119" s="10">
        <f t="shared" si="27"/>
        <v>0</v>
      </c>
      <c r="AD119" s="8">
        <f>IFERROR(AC119/AC445,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IFERROR(B120/B445, "NA")</f>
        <v>0</v>
      </c>
      <c r="D120" s="9"/>
      <c r="E120" s="7">
        <v>0</v>
      </c>
      <c r="F120" s="8">
        <f>IFERROR(E120/E445, "NA")</f>
        <v>0</v>
      </c>
      <c r="G120" s="9"/>
      <c r="H120" s="10">
        <f t="shared" si="24"/>
        <v>0</v>
      </c>
      <c r="I120" s="8">
        <f>IFERROR(H120/H445, "NA")</f>
        <v>0</v>
      </c>
      <c r="J120" s="9"/>
      <c r="K120" s="7">
        <v>0</v>
      </c>
      <c r="L120" s="8">
        <f>IFERROR(K120/K445, "NA")</f>
        <v>0</v>
      </c>
      <c r="M120" s="9"/>
      <c r="N120" s="10">
        <f t="shared" si="25"/>
        <v>0</v>
      </c>
      <c r="O120" s="8">
        <f>IFERROR(N120/N445, "NA")</f>
        <v>0</v>
      </c>
      <c r="P120" s="9"/>
      <c r="Q120" s="7">
        <v>0</v>
      </c>
      <c r="R120" s="8">
        <f>IFERROR(Q120/Q445, "NA")</f>
        <v>0</v>
      </c>
      <c r="S120" s="9"/>
      <c r="T120" s="7">
        <v>0</v>
      </c>
      <c r="U120" s="8">
        <f>IFERROR(T120/T445, "NA")</f>
        <v>0</v>
      </c>
      <c r="V120" s="9"/>
      <c r="W120" s="10">
        <f t="shared" si="26"/>
        <v>0</v>
      </c>
      <c r="X120" s="8">
        <f>IFERROR(W120/W445, "NA")</f>
        <v>0</v>
      </c>
      <c r="Y120" s="9"/>
      <c r="Z120" s="7">
        <v>0</v>
      </c>
      <c r="AA120" s="8">
        <f>IFERROR(Z120/Z445, "NA")</f>
        <v>0</v>
      </c>
      <c r="AB120" s="9"/>
      <c r="AC120" s="10">
        <f t="shared" si="27"/>
        <v>0</v>
      </c>
      <c r="AD120" s="8">
        <f>IFERROR(AC120/AC445,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IFERROR(B121/B445, "NA")</f>
        <v>0</v>
      </c>
      <c r="D121" s="9"/>
      <c r="E121" s="7">
        <v>0</v>
      </c>
      <c r="F121" s="8">
        <f>IFERROR(E121/E445, "NA")</f>
        <v>0</v>
      </c>
      <c r="G121" s="9"/>
      <c r="H121" s="10">
        <f t="shared" si="24"/>
        <v>0</v>
      </c>
      <c r="I121" s="8">
        <f>IFERROR(H121/H445, "NA")</f>
        <v>0</v>
      </c>
      <c r="J121" s="9"/>
      <c r="K121" s="7">
        <v>0</v>
      </c>
      <c r="L121" s="8">
        <f>IFERROR(K121/K445, "NA")</f>
        <v>0</v>
      </c>
      <c r="M121" s="9"/>
      <c r="N121" s="10">
        <f t="shared" si="25"/>
        <v>0</v>
      </c>
      <c r="O121" s="8">
        <f>IFERROR(N121/N445, "NA")</f>
        <v>0</v>
      </c>
      <c r="P121" s="9"/>
      <c r="Q121" s="7">
        <v>0</v>
      </c>
      <c r="R121" s="8">
        <f>IFERROR(Q121/Q445, "NA")</f>
        <v>0</v>
      </c>
      <c r="S121" s="9"/>
      <c r="T121" s="7">
        <v>0</v>
      </c>
      <c r="U121" s="8">
        <f>IFERROR(T121/T445, "NA")</f>
        <v>0</v>
      </c>
      <c r="V121" s="9"/>
      <c r="W121" s="10">
        <f t="shared" si="26"/>
        <v>0</v>
      </c>
      <c r="X121" s="8">
        <f>IFERROR(W121/W445, "NA")</f>
        <v>0</v>
      </c>
      <c r="Y121" s="9"/>
      <c r="Z121" s="7">
        <v>0</v>
      </c>
      <c r="AA121" s="8">
        <f>IFERROR(Z121/Z445, "NA")</f>
        <v>0</v>
      </c>
      <c r="AB121" s="9"/>
      <c r="AC121" s="10">
        <f t="shared" si="27"/>
        <v>0</v>
      </c>
      <c r="AD121" s="8">
        <f>IFERROR(AC121/AC445,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116123.28000000001</v>
      </c>
      <c r="C122" s="15">
        <f>IFERROR(B122/B445,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125424.61</v>
      </c>
      <c r="F122" s="15">
        <f>IFERROR(E122/E445, "NA")</f>
        <v>1</v>
      </c>
      <c r="G122" s="2"/>
      <c r="H122" s="14">
        <f t="shared" si="24"/>
        <v>-9301.3299999999872</v>
      </c>
      <c r="I122" s="15">
        <f>IFERROR(H122/H445, "NA")</f>
        <v>0.99999999999999845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115015.7</v>
      </c>
      <c r="L122" s="15">
        <f>IFERROR(K122/K445, "NA")</f>
        <v>1</v>
      </c>
      <c r="M122" s="2"/>
      <c r="N122" s="14">
        <f t="shared" si="25"/>
        <v>1107.5800000000163</v>
      </c>
      <c r="O122" s="15">
        <f>IFERROR(N122/N445, "NA")</f>
        <v>1.0000000000000131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527751.01</v>
      </c>
      <c r="R122" s="15">
        <f>IFERROR(Q122/Q445,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594626.22000000009</v>
      </c>
      <c r="U122" s="15">
        <f>IFERROR(T122/T445, "NA")</f>
        <v>1.0000000000000002</v>
      </c>
      <c r="V122" s="2"/>
      <c r="W122" s="14">
        <f t="shared" si="26"/>
        <v>-66875.210000000079</v>
      </c>
      <c r="X122" s="15">
        <f>IFERROR(W122/W445, "NA")</f>
        <v>1.0000000000000018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555767.33000000007</v>
      </c>
      <c r="AA122" s="15">
        <f>IFERROR(Z122/Z445, "NA")</f>
        <v>1.0000000000000002</v>
      </c>
      <c r="AB122" s="2"/>
      <c r="AC122" s="14">
        <f t="shared" si="27"/>
        <v>-28016.320000000065</v>
      </c>
      <c r="AD122" s="15">
        <f>IFERROR(AC122/AC445, "NA")</f>
        <v>1.0000000000000042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IFERROR(B123/B445, "NA")</f>
        <v>0</v>
      </c>
      <c r="D123" s="9"/>
      <c r="E123" s="7">
        <v>0</v>
      </c>
      <c r="F123" s="8">
        <f>IFERROR(E123/E445, "NA")</f>
        <v>0</v>
      </c>
      <c r="G123" s="9"/>
      <c r="H123" s="10">
        <f t="shared" si="24"/>
        <v>0</v>
      </c>
      <c r="I123" s="8">
        <f>IFERROR(H123/H445, "NA")</f>
        <v>0</v>
      </c>
      <c r="J123" s="9"/>
      <c r="K123" s="7">
        <v>0</v>
      </c>
      <c r="L123" s="8">
        <f>IFERROR(K123/K445, "NA")</f>
        <v>0</v>
      </c>
      <c r="M123" s="9"/>
      <c r="N123" s="10">
        <f t="shared" si="25"/>
        <v>0</v>
      </c>
      <c r="O123" s="8">
        <f>IFERROR(N123/N445, "NA")</f>
        <v>0</v>
      </c>
      <c r="P123" s="9"/>
      <c r="Q123" s="7">
        <v>0</v>
      </c>
      <c r="R123" s="8">
        <f>IFERROR(Q123/Q445, "NA")</f>
        <v>0</v>
      </c>
      <c r="S123" s="9"/>
      <c r="T123" s="7">
        <v>0</v>
      </c>
      <c r="U123" s="8">
        <f>IFERROR(T123/T445, "NA")</f>
        <v>0</v>
      </c>
      <c r="V123" s="9"/>
      <c r="W123" s="10">
        <f t="shared" si="26"/>
        <v>0</v>
      </c>
      <c r="X123" s="8">
        <f>IFERROR(W123/W445, "NA")</f>
        <v>0</v>
      </c>
      <c r="Y123" s="9"/>
      <c r="Z123" s="7">
        <v>0</v>
      </c>
      <c r="AA123" s="8">
        <f>IFERROR(Z123/Z445, "NA")</f>
        <v>0</v>
      </c>
      <c r="AB123" s="9"/>
      <c r="AC123" s="10">
        <f t="shared" si="27"/>
        <v>0</v>
      </c>
      <c r="AD123" s="8">
        <f>IFERROR(AC123/AC445,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116123.28000000001</v>
      </c>
      <c r="C124" s="15">
        <f>IFERROR(B124/B445,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125424.61</v>
      </c>
      <c r="F124" s="15">
        <f>IFERROR(E124/E445, "NA")</f>
        <v>1</v>
      </c>
      <c r="G124" s="2"/>
      <c r="H124" s="14">
        <f t="shared" si="24"/>
        <v>-9301.3299999999872</v>
      </c>
      <c r="I124" s="15">
        <f>IFERROR(H124/H445, "NA")</f>
        <v>0.99999999999999845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115015.7</v>
      </c>
      <c r="L124" s="15">
        <f>IFERROR(K124/K445, "NA")</f>
        <v>1</v>
      </c>
      <c r="M124" s="2"/>
      <c r="N124" s="14">
        <f t="shared" si="25"/>
        <v>1107.5800000000163</v>
      </c>
      <c r="O124" s="15">
        <f>IFERROR(N124/N445, "NA")</f>
        <v>1.0000000000000131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527751.01</v>
      </c>
      <c r="R124" s="15">
        <f>IFERROR(Q124/Q445,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594626.22000000009</v>
      </c>
      <c r="U124" s="15">
        <f>IFERROR(T124/T445, "NA")</f>
        <v>1.0000000000000002</v>
      </c>
      <c r="V124" s="2"/>
      <c r="W124" s="14">
        <f t="shared" si="26"/>
        <v>-66875.210000000079</v>
      </c>
      <c r="X124" s="15">
        <f>IFERROR(W124/W445, "NA")</f>
        <v>1.0000000000000018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555767.33000000007</v>
      </c>
      <c r="AA124" s="15">
        <f>IFERROR(Z124/Z445, "NA")</f>
        <v>1.0000000000000002</v>
      </c>
      <c r="AB124" s="2"/>
      <c r="AC124" s="14">
        <f t="shared" si="27"/>
        <v>-28016.320000000065</v>
      </c>
      <c r="AD124" s="15">
        <f>IFERROR(AC124/AC445, "NA")</f>
        <v>1.0000000000000042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IFERROR(B127/B445, "NA")</f>
        <v>0</v>
      </c>
      <c r="D127" s="9"/>
      <c r="E127" s="7">
        <v>0</v>
      </c>
      <c r="F127" s="8">
        <f>IFERROR(E127/E445, "NA")</f>
        <v>0</v>
      </c>
      <c r="G127" s="9"/>
      <c r="H127" s="10">
        <f>IFERROR(-(B127-E127), "NA")</f>
        <v>0</v>
      </c>
      <c r="I127" s="8">
        <f>IFERROR(H127/H445, "NA")</f>
        <v>0</v>
      </c>
      <c r="J127" s="9"/>
      <c r="K127" s="7">
        <v>0</v>
      </c>
      <c r="L127" s="8">
        <f>IFERROR(K127/K445, "NA")</f>
        <v>0</v>
      </c>
      <c r="M127" s="9"/>
      <c r="N127" s="10">
        <f>IFERROR(-(B127-K127), "NA")</f>
        <v>0</v>
      </c>
      <c r="O127" s="8">
        <f>IFERROR(N127/N445, "NA")</f>
        <v>0</v>
      </c>
      <c r="P127" s="9"/>
      <c r="Q127" s="7">
        <v>0</v>
      </c>
      <c r="R127" s="8">
        <f>IFERROR(Q127/Q445, "NA")</f>
        <v>0</v>
      </c>
      <c r="S127" s="9"/>
      <c r="T127" s="7">
        <v>0</v>
      </c>
      <c r="U127" s="8">
        <f>IFERROR(T127/T445, "NA")</f>
        <v>0</v>
      </c>
      <c r="V127" s="9"/>
      <c r="W127" s="10">
        <f>IFERROR(-(Q127-T127), "NA")</f>
        <v>0</v>
      </c>
      <c r="X127" s="8">
        <f>IFERROR(W127/W445, "NA")</f>
        <v>0</v>
      </c>
      <c r="Y127" s="9"/>
      <c r="Z127" s="7">
        <v>0</v>
      </c>
      <c r="AA127" s="8">
        <f>IFERROR(Z127/Z445, "NA")</f>
        <v>0</v>
      </c>
      <c r="AB127" s="9"/>
      <c r="AC127" s="10">
        <f>IFERROR(-(Q127-Z127), "NA")</f>
        <v>0</v>
      </c>
      <c r="AD127" s="8">
        <f>IFERROR(AC127/AC445,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IFERROR(B129/B445, "NA")</f>
        <v>0</v>
      </c>
      <c r="D129" s="9"/>
      <c r="E129" s="7">
        <v>26966.29</v>
      </c>
      <c r="F129" s="8">
        <f>IFERROR(E129/E445, "NA")</f>
        <v>0.21499999083114552</v>
      </c>
      <c r="G129" s="9"/>
      <c r="H129" s="10">
        <f t="shared" ref="H129:H141" si="28">IFERROR(-(B129-E129), "NA")</f>
        <v>26966.29</v>
      </c>
      <c r="I129" s="8">
        <f>IFERROR(H129/H445, "NA")</f>
        <v>-2.899186460430927</v>
      </c>
      <c r="J129" s="9"/>
      <c r="K129" s="7">
        <v>0</v>
      </c>
      <c r="L129" s="8">
        <f>IFERROR(K129/K445, "NA")</f>
        <v>0</v>
      </c>
      <c r="M129" s="9"/>
      <c r="N129" s="10">
        <f t="shared" ref="N129:N141" si="29">IFERROR(-(B129-K129), "NA")</f>
        <v>0</v>
      </c>
      <c r="O129" s="8">
        <f>IFERROR(N129/N445, "NA")</f>
        <v>0</v>
      </c>
      <c r="P129" s="9"/>
      <c r="Q129" s="7">
        <v>0</v>
      </c>
      <c r="R129" s="8">
        <f>IFERROR(Q129/Q445, "NA")</f>
        <v>0</v>
      </c>
      <c r="S129" s="9"/>
      <c r="T129" s="7">
        <v>129301.35</v>
      </c>
      <c r="U129" s="8">
        <f>IFERROR(T129/T445, "NA")</f>
        <v>0.21744979560437144</v>
      </c>
      <c r="V129" s="9"/>
      <c r="W129" s="10">
        <f t="shared" ref="W129:W141" si="30">IFERROR(-(Q129-T129), "NA")</f>
        <v>129301.35</v>
      </c>
      <c r="X129" s="8">
        <f>IFERROR(W129/W445, "NA")</f>
        <v>-1.9334720593774595</v>
      </c>
      <c r="Y129" s="9"/>
      <c r="Z129" s="7">
        <v>0</v>
      </c>
      <c r="AA129" s="8">
        <f>IFERROR(Z129/Z445, "NA")</f>
        <v>0</v>
      </c>
      <c r="AB129" s="9"/>
      <c r="AC129" s="10">
        <f t="shared" ref="AC129:AC141" si="31">IFERROR(-(Q129-Z129), "NA")</f>
        <v>0</v>
      </c>
      <c r="AD129" s="8">
        <f>IFERROR(AC129/AC445, "NA")</f>
        <v>0</v>
      </c>
    </row>
    <row r="130" spans="1:30" ht="16.5" customHeight="1" x14ac:dyDescent="0.45">
      <c r="A130" s="12" t="s">
        <v>122</v>
      </c>
      <c r="B130" s="7">
        <v>5985.26</v>
      </c>
      <c r="C130" s="8">
        <f>IFERROR(B130/B445, "NA")</f>
        <v>5.1542291950416833E-2</v>
      </c>
      <c r="D130" s="9"/>
      <c r="E130" s="7">
        <v>0</v>
      </c>
      <c r="F130" s="8">
        <f>IFERROR(E130/E445, "NA")</f>
        <v>0</v>
      </c>
      <c r="G130" s="9"/>
      <c r="H130" s="10">
        <f t="shared" si="28"/>
        <v>-5985.26</v>
      </c>
      <c r="I130" s="8">
        <f>IFERROR(H130/H445, "NA")</f>
        <v>0.64348431890923119</v>
      </c>
      <c r="J130" s="9"/>
      <c r="K130" s="7">
        <v>6521.75</v>
      </c>
      <c r="L130" s="8">
        <f>IFERROR(K130/K445, "NA")</f>
        <v>5.670312835552016E-2</v>
      </c>
      <c r="M130" s="9"/>
      <c r="N130" s="10">
        <f t="shared" si="29"/>
        <v>536.48999999999978</v>
      </c>
      <c r="O130" s="8">
        <f>IFERROR(N130/N445, "NA")</f>
        <v>0.48438036078657881</v>
      </c>
      <c r="P130" s="9"/>
      <c r="Q130" s="7">
        <v>27580.07</v>
      </c>
      <c r="R130" s="8">
        <f>IFERROR(Q130/Q445, "NA")</f>
        <v>5.2259625235013762E-2</v>
      </c>
      <c r="S130" s="9"/>
      <c r="T130" s="7">
        <v>0</v>
      </c>
      <c r="U130" s="8">
        <f>IFERROR(T130/T445, "NA")</f>
        <v>0</v>
      </c>
      <c r="V130" s="9"/>
      <c r="W130" s="10">
        <f t="shared" si="30"/>
        <v>-27580.07</v>
      </c>
      <c r="X130" s="8">
        <f>IFERROR(W130/W445, "NA")</f>
        <v>0.41241096663472182</v>
      </c>
      <c r="Y130" s="9"/>
      <c r="Z130" s="7">
        <v>33912.51</v>
      </c>
      <c r="AA130" s="8">
        <f>IFERROR(Z130/Z445, "NA")</f>
        <v>6.1019257825032654E-2</v>
      </c>
      <c r="AB130" s="9"/>
      <c r="AC130" s="10">
        <f t="shared" si="31"/>
        <v>6332.4400000000023</v>
      </c>
      <c r="AD130" s="8">
        <f>IFERROR(AC130/AC445, "NA")</f>
        <v>-0.22602683007618465</v>
      </c>
    </row>
    <row r="131" spans="1:30" ht="16.5" customHeight="1" x14ac:dyDescent="0.45">
      <c r="A131" s="12" t="s">
        <v>123</v>
      </c>
      <c r="B131" s="7">
        <v>2891.42</v>
      </c>
      <c r="C131" s="8">
        <f>IFERROR(B131/B445, "NA")</f>
        <v>2.4899572247700893E-2</v>
      </c>
      <c r="D131" s="9"/>
      <c r="E131" s="7">
        <v>0</v>
      </c>
      <c r="F131" s="8">
        <f>IFERROR(E131/E445, "NA")</f>
        <v>0</v>
      </c>
      <c r="G131" s="9"/>
      <c r="H131" s="10">
        <f t="shared" si="28"/>
        <v>-2891.42</v>
      </c>
      <c r="I131" s="8">
        <f>IFERROR(H131/H445, "NA")</f>
        <v>0.31086091988995118</v>
      </c>
      <c r="J131" s="9"/>
      <c r="K131" s="7">
        <v>3812.14</v>
      </c>
      <c r="L131" s="8">
        <f>IFERROR(K131/K445, "NA")</f>
        <v>3.314451853094838E-2</v>
      </c>
      <c r="M131" s="9"/>
      <c r="N131" s="10">
        <f t="shared" si="29"/>
        <v>920.7199999999998</v>
      </c>
      <c r="O131" s="8">
        <f>IFERROR(N131/N445, "NA")</f>
        <v>0.83128983910868592</v>
      </c>
      <c r="P131" s="9"/>
      <c r="Q131" s="7">
        <v>14560.11</v>
      </c>
      <c r="R131" s="8">
        <f>IFERROR(Q131/Q445, "NA")</f>
        <v>2.7588976096890844E-2</v>
      </c>
      <c r="S131" s="9"/>
      <c r="T131" s="7">
        <v>0</v>
      </c>
      <c r="U131" s="8">
        <f>IFERROR(T131/T445, "NA")</f>
        <v>0</v>
      </c>
      <c r="V131" s="9"/>
      <c r="W131" s="10">
        <f t="shared" si="30"/>
        <v>-14560.11</v>
      </c>
      <c r="X131" s="8">
        <f>IFERROR(W131/W445, "NA")</f>
        <v>0.21772058734469782</v>
      </c>
      <c r="Y131" s="9"/>
      <c r="Z131" s="7">
        <v>18426.060000000001</v>
      </c>
      <c r="AA131" s="8">
        <f>IFERROR(Z131/Z445, "NA")</f>
        <v>3.3154269791281187E-2</v>
      </c>
      <c r="AB131" s="9"/>
      <c r="AC131" s="10">
        <f t="shared" si="31"/>
        <v>3865.9500000000007</v>
      </c>
      <c r="AD131" s="8">
        <f>IFERROR(AC131/AC445, "NA")</f>
        <v>-0.13798921485762611</v>
      </c>
    </row>
    <row r="132" spans="1:30" ht="16.5" customHeight="1" x14ac:dyDescent="0.45">
      <c r="A132" s="12" t="s">
        <v>124</v>
      </c>
      <c r="B132" s="7">
        <v>4937.8100000000004</v>
      </c>
      <c r="C132" s="8">
        <f>IFERROR(B132/B445, "NA")</f>
        <v>4.2522136818732646E-2</v>
      </c>
      <c r="D132" s="9"/>
      <c r="E132" s="7">
        <v>0</v>
      </c>
      <c r="F132" s="8">
        <f>IFERROR(E132/E445, "NA")</f>
        <v>0</v>
      </c>
      <c r="G132" s="9"/>
      <c r="H132" s="10">
        <f t="shared" si="28"/>
        <v>-4937.8100000000004</v>
      </c>
      <c r="I132" s="8">
        <f>IFERROR(H132/H445, "NA")</f>
        <v>0.53087139151067642</v>
      </c>
      <c r="J132" s="9"/>
      <c r="K132" s="7">
        <v>6116.91</v>
      </c>
      <c r="L132" s="8">
        <f>IFERROR(K132/K445, "NA")</f>
        <v>5.3183261067836829E-2</v>
      </c>
      <c r="M132" s="9"/>
      <c r="N132" s="10">
        <f t="shared" si="29"/>
        <v>1179.0999999999995</v>
      </c>
      <c r="O132" s="8">
        <f>IFERROR(N132/N445, "NA")</f>
        <v>1.0645732136730508</v>
      </c>
      <c r="P132" s="9"/>
      <c r="Q132" s="7">
        <v>20368.97</v>
      </c>
      <c r="R132" s="8">
        <f>IFERROR(Q132/Q445, "NA")</f>
        <v>3.8595795392224831E-2</v>
      </c>
      <c r="S132" s="9"/>
      <c r="T132" s="7">
        <v>0</v>
      </c>
      <c r="U132" s="8">
        <f>IFERROR(T132/T445, "NA")</f>
        <v>0</v>
      </c>
      <c r="V132" s="9"/>
      <c r="W132" s="10">
        <f t="shared" si="30"/>
        <v>-20368.97</v>
      </c>
      <c r="X132" s="8">
        <f>IFERROR(W132/W445, "NA")</f>
        <v>0.3045817725282659</v>
      </c>
      <c r="Y132" s="9"/>
      <c r="Z132" s="7">
        <v>22857.73</v>
      </c>
      <c r="AA132" s="8">
        <f>IFERROR(Z132/Z445, "NA")</f>
        <v>4.1128236163144032E-2</v>
      </c>
      <c r="AB132" s="9"/>
      <c r="AC132" s="10">
        <f t="shared" si="31"/>
        <v>2488.7599999999984</v>
      </c>
      <c r="AD132" s="8">
        <f>IFERROR(AC132/AC445, "NA")</f>
        <v>-8.8832509051867015E-2</v>
      </c>
    </row>
    <row r="133" spans="1:30" ht="16.5" customHeight="1" x14ac:dyDescent="0.45">
      <c r="A133" s="12" t="s">
        <v>125</v>
      </c>
      <c r="B133" s="7">
        <v>2549.4899999999998</v>
      </c>
      <c r="C133" s="8">
        <f>IFERROR(B133/B445, "NA")</f>
        <v>2.1955029172445007E-2</v>
      </c>
      <c r="D133" s="9"/>
      <c r="E133" s="7">
        <v>0</v>
      </c>
      <c r="F133" s="8">
        <f>IFERROR(E133/E445, "NA")</f>
        <v>0</v>
      </c>
      <c r="G133" s="9"/>
      <c r="H133" s="10">
        <f t="shared" si="28"/>
        <v>-2549.4899999999998</v>
      </c>
      <c r="I133" s="8">
        <f>IFERROR(H133/H445, "NA")</f>
        <v>0.27409951050011122</v>
      </c>
      <c r="J133" s="9"/>
      <c r="K133" s="7">
        <v>2967.32</v>
      </c>
      <c r="L133" s="8">
        <f>IFERROR(K133/K445, "NA")</f>
        <v>2.5799260448790905E-2</v>
      </c>
      <c r="M133" s="9"/>
      <c r="N133" s="10">
        <f t="shared" si="29"/>
        <v>417.83000000000038</v>
      </c>
      <c r="O133" s="8">
        <f>IFERROR(N133/N445, "NA")</f>
        <v>0.37724588743025311</v>
      </c>
      <c r="P133" s="9"/>
      <c r="Q133" s="7">
        <v>12653.35</v>
      </c>
      <c r="R133" s="8">
        <f>IFERROR(Q133/Q445, "NA")</f>
        <v>2.3975984432507293E-2</v>
      </c>
      <c r="S133" s="9"/>
      <c r="T133" s="7">
        <v>0</v>
      </c>
      <c r="U133" s="8">
        <f>IFERROR(T133/T445, "NA")</f>
        <v>0</v>
      </c>
      <c r="V133" s="9"/>
      <c r="W133" s="10">
        <f t="shared" si="30"/>
        <v>-12653.35</v>
      </c>
      <c r="X133" s="8">
        <f>IFERROR(W133/W445, "NA")</f>
        <v>0.18920837781294456</v>
      </c>
      <c r="Y133" s="9"/>
      <c r="Z133" s="7">
        <v>14235.56</v>
      </c>
      <c r="AA133" s="8">
        <f>IFERROR(Z133/Z445, "NA")</f>
        <v>2.5614244003871189E-2</v>
      </c>
      <c r="AB133" s="9"/>
      <c r="AC133" s="10">
        <f t="shared" si="31"/>
        <v>1582.2099999999991</v>
      </c>
      <c r="AD133" s="8">
        <f>IFERROR(AC133/AC445, "NA")</f>
        <v>-5.6474583385683848E-2</v>
      </c>
    </row>
    <row r="134" spans="1:30" ht="16.5" customHeight="1" x14ac:dyDescent="0.45">
      <c r="A134" s="12" t="s">
        <v>126</v>
      </c>
      <c r="B134" s="7">
        <v>1565.35</v>
      </c>
      <c r="C134" s="8">
        <f>IFERROR(B134/B445, "NA")</f>
        <v>1.3480070490602744E-2</v>
      </c>
      <c r="D134" s="9"/>
      <c r="E134" s="7">
        <v>0</v>
      </c>
      <c r="F134" s="8">
        <f>IFERROR(E134/E445, "NA")</f>
        <v>0</v>
      </c>
      <c r="G134" s="9"/>
      <c r="H134" s="10">
        <f t="shared" si="28"/>
        <v>-1565.35</v>
      </c>
      <c r="I134" s="8">
        <f>IFERROR(H134/H445, "NA")</f>
        <v>0.16829313657294168</v>
      </c>
      <c r="J134" s="9"/>
      <c r="K134" s="7">
        <v>1061.1099999999999</v>
      </c>
      <c r="L134" s="8">
        <f>IFERROR(K134/K445, "NA")</f>
        <v>9.2257839581900546E-3</v>
      </c>
      <c r="M134" s="9"/>
      <c r="N134" s="10">
        <f t="shared" si="29"/>
        <v>-504.24</v>
      </c>
      <c r="O134" s="8">
        <f>IFERROR(N134/N445, "NA")</f>
        <v>-0.45526282525867134</v>
      </c>
      <c r="P134" s="9"/>
      <c r="Q134" s="7">
        <v>6736.27</v>
      </c>
      <c r="R134" s="8">
        <f>IFERROR(Q134/Q445, "NA")</f>
        <v>1.2764106315968965E-2</v>
      </c>
      <c r="S134" s="9"/>
      <c r="T134" s="7">
        <v>0</v>
      </c>
      <c r="U134" s="8">
        <f>IFERROR(T134/T445, "NA")</f>
        <v>0</v>
      </c>
      <c r="V134" s="9"/>
      <c r="W134" s="10">
        <f t="shared" si="30"/>
        <v>-6736.27</v>
      </c>
      <c r="X134" s="8">
        <f>IFERROR(W134/W445, "NA")</f>
        <v>0.10072895472029178</v>
      </c>
      <c r="Y134" s="9"/>
      <c r="Z134" s="7">
        <v>5351.55</v>
      </c>
      <c r="AA134" s="8">
        <f>IFERROR(Z134/Z445, "NA")</f>
        <v>9.6291194374451636E-3</v>
      </c>
      <c r="AB134" s="9"/>
      <c r="AC134" s="10">
        <f t="shared" si="31"/>
        <v>-1384.7200000000003</v>
      </c>
      <c r="AD134" s="8">
        <f>IFERROR(AC134/AC445, "NA")</f>
        <v>4.9425477721556678E-2</v>
      </c>
    </row>
    <row r="135" spans="1:30" ht="16.5" customHeight="1" x14ac:dyDescent="0.45">
      <c r="A135" s="12" t="s">
        <v>127</v>
      </c>
      <c r="B135" s="7">
        <v>893.48</v>
      </c>
      <c r="C135" s="8">
        <f>IFERROR(B135/B445, "NA")</f>
        <v>7.6942366767456102E-3</v>
      </c>
      <c r="D135" s="9"/>
      <c r="E135" s="7">
        <v>0</v>
      </c>
      <c r="F135" s="8">
        <f>IFERROR(E135/E445, "NA")</f>
        <v>0</v>
      </c>
      <c r="G135" s="9"/>
      <c r="H135" s="10">
        <f t="shared" si="28"/>
        <v>-893.48</v>
      </c>
      <c r="I135" s="8">
        <f>IFERROR(H135/H445, "NA")</f>
        <v>9.6059380755225313E-2</v>
      </c>
      <c r="J135" s="9"/>
      <c r="K135" s="7">
        <v>881.03</v>
      </c>
      <c r="L135" s="8">
        <f>IFERROR(K135/K445, "NA")</f>
        <v>7.6600846667020245E-3</v>
      </c>
      <c r="M135" s="9"/>
      <c r="N135" s="10">
        <f t="shared" si="29"/>
        <v>-12.450000000000045</v>
      </c>
      <c r="O135" s="8">
        <f>IFERROR(N135/N445, "NA")</f>
        <v>-1.1240723017750434E-2</v>
      </c>
      <c r="P135" s="9"/>
      <c r="Q135" s="7">
        <v>3886.53</v>
      </c>
      <c r="R135" s="8">
        <f>IFERROR(Q135/Q445, "NA")</f>
        <v>7.3643250820116862E-3</v>
      </c>
      <c r="S135" s="9"/>
      <c r="T135" s="7">
        <v>0</v>
      </c>
      <c r="U135" s="8">
        <f>IFERROR(T135/T445, "NA")</f>
        <v>0</v>
      </c>
      <c r="V135" s="9"/>
      <c r="W135" s="10">
        <f t="shared" si="30"/>
        <v>-3886.53</v>
      </c>
      <c r="X135" s="8">
        <f>IFERROR(W135/W445, "NA")</f>
        <v>5.8116153953011923E-2</v>
      </c>
      <c r="Y135" s="9"/>
      <c r="Z135" s="7">
        <v>4478.3100000000004</v>
      </c>
      <c r="AA135" s="8">
        <f>IFERROR(Z135/Z445, "NA")</f>
        <v>8.0578863820584788E-3</v>
      </c>
      <c r="AB135" s="9"/>
      <c r="AC135" s="10">
        <f t="shared" si="31"/>
        <v>591.7800000000002</v>
      </c>
      <c r="AD135" s="8">
        <f>IFERROR(AC135/AC445, "NA")</f>
        <v>-2.1122688490137223E-2</v>
      </c>
    </row>
    <row r="136" spans="1:30" ht="16.5" customHeight="1" x14ac:dyDescent="0.45">
      <c r="A136" s="12" t="s">
        <v>128</v>
      </c>
      <c r="B136" s="7">
        <v>0</v>
      </c>
      <c r="C136" s="8">
        <f>IFERROR(B136/B445, "NA")</f>
        <v>0</v>
      </c>
      <c r="D136" s="9"/>
      <c r="E136" s="7">
        <v>0</v>
      </c>
      <c r="F136" s="8">
        <f>IFERROR(E136/E445, "NA")</f>
        <v>0</v>
      </c>
      <c r="G136" s="9"/>
      <c r="H136" s="10">
        <f t="shared" si="28"/>
        <v>0</v>
      </c>
      <c r="I136" s="8">
        <f>IFERROR(H136/H445, "NA")</f>
        <v>0</v>
      </c>
      <c r="J136" s="9"/>
      <c r="K136" s="7">
        <v>796.56</v>
      </c>
      <c r="L136" s="8">
        <f>IFERROR(K136/K445, "NA")</f>
        <v>6.925663192068561E-3</v>
      </c>
      <c r="M136" s="9"/>
      <c r="N136" s="10">
        <f t="shared" si="29"/>
        <v>796.56</v>
      </c>
      <c r="O136" s="8">
        <f>IFERROR(N136/N445, "NA")</f>
        <v>0.7191895844995384</v>
      </c>
      <c r="P136" s="9"/>
      <c r="Q136" s="7">
        <v>0</v>
      </c>
      <c r="R136" s="8">
        <f>IFERROR(Q136/Q445, "NA")</f>
        <v>0</v>
      </c>
      <c r="S136" s="9"/>
      <c r="T136" s="7">
        <v>0</v>
      </c>
      <c r="U136" s="8">
        <f>IFERROR(T136/T445, "NA")</f>
        <v>0</v>
      </c>
      <c r="V136" s="9"/>
      <c r="W136" s="10">
        <f t="shared" si="30"/>
        <v>0</v>
      </c>
      <c r="X136" s="8">
        <f>IFERROR(W136/W445, "NA")</f>
        <v>0</v>
      </c>
      <c r="Y136" s="9"/>
      <c r="Z136" s="7">
        <v>5225.92</v>
      </c>
      <c r="AA136" s="8">
        <f>IFERROR(Z136/Z445, "NA")</f>
        <v>9.4030716055224055E-3</v>
      </c>
      <c r="AB136" s="9"/>
      <c r="AC136" s="10">
        <f t="shared" si="31"/>
        <v>5225.92</v>
      </c>
      <c r="AD136" s="8">
        <f>IFERROR(AC136/AC445, "NA")</f>
        <v>-0.18653127891172036</v>
      </c>
    </row>
    <row r="137" spans="1:30" ht="16.5" customHeight="1" x14ac:dyDescent="0.45">
      <c r="A137" s="12" t="s">
        <v>129</v>
      </c>
      <c r="B137" s="7">
        <v>524.24</v>
      </c>
      <c r="C137" s="8">
        <f>IFERROR(B137/B445, "NA")</f>
        <v>4.5145125077417723E-3</v>
      </c>
      <c r="D137" s="9"/>
      <c r="E137" s="7">
        <v>0</v>
      </c>
      <c r="F137" s="8">
        <f>IFERROR(E137/E445, "NA")</f>
        <v>0</v>
      </c>
      <c r="G137" s="9"/>
      <c r="H137" s="10">
        <f t="shared" si="28"/>
        <v>-524.24</v>
      </c>
      <c r="I137" s="8">
        <f>IFERROR(H137/H445, "NA")</f>
        <v>5.6361832125083181E-2</v>
      </c>
      <c r="J137" s="9"/>
      <c r="K137" s="7">
        <v>639.14</v>
      </c>
      <c r="L137" s="8">
        <f>IFERROR(K137/K445, "NA")</f>
        <v>5.5569804817950938E-3</v>
      </c>
      <c r="M137" s="9"/>
      <c r="N137" s="10">
        <f t="shared" si="29"/>
        <v>114.89999999999998</v>
      </c>
      <c r="O137" s="8">
        <f>IFERROR(N137/N445, "NA")</f>
        <v>0.10373968471803373</v>
      </c>
      <c r="P137" s="9"/>
      <c r="Q137" s="7">
        <v>2615.9699999999998</v>
      </c>
      <c r="R137" s="8">
        <f>IFERROR(Q137/Q445, "NA")</f>
        <v>4.9568261366283312E-3</v>
      </c>
      <c r="S137" s="9"/>
      <c r="T137" s="7">
        <v>0</v>
      </c>
      <c r="U137" s="8">
        <f>IFERROR(T137/T445, "NA")</f>
        <v>0</v>
      </c>
      <c r="V137" s="9"/>
      <c r="W137" s="10">
        <f t="shared" si="30"/>
        <v>-2615.9699999999998</v>
      </c>
      <c r="X137" s="8">
        <f>IFERROR(W137/W445, "NA")</f>
        <v>3.9117185575940641E-2</v>
      </c>
      <c r="Y137" s="9"/>
      <c r="Z137" s="7">
        <v>2948.43</v>
      </c>
      <c r="AA137" s="8">
        <f>IFERROR(Z137/Z445, "NA")</f>
        <v>5.3051517079998212E-3</v>
      </c>
      <c r="AB137" s="9"/>
      <c r="AC137" s="10">
        <f t="shared" si="31"/>
        <v>332.46000000000004</v>
      </c>
      <c r="AD137" s="8">
        <f>IFERROR(AC137/AC445, "NA")</f>
        <v>-1.1866654864022136E-2</v>
      </c>
    </row>
    <row r="138" spans="1:30" ht="16.5" customHeight="1" x14ac:dyDescent="0.45">
      <c r="A138" s="12" t="s">
        <v>130</v>
      </c>
      <c r="B138" s="7">
        <v>7607.06</v>
      </c>
      <c r="C138" s="8">
        <f>IFERROR(B138/B445, "NA")</f>
        <v>6.5508483742450274E-2</v>
      </c>
      <c r="D138" s="9"/>
      <c r="E138" s="7">
        <v>0</v>
      </c>
      <c r="F138" s="8">
        <f>IFERROR(E138/E445, "NA")</f>
        <v>0</v>
      </c>
      <c r="G138" s="9"/>
      <c r="H138" s="10">
        <f t="shared" si="28"/>
        <v>-7607.06</v>
      </c>
      <c r="I138" s="8">
        <f>IFERROR(H138/H445, "NA")</f>
        <v>0.81784648001952398</v>
      </c>
      <c r="J138" s="9"/>
      <c r="K138" s="7">
        <v>8955.2000000000007</v>
      </c>
      <c r="L138" s="8">
        <f>IFERROR(K138/K445, "NA")</f>
        <v>7.786067467310985E-2</v>
      </c>
      <c r="M138" s="9"/>
      <c r="N138" s="10">
        <f t="shared" si="29"/>
        <v>1348.1400000000003</v>
      </c>
      <c r="O138" s="8">
        <f>IFERROR(N138/N445, "NA")</f>
        <v>1.2171942433052223</v>
      </c>
      <c r="P138" s="9"/>
      <c r="Q138" s="7">
        <v>37589.21</v>
      </c>
      <c r="R138" s="8">
        <f>IFERROR(Q138/Q445, "NA")</f>
        <v>7.1225273448552937E-2</v>
      </c>
      <c r="S138" s="9"/>
      <c r="T138" s="7">
        <v>0</v>
      </c>
      <c r="U138" s="8">
        <f>IFERROR(T138/T445, "NA")</f>
        <v>0</v>
      </c>
      <c r="V138" s="9"/>
      <c r="W138" s="10">
        <f t="shared" si="30"/>
        <v>-37589.21</v>
      </c>
      <c r="X138" s="8">
        <f>IFERROR(W138/W445, "NA")</f>
        <v>0.56207987982392904</v>
      </c>
      <c r="Y138" s="9"/>
      <c r="Z138" s="7">
        <v>36295.370000000003</v>
      </c>
      <c r="AA138" s="8">
        <f>IFERROR(Z138/Z445, "NA")</f>
        <v>6.5306771450563683E-2</v>
      </c>
      <c r="AB138" s="9"/>
      <c r="AC138" s="10">
        <f t="shared" si="31"/>
        <v>-1293.8399999999965</v>
      </c>
      <c r="AD138" s="8">
        <f>IFERROR(AC138/AC445, "NA")</f>
        <v>4.6181654121597658E-2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IFERROR(B139/B445, "NA")</f>
        <v>0</v>
      </c>
      <c r="D139" s="9"/>
      <c r="E139" s="7">
        <v>0</v>
      </c>
      <c r="F139" s="8">
        <f>IFERROR(E139/E445, "NA")</f>
        <v>0</v>
      </c>
      <c r="G139" s="9"/>
      <c r="H139" s="10">
        <f t="shared" si="28"/>
        <v>0</v>
      </c>
      <c r="I139" s="8">
        <f>IFERROR(H139/H445, "NA")</f>
        <v>0</v>
      </c>
      <c r="J139" s="9"/>
      <c r="K139" s="7">
        <v>0</v>
      </c>
      <c r="L139" s="8">
        <f>IFERROR(K139/K445, "NA")</f>
        <v>0</v>
      </c>
      <c r="M139" s="9"/>
      <c r="N139" s="10">
        <f t="shared" si="29"/>
        <v>0</v>
      </c>
      <c r="O139" s="8">
        <f>IFERROR(N139/N445, "NA")</f>
        <v>0</v>
      </c>
      <c r="P139" s="9"/>
      <c r="Q139" s="7">
        <v>0</v>
      </c>
      <c r="R139" s="8">
        <f>IFERROR(Q139/Q445, "NA")</f>
        <v>0</v>
      </c>
      <c r="S139" s="9"/>
      <c r="T139" s="7">
        <v>0</v>
      </c>
      <c r="U139" s="8">
        <f>IFERROR(T139/T445, "NA")</f>
        <v>0</v>
      </c>
      <c r="V139" s="9"/>
      <c r="W139" s="10">
        <f t="shared" si="30"/>
        <v>0</v>
      </c>
      <c r="X139" s="8">
        <f>IFERROR(W139/W445, "NA")</f>
        <v>0</v>
      </c>
      <c r="Y139" s="9"/>
      <c r="Z139" s="7">
        <v>0</v>
      </c>
      <c r="AA139" s="8">
        <f>IFERROR(Z139/Z445, "NA")</f>
        <v>0</v>
      </c>
      <c r="AB139" s="9"/>
      <c r="AC139" s="10">
        <f t="shared" si="31"/>
        <v>0</v>
      </c>
      <c r="AD139" s="8">
        <f>IFERROR(AC139/AC445,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IFERROR(B140/B445, "NA")</f>
        <v>0</v>
      </c>
      <c r="D140" s="9"/>
      <c r="E140" s="7">
        <v>0</v>
      </c>
      <c r="F140" s="8">
        <f>IFERROR(E140/E445, "NA")</f>
        <v>0</v>
      </c>
      <c r="G140" s="9"/>
      <c r="H140" s="10">
        <f t="shared" si="28"/>
        <v>0</v>
      </c>
      <c r="I140" s="8">
        <f>IFERROR(H140/H445, "NA")</f>
        <v>0</v>
      </c>
      <c r="J140" s="9"/>
      <c r="K140" s="7">
        <v>0</v>
      </c>
      <c r="L140" s="8">
        <f>IFERROR(K140/K445, "NA")</f>
        <v>0</v>
      </c>
      <c r="M140" s="9"/>
      <c r="N140" s="10">
        <f t="shared" si="29"/>
        <v>0</v>
      </c>
      <c r="O140" s="8">
        <f>IFERROR(N140/N445, "NA")</f>
        <v>0</v>
      </c>
      <c r="P140" s="9"/>
      <c r="Q140" s="7">
        <v>0</v>
      </c>
      <c r="R140" s="8">
        <f>IFERROR(Q140/Q445, "NA")</f>
        <v>0</v>
      </c>
      <c r="S140" s="9"/>
      <c r="T140" s="7">
        <v>0</v>
      </c>
      <c r="U140" s="8">
        <f>IFERROR(T140/T445, "NA")</f>
        <v>0</v>
      </c>
      <c r="V140" s="9"/>
      <c r="W140" s="10">
        <f t="shared" si="30"/>
        <v>0</v>
      </c>
      <c r="X140" s="8">
        <f>IFERROR(W140/W445, "NA")</f>
        <v>0</v>
      </c>
      <c r="Y140" s="9"/>
      <c r="Z140" s="7">
        <v>0</v>
      </c>
      <c r="AA140" s="8">
        <f>IFERROR(Z140/Z445, "NA")</f>
        <v>0</v>
      </c>
      <c r="AB140" s="9"/>
      <c r="AC140" s="10">
        <f t="shared" si="31"/>
        <v>0</v>
      </c>
      <c r="AD140" s="8">
        <f>IFERROR(AC140/AC445,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26954.110000000004</v>
      </c>
      <c r="C141" s="15">
        <f>IFERROR(B141/B445, "NA")</f>
        <v>0.23211633360683581</v>
      </c>
      <c r="D141" s="2"/>
      <c r="E141" s="14">
        <f>IFERROR(E129+E130+E131+E132+E133+E134+E135+E136+E137+E138+E139+E140, "NA")</f>
        <v>26966.29</v>
      </c>
      <c r="F141" s="15">
        <f>IFERROR(E141/E445, "NA")</f>
        <v>0.21499999083114552</v>
      </c>
      <c r="G141" s="2"/>
      <c r="H141" s="14">
        <f t="shared" si="28"/>
        <v>12.179999999996653</v>
      </c>
      <c r="I141" s="15">
        <f>IFERROR(H141/H445, "NA")</f>
        <v>-1.3094901481827492E-3</v>
      </c>
      <c r="J141" s="2"/>
      <c r="K141" s="14">
        <f>IFERROR(K129+K130+K131+K132+K133+K134+K135+K136+K137+K138+K139+K140, "NA")</f>
        <v>31751.16</v>
      </c>
      <c r="L141" s="15">
        <f>IFERROR(K141/K445, "NA")</f>
        <v>0.27605935537496185</v>
      </c>
      <c r="M141" s="2"/>
      <c r="N141" s="14">
        <f t="shared" si="29"/>
        <v>4797.0499999999956</v>
      </c>
      <c r="O141" s="15">
        <f>IFERROR(N141/N445, "NA")</f>
        <v>4.3311092652449377</v>
      </c>
      <c r="P141" s="2"/>
      <c r="Q141" s="14">
        <f>IFERROR(Q129+Q130+Q131+Q132+Q133+Q134+Q135+Q136+Q137+Q138+Q139+Q140, "NA")</f>
        <v>125990.48000000001</v>
      </c>
      <c r="R141" s="15">
        <f>IFERROR(Q141/Q445, "NA")</f>
        <v>0.23873091213979866</v>
      </c>
      <c r="S141" s="2"/>
      <c r="T141" s="14">
        <f>IFERROR(T129+T130+T131+T132+T133+T134+T135+T136+T137+T138+T139+T140, "NA")</f>
        <v>129301.35</v>
      </c>
      <c r="U141" s="15">
        <f>IFERROR(T141/T445, "NA")</f>
        <v>0.21744979560437144</v>
      </c>
      <c r="V141" s="2"/>
      <c r="W141" s="14">
        <f t="shared" si="30"/>
        <v>3310.8699999999953</v>
      </c>
      <c r="X141" s="15">
        <f>IFERROR(W141/W445, "NA")</f>
        <v>-4.9508180983655933E-2</v>
      </c>
      <c r="Y141" s="2"/>
      <c r="Z141" s="14">
        <f>IFERROR(Z129+Z130+Z131+Z132+Z133+Z134+Z135+Z136+Z137+Z138+Z139+Z140, "NA")</f>
        <v>143731.44</v>
      </c>
      <c r="AA141" s="15">
        <f>IFERROR(Z141/Z445, "NA")</f>
        <v>0.25861800836691862</v>
      </c>
      <c r="AB141" s="2"/>
      <c r="AC141" s="14">
        <f t="shared" si="31"/>
        <v>17740.959999999992</v>
      </c>
      <c r="AD141" s="15">
        <f>IFERROR(AC141/AC445, "NA")</f>
        <v>-0.63323662779408663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IFERROR(B143/B445, "NA")</f>
        <v>0</v>
      </c>
      <c r="D143" s="9"/>
      <c r="E143" s="7">
        <v>1379.67</v>
      </c>
      <c r="F143" s="8">
        <f>IFERROR(E143/E445, "NA")</f>
        <v>1.099999433922896E-2</v>
      </c>
      <c r="G143" s="9"/>
      <c r="H143" s="10">
        <f t="shared" ref="H143:H149" si="32">IFERROR(-(B143-E143), "NA")</f>
        <v>1379.67</v>
      </c>
      <c r="I143" s="8">
        <f>IFERROR(H143/H445, "NA")</f>
        <v>-0.14833040006106651</v>
      </c>
      <c r="J143" s="9"/>
      <c r="K143" s="7">
        <v>0</v>
      </c>
      <c r="L143" s="8">
        <f>IFERROR(K143/K445, "NA")</f>
        <v>0</v>
      </c>
      <c r="M143" s="9"/>
      <c r="N143" s="10">
        <f t="shared" ref="N143:N149" si="33">IFERROR(-(B143-K143), "NA")</f>
        <v>0</v>
      </c>
      <c r="O143" s="8">
        <f>IFERROR(N143/N445, "NA")</f>
        <v>0</v>
      </c>
      <c r="P143" s="9"/>
      <c r="Q143" s="7">
        <v>0</v>
      </c>
      <c r="R143" s="8">
        <f>IFERROR(Q143/Q445, "NA")</f>
        <v>0</v>
      </c>
      <c r="S143" s="9"/>
      <c r="T143" s="7">
        <v>6540.89</v>
      </c>
      <c r="U143" s="8">
        <f>IFERROR(T143/T445, "NA")</f>
        <v>1.10000026571314E-2</v>
      </c>
      <c r="V143" s="9"/>
      <c r="W143" s="10">
        <f t="shared" ref="W143:W149" si="34">IFERROR(-(Q143-T143), "NA")</f>
        <v>6540.89</v>
      </c>
      <c r="X143" s="8">
        <f>IFERROR(W143/W445, "NA")</f>
        <v>-9.7807393801081208E-2</v>
      </c>
      <c r="Y143" s="9"/>
      <c r="Z143" s="7">
        <v>0</v>
      </c>
      <c r="AA143" s="8">
        <f>IFERROR(Z143/Z445, "NA")</f>
        <v>0</v>
      </c>
      <c r="AB143" s="9"/>
      <c r="AC143" s="10">
        <f t="shared" ref="AC143:AC149" si="35">IFERROR(-(Q143-Z143), "NA")</f>
        <v>0</v>
      </c>
      <c r="AD143" s="8">
        <f>IFERROR(AC143/AC445, "NA")</f>
        <v>0</v>
      </c>
    </row>
    <row r="144" spans="1:30" ht="16.5" customHeight="1" x14ac:dyDescent="0.45">
      <c r="A144" s="12" t="s">
        <v>135</v>
      </c>
      <c r="B144" s="7">
        <v>1422.12</v>
      </c>
      <c r="C144" s="8">
        <f>IFERROR(B144/B445, "NA")</f>
        <v>1.22466399502322E-2</v>
      </c>
      <c r="D144" s="9"/>
      <c r="E144" s="7">
        <v>0</v>
      </c>
      <c r="F144" s="8">
        <f>IFERROR(E144/E445, "NA")</f>
        <v>0</v>
      </c>
      <c r="G144" s="9"/>
      <c r="H144" s="10">
        <f t="shared" si="32"/>
        <v>-1422.12</v>
      </c>
      <c r="I144" s="8">
        <f>IFERROR(H144/H445, "NA")</f>
        <v>0.15289426350855195</v>
      </c>
      <c r="J144" s="9"/>
      <c r="K144" s="7">
        <v>1804.84</v>
      </c>
      <c r="L144" s="8">
        <f>IFERROR(K144/K445, "NA")</f>
        <v>1.569211855424955E-2</v>
      </c>
      <c r="M144" s="9"/>
      <c r="N144" s="10">
        <f t="shared" si="33"/>
        <v>382.72</v>
      </c>
      <c r="O144" s="8">
        <f>IFERROR(N144/N445, "NA")</f>
        <v>0.34554614565087799</v>
      </c>
      <c r="P144" s="9"/>
      <c r="Q144" s="7">
        <v>6465.07</v>
      </c>
      <c r="R144" s="8">
        <f>IFERROR(Q144/Q445, "NA")</f>
        <v>1.2250227621544485E-2</v>
      </c>
      <c r="S144" s="9"/>
      <c r="T144" s="7">
        <v>0</v>
      </c>
      <c r="U144" s="8">
        <f>IFERROR(T144/T445, "NA")</f>
        <v>0</v>
      </c>
      <c r="V144" s="9"/>
      <c r="W144" s="10">
        <f t="shared" si="34"/>
        <v>-6465.07</v>
      </c>
      <c r="X144" s="8">
        <f>IFERROR(W144/W445, "NA")</f>
        <v>9.6673640351933154E-2</v>
      </c>
      <c r="Y144" s="9"/>
      <c r="Z144" s="7">
        <v>7943.56</v>
      </c>
      <c r="AA144" s="8">
        <f>IFERROR(Z144/Z445, "NA")</f>
        <v>1.4292959609554597E-2</v>
      </c>
      <c r="AB144" s="9"/>
      <c r="AC144" s="10">
        <f t="shared" si="35"/>
        <v>1478.4900000000007</v>
      </c>
      <c r="AD144" s="8">
        <f>IFERROR(AC144/AC445, "NA")</f>
        <v>-5.2772455483089981E-2</v>
      </c>
    </row>
    <row r="145" spans="1:30" ht="16.5" customHeight="1" x14ac:dyDescent="0.45">
      <c r="A145" s="12" t="s">
        <v>136</v>
      </c>
      <c r="B145" s="7">
        <v>40.06</v>
      </c>
      <c r="C145" s="8">
        <f>IFERROR(B145/B445, "NA")</f>
        <v>3.449781990312365E-4</v>
      </c>
      <c r="D145" s="9"/>
      <c r="E145" s="7">
        <v>0</v>
      </c>
      <c r="F145" s="8">
        <f>IFERROR(E145/E445, "NA")</f>
        <v>0</v>
      </c>
      <c r="G145" s="9"/>
      <c r="H145" s="10">
        <f t="shared" si="32"/>
        <v>-40.06</v>
      </c>
      <c r="I145" s="8">
        <f>IFERROR(H145/H445, "NA")</f>
        <v>4.3069109471441172E-3</v>
      </c>
      <c r="J145" s="9"/>
      <c r="K145" s="7">
        <v>71.73</v>
      </c>
      <c r="L145" s="8">
        <f>IFERROR(K145/K445, "NA")</f>
        <v>6.2365398810771062E-4</v>
      </c>
      <c r="M145" s="9"/>
      <c r="N145" s="10">
        <f t="shared" si="33"/>
        <v>31.67</v>
      </c>
      <c r="O145" s="8">
        <f>IFERROR(N145/N445, "NA")</f>
        <v>2.8593871323064655E-2</v>
      </c>
      <c r="P145" s="9"/>
      <c r="Q145" s="7">
        <v>231.06</v>
      </c>
      <c r="R145" s="8">
        <f>IFERROR(Q145/Q445, "NA")</f>
        <v>4.3782010005059016E-4</v>
      </c>
      <c r="S145" s="9"/>
      <c r="T145" s="7">
        <v>0</v>
      </c>
      <c r="U145" s="8">
        <f>IFERROR(T145/T445, "NA")</f>
        <v>0</v>
      </c>
      <c r="V145" s="9"/>
      <c r="W145" s="10">
        <f t="shared" si="34"/>
        <v>-231.06</v>
      </c>
      <c r="X145" s="8">
        <f>IFERROR(W145/W445, "NA")</f>
        <v>3.4550919541037721E-3</v>
      </c>
      <c r="Y145" s="9"/>
      <c r="Z145" s="7">
        <v>152.37</v>
      </c>
      <c r="AA145" s="8">
        <f>IFERROR(Z145/Z445, "NA")</f>
        <v>2.7416149128449131E-4</v>
      </c>
      <c r="AB145" s="9"/>
      <c r="AC145" s="10">
        <f t="shared" si="35"/>
        <v>-78.69</v>
      </c>
      <c r="AD145" s="8">
        <f>IFERROR(AC145/AC445, "NA")</f>
        <v>2.8087200603077113E-3</v>
      </c>
    </row>
    <row r="146" spans="1:30" ht="16.5" customHeight="1" x14ac:dyDescent="0.45">
      <c r="A146" s="12" t="s">
        <v>137</v>
      </c>
      <c r="B146" s="7">
        <v>0</v>
      </c>
      <c r="C146" s="8">
        <f>IFERROR(B146/B445, "NA")</f>
        <v>0</v>
      </c>
      <c r="D146" s="9"/>
      <c r="E146" s="7">
        <v>0</v>
      </c>
      <c r="F146" s="8">
        <f>IFERROR(E146/E445, "NA")</f>
        <v>0</v>
      </c>
      <c r="G146" s="9"/>
      <c r="H146" s="10">
        <f t="shared" si="32"/>
        <v>0</v>
      </c>
      <c r="I146" s="8">
        <f>IFERROR(H146/H445, "NA")</f>
        <v>0</v>
      </c>
      <c r="J146" s="9"/>
      <c r="K146" s="7">
        <v>127.38</v>
      </c>
      <c r="L146" s="8">
        <f>IFERROR(K146/K445, "NA")</f>
        <v>1.1075009759537176E-3</v>
      </c>
      <c r="M146" s="9"/>
      <c r="N146" s="10">
        <f t="shared" si="33"/>
        <v>127.38</v>
      </c>
      <c r="O146" s="8">
        <f>IFERROR(N146/N445, "NA")</f>
        <v>0.11500749381534499</v>
      </c>
      <c r="P146" s="9"/>
      <c r="Q146" s="7">
        <v>-118.29</v>
      </c>
      <c r="R146" s="8">
        <f>IFERROR(Q146/Q445, "NA")</f>
        <v>-2.2413978895085394E-4</v>
      </c>
      <c r="S146" s="9"/>
      <c r="T146" s="7">
        <v>0</v>
      </c>
      <c r="U146" s="8">
        <f>IFERROR(T146/T445, "NA")</f>
        <v>0</v>
      </c>
      <c r="V146" s="9"/>
      <c r="W146" s="10">
        <f t="shared" si="34"/>
        <v>118.29</v>
      </c>
      <c r="X146" s="8">
        <f>IFERROR(W146/W445, "NA")</f>
        <v>-1.7688168754909342E-3</v>
      </c>
      <c r="Y146" s="9"/>
      <c r="Z146" s="7">
        <v>635</v>
      </c>
      <c r="AA146" s="8">
        <f>IFERROR(Z146/Z445, "NA")</f>
        <v>1.1425644612827459E-3</v>
      </c>
      <c r="AB146" s="9"/>
      <c r="AC146" s="10">
        <f t="shared" si="35"/>
        <v>753.29</v>
      </c>
      <c r="AD146" s="8">
        <f>IFERROR(AC146/AC445, "NA")</f>
        <v>-2.6887542689403937E-2</v>
      </c>
    </row>
    <row r="147" spans="1:30" ht="16.5" customHeight="1" x14ac:dyDescent="0.45">
      <c r="A147" s="12" t="s">
        <v>138</v>
      </c>
      <c r="B147" s="7">
        <v>0</v>
      </c>
      <c r="C147" s="8">
        <f>IFERROR(B147/B445, "NA")</f>
        <v>0</v>
      </c>
      <c r="D147" s="9"/>
      <c r="E147" s="7">
        <v>0</v>
      </c>
      <c r="F147" s="8">
        <f>IFERROR(E147/E445, "NA")</f>
        <v>0</v>
      </c>
      <c r="G147" s="9"/>
      <c r="H147" s="10">
        <f t="shared" si="32"/>
        <v>0</v>
      </c>
      <c r="I147" s="8">
        <f>IFERROR(H147/H445, "NA")</f>
        <v>0</v>
      </c>
      <c r="J147" s="9"/>
      <c r="K147" s="7">
        <v>1.42</v>
      </c>
      <c r="L147" s="8">
        <f>IFERROR(K147/K445, "NA")</f>
        <v>1.2346140570374305E-5</v>
      </c>
      <c r="M147" s="9"/>
      <c r="N147" s="10">
        <f t="shared" si="33"/>
        <v>1.42</v>
      </c>
      <c r="O147" s="8">
        <f>IFERROR(N147/N445, "NA")</f>
        <v>1.2820744325466311E-3</v>
      </c>
      <c r="P147" s="9"/>
      <c r="Q147" s="7">
        <v>26.78</v>
      </c>
      <c r="R147" s="8">
        <f>IFERROR(Q147/Q445, "NA")</f>
        <v>5.0743626241473228E-5</v>
      </c>
      <c r="S147" s="9"/>
      <c r="T147" s="7">
        <v>0</v>
      </c>
      <c r="U147" s="8">
        <f>IFERROR(T147/T445, "NA")</f>
        <v>0</v>
      </c>
      <c r="V147" s="9"/>
      <c r="W147" s="10">
        <f t="shared" si="34"/>
        <v>-26.78</v>
      </c>
      <c r="X147" s="8">
        <f>IFERROR(W147/W445, "NA")</f>
        <v>4.0044734065134173E-4</v>
      </c>
      <c r="Y147" s="9"/>
      <c r="Z147" s="7">
        <v>62.46</v>
      </c>
      <c r="AA147" s="8">
        <f>IFERROR(Z147/Z445, "NA")</f>
        <v>1.1238515945152805E-4</v>
      </c>
      <c r="AB147" s="9"/>
      <c r="AC147" s="10">
        <f t="shared" si="35"/>
        <v>35.68</v>
      </c>
      <c r="AD147" s="8">
        <f>IFERROR(AC147/AC445, "NA")</f>
        <v>-1.273543420406394E-3</v>
      </c>
    </row>
    <row r="148" spans="1:30" ht="16.5" customHeight="1" x14ac:dyDescent="0.45">
      <c r="A148" s="13" t="s">
        <v>139</v>
      </c>
      <c r="B148" s="14">
        <f>IFERROR(B143+B144+B145+B146+B147, "NA")</f>
        <v>1462.1799999999998</v>
      </c>
      <c r="C148" s="15">
        <f>IFERROR(B148/B445, "NA")</f>
        <v>1.2591618149263437E-2</v>
      </c>
      <c r="D148" s="2"/>
      <c r="E148" s="14">
        <f>IFERROR(E143+E144+E145+E146+E147, "NA")</f>
        <v>1379.67</v>
      </c>
      <c r="F148" s="15">
        <f>IFERROR(E148/E445, "NA")</f>
        <v>1.099999433922896E-2</v>
      </c>
      <c r="G148" s="2"/>
      <c r="H148" s="14">
        <f t="shared" si="32"/>
        <v>-82.509999999999764</v>
      </c>
      <c r="I148" s="15">
        <f>IFERROR(H148/H445, "NA")</f>
        <v>8.8707743946295579E-3</v>
      </c>
      <c r="J148" s="2"/>
      <c r="K148" s="14">
        <f>IFERROR(K143+K144+K145+K146+K147, "NA")</f>
        <v>2005.37</v>
      </c>
      <c r="L148" s="15">
        <f>IFERROR(K148/K445, "NA")</f>
        <v>1.7435619658881352E-2</v>
      </c>
      <c r="M148" s="2"/>
      <c r="N148" s="14">
        <f t="shared" si="33"/>
        <v>543.19000000000005</v>
      </c>
      <c r="O148" s="15">
        <f>IFERROR(N148/N445, "NA")</f>
        <v>0.49042958522183427</v>
      </c>
      <c r="P148" s="2"/>
      <c r="Q148" s="14">
        <f>IFERROR(Q143+Q144+Q145+Q146+Q147, "NA")</f>
        <v>6604.62</v>
      </c>
      <c r="R148" s="15">
        <f>IFERROR(Q148/Q445, "NA")</f>
        <v>1.2514651558885695E-2</v>
      </c>
      <c r="S148" s="2"/>
      <c r="T148" s="14">
        <f>IFERROR(T143+T144+T145+T146+T147, "NA")</f>
        <v>6540.89</v>
      </c>
      <c r="U148" s="15">
        <f>IFERROR(T148/T445, "NA")</f>
        <v>1.10000026571314E-2</v>
      </c>
      <c r="V148" s="2"/>
      <c r="W148" s="14">
        <f t="shared" si="34"/>
        <v>-63.729999999999563</v>
      </c>
      <c r="X148" s="15">
        <f>IFERROR(W148/W445, "NA")</f>
        <v>9.5296897011612524E-4</v>
      </c>
      <c r="Y148" s="2"/>
      <c r="Z148" s="14">
        <f>IFERROR(Z143+Z144+Z145+Z146+Z147, "NA")</f>
        <v>8793.39</v>
      </c>
      <c r="AA148" s="15">
        <f>IFERROR(Z148/Z445, "NA")</f>
        <v>1.5822070721573361E-2</v>
      </c>
      <c r="AB148" s="2"/>
      <c r="AC148" s="14">
        <f t="shared" si="35"/>
        <v>2188.7699999999995</v>
      </c>
      <c r="AD148" s="15">
        <f>IFERROR(AC148/AC445, "NA")</f>
        <v>-7.8124821532592564E-2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28416.290000000005</v>
      </c>
      <c r="C149" s="15">
        <f>IFERROR(B149/B445, "NA")</f>
        <v>0.24470795175609925</v>
      </c>
      <c r="D149" s="2"/>
      <c r="E149" s="14">
        <f>IFERROR(E127+E129+E130+E131+E132+E133+E134+E135+E136+E137+E138+E139+E140+E143+E144+E145+E146+E147, "NA")</f>
        <v>28345.96</v>
      </c>
      <c r="F149" s="15">
        <f>IFERROR(E149/E445, "NA")</f>
        <v>0.22599998517037445</v>
      </c>
      <c r="G149" s="2"/>
      <c r="H149" s="14">
        <f t="shared" si="32"/>
        <v>-70.330000000005384</v>
      </c>
      <c r="I149" s="15">
        <f>IFERROR(H149/H445, "NA")</f>
        <v>7.5612842464470535E-3</v>
      </c>
      <c r="J149" s="2"/>
      <c r="K149" s="14">
        <f>IFERROR(K127+K129+K130+K131+K132+K133+K134+K135+K136+K137+K138+K139+K140+K143+K144+K145+K146+K147, "NA")</f>
        <v>33756.53</v>
      </c>
      <c r="L149" s="15">
        <f>IFERROR(K149/K445, "NA")</f>
        <v>0.2934949750338432</v>
      </c>
      <c r="M149" s="2"/>
      <c r="N149" s="14">
        <f t="shared" si="33"/>
        <v>5340.2399999999943</v>
      </c>
      <c r="O149" s="15">
        <f>IFERROR(N149/N445, "NA")</f>
        <v>4.8215388504667711</v>
      </c>
      <c r="P149" s="2"/>
      <c r="Q149" s="14">
        <f>IFERROR(Q127+Q129+Q130+Q131+Q132+Q133+Q134+Q135+Q136+Q137+Q138+Q139+Q140+Q143+Q144+Q145+Q146+Q147, "NA")</f>
        <v>132595.1</v>
      </c>
      <c r="R149" s="15">
        <f>IFERROR(Q149/Q445, "NA")</f>
        <v>0.25124556369868434</v>
      </c>
      <c r="S149" s="2"/>
      <c r="T149" s="14">
        <f>IFERROR(T127+T129+T130+T131+T132+T133+T134+T135+T136+T137+T138+T139+T140+T143+T144+T145+T146+T147, "NA")</f>
        <v>135842.24000000002</v>
      </c>
      <c r="U149" s="15">
        <f>IFERROR(T149/T445, "NA")</f>
        <v>0.22844979826150288</v>
      </c>
      <c r="V149" s="2"/>
      <c r="W149" s="14">
        <f t="shared" si="34"/>
        <v>3247.140000000014</v>
      </c>
      <c r="X149" s="15">
        <f>IFERROR(W149/W445, "NA")</f>
        <v>-4.8555212013540079E-2</v>
      </c>
      <c r="Y149" s="2"/>
      <c r="Z149" s="14">
        <f>IFERROR(Z127+Z129+Z130+Z131+Z132+Z133+Z134+Z135+Z136+Z137+Z138+Z139+Z140+Z143+Z144+Z145+Z146+Z147, "NA")</f>
        <v>152524.82999999999</v>
      </c>
      <c r="AA149" s="15">
        <f>IFERROR(Z149/Z445, "NA")</f>
        <v>0.27444007908849194</v>
      </c>
      <c r="AB149" s="2"/>
      <c r="AC149" s="14">
        <f t="shared" si="35"/>
        <v>19929.729999999981</v>
      </c>
      <c r="AD149" s="15">
        <f>IFERROR(AC149/AC445, "NA")</f>
        <v>-0.71136144932667877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IFERROR(B151/B445, "NA")</f>
        <v>0</v>
      </c>
      <c r="D151" s="9"/>
      <c r="E151" s="7">
        <v>0</v>
      </c>
      <c r="F151" s="8">
        <f>IFERROR(E151/E445, "NA")</f>
        <v>0</v>
      </c>
      <c r="G151" s="9"/>
      <c r="H151" s="10">
        <f>IFERROR(-(B151-E151), "NA")</f>
        <v>0</v>
      </c>
      <c r="I151" s="8">
        <f>IFERROR(H151/H445, "NA")</f>
        <v>0</v>
      </c>
      <c r="J151" s="9"/>
      <c r="K151" s="7">
        <v>0</v>
      </c>
      <c r="L151" s="8">
        <f>IFERROR(K151/K445, "NA")</f>
        <v>0</v>
      </c>
      <c r="M151" s="9"/>
      <c r="N151" s="10">
        <f>IFERROR(-(B151-K151), "NA")</f>
        <v>0</v>
      </c>
      <c r="O151" s="8">
        <f>IFERROR(N151/N445, "NA")</f>
        <v>0</v>
      </c>
      <c r="P151" s="9"/>
      <c r="Q151" s="7">
        <v>0</v>
      </c>
      <c r="R151" s="8">
        <f>IFERROR(Q151/Q445, "NA")</f>
        <v>0</v>
      </c>
      <c r="S151" s="9"/>
      <c r="T151" s="7">
        <v>0</v>
      </c>
      <c r="U151" s="8">
        <f>IFERROR(T151/T445, "NA")</f>
        <v>0</v>
      </c>
      <c r="V151" s="9"/>
      <c r="W151" s="10">
        <f>IFERROR(-(Q151-T151), "NA")</f>
        <v>0</v>
      </c>
      <c r="X151" s="8">
        <f>IFERROR(W151/W445, "NA")</f>
        <v>0</v>
      </c>
      <c r="Y151" s="9"/>
      <c r="Z151" s="7">
        <v>0</v>
      </c>
      <c r="AA151" s="8">
        <f>IFERROR(Z151/Z445, "NA")</f>
        <v>0</v>
      </c>
      <c r="AB151" s="9"/>
      <c r="AC151" s="10">
        <f>IFERROR(-(Q151-Z151), "NA")</f>
        <v>0</v>
      </c>
      <c r="AD151" s="8">
        <f>IFERROR(AC151/AC445,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IFERROR(B153/B445, "NA")</f>
        <v>0</v>
      </c>
      <c r="D153" s="9"/>
      <c r="E153" s="7">
        <v>5142.41</v>
      </c>
      <c r="F153" s="8">
        <f>IFERROR(E153/E445, "NA")</f>
        <v>4.1000007893187786E-2</v>
      </c>
      <c r="G153" s="9"/>
      <c r="H153" s="10">
        <f t="shared" ref="H153:H158" si="36">IFERROR(-(B153-E153), "NA")</f>
        <v>5142.41</v>
      </c>
      <c r="I153" s="8">
        <f>IFERROR(H153/H445, "NA")</f>
        <v>-0.55286824572399851</v>
      </c>
      <c r="J153" s="9"/>
      <c r="K153" s="7">
        <v>0</v>
      </c>
      <c r="L153" s="8">
        <f>IFERROR(K153/K445, "NA")</f>
        <v>0</v>
      </c>
      <c r="M153" s="9"/>
      <c r="N153" s="10">
        <f t="shared" ref="N153:N158" si="37">IFERROR(-(B153-K153), "NA")</f>
        <v>0</v>
      </c>
      <c r="O153" s="8">
        <f>IFERROR(N153/N445, "NA")</f>
        <v>0</v>
      </c>
      <c r="P153" s="9"/>
      <c r="Q153" s="7">
        <v>0</v>
      </c>
      <c r="R153" s="8">
        <f>IFERROR(Q153/Q445, "NA")</f>
        <v>0</v>
      </c>
      <c r="S153" s="9"/>
      <c r="T153" s="7">
        <v>24379.67</v>
      </c>
      <c r="U153" s="8">
        <f>IFERROR(T153/T445, "NA")</f>
        <v>4.0999991557721757E-2</v>
      </c>
      <c r="V153" s="9"/>
      <c r="W153" s="10">
        <f t="shared" ref="W153:W158" si="38">IFERROR(-(Q153-T153), "NA")</f>
        <v>24379.67</v>
      </c>
      <c r="X153" s="8">
        <f>IFERROR(W153/W445, "NA")</f>
        <v>-0.36455466831431277</v>
      </c>
      <c r="Y153" s="9"/>
      <c r="Z153" s="7">
        <v>0</v>
      </c>
      <c r="AA153" s="8">
        <f>IFERROR(Z153/Z445, "NA")</f>
        <v>0</v>
      </c>
      <c r="AB153" s="9"/>
      <c r="AC153" s="10">
        <f t="shared" ref="AC153:AC158" si="39">IFERROR(-(Q153-Z153), "NA")</f>
        <v>0</v>
      </c>
      <c r="AD153" s="8">
        <f>IFERROR(AC153/AC445, "NA")</f>
        <v>0</v>
      </c>
    </row>
    <row r="154" spans="1:30" ht="16.5" customHeight="1" x14ac:dyDescent="0.45">
      <c r="A154" s="12" t="s">
        <v>143</v>
      </c>
      <c r="B154" s="7">
        <v>3676.72</v>
      </c>
      <c r="C154" s="8">
        <f>IFERROR(B154/B445, "NA")</f>
        <v>3.1662212779384115E-2</v>
      </c>
      <c r="D154" s="9"/>
      <c r="E154" s="7">
        <v>0</v>
      </c>
      <c r="F154" s="8">
        <f>IFERROR(E154/E445, "NA")</f>
        <v>0</v>
      </c>
      <c r="G154" s="9"/>
      <c r="H154" s="10">
        <f t="shared" si="36"/>
        <v>-3676.72</v>
      </c>
      <c r="I154" s="8">
        <f>IFERROR(H154/H445, "NA")</f>
        <v>0.39528970588077178</v>
      </c>
      <c r="J154" s="9"/>
      <c r="K154" s="7">
        <v>3553.7</v>
      </c>
      <c r="L154" s="8">
        <f>IFERROR(K154/K445, "NA")</f>
        <v>3.089752094714026E-2</v>
      </c>
      <c r="M154" s="9"/>
      <c r="N154" s="10">
        <f t="shared" si="37"/>
        <v>-123.01999999999998</v>
      </c>
      <c r="O154" s="8">
        <f>IFERROR(N154/N445, "NA")</f>
        <v>-0.1110709835858356</v>
      </c>
      <c r="P154" s="9"/>
      <c r="Q154" s="7">
        <v>16942.02</v>
      </c>
      <c r="R154" s="8">
        <f>IFERROR(Q154/Q445, "NA")</f>
        <v>3.2102297634636456E-2</v>
      </c>
      <c r="S154" s="9"/>
      <c r="T154" s="7">
        <v>0</v>
      </c>
      <c r="U154" s="8">
        <f>IFERROR(T154/T445, "NA")</f>
        <v>0</v>
      </c>
      <c r="V154" s="9"/>
      <c r="W154" s="10">
        <f t="shared" si="38"/>
        <v>-16942.02</v>
      </c>
      <c r="X154" s="8">
        <f>IFERROR(W154/W445, "NA")</f>
        <v>0.25333782129431831</v>
      </c>
      <c r="Y154" s="9"/>
      <c r="Z154" s="7">
        <v>18382.13</v>
      </c>
      <c r="AA154" s="8">
        <f>IFERROR(Z154/Z445, "NA")</f>
        <v>3.3075225922329768E-2</v>
      </c>
      <c r="AB154" s="9"/>
      <c r="AC154" s="10">
        <f t="shared" si="39"/>
        <v>1440.1100000000006</v>
      </c>
      <c r="AD154" s="8">
        <f>IFERROR(AC154/AC445, "NA")</f>
        <v>-5.1402539662596773E-2</v>
      </c>
    </row>
    <row r="155" spans="1:30" ht="16.5" customHeight="1" x14ac:dyDescent="0.45">
      <c r="A155" s="12" t="s">
        <v>144</v>
      </c>
      <c r="B155" s="7">
        <v>982.71</v>
      </c>
      <c r="C155" s="8">
        <f>IFERROR(B155/B445, "NA")</f>
        <v>8.4626441829751976E-3</v>
      </c>
      <c r="D155" s="9"/>
      <c r="E155" s="7">
        <v>0</v>
      </c>
      <c r="F155" s="8">
        <f>IFERROR(E155/E445, "NA")</f>
        <v>0</v>
      </c>
      <c r="G155" s="9"/>
      <c r="H155" s="10">
        <f t="shared" si="36"/>
        <v>-982.71</v>
      </c>
      <c r="I155" s="8">
        <f>IFERROR(H155/H445, "NA")</f>
        <v>0.10565263247299041</v>
      </c>
      <c r="J155" s="9"/>
      <c r="K155" s="7">
        <v>1308.74</v>
      </c>
      <c r="L155" s="8">
        <f>IFERROR(K155/K445, "NA")</f>
        <v>1.1378794373289907E-2</v>
      </c>
      <c r="M155" s="9"/>
      <c r="N155" s="10">
        <f t="shared" si="37"/>
        <v>326.02999999999997</v>
      </c>
      <c r="O155" s="8">
        <f>IFERROR(N155/N445, "NA")</f>
        <v>0.29436248397406911</v>
      </c>
      <c r="P155" s="9"/>
      <c r="Q155" s="7">
        <v>4397.74</v>
      </c>
      <c r="R155" s="8">
        <f>IFERROR(Q155/Q445, "NA")</f>
        <v>8.3329826313359393E-3</v>
      </c>
      <c r="S155" s="9"/>
      <c r="T155" s="7">
        <v>0</v>
      </c>
      <c r="U155" s="8">
        <f>IFERROR(T155/T445, "NA")</f>
        <v>0</v>
      </c>
      <c r="V155" s="9"/>
      <c r="W155" s="10">
        <f t="shared" si="38"/>
        <v>-4397.74</v>
      </c>
      <c r="X155" s="8">
        <f>IFERROR(W155/W445, "NA")</f>
        <v>6.5760391630919776E-2</v>
      </c>
      <c r="Y155" s="9"/>
      <c r="Z155" s="7">
        <v>5691.18</v>
      </c>
      <c r="AA155" s="8">
        <f>IFERROR(Z155/Z445, "NA")</f>
        <v>1.0240220489390769E-2</v>
      </c>
      <c r="AB155" s="9"/>
      <c r="AC155" s="10">
        <f t="shared" si="39"/>
        <v>1293.4400000000005</v>
      </c>
      <c r="AD155" s="8">
        <f>IFERROR(AC155/AC445, "NA")</f>
        <v>-4.6167376728992349E-2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IFERROR(B156/B445, "NA")</f>
        <v>0</v>
      </c>
      <c r="D156" s="9"/>
      <c r="E156" s="7">
        <v>0</v>
      </c>
      <c r="F156" s="8">
        <f>IFERROR(E156/E445, "NA")</f>
        <v>0</v>
      </c>
      <c r="G156" s="9"/>
      <c r="H156" s="10">
        <f t="shared" si="36"/>
        <v>0</v>
      </c>
      <c r="I156" s="8">
        <f>IFERROR(H156/H445, "NA")</f>
        <v>0</v>
      </c>
      <c r="J156" s="9"/>
      <c r="K156" s="7">
        <v>0</v>
      </c>
      <c r="L156" s="8">
        <f>IFERROR(K156/K445, "NA")</f>
        <v>0</v>
      </c>
      <c r="M156" s="9"/>
      <c r="N156" s="10">
        <f t="shared" si="37"/>
        <v>0</v>
      </c>
      <c r="O156" s="8">
        <f>IFERROR(N156/N445, "NA")</f>
        <v>0</v>
      </c>
      <c r="P156" s="9"/>
      <c r="Q156" s="7">
        <v>0</v>
      </c>
      <c r="R156" s="8">
        <f>IFERROR(Q156/Q445, "NA")</f>
        <v>0</v>
      </c>
      <c r="S156" s="9"/>
      <c r="T156" s="7">
        <v>0</v>
      </c>
      <c r="U156" s="8">
        <f>IFERROR(T156/T445, "NA")</f>
        <v>0</v>
      </c>
      <c r="V156" s="9"/>
      <c r="W156" s="10">
        <f t="shared" si="38"/>
        <v>0</v>
      </c>
      <c r="X156" s="8">
        <f>IFERROR(W156/W445, "NA")</f>
        <v>0</v>
      </c>
      <c r="Y156" s="9"/>
      <c r="Z156" s="7">
        <v>0</v>
      </c>
      <c r="AA156" s="8">
        <f>IFERROR(Z156/Z445, "NA")</f>
        <v>0</v>
      </c>
      <c r="AB156" s="9"/>
      <c r="AC156" s="10">
        <f t="shared" si="39"/>
        <v>0</v>
      </c>
      <c r="AD156" s="8">
        <f>IFERROR(AC156/AC445,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IFERROR(B157/B445, "NA")</f>
        <v>0</v>
      </c>
      <c r="D157" s="9"/>
      <c r="E157" s="7">
        <v>0</v>
      </c>
      <c r="F157" s="8">
        <f>IFERROR(E157/E445, "NA")</f>
        <v>0</v>
      </c>
      <c r="G157" s="9"/>
      <c r="H157" s="10">
        <f t="shared" si="36"/>
        <v>0</v>
      </c>
      <c r="I157" s="8">
        <f>IFERROR(H157/H445, "NA")</f>
        <v>0</v>
      </c>
      <c r="J157" s="9"/>
      <c r="K157" s="7">
        <v>0</v>
      </c>
      <c r="L157" s="8">
        <f>IFERROR(K157/K445, "NA")</f>
        <v>0</v>
      </c>
      <c r="M157" s="9"/>
      <c r="N157" s="10">
        <f t="shared" si="37"/>
        <v>0</v>
      </c>
      <c r="O157" s="8">
        <f>IFERROR(N157/N445, "NA")</f>
        <v>0</v>
      </c>
      <c r="P157" s="9"/>
      <c r="Q157" s="7">
        <v>0</v>
      </c>
      <c r="R157" s="8">
        <f>IFERROR(Q157/Q445, "NA")</f>
        <v>0</v>
      </c>
      <c r="S157" s="9"/>
      <c r="T157" s="7">
        <v>0</v>
      </c>
      <c r="U157" s="8">
        <f>IFERROR(T157/T445, "NA")</f>
        <v>0</v>
      </c>
      <c r="V157" s="9"/>
      <c r="W157" s="10">
        <f t="shared" si="38"/>
        <v>0</v>
      </c>
      <c r="X157" s="8">
        <f>IFERROR(W157/W445, "NA")</f>
        <v>0</v>
      </c>
      <c r="Y157" s="9"/>
      <c r="Z157" s="7">
        <v>0</v>
      </c>
      <c r="AA157" s="8">
        <f>IFERROR(Z157/Z445, "NA")</f>
        <v>0</v>
      </c>
      <c r="AB157" s="9"/>
      <c r="AC157" s="10">
        <f t="shared" si="39"/>
        <v>0</v>
      </c>
      <c r="AD157" s="8">
        <f>IFERROR(AC157/AC445,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4659.43</v>
      </c>
      <c r="C158" s="15">
        <f>IFERROR(B158/B445, "NA")</f>
        <v>4.0124856962359318E-2</v>
      </c>
      <c r="D158" s="2"/>
      <c r="E158" s="14">
        <f>IFERROR(E153+E154+E155+E156+E157, "NA")</f>
        <v>5142.41</v>
      </c>
      <c r="F158" s="15">
        <f>IFERROR(E158/E445, "NA")</f>
        <v>4.1000007893187786E-2</v>
      </c>
      <c r="G158" s="2"/>
      <c r="H158" s="14">
        <f t="shared" si="36"/>
        <v>482.97999999999956</v>
      </c>
      <c r="I158" s="15">
        <f>IFERROR(H158/H445, "NA")</f>
        <v>-5.1925907370236245E-2</v>
      </c>
      <c r="J158" s="2"/>
      <c r="K158" s="14">
        <f>IFERROR(K153+K154+K155+K156+K157, "NA")</f>
        <v>4862.4399999999996</v>
      </c>
      <c r="L158" s="15">
        <f>IFERROR(K158/K445, "NA")</f>
        <v>4.2276315320430163E-2</v>
      </c>
      <c r="M158" s="2"/>
      <c r="N158" s="14">
        <f t="shared" si="37"/>
        <v>203.00999999999931</v>
      </c>
      <c r="O158" s="15">
        <f>IFERROR(N158/N445, "NA")</f>
        <v>0.18329150038823289</v>
      </c>
      <c r="P158" s="2"/>
      <c r="Q158" s="14">
        <f>IFERROR(Q153+Q154+Q155+Q156+Q157, "NA")</f>
        <v>21339.760000000002</v>
      </c>
      <c r="R158" s="15">
        <f>IFERROR(Q158/Q445, "NA")</f>
        <v>4.0435280265972401E-2</v>
      </c>
      <c r="S158" s="2"/>
      <c r="T158" s="14">
        <f>IFERROR(T153+T154+T155+T156+T157, "NA")</f>
        <v>24379.67</v>
      </c>
      <c r="U158" s="15">
        <f>IFERROR(T158/T445, "NA")</f>
        <v>4.0999991557721757E-2</v>
      </c>
      <c r="V158" s="2"/>
      <c r="W158" s="14">
        <f t="shared" si="38"/>
        <v>3039.9099999999962</v>
      </c>
      <c r="X158" s="15">
        <f>IFERROR(W158/W445, "NA")</f>
        <v>-4.5456455389074633E-2</v>
      </c>
      <c r="Y158" s="2"/>
      <c r="Z158" s="14">
        <f>IFERROR(Z153+Z154+Z155+Z156+Z157, "NA")</f>
        <v>24073.31</v>
      </c>
      <c r="AA158" s="15">
        <f>IFERROR(Z158/Z445, "NA")</f>
        <v>4.3315446411720533E-2</v>
      </c>
      <c r="AB158" s="2"/>
      <c r="AC158" s="14">
        <f t="shared" si="39"/>
        <v>2733.5499999999993</v>
      </c>
      <c r="AD158" s="15">
        <f>IFERROR(AC158/AC445, "NA")</f>
        <v>-9.7569916391589059E-2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IFERROR(B160/B445, "NA")</f>
        <v>0</v>
      </c>
      <c r="D160" s="9"/>
      <c r="E160" s="7">
        <v>0</v>
      </c>
      <c r="F160" s="8">
        <f>IFERROR(E160/E445, "NA")</f>
        <v>0</v>
      </c>
      <c r="G160" s="9"/>
      <c r="H160" s="10">
        <f t="shared" ref="H160:H171" si="40">IFERROR(-(B160-E160), "NA")</f>
        <v>0</v>
      </c>
      <c r="I160" s="8">
        <f>IFERROR(H160/H445, "NA")</f>
        <v>0</v>
      </c>
      <c r="J160" s="9"/>
      <c r="K160" s="7">
        <v>0</v>
      </c>
      <c r="L160" s="8">
        <f>IFERROR(K160/K445, "NA")</f>
        <v>0</v>
      </c>
      <c r="M160" s="9"/>
      <c r="N160" s="10">
        <f t="shared" ref="N160:N171" si="41">IFERROR(-(B160-K160), "NA")</f>
        <v>0</v>
      </c>
      <c r="O160" s="8">
        <f>IFERROR(N160/N445, "NA")</f>
        <v>0</v>
      </c>
      <c r="P160" s="9"/>
      <c r="Q160" s="7">
        <v>0</v>
      </c>
      <c r="R160" s="8">
        <f>IFERROR(Q160/Q445, "NA")</f>
        <v>0</v>
      </c>
      <c r="S160" s="9"/>
      <c r="T160" s="7">
        <v>0</v>
      </c>
      <c r="U160" s="8">
        <f>IFERROR(T160/T445, "NA")</f>
        <v>0</v>
      </c>
      <c r="V160" s="9"/>
      <c r="W160" s="10">
        <f t="shared" ref="W160:W171" si="42">IFERROR(-(Q160-T160), "NA")</f>
        <v>0</v>
      </c>
      <c r="X160" s="8">
        <f>IFERROR(W160/W445, "NA")</f>
        <v>0</v>
      </c>
      <c r="Y160" s="9"/>
      <c r="Z160" s="7">
        <v>0</v>
      </c>
      <c r="AA160" s="8">
        <f>IFERROR(Z160/Z445, "NA")</f>
        <v>0</v>
      </c>
      <c r="AB160" s="9"/>
      <c r="AC160" s="10">
        <f t="shared" ref="AC160:AC171" si="43">IFERROR(-(Q160-Z160), "NA")</f>
        <v>0</v>
      </c>
      <c r="AD160" s="8">
        <f>IFERROR(AC160/AC445, "NA")</f>
        <v>0</v>
      </c>
    </row>
    <row r="161" spans="1:30" ht="16.5" customHeight="1" x14ac:dyDescent="0.45">
      <c r="A161" s="12" t="s">
        <v>149</v>
      </c>
      <c r="B161" s="7">
        <v>411.54</v>
      </c>
      <c r="C161" s="8">
        <f>IFERROR(B161/B445, "NA")</f>
        <v>3.5439922124142552E-3</v>
      </c>
      <c r="D161" s="9"/>
      <c r="E161" s="7">
        <v>0</v>
      </c>
      <c r="F161" s="8">
        <f>IFERROR(E161/E445, "NA")</f>
        <v>0</v>
      </c>
      <c r="G161" s="9"/>
      <c r="H161" s="10">
        <f t="shared" si="40"/>
        <v>-411.54</v>
      </c>
      <c r="I161" s="8">
        <f>IFERROR(H161/H445, "NA")</f>
        <v>4.4245285351664755E-2</v>
      </c>
      <c r="J161" s="9"/>
      <c r="K161" s="7">
        <v>1070.1400000000001</v>
      </c>
      <c r="L161" s="8">
        <f>IFERROR(K161/K445, "NA")</f>
        <v>9.3042949788594096E-3</v>
      </c>
      <c r="M161" s="9"/>
      <c r="N161" s="10">
        <f t="shared" si="41"/>
        <v>658.60000000000014</v>
      </c>
      <c r="O161" s="8">
        <f>IFERROR(N161/N445, "NA")</f>
        <v>0.59462973329240243</v>
      </c>
      <c r="P161" s="9"/>
      <c r="Q161" s="7">
        <v>1389.67</v>
      </c>
      <c r="R161" s="8">
        <f>IFERROR(Q161/Q445, "NA")</f>
        <v>2.6331924973483235E-3</v>
      </c>
      <c r="S161" s="9"/>
      <c r="T161" s="7">
        <v>0</v>
      </c>
      <c r="U161" s="8">
        <f>IFERROR(T161/T445, "NA")</f>
        <v>0</v>
      </c>
      <c r="V161" s="9"/>
      <c r="W161" s="10">
        <f t="shared" si="42"/>
        <v>-1389.67</v>
      </c>
      <c r="X161" s="8">
        <f>IFERROR(W161/W445, "NA")</f>
        <v>2.0780046896301349E-2</v>
      </c>
      <c r="Y161" s="9"/>
      <c r="Z161" s="7">
        <v>2592.35</v>
      </c>
      <c r="AA161" s="8">
        <f>IFERROR(Z161/Z445, "NA")</f>
        <v>4.6644519389076001E-3</v>
      </c>
      <c r="AB161" s="9"/>
      <c r="AC161" s="10">
        <f t="shared" si="43"/>
        <v>1202.6799999999998</v>
      </c>
      <c r="AD161" s="8">
        <f>IFERROR(AC161/AC445, "NA")</f>
        <v>-4.2927836346815074E-2</v>
      </c>
    </row>
    <row r="162" spans="1:30" ht="16.5" customHeight="1" x14ac:dyDescent="0.45">
      <c r="A162" s="12" t="s">
        <v>150</v>
      </c>
      <c r="B162" s="7">
        <v>0</v>
      </c>
      <c r="C162" s="8">
        <f>IFERROR(B162/B445, "NA")</f>
        <v>0</v>
      </c>
      <c r="D162" s="9"/>
      <c r="E162" s="7">
        <v>0</v>
      </c>
      <c r="F162" s="8">
        <f>IFERROR(E162/E445, "NA")</f>
        <v>0</v>
      </c>
      <c r="G162" s="9"/>
      <c r="H162" s="10">
        <f t="shared" si="40"/>
        <v>0</v>
      </c>
      <c r="I162" s="8">
        <f>IFERROR(H162/H445, "NA")</f>
        <v>0</v>
      </c>
      <c r="J162" s="9"/>
      <c r="K162" s="7">
        <v>0</v>
      </c>
      <c r="L162" s="8">
        <f>IFERROR(K162/K445, "NA")</f>
        <v>0</v>
      </c>
      <c r="M162" s="9"/>
      <c r="N162" s="10">
        <f t="shared" si="41"/>
        <v>0</v>
      </c>
      <c r="O162" s="8">
        <f>IFERROR(N162/N445, "NA")</f>
        <v>0</v>
      </c>
      <c r="P162" s="9"/>
      <c r="Q162" s="7">
        <v>3.5</v>
      </c>
      <c r="R162" s="8">
        <f>IFERROR(Q162/Q445, "NA")</f>
        <v>6.6319153041507206E-6</v>
      </c>
      <c r="S162" s="9"/>
      <c r="T162" s="7">
        <v>0</v>
      </c>
      <c r="U162" s="8">
        <f>IFERROR(T162/T445, "NA")</f>
        <v>0</v>
      </c>
      <c r="V162" s="9"/>
      <c r="W162" s="10">
        <f t="shared" si="42"/>
        <v>-3.5</v>
      </c>
      <c r="X162" s="8">
        <f>IFERROR(W162/W445, "NA")</f>
        <v>5.2336284252415837E-5</v>
      </c>
      <c r="Y162" s="9"/>
      <c r="Z162" s="7">
        <v>0</v>
      </c>
      <c r="AA162" s="8">
        <f>IFERROR(Z162/Z445, "NA")</f>
        <v>0</v>
      </c>
      <c r="AB162" s="9"/>
      <c r="AC162" s="10">
        <f t="shared" si="43"/>
        <v>-3.5</v>
      </c>
      <c r="AD162" s="8">
        <f>IFERROR(AC162/AC445, "NA")</f>
        <v>1.2492718529771241E-4</v>
      </c>
    </row>
    <row r="163" spans="1:30" ht="16.5" customHeight="1" x14ac:dyDescent="0.45">
      <c r="A163" s="12" t="s">
        <v>151</v>
      </c>
      <c r="B163" s="7">
        <v>0</v>
      </c>
      <c r="C163" s="8">
        <f>IFERROR(B163/B445, "NA")</f>
        <v>0</v>
      </c>
      <c r="D163" s="9"/>
      <c r="E163" s="7">
        <v>0</v>
      </c>
      <c r="F163" s="8">
        <f>IFERROR(E163/E445, "NA")</f>
        <v>0</v>
      </c>
      <c r="G163" s="9"/>
      <c r="H163" s="10">
        <f t="shared" si="40"/>
        <v>0</v>
      </c>
      <c r="I163" s="8">
        <f>IFERROR(H163/H445, "NA")</f>
        <v>0</v>
      </c>
      <c r="J163" s="9"/>
      <c r="K163" s="7">
        <v>0</v>
      </c>
      <c r="L163" s="8">
        <f>IFERROR(K163/K445, "NA")</f>
        <v>0</v>
      </c>
      <c r="M163" s="9"/>
      <c r="N163" s="10">
        <f t="shared" si="41"/>
        <v>0</v>
      </c>
      <c r="O163" s="8">
        <f>IFERROR(N163/N445, "NA")</f>
        <v>0</v>
      </c>
      <c r="P163" s="9"/>
      <c r="Q163" s="7">
        <v>1.4</v>
      </c>
      <c r="R163" s="8">
        <f>IFERROR(Q163/Q445, "NA")</f>
        <v>2.6527661216602881E-6</v>
      </c>
      <c r="S163" s="9"/>
      <c r="T163" s="7">
        <v>0</v>
      </c>
      <c r="U163" s="8">
        <f>IFERROR(T163/T445, "NA")</f>
        <v>0</v>
      </c>
      <c r="V163" s="9"/>
      <c r="W163" s="10">
        <f t="shared" si="42"/>
        <v>-1.4</v>
      </c>
      <c r="X163" s="8">
        <f>IFERROR(W163/W445, "NA")</f>
        <v>2.0934513700966334E-5</v>
      </c>
      <c r="Y163" s="9"/>
      <c r="Z163" s="7">
        <v>0</v>
      </c>
      <c r="AA163" s="8">
        <f>IFERROR(Z163/Z445, "NA")</f>
        <v>0</v>
      </c>
      <c r="AB163" s="9"/>
      <c r="AC163" s="10">
        <f t="shared" si="43"/>
        <v>-1.4</v>
      </c>
      <c r="AD163" s="8">
        <f>IFERROR(AC163/AC445, "NA")</f>
        <v>4.9970874119084967E-5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IFERROR(B164/B445, "NA")</f>
        <v>0</v>
      </c>
      <c r="D164" s="9"/>
      <c r="E164" s="7">
        <v>0</v>
      </c>
      <c r="F164" s="8">
        <f>IFERROR(E164/E445, "NA")</f>
        <v>0</v>
      </c>
      <c r="G164" s="9"/>
      <c r="H164" s="10">
        <f t="shared" si="40"/>
        <v>0</v>
      </c>
      <c r="I164" s="8">
        <f>IFERROR(H164/H445, "NA")</f>
        <v>0</v>
      </c>
      <c r="J164" s="9"/>
      <c r="K164" s="7">
        <v>0</v>
      </c>
      <c r="L164" s="8">
        <f>IFERROR(K164/K445, "NA")</f>
        <v>0</v>
      </c>
      <c r="M164" s="9"/>
      <c r="N164" s="10">
        <f t="shared" si="41"/>
        <v>0</v>
      </c>
      <c r="O164" s="8">
        <f>IFERROR(N164/N445, "NA")</f>
        <v>0</v>
      </c>
      <c r="P164" s="9"/>
      <c r="Q164" s="7">
        <v>0</v>
      </c>
      <c r="R164" s="8">
        <f>IFERROR(Q164/Q445, "NA")</f>
        <v>0</v>
      </c>
      <c r="S164" s="9"/>
      <c r="T164" s="7">
        <v>0</v>
      </c>
      <c r="U164" s="8">
        <f>IFERROR(T164/T445, "NA")</f>
        <v>0</v>
      </c>
      <c r="V164" s="9"/>
      <c r="W164" s="10">
        <f t="shared" si="42"/>
        <v>0</v>
      </c>
      <c r="X164" s="8">
        <f>IFERROR(W164/W445, "NA")</f>
        <v>0</v>
      </c>
      <c r="Y164" s="9"/>
      <c r="Z164" s="7">
        <v>0</v>
      </c>
      <c r="AA164" s="8">
        <f>IFERROR(Z164/Z445, "NA")</f>
        <v>0</v>
      </c>
      <c r="AB164" s="9"/>
      <c r="AC164" s="10">
        <f t="shared" si="43"/>
        <v>0</v>
      </c>
      <c r="AD164" s="8">
        <f>IFERROR(AC164/AC445,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IFERROR(B165/B445, "NA")</f>
        <v>0</v>
      </c>
      <c r="D165" s="9"/>
      <c r="E165" s="7">
        <v>0</v>
      </c>
      <c r="F165" s="8">
        <f>IFERROR(E165/E445, "NA")</f>
        <v>0</v>
      </c>
      <c r="G165" s="9"/>
      <c r="H165" s="10">
        <f t="shared" si="40"/>
        <v>0</v>
      </c>
      <c r="I165" s="8">
        <f>IFERROR(H165/H445, "NA")</f>
        <v>0</v>
      </c>
      <c r="J165" s="9"/>
      <c r="K165" s="7">
        <v>0</v>
      </c>
      <c r="L165" s="8">
        <f>IFERROR(K165/K445, "NA")</f>
        <v>0</v>
      </c>
      <c r="M165" s="9"/>
      <c r="N165" s="10">
        <f t="shared" si="41"/>
        <v>0</v>
      </c>
      <c r="O165" s="8">
        <f>IFERROR(N165/N445, "NA")</f>
        <v>0</v>
      </c>
      <c r="P165" s="9"/>
      <c r="Q165" s="7">
        <v>0</v>
      </c>
      <c r="R165" s="8">
        <f>IFERROR(Q165/Q445, "NA")</f>
        <v>0</v>
      </c>
      <c r="S165" s="9"/>
      <c r="T165" s="7">
        <v>0</v>
      </c>
      <c r="U165" s="8">
        <f>IFERROR(T165/T445, "NA")</f>
        <v>0</v>
      </c>
      <c r="V165" s="9"/>
      <c r="W165" s="10">
        <f t="shared" si="42"/>
        <v>0</v>
      </c>
      <c r="X165" s="8">
        <f>IFERROR(W165/W445, "NA")</f>
        <v>0</v>
      </c>
      <c r="Y165" s="9"/>
      <c r="Z165" s="7">
        <v>0</v>
      </c>
      <c r="AA165" s="8">
        <f>IFERROR(Z165/Z445, "NA")</f>
        <v>0</v>
      </c>
      <c r="AB165" s="9"/>
      <c r="AC165" s="10">
        <f t="shared" si="43"/>
        <v>0</v>
      </c>
      <c r="AD165" s="8">
        <f>IFERROR(AC165/AC445,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411.54</v>
      </c>
      <c r="C166" s="15">
        <f>IFERROR(B166/B445, "NA")</f>
        <v>3.5439922124142552E-3</v>
      </c>
      <c r="D166" s="2"/>
      <c r="E166" s="14">
        <f>IFERROR(E160+E161+E162+E163+E164+E165, "NA")</f>
        <v>0</v>
      </c>
      <c r="F166" s="15">
        <f>IFERROR(E166/E445, "NA")</f>
        <v>0</v>
      </c>
      <c r="G166" s="2"/>
      <c r="H166" s="14">
        <f t="shared" si="40"/>
        <v>-411.54</v>
      </c>
      <c r="I166" s="15">
        <f>IFERROR(H166/H445, "NA")</f>
        <v>4.4245285351664755E-2</v>
      </c>
      <c r="J166" s="2"/>
      <c r="K166" s="14">
        <f>IFERROR(K160+K161+K162+K163+K164+K165, "NA")</f>
        <v>1070.1400000000001</v>
      </c>
      <c r="L166" s="15">
        <f>IFERROR(K166/K445, "NA")</f>
        <v>9.3042949788594096E-3</v>
      </c>
      <c r="M166" s="2"/>
      <c r="N166" s="14">
        <f t="shared" si="41"/>
        <v>658.60000000000014</v>
      </c>
      <c r="O166" s="15">
        <f>IFERROR(N166/N445, "NA")</f>
        <v>0.59462973329240243</v>
      </c>
      <c r="P166" s="2"/>
      <c r="Q166" s="14">
        <f>IFERROR(Q160+Q161+Q162+Q163+Q164+Q165, "NA")</f>
        <v>1394.5700000000002</v>
      </c>
      <c r="R166" s="15">
        <f>IFERROR(Q166/Q445, "NA")</f>
        <v>2.6424771787741347E-3</v>
      </c>
      <c r="S166" s="2"/>
      <c r="T166" s="14">
        <f>IFERROR(T160+T161+T162+T163+T164+T165, "NA")</f>
        <v>0</v>
      </c>
      <c r="U166" s="15">
        <f>IFERROR(T166/T445, "NA")</f>
        <v>0</v>
      </c>
      <c r="V166" s="2"/>
      <c r="W166" s="14">
        <f t="shared" si="42"/>
        <v>-1394.5700000000002</v>
      </c>
      <c r="X166" s="15">
        <f>IFERROR(W166/W445, "NA")</f>
        <v>2.085331769425473E-2</v>
      </c>
      <c r="Y166" s="2"/>
      <c r="Z166" s="14">
        <f>IFERROR(Z160+Z161+Z162+Z163+Z164+Z165, "NA")</f>
        <v>2592.35</v>
      </c>
      <c r="AA166" s="15">
        <f>IFERROR(Z166/Z445, "NA")</f>
        <v>4.6644519389076001E-3</v>
      </c>
      <c r="AB166" s="2"/>
      <c r="AC166" s="14">
        <f t="shared" si="43"/>
        <v>1197.7799999999997</v>
      </c>
      <c r="AD166" s="15">
        <f>IFERROR(AC166/AC445, "NA")</f>
        <v>-4.2752938287398269E-2</v>
      </c>
    </row>
    <row r="167" spans="1:30" ht="16.5" customHeight="1" x14ac:dyDescent="0.45">
      <c r="A167" s="6" t="s">
        <v>155</v>
      </c>
      <c r="B167" s="7">
        <v>98.78</v>
      </c>
      <c r="C167" s="8">
        <f>IFERROR(B167/B445, "NA")</f>
        <v>8.506476909711817E-4</v>
      </c>
      <c r="D167" s="9"/>
      <c r="E167" s="7">
        <v>0</v>
      </c>
      <c r="F167" s="8">
        <f>IFERROR(E167/E445, "NA")</f>
        <v>0</v>
      </c>
      <c r="G167" s="9"/>
      <c r="H167" s="10">
        <f t="shared" si="40"/>
        <v>-98.78</v>
      </c>
      <c r="I167" s="8">
        <f>IFERROR(H167/H445, "NA")</f>
        <v>1.0619986604066298E-2</v>
      </c>
      <c r="J167" s="9"/>
      <c r="K167" s="7">
        <v>103.01</v>
      </c>
      <c r="L167" s="8">
        <f>IFERROR(K167/K445, "NA")</f>
        <v>8.9561685926356147E-4</v>
      </c>
      <c r="M167" s="9"/>
      <c r="N167" s="10">
        <f t="shared" si="41"/>
        <v>4.230000000000004</v>
      </c>
      <c r="O167" s="8">
        <f>IFERROR(N167/N445, "NA")</f>
        <v>3.8191372180790529E-3</v>
      </c>
      <c r="P167" s="9"/>
      <c r="Q167" s="7">
        <v>628.07000000000005</v>
      </c>
      <c r="R167" s="8">
        <f>IFERROR(Q167/Q445, "NA")</f>
        <v>1.1900877271651268E-3</v>
      </c>
      <c r="S167" s="9"/>
      <c r="T167" s="7">
        <v>0</v>
      </c>
      <c r="U167" s="8">
        <f>IFERROR(T167/T445, "NA")</f>
        <v>0</v>
      </c>
      <c r="V167" s="9"/>
      <c r="W167" s="10">
        <f t="shared" si="42"/>
        <v>-628.07000000000005</v>
      </c>
      <c r="X167" s="8">
        <f>IFERROR(W167/W445, "NA")</f>
        <v>9.3916714429756621E-3</v>
      </c>
      <c r="Y167" s="9"/>
      <c r="Z167" s="7">
        <v>562.55999999999995</v>
      </c>
      <c r="AA167" s="8">
        <f>IFERROR(Z167/Z445, "NA")</f>
        <v>1.0122221469908998E-3</v>
      </c>
      <c r="AB167" s="9"/>
      <c r="AC167" s="10">
        <f t="shared" si="43"/>
        <v>-65.510000000000105</v>
      </c>
      <c r="AD167" s="8">
        <f>IFERROR(AC167/AC445, "NA")</f>
        <v>2.338279973958044E-3</v>
      </c>
    </row>
    <row r="168" spans="1:30" ht="16.5" customHeight="1" x14ac:dyDescent="0.45">
      <c r="A168" s="6" t="s">
        <v>156</v>
      </c>
      <c r="B168" s="7">
        <v>141</v>
      </c>
      <c r="C168" s="8">
        <f>IFERROR(B168/B445, "NA")</f>
        <v>1.2142268113680564E-3</v>
      </c>
      <c r="D168" s="9"/>
      <c r="E168" s="7">
        <v>0</v>
      </c>
      <c r="F168" s="8">
        <f>IFERROR(E168/E445, "NA")</f>
        <v>0</v>
      </c>
      <c r="G168" s="9"/>
      <c r="H168" s="10">
        <f t="shared" si="40"/>
        <v>-141</v>
      </c>
      <c r="I168" s="8">
        <f>IFERROR(H168/H445, "NA")</f>
        <v>1.5159122405075401E-2</v>
      </c>
      <c r="J168" s="9"/>
      <c r="K168" s="7">
        <v>35.799999999999997</v>
      </c>
      <c r="L168" s="8">
        <f>IFERROR(K168/K445, "NA")</f>
        <v>3.1126185381647896E-4</v>
      </c>
      <c r="M168" s="9"/>
      <c r="N168" s="10">
        <f t="shared" si="41"/>
        <v>-105.2</v>
      </c>
      <c r="O168" s="8">
        <f>IFERROR(N168/N445, "NA")</f>
        <v>-9.4981852326694094E-2</v>
      </c>
      <c r="P168" s="9"/>
      <c r="Q168" s="7">
        <v>500.34</v>
      </c>
      <c r="R168" s="8">
        <f>IFERROR(Q168/Q445, "NA")</f>
        <v>9.4806071522250614E-4</v>
      </c>
      <c r="S168" s="9"/>
      <c r="T168" s="7">
        <v>0</v>
      </c>
      <c r="U168" s="8">
        <f>IFERROR(T168/T445, "NA")</f>
        <v>0</v>
      </c>
      <c r="V168" s="9"/>
      <c r="W168" s="10">
        <f t="shared" si="42"/>
        <v>-500.34</v>
      </c>
      <c r="X168" s="8">
        <f>IFERROR(W168/W445, "NA")</f>
        <v>7.4816961322439254E-3</v>
      </c>
      <c r="Y168" s="9"/>
      <c r="Z168" s="7">
        <v>197.8</v>
      </c>
      <c r="AA168" s="8">
        <f>IFERROR(Z168/Z445, "NA")</f>
        <v>3.5590433140429473E-4</v>
      </c>
      <c r="AB168" s="9"/>
      <c r="AC168" s="10">
        <f t="shared" si="43"/>
        <v>-302.53999999999996</v>
      </c>
      <c r="AD168" s="8">
        <f>IFERROR(AC168/AC445, "NA")</f>
        <v>1.079870589713426E-2</v>
      </c>
    </row>
    <row r="169" spans="1:30" ht="16.5" customHeight="1" x14ac:dyDescent="0.45">
      <c r="A169" s="6" t="s">
        <v>157</v>
      </c>
      <c r="B169" s="7">
        <v>-1028.6600000000001</v>
      </c>
      <c r="C169" s="8">
        <f>IFERROR(B169/B445, "NA")</f>
        <v>-8.8583443388784763E-3</v>
      </c>
      <c r="D169" s="9"/>
      <c r="E169" s="7">
        <v>0</v>
      </c>
      <c r="F169" s="8">
        <f>IFERROR(E169/E445, "NA")</f>
        <v>0</v>
      </c>
      <c r="G169" s="9"/>
      <c r="H169" s="10">
        <f t="shared" si="40"/>
        <v>1028.6600000000001</v>
      </c>
      <c r="I169" s="8">
        <f>IFERROR(H169/H445, "NA")</f>
        <v>-0.11059278619294229</v>
      </c>
      <c r="J169" s="9"/>
      <c r="K169" s="7">
        <v>-1072.43</v>
      </c>
      <c r="L169" s="8">
        <f>IFERROR(K169/K445, "NA")</f>
        <v>-9.3242053041454349E-3</v>
      </c>
      <c r="M169" s="9"/>
      <c r="N169" s="10">
        <f t="shared" si="41"/>
        <v>-43.769999999999982</v>
      </c>
      <c r="O169" s="8">
        <f>IFERROR(N169/N445, "NA")</f>
        <v>-3.9518590079271845E-2</v>
      </c>
      <c r="P169" s="9"/>
      <c r="Q169" s="7">
        <v>-5058.82</v>
      </c>
      <c r="R169" s="8">
        <f>IFERROR(Q169/Q445, "NA")</f>
        <v>-9.5856187939839278E-3</v>
      </c>
      <c r="S169" s="9"/>
      <c r="T169" s="7">
        <v>0</v>
      </c>
      <c r="U169" s="8">
        <f>IFERROR(T169/T445, "NA")</f>
        <v>0</v>
      </c>
      <c r="V169" s="9"/>
      <c r="W169" s="10">
        <f t="shared" si="42"/>
        <v>5058.82</v>
      </c>
      <c r="X169" s="8">
        <f>IFERROR(W169/W445, "NA")</f>
        <v>-7.5645669000516072E-2</v>
      </c>
      <c r="Y169" s="9"/>
      <c r="Z169" s="7">
        <v>-12972.84</v>
      </c>
      <c r="AA169" s="8">
        <f>IFERROR(Z169/Z445, "NA")</f>
        <v>-2.3342214088042924E-2</v>
      </c>
      <c r="AB169" s="9"/>
      <c r="AC169" s="10">
        <f t="shared" si="43"/>
        <v>-7914.02</v>
      </c>
      <c r="AD169" s="8">
        <f>IFERROR(AC169/AC445, "NA")</f>
        <v>0.28247892656851487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4282.09</v>
      </c>
      <c r="C170" s="15">
        <f>IFERROR(B170/B445, "NA")</f>
        <v>3.6875379338234336E-2</v>
      </c>
      <c r="D170" s="2"/>
      <c r="E170" s="14">
        <f>IFERROR(E151+E153+E154+E155+E156+E157+E160+E161+E162+E163+E164+E165+E167+E168+E169, "NA")</f>
        <v>5142.41</v>
      </c>
      <c r="F170" s="15">
        <f>IFERROR(E170/E445, "NA")</f>
        <v>4.1000007893187786E-2</v>
      </c>
      <c r="G170" s="2"/>
      <c r="H170" s="14">
        <f t="shared" si="40"/>
        <v>860.31999999999971</v>
      </c>
      <c r="I170" s="15">
        <f>IFERROR(H170/H445, "NA")</f>
        <v>-9.2494299202372079E-2</v>
      </c>
      <c r="J170" s="2"/>
      <c r="K170" s="14">
        <f>IFERROR(K151+K153+K154+K155+K156+K157+K160+K161+K162+K163+K164+K165+K167+K168+K169, "NA")</f>
        <v>4998.96</v>
      </c>
      <c r="L170" s="15">
        <f>IFERROR(K170/K445, "NA")</f>
        <v>4.3463283708224186E-2</v>
      </c>
      <c r="M170" s="2"/>
      <c r="N170" s="14">
        <f t="shared" si="41"/>
        <v>716.86999999999989</v>
      </c>
      <c r="O170" s="15">
        <f>IFERROR(N170/N445, "NA")</f>
        <v>0.64723992849274881</v>
      </c>
      <c r="P170" s="2"/>
      <c r="Q170" s="14">
        <f>IFERROR(Q151+Q153+Q154+Q155+Q156+Q157+Q160+Q161+Q162+Q163+Q164+Q165+Q167+Q168+Q169, "NA")</f>
        <v>18803.920000000002</v>
      </c>
      <c r="R170" s="15">
        <f>IFERROR(Q170/Q445, "NA")</f>
        <v>3.5630287093150234E-2</v>
      </c>
      <c r="S170" s="2"/>
      <c r="T170" s="14">
        <f>IFERROR(T151+T153+T154+T155+T156+T157+T160+T161+T162+T163+T164+T165+T167+T168+T169, "NA")</f>
        <v>24379.67</v>
      </c>
      <c r="U170" s="15">
        <f>IFERROR(T170/T445, "NA")</f>
        <v>4.0999991557721757E-2</v>
      </c>
      <c r="V170" s="2"/>
      <c r="W170" s="14">
        <f t="shared" si="42"/>
        <v>5575.7499999999964</v>
      </c>
      <c r="X170" s="15">
        <f>IFERROR(W170/W445, "NA")</f>
        <v>-8.3375439120116399E-2</v>
      </c>
      <c r="Y170" s="2"/>
      <c r="Z170" s="14">
        <f>IFERROR(Z151+Z153+Z154+Z155+Z156+Z157+Z160+Z161+Z162+Z163+Z164+Z165+Z167+Z168+Z169, "NA")</f>
        <v>14453.18</v>
      </c>
      <c r="AA170" s="15">
        <f>IFERROR(Z170/Z445, "NA")</f>
        <v>2.6005810740980406E-2</v>
      </c>
      <c r="AB170" s="2"/>
      <c r="AC170" s="14">
        <f t="shared" si="43"/>
        <v>-4350.7400000000016</v>
      </c>
      <c r="AD170" s="15">
        <f>IFERROR(AC170/AC445, "NA")</f>
        <v>0.15529305776061986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32698.380000000008</v>
      </c>
      <c r="C171" s="15">
        <f>IFERROR(B171/B445, "NA")</f>
        <v>0.28158333109433359</v>
      </c>
      <c r="D171" s="2"/>
      <c r="E171" s="14">
        <f>IFERROR(E127+E129+E130+E131+E132+E133+E134+E135+E136+E137+E138+E139+E140+E143+E144+E145+E146+E147+E151+E153+E154+E155+E156+E157+E160+E161+E162+E163+E164+E165+E167+E168+E169, "NA")</f>
        <v>33488.369999999995</v>
      </c>
      <c r="F171" s="15">
        <f>IFERROR(E171/E445, "NA")</f>
        <v>0.2669999930635622</v>
      </c>
      <c r="G171" s="2"/>
      <c r="H171" s="14">
        <f t="shared" si="40"/>
        <v>789.98999999998705</v>
      </c>
      <c r="I171" s="15">
        <f>IFERROR(H171/H445, "NA")</f>
        <v>-8.4933014955924244E-2</v>
      </c>
      <c r="J171" s="2"/>
      <c r="K171" s="14">
        <f>IFERROR(K127+K129+K130+K131+K132+K133+K134+K135+K136+K137+K138+K139+K140+K143+K144+K145+K146+K147+K151+K153+K154+K155+K156+K157+K160+K161+K162+K163+K164+K165+K167+K168+K169, "NA")</f>
        <v>38755.49</v>
      </c>
      <c r="L171" s="15">
        <f>IFERROR(K171/K445, "NA")</f>
        <v>0.33695825874206736</v>
      </c>
      <c r="M171" s="2"/>
      <c r="N171" s="14">
        <f t="shared" si="41"/>
        <v>6057.1099999999897</v>
      </c>
      <c r="O171" s="15">
        <f>IFERROR(N171/N445, "NA")</f>
        <v>5.468778778959515</v>
      </c>
      <c r="P171" s="2"/>
      <c r="Q171" s="14">
        <f>IFERROR(Q127+Q129+Q130+Q131+Q132+Q133+Q134+Q135+Q136+Q137+Q138+Q139+Q140+Q143+Q144+Q145+Q146+Q147+Q151+Q153+Q154+Q155+Q156+Q157+Q160+Q161+Q162+Q163+Q164+Q165+Q167+Q168+Q169, "NA")</f>
        <v>151399.01999999999</v>
      </c>
      <c r="R171" s="15">
        <f>IFERROR(Q171/Q445, "NA")</f>
        <v>0.28687585079183453</v>
      </c>
      <c r="S171" s="2"/>
      <c r="T171" s="14">
        <f>IFERROR(T127+T129+T130+T131+T132+T133+T134+T135+T136+T137+T138+T139+T140+T143+T144+T145+T146+T147+T151+T153+T154+T155+T156+T157+T160+T161+T162+T163+T164+T165+T167+T168+T169, "NA")</f>
        <v>160221.91000000003</v>
      </c>
      <c r="U171" s="15">
        <f>IFERROR(T171/T445, "NA")</f>
        <v>0.26944978981922463</v>
      </c>
      <c r="V171" s="2"/>
      <c r="W171" s="14">
        <f t="shared" si="42"/>
        <v>8822.8900000000431</v>
      </c>
      <c r="X171" s="15">
        <f>IFERROR(W171/W445, "NA")</f>
        <v>-0.13193065113365698</v>
      </c>
      <c r="Y171" s="2"/>
      <c r="Z171" s="14">
        <f>IFERROR(Z127+Z129+Z130+Z131+Z132+Z133+Z134+Z135+Z136+Z137+Z138+Z139+Z140+Z143+Z144+Z145+Z146+Z147+Z151+Z153+Z154+Z155+Z156+Z157+Z160+Z161+Z162+Z163+Z164+Z165+Z167+Z168+Z169, "NA")</f>
        <v>166978.00999999998</v>
      </c>
      <c r="AA171" s="15">
        <f>IFERROR(Z171/Z445, "NA")</f>
        <v>0.30044588982947235</v>
      </c>
      <c r="AB171" s="2"/>
      <c r="AC171" s="14">
        <f t="shared" si="43"/>
        <v>15578.989999999991</v>
      </c>
      <c r="AD171" s="15">
        <f>IFERROR(AC171/AC445, "NA")</f>
        <v>-0.55606839156605936</v>
      </c>
    </row>
    <row r="172" spans="1:30" ht="16.5" customHeight="1" x14ac:dyDescent="0.45">
      <c r="A172" s="22" t="s">
        <v>160</v>
      </c>
      <c r="B172" s="23">
        <f>IFERROR(B124-B171, "NA")</f>
        <v>83424.900000000009</v>
      </c>
      <c r="C172" s="24">
        <f>IFERROR(B172/B445, "NA")</f>
        <v>0.71841666890566658</v>
      </c>
      <c r="D172" s="25"/>
      <c r="E172" s="23">
        <f>IFERROR(E124-E171, "NA")</f>
        <v>91936.24</v>
      </c>
      <c r="F172" s="24">
        <f>IFERROR(E172/E445, "NA")</f>
        <v>0.73300000693643774</v>
      </c>
      <c r="G172" s="25"/>
      <c r="H172" s="23">
        <f>IFERROR(B172-E172, "NA")</f>
        <v>-8511.3399999999965</v>
      </c>
      <c r="I172" s="24">
        <f>IFERROR(H172/H445, "NA")</f>
        <v>0.9150669850440738</v>
      </c>
      <c r="J172" s="25"/>
      <c r="K172" s="23">
        <f>IFERROR(K124-K171, "NA")</f>
        <v>76260.209999999992</v>
      </c>
      <c r="L172" s="24">
        <f>IFERROR(K172/K445, "NA")</f>
        <v>0.66304174125793258</v>
      </c>
      <c r="M172" s="25"/>
      <c r="N172" s="23">
        <f>IFERROR(B172-K172, "NA")</f>
        <v>7164.6900000000169</v>
      </c>
      <c r="O172" s="24">
        <f>IFERROR(N172/N445, "NA")</f>
        <v>6.4687787789595381</v>
      </c>
      <c r="P172" s="25"/>
      <c r="Q172" s="23">
        <f>IFERROR(Q124-Q171, "NA")</f>
        <v>376351.99</v>
      </c>
      <c r="R172" s="24">
        <f>IFERROR(Q172/Q445, "NA")</f>
        <v>0.71312414920816536</v>
      </c>
      <c r="S172" s="25"/>
      <c r="T172" s="23">
        <f>IFERROR(T124-T171, "NA")</f>
        <v>434404.31000000006</v>
      </c>
      <c r="U172" s="24">
        <f>IFERROR(T172/T445, "NA")</f>
        <v>0.73055021018077559</v>
      </c>
      <c r="V172" s="25"/>
      <c r="W172" s="23">
        <f>IFERROR(Q172-T172, "NA")</f>
        <v>-58052.320000000065</v>
      </c>
      <c r="X172" s="24">
        <f>IFERROR(W172/W445, "NA")</f>
        <v>0.86806934886634524</v>
      </c>
      <c r="Y172" s="25"/>
      <c r="Z172" s="23">
        <f>IFERROR(Z124-Z171, "NA")</f>
        <v>388789.32000000007</v>
      </c>
      <c r="AA172" s="24">
        <f>IFERROR(Z172/Z445, "NA")</f>
        <v>0.69955411017052782</v>
      </c>
      <c r="AB172" s="25"/>
      <c r="AC172" s="23">
        <f>IFERROR(Q172-Z172, "NA")</f>
        <v>-12437.330000000075</v>
      </c>
      <c r="AD172" s="24">
        <f>IFERROR(AC172/AC445, "NA")</f>
        <v>0.44393160843394486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IFERROR(B175/B445, "NA")</f>
        <v>0</v>
      </c>
      <c r="D175" s="9"/>
      <c r="E175" s="7">
        <v>0</v>
      </c>
      <c r="F175" s="8">
        <f>IFERROR(E175/E445, "NA")</f>
        <v>0</v>
      </c>
      <c r="G175" s="9"/>
      <c r="H175" s="10">
        <f>IFERROR(-(B175-E175), "NA")</f>
        <v>0</v>
      </c>
      <c r="I175" s="8">
        <f>IFERROR(H175/H445, "NA")</f>
        <v>0</v>
      </c>
      <c r="J175" s="9"/>
      <c r="K175" s="7">
        <v>0</v>
      </c>
      <c r="L175" s="8">
        <f>IFERROR(K175/K445, "NA")</f>
        <v>0</v>
      </c>
      <c r="M175" s="9"/>
      <c r="N175" s="10">
        <f>IFERROR(-(B175-K175), "NA")</f>
        <v>0</v>
      </c>
      <c r="O175" s="8">
        <f>IFERROR(N175/N445, "NA")</f>
        <v>0</v>
      </c>
      <c r="P175" s="9"/>
      <c r="Q175" s="7">
        <v>0</v>
      </c>
      <c r="R175" s="8">
        <f>IFERROR(Q175/Q445, "NA")</f>
        <v>0</v>
      </c>
      <c r="S175" s="9"/>
      <c r="T175" s="7">
        <v>0</v>
      </c>
      <c r="U175" s="8">
        <f>IFERROR(T175/T445, "NA")</f>
        <v>0</v>
      </c>
      <c r="V175" s="9"/>
      <c r="W175" s="10">
        <f>IFERROR(-(Q175-T175), "NA")</f>
        <v>0</v>
      </c>
      <c r="X175" s="8">
        <f>IFERROR(W175/W445, "NA")</f>
        <v>0</v>
      </c>
      <c r="Y175" s="9"/>
      <c r="Z175" s="7">
        <v>0</v>
      </c>
      <c r="AA175" s="8">
        <f>IFERROR(Z175/Z445, "NA")</f>
        <v>0</v>
      </c>
      <c r="AB175" s="9"/>
      <c r="AC175" s="10">
        <f>IFERROR(-(Q175-Z175), "NA")</f>
        <v>0</v>
      </c>
      <c r="AD175" s="8">
        <f>IFERROR(AC175/AC445,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IFERROR(B177/B445, "NA")</f>
        <v>0</v>
      </c>
      <c r="D177" s="9"/>
      <c r="E177" s="7">
        <v>0</v>
      </c>
      <c r="F177" s="8">
        <f>IFERROR(E177/E445, "NA")</f>
        <v>0</v>
      </c>
      <c r="G177" s="9"/>
      <c r="H177" s="10">
        <f t="shared" ref="H177:H184" si="44">IFERROR(-(B177-E177), "NA")</f>
        <v>0</v>
      </c>
      <c r="I177" s="8">
        <f>IFERROR(H177/H445, "NA")</f>
        <v>0</v>
      </c>
      <c r="J177" s="9"/>
      <c r="K177" s="7">
        <v>0</v>
      </c>
      <c r="L177" s="8">
        <f>IFERROR(K177/K445, "NA")</f>
        <v>0</v>
      </c>
      <c r="M177" s="9"/>
      <c r="N177" s="10">
        <f t="shared" ref="N177:N184" si="45">IFERROR(-(B177-K177), "NA")</f>
        <v>0</v>
      </c>
      <c r="O177" s="8">
        <f>IFERROR(N177/N445, "NA")</f>
        <v>0</v>
      </c>
      <c r="P177" s="9"/>
      <c r="Q177" s="7">
        <v>0</v>
      </c>
      <c r="R177" s="8">
        <f>IFERROR(Q177/Q445, "NA")</f>
        <v>0</v>
      </c>
      <c r="S177" s="9"/>
      <c r="T177" s="7">
        <v>0</v>
      </c>
      <c r="U177" s="8">
        <f>IFERROR(T177/T445, "NA")</f>
        <v>0</v>
      </c>
      <c r="V177" s="9"/>
      <c r="W177" s="10">
        <f t="shared" ref="W177:W184" si="46">IFERROR(-(Q177-T177), "NA")</f>
        <v>0</v>
      </c>
      <c r="X177" s="8">
        <f>IFERROR(W177/W445, "NA")</f>
        <v>0</v>
      </c>
      <c r="Y177" s="9"/>
      <c r="Z177" s="7">
        <v>0</v>
      </c>
      <c r="AA177" s="8">
        <f>IFERROR(Z177/Z445, "NA")</f>
        <v>0</v>
      </c>
      <c r="AB177" s="9"/>
      <c r="AC177" s="10">
        <f t="shared" ref="AC177:AC184" si="47">IFERROR(-(Q177-Z177), "NA")</f>
        <v>0</v>
      </c>
      <c r="AD177" s="8">
        <f>IFERROR(AC177/AC445,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IFERROR(B178/B445, "NA")</f>
        <v>4.4713859270940327E-2</v>
      </c>
      <c r="D178" s="9"/>
      <c r="E178" s="7">
        <v>5192.32</v>
      </c>
      <c r="F178" s="8">
        <f>IFERROR(E178/E445, "NA")</f>
        <v>4.1397936178553793E-2</v>
      </c>
      <c r="G178" s="9"/>
      <c r="H178" s="10">
        <f t="shared" si="44"/>
        <v>0</v>
      </c>
      <c r="I178" s="8">
        <f>IFERROR(H178/H445, "NA")</f>
        <v>0</v>
      </c>
      <c r="J178" s="9"/>
      <c r="K178" s="7">
        <v>5192.32</v>
      </c>
      <c r="L178" s="8">
        <f>IFERROR(K178/K445, "NA")</f>
        <v>4.5144445497440781E-2</v>
      </c>
      <c r="M178" s="9"/>
      <c r="N178" s="10">
        <f t="shared" si="45"/>
        <v>0</v>
      </c>
      <c r="O178" s="8">
        <f>IFERROR(N178/N445, "NA")</f>
        <v>0</v>
      </c>
      <c r="P178" s="9"/>
      <c r="Q178" s="7">
        <v>27259.68</v>
      </c>
      <c r="R178" s="8">
        <f>IFERROR(Q178/Q445, "NA")</f>
        <v>5.1652539708071807E-2</v>
      </c>
      <c r="S178" s="9"/>
      <c r="T178" s="7">
        <v>27259.68</v>
      </c>
      <c r="U178" s="8">
        <f>IFERROR(T178/T445, "NA")</f>
        <v>4.5843387128135724E-2</v>
      </c>
      <c r="V178" s="9"/>
      <c r="W178" s="10">
        <f t="shared" si="46"/>
        <v>0</v>
      </c>
      <c r="X178" s="8">
        <f>IFERROR(W178/W445, "NA")</f>
        <v>0</v>
      </c>
      <c r="Y178" s="9"/>
      <c r="Z178" s="7">
        <v>27259.68</v>
      </c>
      <c r="AA178" s="8">
        <f>IFERROR(Z178/Z445, "NA")</f>
        <v>4.904872691959062E-2</v>
      </c>
      <c r="AB178" s="9"/>
      <c r="AC178" s="10">
        <f t="shared" si="47"/>
        <v>0</v>
      </c>
      <c r="AD178" s="8">
        <f>IFERROR(AC178/AC445,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IFERROR(B179/B445, "NA")</f>
        <v>0</v>
      </c>
      <c r="D179" s="9"/>
      <c r="E179" s="7">
        <v>0</v>
      </c>
      <c r="F179" s="8">
        <f>IFERROR(E179/E445, "NA")</f>
        <v>0</v>
      </c>
      <c r="G179" s="9"/>
      <c r="H179" s="10">
        <f t="shared" si="44"/>
        <v>0</v>
      </c>
      <c r="I179" s="8">
        <f>IFERROR(H179/H445, "NA")</f>
        <v>0</v>
      </c>
      <c r="J179" s="9"/>
      <c r="K179" s="7">
        <v>0</v>
      </c>
      <c r="L179" s="8">
        <f>IFERROR(K179/K445, "NA")</f>
        <v>0</v>
      </c>
      <c r="M179" s="9"/>
      <c r="N179" s="10">
        <f t="shared" si="45"/>
        <v>0</v>
      </c>
      <c r="O179" s="8">
        <f>IFERROR(N179/N445, "NA")</f>
        <v>0</v>
      </c>
      <c r="P179" s="9"/>
      <c r="Q179" s="7">
        <v>0</v>
      </c>
      <c r="R179" s="8">
        <f>IFERROR(Q179/Q445, "NA")</f>
        <v>0</v>
      </c>
      <c r="S179" s="9"/>
      <c r="T179" s="7">
        <v>0</v>
      </c>
      <c r="U179" s="8">
        <f>IFERROR(T179/T445, "NA")</f>
        <v>0</v>
      </c>
      <c r="V179" s="9"/>
      <c r="W179" s="10">
        <f t="shared" si="46"/>
        <v>0</v>
      </c>
      <c r="X179" s="8">
        <f>IFERROR(W179/W445, "NA")</f>
        <v>0</v>
      </c>
      <c r="Y179" s="9"/>
      <c r="Z179" s="7">
        <v>0</v>
      </c>
      <c r="AA179" s="8">
        <f>IFERROR(Z179/Z445, "NA")</f>
        <v>0</v>
      </c>
      <c r="AB179" s="9"/>
      <c r="AC179" s="10">
        <f t="shared" si="47"/>
        <v>0</v>
      </c>
      <c r="AD179" s="8">
        <f>IFERROR(AC179/AC445, "NA")</f>
        <v>0</v>
      </c>
    </row>
    <row r="180" spans="1:30" ht="16.5" customHeight="1" x14ac:dyDescent="0.45">
      <c r="A180" s="12" t="s">
        <v>165</v>
      </c>
      <c r="B180" s="7">
        <v>22640.68</v>
      </c>
      <c r="C180" s="8">
        <f>IFERROR(B180/B445, "NA")</f>
        <v>0.19497106867804631</v>
      </c>
      <c r="D180" s="9"/>
      <c r="E180" s="7">
        <v>24834.07</v>
      </c>
      <c r="F180" s="8">
        <f>IFERROR(E180/E445, "NA")</f>
        <v>0.19799997783529086</v>
      </c>
      <c r="G180" s="9"/>
      <c r="H180" s="10">
        <f t="shared" si="44"/>
        <v>2193.3899999999994</v>
      </c>
      <c r="I180" s="8">
        <f>IFERROR(H180/H445, "NA")</f>
        <v>-0.23581466306431434</v>
      </c>
      <c r="J180" s="9"/>
      <c r="K180" s="7">
        <v>23415.52</v>
      </c>
      <c r="L180" s="8">
        <f>IFERROR(K180/K445, "NA")</f>
        <v>0.203585423555219</v>
      </c>
      <c r="M180" s="9"/>
      <c r="N180" s="10">
        <f t="shared" si="45"/>
        <v>774.84000000000015</v>
      </c>
      <c r="O180" s="8">
        <f>IFERROR(N180/N445, "NA")</f>
        <v>0.69957926289748729</v>
      </c>
      <c r="P180" s="9"/>
      <c r="Q180" s="7">
        <v>107067.72</v>
      </c>
      <c r="R180" s="8">
        <f>IFERROR(Q180/Q445, "NA")</f>
        <v>0.20287544309957833</v>
      </c>
      <c r="S180" s="9"/>
      <c r="T180" s="7">
        <v>116931.46</v>
      </c>
      <c r="U180" s="8">
        <f>IFERROR(T180/T445, "NA")</f>
        <v>0.19664699615835982</v>
      </c>
      <c r="V180" s="9"/>
      <c r="W180" s="10">
        <f t="shared" si="46"/>
        <v>9863.7400000000052</v>
      </c>
      <c r="X180" s="8">
        <f>IFERROR(W180/W445, "NA")</f>
        <v>-0.14749471440912126</v>
      </c>
      <c r="Y180" s="9"/>
      <c r="Z180" s="7">
        <v>113732.72</v>
      </c>
      <c r="AA180" s="8">
        <f>IFERROR(Z180/Z445, "NA")</f>
        <v>0.2046408881212935</v>
      </c>
      <c r="AB180" s="9"/>
      <c r="AC180" s="10">
        <f t="shared" si="47"/>
        <v>6665</v>
      </c>
      <c r="AD180" s="8">
        <f>IFERROR(AC180/AC445, "NA")</f>
        <v>-0.23789705428835808</v>
      </c>
    </row>
    <row r="181" spans="1:30" ht="16.5" customHeight="1" x14ac:dyDescent="0.45">
      <c r="A181" s="12" t="s">
        <v>166</v>
      </c>
      <c r="B181" s="7">
        <v>353.44</v>
      </c>
      <c r="C181" s="8">
        <f>IFERROR(B181/B445, "NA")</f>
        <v>3.0436618738292616E-3</v>
      </c>
      <c r="D181" s="9"/>
      <c r="E181" s="7">
        <v>0</v>
      </c>
      <c r="F181" s="8">
        <f>IFERROR(E181/E445, "NA")</f>
        <v>0</v>
      </c>
      <c r="G181" s="9"/>
      <c r="H181" s="10">
        <f t="shared" si="44"/>
        <v>-353.44</v>
      </c>
      <c r="I181" s="8">
        <f>IFERROR(H181/H445, "NA")</f>
        <v>3.799886682872234E-2</v>
      </c>
      <c r="J181" s="9"/>
      <c r="K181" s="7">
        <v>369.36</v>
      </c>
      <c r="L181" s="8">
        <f>IFERROR(K181/K445, "NA")</f>
        <v>3.2113876627277841E-3</v>
      </c>
      <c r="M181" s="9"/>
      <c r="N181" s="10">
        <f t="shared" si="45"/>
        <v>15.920000000000016</v>
      </c>
      <c r="O181" s="8">
        <f>IFERROR(N181/N445, "NA")</f>
        <v>1.4373679553621401E-2</v>
      </c>
      <c r="P181" s="9"/>
      <c r="Q181" s="7">
        <v>677.73</v>
      </c>
      <c r="R181" s="8">
        <f>IFERROR(Q181/Q445, "NA")</f>
        <v>1.2841851311663052E-3</v>
      </c>
      <c r="S181" s="9"/>
      <c r="T181" s="7">
        <v>0</v>
      </c>
      <c r="U181" s="8">
        <f>IFERROR(T181/T445, "NA")</f>
        <v>0</v>
      </c>
      <c r="V181" s="9"/>
      <c r="W181" s="10">
        <f t="shared" si="46"/>
        <v>-677.73</v>
      </c>
      <c r="X181" s="8">
        <f>IFERROR(W181/W445, "NA")</f>
        <v>1.0134248550397081E-2</v>
      </c>
      <c r="Y181" s="9"/>
      <c r="Z181" s="7">
        <v>469.97</v>
      </c>
      <c r="AA181" s="8">
        <f>IFERROR(Z181/Z445, "NA")</f>
        <v>8.4562365333708993E-4</v>
      </c>
      <c r="AB181" s="9"/>
      <c r="AC181" s="10">
        <f t="shared" si="47"/>
        <v>-207.76</v>
      </c>
      <c r="AD181" s="8">
        <f>IFERROR(AC181/AC445, "NA")</f>
        <v>7.4156777192722085E-3</v>
      </c>
    </row>
    <row r="182" spans="1:30" ht="16.5" customHeight="1" x14ac:dyDescent="0.45">
      <c r="A182" s="13" t="s">
        <v>167</v>
      </c>
      <c r="B182" s="14">
        <f>IFERROR(B177+B178+B179+B180+B181, "NA")</f>
        <v>28186.44</v>
      </c>
      <c r="C182" s="15">
        <f>IFERROR(B182/B445, "NA")</f>
        <v>0.24272858982281589</v>
      </c>
      <c r="D182" s="2"/>
      <c r="E182" s="14">
        <f>IFERROR(E177+E178+E179+E180+E181, "NA")</f>
        <v>30026.39</v>
      </c>
      <c r="F182" s="15">
        <f>IFERROR(E182/E445, "NA")</f>
        <v>0.23939791401384464</v>
      </c>
      <c r="G182" s="2"/>
      <c r="H182" s="14">
        <f t="shared" si="44"/>
        <v>1839.9500000000007</v>
      </c>
      <c r="I182" s="15">
        <f>IFERROR(H182/H445, "NA")</f>
        <v>-0.19781579623559215</v>
      </c>
      <c r="J182" s="2"/>
      <c r="K182" s="14">
        <f>IFERROR(K177+K178+K179+K180+K181, "NA")</f>
        <v>28977.200000000001</v>
      </c>
      <c r="L182" s="15">
        <f>IFERROR(K182/K445, "NA")</f>
        <v>0.25194125671538758</v>
      </c>
      <c r="M182" s="2"/>
      <c r="N182" s="14">
        <f t="shared" si="45"/>
        <v>790.76000000000204</v>
      </c>
      <c r="O182" s="15">
        <f>IFERROR(N182/N445, "NA")</f>
        <v>0.7139529424511103</v>
      </c>
      <c r="P182" s="2"/>
      <c r="Q182" s="14">
        <f>IFERROR(Q177+Q178+Q179+Q180+Q181, "NA")</f>
        <v>135005.13</v>
      </c>
      <c r="R182" s="15">
        <f>IFERROR(Q182/Q445, "NA")</f>
        <v>0.25581216793881645</v>
      </c>
      <c r="S182" s="2"/>
      <c r="T182" s="14">
        <f>IFERROR(T177+T178+T179+T180+T181, "NA")</f>
        <v>144191.14000000001</v>
      </c>
      <c r="U182" s="15">
        <f>IFERROR(T182/T445, "NA")</f>
        <v>0.24249038328649555</v>
      </c>
      <c r="V182" s="2"/>
      <c r="W182" s="14">
        <f t="shared" si="46"/>
        <v>9186.0100000000093</v>
      </c>
      <c r="X182" s="15">
        <f>IFERROR(W182/W445, "NA")</f>
        <v>-0.13736046585872425</v>
      </c>
      <c r="Y182" s="2"/>
      <c r="Z182" s="14">
        <f>IFERROR(Z177+Z178+Z179+Z180+Z181, "NA")</f>
        <v>141462.37</v>
      </c>
      <c r="AA182" s="15">
        <f>IFERROR(Z182/Z445, "NA")</f>
        <v>0.25453523869422123</v>
      </c>
      <c r="AB182" s="2"/>
      <c r="AC182" s="14">
        <f t="shared" si="47"/>
        <v>6457.2399999999907</v>
      </c>
      <c r="AD182" s="15">
        <f>IFERROR(AC182/AC445, "NA")</f>
        <v>-0.23048137656908554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IFERROR(B183/B445, "NA")</f>
        <v>0</v>
      </c>
      <c r="D183" s="9"/>
      <c r="E183" s="7">
        <v>0</v>
      </c>
      <c r="F183" s="8">
        <f>IFERROR(E183/E445, "NA")</f>
        <v>0</v>
      </c>
      <c r="G183" s="9"/>
      <c r="H183" s="10">
        <f t="shared" si="44"/>
        <v>0</v>
      </c>
      <c r="I183" s="8">
        <f>IFERROR(H183/H445, "NA")</f>
        <v>0</v>
      </c>
      <c r="J183" s="9"/>
      <c r="K183" s="7">
        <v>0</v>
      </c>
      <c r="L183" s="8">
        <f>IFERROR(K183/K445, "NA")</f>
        <v>0</v>
      </c>
      <c r="M183" s="9"/>
      <c r="N183" s="10">
        <f t="shared" si="45"/>
        <v>0</v>
      </c>
      <c r="O183" s="8">
        <f>IFERROR(N183/N445, "NA")</f>
        <v>0</v>
      </c>
      <c r="P183" s="9"/>
      <c r="Q183" s="7">
        <v>0</v>
      </c>
      <c r="R183" s="8">
        <f>IFERROR(Q183/Q445, "NA")</f>
        <v>0</v>
      </c>
      <c r="S183" s="9"/>
      <c r="T183" s="7">
        <v>0</v>
      </c>
      <c r="U183" s="8">
        <f>IFERROR(T183/T445, "NA")</f>
        <v>0</v>
      </c>
      <c r="V183" s="9"/>
      <c r="W183" s="10">
        <f t="shared" si="46"/>
        <v>0</v>
      </c>
      <c r="X183" s="8">
        <f>IFERROR(W183/W445, "NA")</f>
        <v>0</v>
      </c>
      <c r="Y183" s="9"/>
      <c r="Z183" s="7">
        <v>0</v>
      </c>
      <c r="AA183" s="8">
        <f>IFERROR(Z183/Z445, "NA")</f>
        <v>0</v>
      </c>
      <c r="AB183" s="9"/>
      <c r="AC183" s="10">
        <f t="shared" si="47"/>
        <v>0</v>
      </c>
      <c r="AD183" s="8">
        <f>IFERROR(AC183/AC445, "NA")</f>
        <v>0</v>
      </c>
    </row>
    <row r="184" spans="1:30" ht="16.5" customHeight="1" x14ac:dyDescent="0.45">
      <c r="A184" s="6" t="s">
        <v>169</v>
      </c>
      <c r="B184" s="7">
        <v>-813</v>
      </c>
      <c r="C184" s="8">
        <f>IFERROR(B184/B445, "NA")</f>
        <v>-7.0011801251221974E-3</v>
      </c>
      <c r="D184" s="9"/>
      <c r="E184" s="7">
        <v>325</v>
      </c>
      <c r="F184" s="8">
        <f>IFERROR(E184/E445, "NA")</f>
        <v>2.5911980112993775E-3</v>
      </c>
      <c r="G184" s="9"/>
      <c r="H184" s="10">
        <f t="shared" si="44"/>
        <v>1138</v>
      </c>
      <c r="I184" s="8">
        <f>IFERROR(H184/H445, "NA")</f>
        <v>-0.12234809430479295</v>
      </c>
      <c r="J184" s="9"/>
      <c r="K184" s="7">
        <v>500</v>
      </c>
      <c r="L184" s="8">
        <f>IFERROR(K184/K445, "NA")</f>
        <v>4.3472325952022203E-3</v>
      </c>
      <c r="M184" s="9"/>
      <c r="N184" s="10">
        <f t="shared" si="45"/>
        <v>1313</v>
      </c>
      <c r="O184" s="8">
        <f>IFERROR(N184/N445, "NA")</f>
        <v>1.1854674154462865</v>
      </c>
      <c r="P184" s="9"/>
      <c r="Q184" s="7">
        <v>-850</v>
      </c>
      <c r="R184" s="8">
        <f>IFERROR(Q184/Q445, "NA")</f>
        <v>-1.6106080024366036E-3</v>
      </c>
      <c r="S184" s="9"/>
      <c r="T184" s="7">
        <v>1787.5</v>
      </c>
      <c r="U184" s="8">
        <f>IFERROR(T184/T445, "NA")</f>
        <v>3.006090111532586E-3</v>
      </c>
      <c r="V184" s="9"/>
      <c r="W184" s="10">
        <f t="shared" si="46"/>
        <v>2637.5</v>
      </c>
      <c r="X184" s="8">
        <f>IFERROR(W184/W445, "NA")</f>
        <v>-3.943912849021336E-2</v>
      </c>
      <c r="Y184" s="9"/>
      <c r="Z184" s="7">
        <v>2500</v>
      </c>
      <c r="AA184" s="8">
        <f>IFERROR(Z184/Z445, "NA")</f>
        <v>4.4982852806407314E-3</v>
      </c>
      <c r="AB184" s="9"/>
      <c r="AC184" s="10">
        <f t="shared" si="47"/>
        <v>3350</v>
      </c>
      <c r="AD184" s="8">
        <f>IFERROR(AC184/AC445, "NA")</f>
        <v>-0.11957316307066761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2557.7399999999998</v>
      </c>
      <c r="C186" s="8">
        <f>IFERROR(B186/B445, "NA")</f>
        <v>2.2026074358216543E-2</v>
      </c>
      <c r="D186" s="9"/>
      <c r="E186" s="7">
        <v>2864.05</v>
      </c>
      <c r="F186" s="8">
        <f>IFERROR(E186/E445, "NA")</f>
        <v>2.2834832813113791E-2</v>
      </c>
      <c r="G186" s="9"/>
      <c r="H186" s="10">
        <f t="shared" ref="H186:H197" si="48">IFERROR(-(B186-E186), "NA")</f>
        <v>306.3100000000004</v>
      </c>
      <c r="I186" s="8">
        <f>IFERROR(H186/H445, "NA")</f>
        <v>-3.2931849531196114E-2</v>
      </c>
      <c r="J186" s="9"/>
      <c r="K186" s="7">
        <v>2626.36</v>
      </c>
      <c r="L186" s="8">
        <f>IFERROR(K186/K445, "NA")</f>
        <v>2.2834795597470609E-2</v>
      </c>
      <c r="M186" s="9"/>
      <c r="N186" s="10">
        <f t="shared" ref="N186:N197" si="49">IFERROR(-(B186-K186), "NA")</f>
        <v>68.620000000000346</v>
      </c>
      <c r="O186" s="8">
        <f>IFERROR(N186/N445, "NA")</f>
        <v>6.1954892648838224E-2</v>
      </c>
      <c r="P186" s="9"/>
      <c r="Q186" s="7">
        <v>12644.39</v>
      </c>
      <c r="R186" s="8">
        <f>IFERROR(Q186/Q445, "NA")</f>
        <v>2.3959006729328665E-2</v>
      </c>
      <c r="S186" s="9"/>
      <c r="T186" s="7">
        <v>14047.44</v>
      </c>
      <c r="U186" s="8">
        <f>IFERROR(T186/T445, "NA")</f>
        <v>2.3623983483271223E-2</v>
      </c>
      <c r="V186" s="9"/>
      <c r="W186" s="10">
        <f t="shared" ref="W186:W197" si="50">IFERROR(-(Q186-T186), "NA")</f>
        <v>1403.0500000000011</v>
      </c>
      <c r="X186" s="8">
        <f>IFERROR(W186/W445, "NA")</f>
        <v>-2.0980121034386314E-2</v>
      </c>
      <c r="Y186" s="9"/>
      <c r="Z186" s="7">
        <v>13154.4</v>
      </c>
      <c r="AA186" s="8">
        <f>IFERROR(Z186/Z445, "NA")</f>
        <v>2.3668897558264176E-2</v>
      </c>
      <c r="AB186" s="9"/>
      <c r="AC186" s="10">
        <f t="shared" ref="AC186:AC197" si="51">IFERROR(-(Q186-Z186), "NA")</f>
        <v>510.01000000000022</v>
      </c>
      <c r="AD186" s="8">
        <f>IFERROR(AC186/AC445, "NA")</f>
        <v>-1.8204032506767526E-2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IFERROR(B187/B445, "NA")</f>
        <v>0</v>
      </c>
      <c r="D187" s="9"/>
      <c r="E187" s="7">
        <v>0</v>
      </c>
      <c r="F187" s="8">
        <f>IFERROR(E187/E445, "NA")</f>
        <v>0</v>
      </c>
      <c r="G187" s="9"/>
      <c r="H187" s="10">
        <f t="shared" si="48"/>
        <v>0</v>
      </c>
      <c r="I187" s="8">
        <f>IFERROR(H187/H445, "NA")</f>
        <v>0</v>
      </c>
      <c r="J187" s="9"/>
      <c r="K187" s="7">
        <v>0</v>
      </c>
      <c r="L187" s="8">
        <f>IFERROR(K187/K445, "NA")</f>
        <v>0</v>
      </c>
      <c r="M187" s="9"/>
      <c r="N187" s="10">
        <f t="shared" si="49"/>
        <v>0</v>
      </c>
      <c r="O187" s="8">
        <f>IFERROR(N187/N445, "NA")</f>
        <v>0</v>
      </c>
      <c r="P187" s="9"/>
      <c r="Q187" s="7">
        <v>0</v>
      </c>
      <c r="R187" s="8">
        <f>IFERROR(Q187/Q445, "NA")</f>
        <v>0</v>
      </c>
      <c r="S187" s="9"/>
      <c r="T187" s="7">
        <v>0</v>
      </c>
      <c r="U187" s="8">
        <f>IFERROR(T187/T445, "NA")</f>
        <v>0</v>
      </c>
      <c r="V187" s="9"/>
      <c r="W187" s="10">
        <f t="shared" si="50"/>
        <v>0</v>
      </c>
      <c r="X187" s="8">
        <f>IFERROR(W187/W445, "NA")</f>
        <v>0</v>
      </c>
      <c r="Y187" s="9"/>
      <c r="Z187" s="7">
        <v>0</v>
      </c>
      <c r="AA187" s="8">
        <f>IFERROR(Z187/Z445, "NA")</f>
        <v>0</v>
      </c>
      <c r="AB187" s="9"/>
      <c r="AC187" s="10">
        <f t="shared" si="51"/>
        <v>0</v>
      </c>
      <c r="AD187" s="8">
        <f>IFERROR(AC187/AC445,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IFERROR(B188/B445, "NA")</f>
        <v>0</v>
      </c>
      <c r="D188" s="9"/>
      <c r="E188" s="7">
        <v>0</v>
      </c>
      <c r="F188" s="8">
        <f>IFERROR(E188/E445, "NA")</f>
        <v>0</v>
      </c>
      <c r="G188" s="9"/>
      <c r="H188" s="10">
        <f t="shared" si="48"/>
        <v>0</v>
      </c>
      <c r="I188" s="8">
        <f>IFERROR(H188/H445, "NA")</f>
        <v>0</v>
      </c>
      <c r="J188" s="9"/>
      <c r="K188" s="7">
        <v>0</v>
      </c>
      <c r="L188" s="8">
        <f>IFERROR(K188/K445, "NA")</f>
        <v>0</v>
      </c>
      <c r="M188" s="9"/>
      <c r="N188" s="10">
        <f t="shared" si="49"/>
        <v>0</v>
      </c>
      <c r="O188" s="8">
        <f>IFERROR(N188/N445, "NA")</f>
        <v>0</v>
      </c>
      <c r="P188" s="9"/>
      <c r="Q188" s="7">
        <v>0</v>
      </c>
      <c r="R188" s="8">
        <f>IFERROR(Q188/Q445, "NA")</f>
        <v>0</v>
      </c>
      <c r="S188" s="9"/>
      <c r="T188" s="7">
        <v>0</v>
      </c>
      <c r="U188" s="8">
        <f>IFERROR(T188/T445, "NA")</f>
        <v>0</v>
      </c>
      <c r="V188" s="9"/>
      <c r="W188" s="10">
        <f t="shared" si="50"/>
        <v>0</v>
      </c>
      <c r="X188" s="8">
        <f>IFERROR(W188/W445, "NA")</f>
        <v>0</v>
      </c>
      <c r="Y188" s="9"/>
      <c r="Z188" s="7">
        <v>0</v>
      </c>
      <c r="AA188" s="8">
        <f>IFERROR(Z188/Z445, "NA")</f>
        <v>0</v>
      </c>
      <c r="AB188" s="9"/>
      <c r="AC188" s="10">
        <f t="shared" si="51"/>
        <v>0</v>
      </c>
      <c r="AD188" s="8">
        <f>IFERROR(AC188/AC445,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IFERROR(B189/B445, "NA")</f>
        <v>0</v>
      </c>
      <c r="D189" s="9"/>
      <c r="E189" s="7">
        <v>0</v>
      </c>
      <c r="F189" s="8">
        <f>IFERROR(E189/E445, "NA")</f>
        <v>0</v>
      </c>
      <c r="G189" s="9"/>
      <c r="H189" s="10">
        <f t="shared" si="48"/>
        <v>0</v>
      </c>
      <c r="I189" s="8">
        <f>IFERROR(H189/H445, "NA")</f>
        <v>0</v>
      </c>
      <c r="J189" s="9"/>
      <c r="K189" s="7">
        <v>0</v>
      </c>
      <c r="L189" s="8">
        <f>IFERROR(K189/K445, "NA")</f>
        <v>0</v>
      </c>
      <c r="M189" s="9"/>
      <c r="N189" s="10">
        <f t="shared" si="49"/>
        <v>0</v>
      </c>
      <c r="O189" s="8">
        <f>IFERROR(N189/N445, "NA")</f>
        <v>0</v>
      </c>
      <c r="P189" s="9"/>
      <c r="Q189" s="7">
        <v>0</v>
      </c>
      <c r="R189" s="8">
        <f>IFERROR(Q189/Q445, "NA")</f>
        <v>0</v>
      </c>
      <c r="S189" s="9"/>
      <c r="T189" s="7">
        <v>0</v>
      </c>
      <c r="U189" s="8">
        <f>IFERROR(T189/T445, "NA")</f>
        <v>0</v>
      </c>
      <c r="V189" s="9"/>
      <c r="W189" s="10">
        <f t="shared" si="50"/>
        <v>0</v>
      </c>
      <c r="X189" s="8">
        <f>IFERROR(W189/W445, "NA")</f>
        <v>0</v>
      </c>
      <c r="Y189" s="9"/>
      <c r="Z189" s="7">
        <v>0</v>
      </c>
      <c r="AA189" s="8">
        <f>IFERROR(Z189/Z445, "NA")</f>
        <v>0</v>
      </c>
      <c r="AB189" s="9"/>
      <c r="AC189" s="10">
        <f t="shared" si="51"/>
        <v>0</v>
      </c>
      <c r="AD189" s="8">
        <f>IFERROR(AC189/AC445,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IFERROR(B190/B445, "NA")</f>
        <v>0</v>
      </c>
      <c r="D190" s="9"/>
      <c r="E190" s="7">
        <v>0</v>
      </c>
      <c r="F190" s="8">
        <f>IFERROR(E190/E445, "NA")</f>
        <v>0</v>
      </c>
      <c r="G190" s="9"/>
      <c r="H190" s="10">
        <f t="shared" si="48"/>
        <v>0</v>
      </c>
      <c r="I190" s="8">
        <f>IFERROR(H190/H445, "NA")</f>
        <v>0</v>
      </c>
      <c r="J190" s="9"/>
      <c r="K190" s="7">
        <v>0</v>
      </c>
      <c r="L190" s="8">
        <f>IFERROR(K190/K445, "NA")</f>
        <v>0</v>
      </c>
      <c r="M190" s="9"/>
      <c r="N190" s="10">
        <f t="shared" si="49"/>
        <v>0</v>
      </c>
      <c r="O190" s="8">
        <f>IFERROR(N190/N445, "NA")</f>
        <v>0</v>
      </c>
      <c r="P190" s="9"/>
      <c r="Q190" s="7">
        <v>0</v>
      </c>
      <c r="R190" s="8">
        <f>IFERROR(Q190/Q445, "NA")</f>
        <v>0</v>
      </c>
      <c r="S190" s="9"/>
      <c r="T190" s="7">
        <v>0</v>
      </c>
      <c r="U190" s="8">
        <f>IFERROR(T190/T445, "NA")</f>
        <v>0</v>
      </c>
      <c r="V190" s="9"/>
      <c r="W190" s="10">
        <f t="shared" si="50"/>
        <v>0</v>
      </c>
      <c r="X190" s="8">
        <f>IFERROR(W190/W445, "NA")</f>
        <v>0</v>
      </c>
      <c r="Y190" s="9"/>
      <c r="Z190" s="7">
        <v>0</v>
      </c>
      <c r="AA190" s="8">
        <f>IFERROR(Z190/Z445, "NA")</f>
        <v>0</v>
      </c>
      <c r="AB190" s="9"/>
      <c r="AC190" s="10">
        <f t="shared" si="51"/>
        <v>0</v>
      </c>
      <c r="AD190" s="8">
        <f>IFERROR(AC190/AC445,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IFERROR(B191/B445, "NA")</f>
        <v>0</v>
      </c>
      <c r="D191" s="9"/>
      <c r="E191" s="7">
        <v>0</v>
      </c>
      <c r="F191" s="8">
        <f>IFERROR(E191/E445, "NA")</f>
        <v>0</v>
      </c>
      <c r="G191" s="9"/>
      <c r="H191" s="10">
        <f t="shared" si="48"/>
        <v>0</v>
      </c>
      <c r="I191" s="8">
        <f>IFERROR(H191/H445, "NA")</f>
        <v>0</v>
      </c>
      <c r="J191" s="9"/>
      <c r="K191" s="7">
        <v>0</v>
      </c>
      <c r="L191" s="8">
        <f>IFERROR(K191/K445, "NA")</f>
        <v>0</v>
      </c>
      <c r="M191" s="9"/>
      <c r="N191" s="10">
        <f t="shared" si="49"/>
        <v>0</v>
      </c>
      <c r="O191" s="8">
        <f>IFERROR(N191/N445, "NA")</f>
        <v>0</v>
      </c>
      <c r="P191" s="9"/>
      <c r="Q191" s="7">
        <v>0</v>
      </c>
      <c r="R191" s="8">
        <f>IFERROR(Q191/Q445, "NA")</f>
        <v>0</v>
      </c>
      <c r="S191" s="9"/>
      <c r="T191" s="7">
        <v>0</v>
      </c>
      <c r="U191" s="8">
        <f>IFERROR(T191/T445, "NA")</f>
        <v>0</v>
      </c>
      <c r="V191" s="9"/>
      <c r="W191" s="10">
        <f t="shared" si="50"/>
        <v>0</v>
      </c>
      <c r="X191" s="8">
        <f>IFERROR(W191/W445, "NA")</f>
        <v>0</v>
      </c>
      <c r="Y191" s="9"/>
      <c r="Z191" s="7">
        <v>0</v>
      </c>
      <c r="AA191" s="8">
        <f>IFERROR(Z191/Z445, "NA")</f>
        <v>0</v>
      </c>
      <c r="AB191" s="9"/>
      <c r="AC191" s="10">
        <f t="shared" si="51"/>
        <v>0</v>
      </c>
      <c r="AD191" s="8">
        <f>IFERROR(AC191/AC445,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IFERROR(B192/B445, "NA")</f>
        <v>0</v>
      </c>
      <c r="D192" s="9"/>
      <c r="E192" s="7">
        <v>0</v>
      </c>
      <c r="F192" s="8">
        <f>IFERROR(E192/E445, "NA")</f>
        <v>0</v>
      </c>
      <c r="G192" s="9"/>
      <c r="H192" s="10">
        <f t="shared" si="48"/>
        <v>0</v>
      </c>
      <c r="I192" s="8">
        <f>IFERROR(H192/H445, "NA")</f>
        <v>0</v>
      </c>
      <c r="J192" s="9"/>
      <c r="K192" s="7">
        <v>0</v>
      </c>
      <c r="L192" s="8">
        <f>IFERROR(K192/K445, "NA")</f>
        <v>0</v>
      </c>
      <c r="M192" s="9"/>
      <c r="N192" s="10">
        <f t="shared" si="49"/>
        <v>0</v>
      </c>
      <c r="O192" s="8">
        <f>IFERROR(N192/N445, "NA")</f>
        <v>0</v>
      </c>
      <c r="P192" s="9"/>
      <c r="Q192" s="7">
        <v>0</v>
      </c>
      <c r="R192" s="8">
        <f>IFERROR(Q192/Q445, "NA")</f>
        <v>0</v>
      </c>
      <c r="S192" s="9"/>
      <c r="T192" s="7">
        <v>0</v>
      </c>
      <c r="U192" s="8">
        <f>IFERROR(T192/T445, "NA")</f>
        <v>0</v>
      </c>
      <c r="V192" s="9"/>
      <c r="W192" s="10">
        <f t="shared" si="50"/>
        <v>0</v>
      </c>
      <c r="X192" s="8">
        <f>IFERROR(W192/W445, "NA")</f>
        <v>0</v>
      </c>
      <c r="Y192" s="9"/>
      <c r="Z192" s="7">
        <v>0</v>
      </c>
      <c r="AA192" s="8">
        <f>IFERROR(Z192/Z445, "NA")</f>
        <v>0</v>
      </c>
      <c r="AB192" s="9"/>
      <c r="AC192" s="10">
        <f t="shared" si="51"/>
        <v>0</v>
      </c>
      <c r="AD192" s="8">
        <f>IFERROR(AC192/AC445,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2557.7399999999998</v>
      </c>
      <c r="C193" s="15">
        <f>IFERROR(B193/B445, "NA")</f>
        <v>2.2026074358216543E-2</v>
      </c>
      <c r="D193" s="2"/>
      <c r="E193" s="14">
        <f>IFERROR(E186+E187+E188+E189+E190+E191+E192, "NA")</f>
        <v>2864.05</v>
      </c>
      <c r="F193" s="15">
        <f>IFERROR(E193/E445, "NA")</f>
        <v>2.2834832813113791E-2</v>
      </c>
      <c r="G193" s="2"/>
      <c r="H193" s="14">
        <f t="shared" si="48"/>
        <v>306.3100000000004</v>
      </c>
      <c r="I193" s="15">
        <f>IFERROR(H193/H445, "NA")</f>
        <v>-3.2931849531196114E-2</v>
      </c>
      <c r="J193" s="2"/>
      <c r="K193" s="14">
        <f>IFERROR(K186+K187+K188+K189+K190+K191+K192, "NA")</f>
        <v>2626.36</v>
      </c>
      <c r="L193" s="15">
        <f>IFERROR(K193/K445, "NA")</f>
        <v>2.2834795597470609E-2</v>
      </c>
      <c r="M193" s="2"/>
      <c r="N193" s="14">
        <f t="shared" si="49"/>
        <v>68.620000000000346</v>
      </c>
      <c r="O193" s="15">
        <f>IFERROR(N193/N445, "NA")</f>
        <v>6.1954892648838224E-2</v>
      </c>
      <c r="P193" s="2"/>
      <c r="Q193" s="14">
        <f>IFERROR(Q186+Q187+Q188+Q189+Q190+Q191+Q192, "NA")</f>
        <v>12644.39</v>
      </c>
      <c r="R193" s="15">
        <f>IFERROR(Q193/Q445, "NA")</f>
        <v>2.3959006729328665E-2</v>
      </c>
      <c r="S193" s="2"/>
      <c r="T193" s="14">
        <f>IFERROR(T186+T187+T188+T189+T190+T191+T192, "NA")</f>
        <v>14047.44</v>
      </c>
      <c r="U193" s="15">
        <f>IFERROR(T193/T445, "NA")</f>
        <v>2.3623983483271223E-2</v>
      </c>
      <c r="V193" s="2"/>
      <c r="W193" s="14">
        <f t="shared" si="50"/>
        <v>1403.0500000000011</v>
      </c>
      <c r="X193" s="15">
        <f>IFERROR(W193/W445, "NA")</f>
        <v>-2.0980121034386314E-2</v>
      </c>
      <c r="Y193" s="2"/>
      <c r="Z193" s="14">
        <f>IFERROR(Z186+Z187+Z188+Z189+Z190+Z191+Z192, "NA")</f>
        <v>13154.4</v>
      </c>
      <c r="AA193" s="15">
        <f>IFERROR(Z193/Z445, "NA")</f>
        <v>2.3668897558264176E-2</v>
      </c>
      <c r="AB193" s="2"/>
      <c r="AC193" s="14">
        <f t="shared" si="51"/>
        <v>510.01000000000022</v>
      </c>
      <c r="AD193" s="15">
        <f>IFERROR(AC193/AC445, "NA")</f>
        <v>-1.8204032506767526E-2</v>
      </c>
    </row>
    <row r="194" spans="1:30" ht="16.5" customHeight="1" x14ac:dyDescent="0.45">
      <c r="A194" s="6" t="s">
        <v>178</v>
      </c>
      <c r="B194" s="7">
        <v>276.31</v>
      </c>
      <c r="C194" s="8">
        <f>IFERROR(B194/B445, "NA")</f>
        <v>2.3794539733979266E-3</v>
      </c>
      <c r="D194" s="9"/>
      <c r="E194" s="7">
        <v>242.81</v>
      </c>
      <c r="F194" s="8">
        <f>IFERROR(E194/E445, "NA")</f>
        <v>1.9359039665341595E-3</v>
      </c>
      <c r="G194" s="9"/>
      <c r="H194" s="10">
        <f t="shared" si="48"/>
        <v>-33.5</v>
      </c>
      <c r="I194" s="8">
        <f>IFERROR(H194/H445, "NA")</f>
        <v>3.6016354650356447E-3</v>
      </c>
      <c r="J194" s="9"/>
      <c r="K194" s="7">
        <v>275.60000000000002</v>
      </c>
      <c r="L194" s="8">
        <f>IFERROR(K194/K445, "NA")</f>
        <v>2.396194606475464E-3</v>
      </c>
      <c r="M194" s="9"/>
      <c r="N194" s="10">
        <f t="shared" si="49"/>
        <v>-0.70999999999997954</v>
      </c>
      <c r="O194" s="8">
        <f>IFERROR(N194/N445, "NA")</f>
        <v>-6.4103721627329713E-4</v>
      </c>
      <c r="P194" s="9"/>
      <c r="Q194" s="7">
        <v>1411.97</v>
      </c>
      <c r="R194" s="8">
        <f>IFERROR(Q194/Q445, "NA")</f>
        <v>2.6754472720004838E-3</v>
      </c>
      <c r="S194" s="9"/>
      <c r="T194" s="7">
        <v>1167.83</v>
      </c>
      <c r="U194" s="8">
        <f>IFERROR(T194/T445, "NA")</f>
        <v>1.9639732671055104E-3</v>
      </c>
      <c r="V194" s="9"/>
      <c r="W194" s="10">
        <f t="shared" si="50"/>
        <v>-244.1400000000001</v>
      </c>
      <c r="X194" s="8">
        <f>IFERROR(W194/W445, "NA")</f>
        <v>3.6506801249670878E-3</v>
      </c>
      <c r="Y194" s="9"/>
      <c r="Z194" s="7">
        <v>1447.56</v>
      </c>
      <c r="AA194" s="8">
        <f>IFERROR(Z194/Z445, "NA")</f>
        <v>2.6046151363377191E-3</v>
      </c>
      <c r="AB194" s="9"/>
      <c r="AC194" s="10">
        <f t="shared" si="51"/>
        <v>35.589999999999918</v>
      </c>
      <c r="AD194" s="8">
        <f>IFERROR(AC194/AC445, "NA")</f>
        <v>-1.2703310070701643E-3</v>
      </c>
    </row>
    <row r="195" spans="1:30" ht="16.5" customHeight="1" x14ac:dyDescent="0.45">
      <c r="A195" s="6" t="s">
        <v>179</v>
      </c>
      <c r="B195" s="7">
        <v>0</v>
      </c>
      <c r="C195" s="8">
        <f>IFERROR(B195/B445, "NA")</f>
        <v>0</v>
      </c>
      <c r="D195" s="9"/>
      <c r="E195" s="7">
        <v>874</v>
      </c>
      <c r="F195" s="8">
        <f>IFERROR(E195/E445, "NA")</f>
        <v>6.9683294211558642E-3</v>
      </c>
      <c r="G195" s="9"/>
      <c r="H195" s="10">
        <f t="shared" si="48"/>
        <v>874</v>
      </c>
      <c r="I195" s="8">
        <f>IFERROR(H195/H445, "NA")</f>
        <v>-9.3965056610183686E-2</v>
      </c>
      <c r="J195" s="9"/>
      <c r="K195" s="7">
        <v>871.14</v>
      </c>
      <c r="L195" s="8">
        <f>IFERROR(K195/K445, "NA")</f>
        <v>7.5740964059689241E-3</v>
      </c>
      <c r="M195" s="9"/>
      <c r="N195" s="10">
        <f t="shared" si="49"/>
        <v>871.14</v>
      </c>
      <c r="O195" s="8">
        <f>IFERROR(N195/N445, "NA")</f>
        <v>0.78652557828779734</v>
      </c>
      <c r="P195" s="9"/>
      <c r="Q195" s="7">
        <v>0</v>
      </c>
      <c r="R195" s="8">
        <f>IFERROR(Q195/Q445, "NA")</f>
        <v>0</v>
      </c>
      <c r="S195" s="9"/>
      <c r="T195" s="7">
        <v>4924.45</v>
      </c>
      <c r="U195" s="8">
        <f>IFERROR(T195/T445, "NA")</f>
        <v>8.2815890627897307E-3</v>
      </c>
      <c r="V195" s="9"/>
      <c r="W195" s="10">
        <f t="shared" si="50"/>
        <v>4924.45</v>
      </c>
      <c r="X195" s="8">
        <f>IFERROR(W195/W445, "NA")</f>
        <v>-7.3636404281945469E-2</v>
      </c>
      <c r="Y195" s="9"/>
      <c r="Z195" s="7">
        <v>4399.43</v>
      </c>
      <c r="AA195" s="8">
        <f>IFERROR(Z195/Z445, "NA")</f>
        <v>7.9159564848837027E-3</v>
      </c>
      <c r="AB195" s="9"/>
      <c r="AC195" s="10">
        <f t="shared" si="51"/>
        <v>4399.43</v>
      </c>
      <c r="AD195" s="8">
        <f>IFERROR(AC195/AC445, "NA")</f>
        <v>-0.15703097337551858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30207.49</v>
      </c>
      <c r="C196" s="15">
        <f>IFERROR(B196/B445, "NA")</f>
        <v>0.2601329380293082</v>
      </c>
      <c r="D196" s="2"/>
      <c r="E196" s="14">
        <f>IFERROR(E175+E177+E178+E179+E180+E181+E183+E184+E186+E187+E188+E189+E190+E191+E192+E194+E195, "NA")</f>
        <v>34332.25</v>
      </c>
      <c r="F196" s="15">
        <f>IFERROR(E196/E445, "NA")</f>
        <v>0.27372817822594786</v>
      </c>
      <c r="G196" s="2"/>
      <c r="H196" s="14">
        <f t="shared" si="48"/>
        <v>4124.7599999999984</v>
      </c>
      <c r="I196" s="15">
        <f>IFERROR(H196/H445, "NA")</f>
        <v>-0.44345916121672896</v>
      </c>
      <c r="J196" s="2"/>
      <c r="K196" s="14">
        <f>IFERROR(K175+K177+K178+K179+K180+K181+K183+K184+K186+K187+K188+K189+K190+K191+K192+K194+K195, "NA")</f>
        <v>33250.300000000003</v>
      </c>
      <c r="L196" s="15">
        <f>IFERROR(K196/K445, "NA")</f>
        <v>0.28909357592050478</v>
      </c>
      <c r="M196" s="2"/>
      <c r="N196" s="14">
        <f t="shared" si="49"/>
        <v>3042.8100000000013</v>
      </c>
      <c r="O196" s="15">
        <f>IFERROR(N196/N445, "NA")</f>
        <v>2.7472597916177581</v>
      </c>
      <c r="P196" s="2"/>
      <c r="Q196" s="14">
        <f>IFERROR(Q175+Q177+Q178+Q179+Q180+Q181+Q183+Q184+Q186+Q187+Q188+Q189+Q190+Q191+Q192+Q194+Q195, "NA")</f>
        <v>148211.49000000002</v>
      </c>
      <c r="R196" s="15">
        <f>IFERROR(Q196/Q445, "NA")</f>
        <v>0.28083601393770902</v>
      </c>
      <c r="S196" s="2"/>
      <c r="T196" s="14">
        <f>IFERROR(T175+T177+T178+T179+T180+T181+T183+T184+T186+T187+T188+T189+T190+T191+T192+T194+T195, "NA")</f>
        <v>166118.36000000002</v>
      </c>
      <c r="U196" s="15">
        <f>IFERROR(T196/T445, "NA")</f>
        <v>0.27936601921119458</v>
      </c>
      <c r="V196" s="2"/>
      <c r="W196" s="14">
        <f t="shared" si="50"/>
        <v>17906.869999999995</v>
      </c>
      <c r="X196" s="15">
        <f>IFERROR(W196/W445, "NA")</f>
        <v>-0.26776543954030207</v>
      </c>
      <c r="Y196" s="2"/>
      <c r="Z196" s="14">
        <f>IFERROR(Z175+Z177+Z178+Z179+Z180+Z181+Z183+Z184+Z186+Z187+Z188+Z189+Z190+Z191+Z192+Z194+Z195, "NA")</f>
        <v>162963.75999999998</v>
      </c>
      <c r="AA196" s="15">
        <f>IFERROR(Z196/Z445, "NA")</f>
        <v>0.29322299315434752</v>
      </c>
      <c r="AB196" s="2"/>
      <c r="AC196" s="14">
        <f t="shared" si="51"/>
        <v>14752.26999999996</v>
      </c>
      <c r="AD196" s="15">
        <f>IFERROR(AC196/AC445, "NA")</f>
        <v>-0.52655987652910829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30207.49</v>
      </c>
      <c r="C197" s="15">
        <f>IFERROR(B197/B445, "NA")</f>
        <v>0.2601329380293082</v>
      </c>
      <c r="D197" s="2"/>
      <c r="E197" s="14">
        <f>IFERROR(E175+E177+E178+E179+E180+E181+E183+E184+E186+E187+E188+E189+E190+E191+E192+E194+E195, "NA")</f>
        <v>34332.25</v>
      </c>
      <c r="F197" s="15">
        <f>IFERROR(E197/E445, "NA")</f>
        <v>0.27372817822594786</v>
      </c>
      <c r="G197" s="2"/>
      <c r="H197" s="14">
        <f t="shared" si="48"/>
        <v>4124.7599999999984</v>
      </c>
      <c r="I197" s="15">
        <f>IFERROR(H197/H445, "NA")</f>
        <v>-0.44345916121672896</v>
      </c>
      <c r="J197" s="2"/>
      <c r="K197" s="14">
        <f>IFERROR(K175+K177+K178+K179+K180+K181+K183+K184+K186+K187+K188+K189+K190+K191+K192+K194+K195, "NA")</f>
        <v>33250.300000000003</v>
      </c>
      <c r="L197" s="15">
        <f>IFERROR(K197/K445, "NA")</f>
        <v>0.28909357592050478</v>
      </c>
      <c r="M197" s="2"/>
      <c r="N197" s="14">
        <f t="shared" si="49"/>
        <v>3042.8100000000013</v>
      </c>
      <c r="O197" s="15">
        <f>IFERROR(N197/N445, "NA")</f>
        <v>2.7472597916177581</v>
      </c>
      <c r="P197" s="2"/>
      <c r="Q197" s="14">
        <f>IFERROR(Q175+Q177+Q178+Q179+Q180+Q181+Q183+Q184+Q186+Q187+Q188+Q189+Q190+Q191+Q192+Q194+Q195, "NA")</f>
        <v>148211.49000000002</v>
      </c>
      <c r="R197" s="15">
        <f>IFERROR(Q197/Q445, "NA")</f>
        <v>0.28083601393770902</v>
      </c>
      <c r="S197" s="2"/>
      <c r="T197" s="14">
        <f>IFERROR(T175+T177+T178+T179+T180+T181+T183+T184+T186+T187+T188+T189+T190+T191+T192+T194+T195, "NA")</f>
        <v>166118.36000000002</v>
      </c>
      <c r="U197" s="15">
        <f>IFERROR(T197/T445, "NA")</f>
        <v>0.27936601921119458</v>
      </c>
      <c r="V197" s="2"/>
      <c r="W197" s="14">
        <f t="shared" si="50"/>
        <v>17906.869999999995</v>
      </c>
      <c r="X197" s="15">
        <f>IFERROR(W197/W445, "NA")</f>
        <v>-0.26776543954030207</v>
      </c>
      <c r="Y197" s="2"/>
      <c r="Z197" s="14">
        <f>IFERROR(Z175+Z177+Z178+Z179+Z180+Z181+Z183+Z184+Z186+Z187+Z188+Z189+Z190+Z191+Z192+Z194+Z195, "NA")</f>
        <v>162963.75999999998</v>
      </c>
      <c r="AA197" s="15">
        <f>IFERROR(Z197/Z445, "NA")</f>
        <v>0.29322299315434752</v>
      </c>
      <c r="AB197" s="2"/>
      <c r="AC197" s="14">
        <f t="shared" si="51"/>
        <v>14752.26999999996</v>
      </c>
      <c r="AD197" s="15">
        <f>IFERROR(AC197/AC445, "NA")</f>
        <v>-0.52655987652910829</v>
      </c>
    </row>
    <row r="198" spans="1:30" ht="16.5" customHeight="1" x14ac:dyDescent="0.45">
      <c r="A198" s="22" t="s">
        <v>181</v>
      </c>
      <c r="B198" s="23">
        <f>IFERROR(B172-B197, "NA")</f>
        <v>53217.41</v>
      </c>
      <c r="C198" s="24">
        <f>IFERROR(B198/B445, "NA")</f>
        <v>0.45828373087635832</v>
      </c>
      <c r="D198" s="25"/>
      <c r="E198" s="23">
        <f>IFERROR(E172-E197, "NA")</f>
        <v>57603.990000000005</v>
      </c>
      <c r="F198" s="24">
        <f>IFERROR(E198/E445, "NA")</f>
        <v>0.45927182871048994</v>
      </c>
      <c r="G198" s="25"/>
      <c r="H198" s="23">
        <f>IFERROR(B198-E198, "NA")</f>
        <v>-4386.5800000000017</v>
      </c>
      <c r="I198" s="24">
        <f>IFERROR(H198/H445, "NA")</f>
        <v>0.47160782382734523</v>
      </c>
      <c r="J198" s="25"/>
      <c r="K198" s="23">
        <f>IFERROR(K172-K197, "NA")</f>
        <v>43009.909999999989</v>
      </c>
      <c r="L198" s="24">
        <f>IFERROR(K198/K445, "NA")</f>
        <v>0.37394816533742775</v>
      </c>
      <c r="M198" s="25"/>
      <c r="N198" s="23">
        <f>IFERROR(B198-K198, "NA")</f>
        <v>10207.500000000015</v>
      </c>
      <c r="O198" s="24">
        <f>IFERROR(N198/N445, "NA")</f>
        <v>9.2160385705772931</v>
      </c>
      <c r="P198" s="25"/>
      <c r="Q198" s="23">
        <f>IFERROR(Q172-Q197, "NA")</f>
        <v>228140.49999999997</v>
      </c>
      <c r="R198" s="24">
        <f>IFERROR(Q198/Q445, "NA")</f>
        <v>0.43228813527045634</v>
      </c>
      <c r="S198" s="25"/>
      <c r="T198" s="23">
        <f>IFERROR(T172-T197, "NA")</f>
        <v>268285.95000000007</v>
      </c>
      <c r="U198" s="24">
        <f>IFERROR(T198/T445, "NA")</f>
        <v>0.45118419096958101</v>
      </c>
      <c r="V198" s="25"/>
      <c r="W198" s="23">
        <f>IFERROR(Q198-T198, "NA")</f>
        <v>-40145.450000000099</v>
      </c>
      <c r="X198" s="24">
        <f>IFERROR(W198/W445, "NA")</f>
        <v>0.60030390932604361</v>
      </c>
      <c r="Y198" s="25"/>
      <c r="Z198" s="23">
        <f>IFERROR(Z172-Z197, "NA")</f>
        <v>225825.56000000008</v>
      </c>
      <c r="AA198" s="24">
        <f>IFERROR(Z198/Z445, "NA")</f>
        <v>0.4063311170161803</v>
      </c>
      <c r="AB198" s="25"/>
      <c r="AC198" s="23">
        <f>IFERROR(Q198-Z198, "NA")</f>
        <v>2314.9399999998859</v>
      </c>
      <c r="AD198" s="24">
        <f>IFERROR(AC198/AC445, "NA")</f>
        <v>-8.2628268095163465E-2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IFERROR(B201/B445, "NA")</f>
        <v>0</v>
      </c>
      <c r="D201" s="9"/>
      <c r="E201" s="7">
        <v>0</v>
      </c>
      <c r="F201" s="8">
        <f>IFERROR(E201/E445, "NA")</f>
        <v>0</v>
      </c>
      <c r="G201" s="9"/>
      <c r="H201" s="10">
        <f t="shared" ref="H201:H209" si="52">IFERROR(-(B201-E201), "NA")</f>
        <v>0</v>
      </c>
      <c r="I201" s="8">
        <f>IFERROR(H201/H445, "NA")</f>
        <v>0</v>
      </c>
      <c r="J201" s="9"/>
      <c r="K201" s="7">
        <v>0</v>
      </c>
      <c r="L201" s="8">
        <f>IFERROR(K201/K445, "NA")</f>
        <v>0</v>
      </c>
      <c r="M201" s="9"/>
      <c r="N201" s="10">
        <f t="shared" ref="N201:N209" si="53">IFERROR(-(B201-K201), "NA")</f>
        <v>0</v>
      </c>
      <c r="O201" s="8">
        <f>IFERROR(N201/N445, "NA")</f>
        <v>0</v>
      </c>
      <c r="P201" s="9"/>
      <c r="Q201" s="7">
        <v>0</v>
      </c>
      <c r="R201" s="8">
        <f>IFERROR(Q201/Q445, "NA")</f>
        <v>0</v>
      </c>
      <c r="S201" s="9"/>
      <c r="T201" s="7">
        <v>0</v>
      </c>
      <c r="U201" s="8">
        <f>IFERROR(T201/T445, "NA")</f>
        <v>0</v>
      </c>
      <c r="V201" s="9"/>
      <c r="W201" s="10">
        <f t="shared" ref="W201:W209" si="54">IFERROR(-(Q201-T201), "NA")</f>
        <v>0</v>
      </c>
      <c r="X201" s="8">
        <f>IFERROR(W201/W445, "NA")</f>
        <v>0</v>
      </c>
      <c r="Y201" s="9"/>
      <c r="Z201" s="7">
        <v>0</v>
      </c>
      <c r="AA201" s="8">
        <f>IFERROR(Z201/Z445, "NA")</f>
        <v>0</v>
      </c>
      <c r="AB201" s="9"/>
      <c r="AC201" s="10">
        <f t="shared" ref="AC201:AC209" si="55">IFERROR(-(Q201-Z201), "NA")</f>
        <v>0</v>
      </c>
      <c r="AD201" s="8">
        <f>IFERROR(AC201/AC445, "NA")</f>
        <v>0</v>
      </c>
    </row>
    <row r="202" spans="1:30" ht="16.5" customHeight="1" x14ac:dyDescent="0.45">
      <c r="A202" s="6" t="s">
        <v>184</v>
      </c>
      <c r="B202" s="7">
        <v>1038.77</v>
      </c>
      <c r="C202" s="8">
        <f>IFERROR(B202/B445, "NA")</f>
        <v>8.9454069847148647E-3</v>
      </c>
      <c r="D202" s="9"/>
      <c r="E202" s="7">
        <v>1379.67</v>
      </c>
      <c r="F202" s="8">
        <f>IFERROR(E202/E445, "NA")</f>
        <v>1.099999433922896E-2</v>
      </c>
      <c r="G202" s="9"/>
      <c r="H202" s="10">
        <f t="shared" si="52"/>
        <v>340.90000000000009</v>
      </c>
      <c r="I202" s="8">
        <f>IFERROR(H202/H445, "NA")</f>
        <v>-3.6650672538228408E-2</v>
      </c>
      <c r="J202" s="9"/>
      <c r="K202" s="7">
        <v>1267.95</v>
      </c>
      <c r="L202" s="8">
        <f>IFERROR(K202/K445, "NA")</f>
        <v>1.1024147138173311E-2</v>
      </c>
      <c r="M202" s="9"/>
      <c r="N202" s="10">
        <f t="shared" si="53"/>
        <v>229.18000000000006</v>
      </c>
      <c r="O202" s="8">
        <f>IFERROR(N202/N445, "NA")</f>
        <v>0.20691959045847677</v>
      </c>
      <c r="P202" s="9"/>
      <c r="Q202" s="7">
        <v>5188.99</v>
      </c>
      <c r="R202" s="8">
        <f>IFERROR(Q202/Q445, "NA")</f>
        <v>9.8322691983100136E-3</v>
      </c>
      <c r="S202" s="9"/>
      <c r="T202" s="7">
        <v>6540.89</v>
      </c>
      <c r="U202" s="8">
        <f>IFERROR(T202/T445, "NA")</f>
        <v>1.10000026571314E-2</v>
      </c>
      <c r="V202" s="9"/>
      <c r="W202" s="10">
        <f t="shared" si="54"/>
        <v>1351.9000000000005</v>
      </c>
      <c r="X202" s="8">
        <f>IFERROR(W202/W445, "NA")</f>
        <v>-2.0215263623097428E-2</v>
      </c>
      <c r="Y202" s="9"/>
      <c r="Z202" s="7">
        <v>4929.67</v>
      </c>
      <c r="AA202" s="8">
        <f>IFERROR(Z202/Z445, "NA")</f>
        <v>8.8700247997664794E-3</v>
      </c>
      <c r="AB202" s="9"/>
      <c r="AC202" s="10">
        <f t="shared" si="55"/>
        <v>-259.31999999999971</v>
      </c>
      <c r="AD202" s="8">
        <f>IFERROR(AC202/AC445, "NA")</f>
        <v>9.2560336261150716E-3</v>
      </c>
    </row>
    <row r="203" spans="1:30" ht="16.5" customHeight="1" x14ac:dyDescent="0.45">
      <c r="A203" s="6" t="s">
        <v>185</v>
      </c>
      <c r="B203" s="7">
        <v>705.18</v>
      </c>
      <c r="C203" s="8">
        <f>IFERROR(B203/B445, "NA")</f>
        <v>6.0726841336207517E-3</v>
      </c>
      <c r="D203" s="9"/>
      <c r="E203" s="7">
        <v>877.97</v>
      </c>
      <c r="F203" s="8">
        <f>IFERROR(E203/E445, "NA")</f>
        <v>6.9999819014785062E-3</v>
      </c>
      <c r="G203" s="9"/>
      <c r="H203" s="10">
        <f t="shared" si="52"/>
        <v>172.79000000000008</v>
      </c>
      <c r="I203" s="8">
        <f>IFERROR(H203/H445, "NA")</f>
        <v>-1.8576913194134608E-2</v>
      </c>
      <c r="J203" s="9"/>
      <c r="K203" s="7">
        <v>633.49</v>
      </c>
      <c r="L203" s="8">
        <f>IFERROR(K203/K445, "NA")</f>
        <v>5.5078567534693089E-3</v>
      </c>
      <c r="M203" s="9"/>
      <c r="N203" s="10">
        <f t="shared" si="53"/>
        <v>-71.689999999999941</v>
      </c>
      <c r="O203" s="8">
        <f>IFERROR(N203/N445, "NA")</f>
        <v>-6.4726701457230931E-2</v>
      </c>
      <c r="P203" s="9"/>
      <c r="Q203" s="7">
        <v>5386.43</v>
      </c>
      <c r="R203" s="8">
        <f>IFERROR(Q203/Q445, "NA")</f>
        <v>1.0206385014781877E-2</v>
      </c>
      <c r="S203" s="9"/>
      <c r="T203" s="7">
        <v>4162.38</v>
      </c>
      <c r="U203" s="8">
        <f>IFERROR(T203/T445, "NA")</f>
        <v>6.9999940466802827E-3</v>
      </c>
      <c r="V203" s="9"/>
      <c r="W203" s="10">
        <f t="shared" si="54"/>
        <v>-1224.0500000000002</v>
      </c>
      <c r="X203" s="8">
        <f>IFERROR(W203/W445, "NA")</f>
        <v>1.8303493925477032E-2</v>
      </c>
      <c r="Y203" s="9"/>
      <c r="Z203" s="7">
        <v>3738.37</v>
      </c>
      <c r="AA203" s="8">
        <f>IFERROR(Z203/Z445, "NA")</f>
        <v>6.726501897835557E-3</v>
      </c>
      <c r="AB203" s="9"/>
      <c r="AC203" s="10">
        <f t="shared" si="55"/>
        <v>-1648.0600000000004</v>
      </c>
      <c r="AD203" s="8">
        <f>IFERROR(AC203/AC445, "NA")</f>
        <v>5.8824999143356566E-2</v>
      </c>
    </row>
    <row r="204" spans="1:30" ht="16.5" customHeight="1" x14ac:dyDescent="0.45">
      <c r="A204" s="6" t="s">
        <v>186</v>
      </c>
      <c r="B204" s="7">
        <v>36.51</v>
      </c>
      <c r="C204" s="8">
        <f>IFERROR(B204/B445, "NA")</f>
        <v>3.1440724030530311E-4</v>
      </c>
      <c r="D204" s="9"/>
      <c r="E204" s="7">
        <v>250.85</v>
      </c>
      <c r="F204" s="8">
        <f>IFERROR(E204/E445, "NA")</f>
        <v>2.0000062188752269E-3</v>
      </c>
      <c r="G204" s="9"/>
      <c r="H204" s="10">
        <f t="shared" si="52"/>
        <v>214.34</v>
      </c>
      <c r="I204" s="8">
        <f>IFERROR(H204/H445, "NA")</f>
        <v>-2.3044016285842989E-2</v>
      </c>
      <c r="J204" s="9"/>
      <c r="K204" s="7">
        <v>20.350000000000001</v>
      </c>
      <c r="L204" s="8">
        <f>IFERROR(K204/K445, "NA")</f>
        <v>1.7693236662473039E-4</v>
      </c>
      <c r="M204" s="9"/>
      <c r="N204" s="10">
        <f t="shared" si="53"/>
        <v>-16.159999999999997</v>
      </c>
      <c r="O204" s="8">
        <f>IFERROR(N204/N445, "NA")</f>
        <v>-1.4590368190108137E-2</v>
      </c>
      <c r="P204" s="9"/>
      <c r="Q204" s="7">
        <v>265.97000000000003</v>
      </c>
      <c r="R204" s="8">
        <f>IFERROR(Q204/Q445, "NA")</f>
        <v>5.0396871812713353E-4</v>
      </c>
      <c r="S204" s="9"/>
      <c r="T204" s="7">
        <v>1189.26</v>
      </c>
      <c r="U204" s="8">
        <f>IFERROR(T204/T445, "NA")</f>
        <v>2.000012713869227E-3</v>
      </c>
      <c r="V204" s="9"/>
      <c r="W204" s="10">
        <f t="shared" si="54"/>
        <v>923.29</v>
      </c>
      <c r="X204" s="8">
        <f>IFERROR(W204/W445, "NA")</f>
        <v>-1.3806162253546575E-2</v>
      </c>
      <c r="Y204" s="9"/>
      <c r="Z204" s="7">
        <v>324.44</v>
      </c>
      <c r="AA204" s="8">
        <f>IFERROR(Z204/Z445, "NA")</f>
        <v>5.8376947058043165E-4</v>
      </c>
      <c r="AB204" s="9"/>
      <c r="AC204" s="10">
        <f t="shared" si="55"/>
        <v>58.46999999999997</v>
      </c>
      <c r="AD204" s="8">
        <f>IFERROR(AC204/AC445, "NA")</f>
        <v>-2.0869978641020691E-3</v>
      </c>
    </row>
    <row r="205" spans="1:30" ht="16.5" customHeight="1" x14ac:dyDescent="0.45">
      <c r="A205" s="6" t="s">
        <v>187</v>
      </c>
      <c r="B205" s="7">
        <v>455.3</v>
      </c>
      <c r="C205" s="8">
        <f>IFERROR(B205/B445, "NA")</f>
        <v>3.9208331008218165E-3</v>
      </c>
      <c r="D205" s="9"/>
      <c r="E205" s="7">
        <v>376.27</v>
      </c>
      <c r="F205" s="8">
        <f>IFERROR(E205/E445, "NA")</f>
        <v>2.9999694637280511E-3</v>
      </c>
      <c r="G205" s="9"/>
      <c r="H205" s="10">
        <f t="shared" si="52"/>
        <v>-79.03000000000003</v>
      </c>
      <c r="I205" s="8">
        <f>IFERROR(H205/H445, "NA")</f>
        <v>8.4966343522915547E-3</v>
      </c>
      <c r="J205" s="9"/>
      <c r="K205" s="7">
        <v>364.24</v>
      </c>
      <c r="L205" s="8">
        <f>IFERROR(K205/K445, "NA")</f>
        <v>3.1668720009529134E-3</v>
      </c>
      <c r="M205" s="9"/>
      <c r="N205" s="10">
        <f t="shared" si="53"/>
        <v>-91.06</v>
      </c>
      <c r="O205" s="8">
        <f>IFERROR(N205/N445, "NA")</f>
        <v>-8.2215280160349458E-2</v>
      </c>
      <c r="P205" s="9"/>
      <c r="Q205" s="7">
        <v>2095.7199999999998</v>
      </c>
      <c r="R205" s="8">
        <f>IFERROR(Q205/Q445, "NA")</f>
        <v>3.9710392974899276E-3</v>
      </c>
      <c r="S205" s="9"/>
      <c r="T205" s="7">
        <v>1783.87</v>
      </c>
      <c r="U205" s="8">
        <f>IFERROR(T205/T445, "NA")</f>
        <v>2.9999854362291658E-3</v>
      </c>
      <c r="V205" s="9"/>
      <c r="W205" s="10">
        <f t="shared" si="54"/>
        <v>-311.84999999999991</v>
      </c>
      <c r="X205" s="8">
        <f>IFERROR(W205/W445, "NA")</f>
        <v>4.6631629268902497E-3</v>
      </c>
      <c r="Y205" s="9"/>
      <c r="Z205" s="7">
        <v>1912.26</v>
      </c>
      <c r="AA205" s="8">
        <f>IFERROR(Z205/Z445, "NA")</f>
        <v>3.4407564043032182E-3</v>
      </c>
      <c r="AB205" s="9"/>
      <c r="AC205" s="10">
        <f t="shared" si="55"/>
        <v>-183.45999999999981</v>
      </c>
      <c r="AD205" s="8">
        <f>IFERROR(AC205/AC445, "NA")</f>
        <v>6.548326118490942E-3</v>
      </c>
    </row>
    <row r="206" spans="1:30" ht="16.5" customHeight="1" x14ac:dyDescent="0.45">
      <c r="A206" s="6" t="s">
        <v>188</v>
      </c>
      <c r="B206" s="7">
        <v>12.63</v>
      </c>
      <c r="C206" s="8">
        <f>IFERROR(B206/B445, "NA")</f>
        <v>1.0876372076296846E-4</v>
      </c>
      <c r="D206" s="9"/>
      <c r="E206" s="7">
        <v>125.42</v>
      </c>
      <c r="F206" s="8">
        <f>IFERROR(E206/E445, "NA")</f>
        <v>9.9996324485282441E-4</v>
      </c>
      <c r="G206" s="9"/>
      <c r="H206" s="10">
        <f t="shared" si="52"/>
        <v>112.79</v>
      </c>
      <c r="I206" s="8">
        <f>IFERROR(H206/H445, "NA")</f>
        <v>-1.2126222808996131E-2</v>
      </c>
      <c r="J206" s="9"/>
      <c r="K206" s="7">
        <v>238.53</v>
      </c>
      <c r="L206" s="8">
        <f>IFERROR(K206/K445, "NA")</f>
        <v>2.0738907818671714E-3</v>
      </c>
      <c r="M206" s="9"/>
      <c r="N206" s="10">
        <f t="shared" si="53"/>
        <v>225.9</v>
      </c>
      <c r="O206" s="8">
        <f>IFERROR(N206/N445, "NA")</f>
        <v>0.20395817909315775</v>
      </c>
      <c r="P206" s="9"/>
      <c r="Q206" s="7">
        <v>63.06</v>
      </c>
      <c r="R206" s="8">
        <f>IFERROR(Q206/Q445, "NA")</f>
        <v>1.1948816545135556E-4</v>
      </c>
      <c r="S206" s="9"/>
      <c r="T206" s="7">
        <v>594.62</v>
      </c>
      <c r="U206" s="8">
        <f>IFERROR(T206/T445, "NA")</f>
        <v>9.9998953964727626E-4</v>
      </c>
      <c r="V206" s="9"/>
      <c r="W206" s="10">
        <f t="shared" si="54"/>
        <v>531.55999999999995</v>
      </c>
      <c r="X206" s="8">
        <f>IFERROR(W206/W445, "NA")</f>
        <v>-7.948535787775473E-3</v>
      </c>
      <c r="Y206" s="9"/>
      <c r="Z206" s="7">
        <v>374.29</v>
      </c>
      <c r="AA206" s="8">
        <f>IFERROR(Z206/Z445, "NA")</f>
        <v>6.7346527907640786E-4</v>
      </c>
      <c r="AB206" s="9"/>
      <c r="AC206" s="10">
        <f t="shared" si="55"/>
        <v>311.23</v>
      </c>
      <c r="AD206" s="8">
        <f>IFERROR(AC206/AC445, "NA")</f>
        <v>-1.1108882251487725E-2</v>
      </c>
    </row>
    <row r="207" spans="1:30" ht="16.5" customHeight="1" x14ac:dyDescent="0.45">
      <c r="A207" s="6" t="s">
        <v>189</v>
      </c>
      <c r="B207" s="7">
        <v>148.26</v>
      </c>
      <c r="C207" s="8">
        <f>IFERROR(B207/B445, "NA")</f>
        <v>1.2767465748470073E-3</v>
      </c>
      <c r="D207" s="9"/>
      <c r="E207" s="7">
        <v>100</v>
      </c>
      <c r="F207" s="8">
        <f>IFERROR(E207/E445, "NA")</f>
        <v>7.9729169578442378E-4</v>
      </c>
      <c r="G207" s="9"/>
      <c r="H207" s="10">
        <f t="shared" si="52"/>
        <v>-48.259999999999991</v>
      </c>
      <c r="I207" s="8">
        <f>IFERROR(H207/H445, "NA")</f>
        <v>5.1885052997797066E-3</v>
      </c>
      <c r="J207" s="9"/>
      <c r="K207" s="7">
        <v>488.7</v>
      </c>
      <c r="L207" s="8">
        <f>IFERROR(K207/K445, "NA")</f>
        <v>4.2489851385506504E-3</v>
      </c>
      <c r="M207" s="9"/>
      <c r="N207" s="10">
        <f t="shared" si="53"/>
        <v>340.44</v>
      </c>
      <c r="O207" s="8">
        <f>IFERROR(N207/N445, "NA")</f>
        <v>0.30737283085646133</v>
      </c>
      <c r="P207" s="9"/>
      <c r="Q207" s="7">
        <v>148.26</v>
      </c>
      <c r="R207" s="8">
        <f>IFERROR(Q207/Q445, "NA")</f>
        <v>2.8092793228382451E-4</v>
      </c>
      <c r="S207" s="9"/>
      <c r="T207" s="7">
        <v>500</v>
      </c>
      <c r="U207" s="8">
        <f>IFERROR(T207/T445, "NA")</f>
        <v>8.408643668622619E-4</v>
      </c>
      <c r="V207" s="9"/>
      <c r="W207" s="10">
        <f t="shared" si="54"/>
        <v>351.74</v>
      </c>
      <c r="X207" s="8">
        <f>IFERROR(W207/W445, "NA")</f>
        <v>-5.2596470351270706E-3</v>
      </c>
      <c r="Y207" s="9"/>
      <c r="Z207" s="7">
        <v>588.29999999999995</v>
      </c>
      <c r="AA207" s="8">
        <f>IFERROR(Z207/Z445, "NA")</f>
        <v>1.0585364922403768E-3</v>
      </c>
      <c r="AB207" s="9"/>
      <c r="AC207" s="10">
        <f t="shared" si="55"/>
        <v>440.03999999999996</v>
      </c>
      <c r="AD207" s="8">
        <f>IFERROR(AC207/AC445, "NA")</f>
        <v>-1.5706559605258678E-2</v>
      </c>
    </row>
    <row r="208" spans="1:30" ht="16.5" customHeight="1" x14ac:dyDescent="0.45">
      <c r="A208" s="6" t="s">
        <v>190</v>
      </c>
      <c r="B208" s="7">
        <v>85.4</v>
      </c>
      <c r="C208" s="8">
        <f>IFERROR(B208/B445, "NA")</f>
        <v>7.3542531695625546E-4</v>
      </c>
      <c r="D208" s="9"/>
      <c r="E208" s="7">
        <v>100</v>
      </c>
      <c r="F208" s="8">
        <f>IFERROR(E208/E445, "NA")</f>
        <v>7.9729169578442378E-4</v>
      </c>
      <c r="G208" s="9"/>
      <c r="H208" s="10">
        <f t="shared" si="52"/>
        <v>14.599999999999994</v>
      </c>
      <c r="I208" s="8">
        <f>IFERROR(H208/H445, "NA")</f>
        <v>-1.5696679937170267E-3</v>
      </c>
      <c r="J208" s="9"/>
      <c r="K208" s="7">
        <v>95.42</v>
      </c>
      <c r="L208" s="8">
        <f>IFERROR(K208/K445, "NA")</f>
        <v>8.2962586846839178E-4</v>
      </c>
      <c r="M208" s="9"/>
      <c r="N208" s="10">
        <f t="shared" si="53"/>
        <v>10.019999999999996</v>
      </c>
      <c r="O208" s="8">
        <f>IFERROR(N208/N445, "NA")</f>
        <v>9.0467505733220002E-3</v>
      </c>
      <c r="P208" s="9"/>
      <c r="Q208" s="7">
        <v>488.18</v>
      </c>
      <c r="R208" s="8">
        <f>IFERROR(Q208/Q445, "NA")</f>
        <v>9.2501954662294256E-4</v>
      </c>
      <c r="S208" s="9"/>
      <c r="T208" s="7">
        <v>500</v>
      </c>
      <c r="U208" s="8">
        <f>IFERROR(T208/T445, "NA")</f>
        <v>8.408643668622619E-4</v>
      </c>
      <c r="V208" s="9"/>
      <c r="W208" s="10">
        <f t="shared" si="54"/>
        <v>11.819999999999993</v>
      </c>
      <c r="X208" s="8">
        <f>IFERROR(W208/W445, "NA")</f>
        <v>-1.7674710853244423E-4</v>
      </c>
      <c r="Y208" s="9"/>
      <c r="Z208" s="7">
        <v>874.05</v>
      </c>
      <c r="AA208" s="8">
        <f>IFERROR(Z208/Z445, "NA")</f>
        <v>1.5726904998176125E-3</v>
      </c>
      <c r="AB208" s="9"/>
      <c r="AC208" s="10">
        <f t="shared" si="55"/>
        <v>385.86999999999995</v>
      </c>
      <c r="AD208" s="8">
        <f>IFERROR(AC208/AC445, "NA")</f>
        <v>-1.3773043711665224E-2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2482.0499999999997</v>
      </c>
      <c r="C209" s="15">
        <f>IFERROR(B209/B445, "NA")</f>
        <v>2.1374267072028965E-2</v>
      </c>
      <c r="D209" s="2"/>
      <c r="E209" s="14">
        <f>IFERROR(E201+E202+E203+E204+E205+E206+E207+E208, "NA")</f>
        <v>3210.1800000000003</v>
      </c>
      <c r="F209" s="15">
        <f>IFERROR(E209/E445, "NA")</f>
        <v>2.5594498559732417E-2</v>
      </c>
      <c r="G209" s="2"/>
      <c r="H209" s="14">
        <f t="shared" si="52"/>
        <v>728.13000000000056</v>
      </c>
      <c r="I209" s="15">
        <f>IFERROR(H209/H445, "NA")</f>
        <v>-7.8282353168847948E-2</v>
      </c>
      <c r="J209" s="2"/>
      <c r="K209" s="14">
        <f>IFERROR(K201+K202+K203+K204+K205+K206+K207+K208, "NA")</f>
        <v>3108.68</v>
      </c>
      <c r="L209" s="15">
        <f>IFERROR(K209/K445, "NA")</f>
        <v>2.7028310048106474E-2</v>
      </c>
      <c r="M209" s="2"/>
      <c r="N209" s="14">
        <f t="shared" si="53"/>
        <v>626.63000000000011</v>
      </c>
      <c r="O209" s="15">
        <f>IFERROR(N209/N445, "NA")</f>
        <v>0.5657650011737293</v>
      </c>
      <c r="P209" s="2"/>
      <c r="Q209" s="14">
        <f>IFERROR(Q201+Q202+Q203+Q204+Q205+Q206+Q207+Q208, "NA")</f>
        <v>13636.609999999999</v>
      </c>
      <c r="R209" s="15">
        <f>IFERROR(Q209/Q445, "NA")</f>
        <v>2.5839097873067072E-2</v>
      </c>
      <c r="S209" s="2"/>
      <c r="T209" s="14">
        <f>IFERROR(T201+T202+T203+T204+T205+T206+T207+T208, "NA")</f>
        <v>15271.020000000002</v>
      </c>
      <c r="U209" s="15">
        <f>IFERROR(T209/T445, "NA")</f>
        <v>2.5681713127281881E-2</v>
      </c>
      <c r="V209" s="2"/>
      <c r="W209" s="14">
        <f t="shared" si="54"/>
        <v>1634.4100000000035</v>
      </c>
      <c r="X209" s="15">
        <f>IFERROR(W209/W445, "NA")</f>
        <v>-2.4439698955711756E-2</v>
      </c>
      <c r="Y209" s="2"/>
      <c r="Z209" s="14">
        <f>IFERROR(Z201+Z202+Z203+Z204+Z205+Z206+Z207+Z208, "NA")</f>
        <v>12741.380000000001</v>
      </c>
      <c r="AA209" s="15">
        <f>IFERROR(Z209/Z445, "NA")</f>
        <v>2.2925744843620085E-2</v>
      </c>
      <c r="AB209" s="2"/>
      <c r="AC209" s="14">
        <f t="shared" si="55"/>
        <v>-895.22999999999774</v>
      </c>
      <c r="AD209" s="15">
        <f>IFERROR(AC209/AC445, "NA")</f>
        <v>3.1953875455448803E-2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IFERROR(B211/B445, "NA")</f>
        <v>0</v>
      </c>
      <c r="D211" s="9"/>
      <c r="E211" s="7">
        <v>0</v>
      </c>
      <c r="F211" s="8">
        <f>IFERROR(E211/E445, "NA")</f>
        <v>0</v>
      </c>
      <c r="G211" s="9"/>
      <c r="H211" s="10">
        <f>IFERROR(-(B211-E211), "NA")</f>
        <v>0</v>
      </c>
      <c r="I211" s="8">
        <f>IFERROR(H211/H445, "NA")</f>
        <v>0</v>
      </c>
      <c r="J211" s="9"/>
      <c r="K211" s="7">
        <v>0</v>
      </c>
      <c r="L211" s="8">
        <f>IFERROR(K211/K445, "NA")</f>
        <v>0</v>
      </c>
      <c r="M211" s="9"/>
      <c r="N211" s="10">
        <f>IFERROR(-(B211-K211), "NA")</f>
        <v>0</v>
      </c>
      <c r="O211" s="8">
        <f>IFERROR(N211/N445, "NA")</f>
        <v>0</v>
      </c>
      <c r="P211" s="9"/>
      <c r="Q211" s="7">
        <v>0</v>
      </c>
      <c r="R211" s="8">
        <f>IFERROR(Q211/Q445, "NA")</f>
        <v>0</v>
      </c>
      <c r="S211" s="9"/>
      <c r="T211" s="7">
        <v>0</v>
      </c>
      <c r="U211" s="8">
        <f>IFERROR(T211/T445, "NA")</f>
        <v>0</v>
      </c>
      <c r="V211" s="9"/>
      <c r="W211" s="10">
        <f>IFERROR(-(Q211-T211), "NA")</f>
        <v>0</v>
      </c>
      <c r="X211" s="8">
        <f>IFERROR(W211/W445, "NA")</f>
        <v>0</v>
      </c>
      <c r="Y211" s="9"/>
      <c r="Z211" s="7">
        <v>0</v>
      </c>
      <c r="AA211" s="8">
        <f>IFERROR(Z211/Z445, "NA")</f>
        <v>0</v>
      </c>
      <c r="AB211" s="9"/>
      <c r="AC211" s="10">
        <f>IFERROR(-(Q211-Z211), "NA")</f>
        <v>0</v>
      </c>
      <c r="AD211" s="8">
        <f>IFERROR(AC211/AC445,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-10</v>
      </c>
      <c r="C213" s="8">
        <f>IFERROR(B213/B445, "NA")</f>
        <v>-8.6115376692769965E-5</v>
      </c>
      <c r="D213" s="9"/>
      <c r="E213" s="7">
        <v>3637.31</v>
      </c>
      <c r="F213" s="8">
        <f>IFERROR(E213/E445, "NA")</f>
        <v>2.8999970579936425E-2</v>
      </c>
      <c r="G213" s="9"/>
      <c r="H213" s="10">
        <f t="shared" ref="H213:H227" si="56">IFERROR(-(B213-E213), "NA")</f>
        <v>3647.31</v>
      </c>
      <c r="I213" s="8">
        <f>IFERROR(H213/H445, "NA")</f>
        <v>-0.39212779247698976</v>
      </c>
      <c r="J213" s="9"/>
      <c r="K213" s="7">
        <v>0</v>
      </c>
      <c r="L213" s="8">
        <f>IFERROR(K213/K445, "NA")</f>
        <v>0</v>
      </c>
      <c r="M213" s="9"/>
      <c r="N213" s="10">
        <f t="shared" ref="N213:N227" si="57">IFERROR(-(B213-K213), "NA")</f>
        <v>10</v>
      </c>
      <c r="O213" s="8">
        <f>IFERROR(N213/N445, "NA")</f>
        <v>9.0286931869481071E-3</v>
      </c>
      <c r="P213" s="9"/>
      <c r="Q213" s="7">
        <v>-10</v>
      </c>
      <c r="R213" s="8">
        <f>IFERROR(Q213/Q445, "NA")</f>
        <v>-1.8948329440430629E-5</v>
      </c>
      <c r="S213" s="9"/>
      <c r="T213" s="7">
        <v>17244.16</v>
      </c>
      <c r="U213" s="8">
        <f>IFERROR(T213/T445, "NA")</f>
        <v>2.8999999360943083E-2</v>
      </c>
      <c r="V213" s="9"/>
      <c r="W213" s="10">
        <f t="shared" ref="W213:W227" si="58">IFERROR(-(Q213-T213), "NA")</f>
        <v>17254.16</v>
      </c>
      <c r="X213" s="8">
        <f>IFERROR(W213/W445, "NA")</f>
        <v>-0.25800532065618947</v>
      </c>
      <c r="Y213" s="9"/>
      <c r="Z213" s="7">
        <v>0</v>
      </c>
      <c r="AA213" s="8">
        <f>IFERROR(Z213/Z445, "NA")</f>
        <v>0</v>
      </c>
      <c r="AB213" s="9"/>
      <c r="AC213" s="10">
        <f t="shared" ref="AC213:AC227" si="59">IFERROR(-(Q213-Z213), "NA")</f>
        <v>10</v>
      </c>
      <c r="AD213" s="8">
        <f>IFERROR(AC213/AC445, "NA")</f>
        <v>-3.5693481513632118E-4</v>
      </c>
    </row>
    <row r="214" spans="1:30" ht="16.5" customHeight="1" x14ac:dyDescent="0.45">
      <c r="A214" s="12" t="s">
        <v>194</v>
      </c>
      <c r="B214" s="7">
        <v>857.4</v>
      </c>
      <c r="C214" s="8">
        <f>IFERROR(B214/B445, "NA")</f>
        <v>7.383532397638096E-3</v>
      </c>
      <c r="D214" s="9"/>
      <c r="E214" s="7">
        <v>0</v>
      </c>
      <c r="F214" s="8">
        <f>IFERROR(E214/E445, "NA")</f>
        <v>0</v>
      </c>
      <c r="G214" s="9"/>
      <c r="H214" s="10">
        <f t="shared" si="56"/>
        <v>-857.4</v>
      </c>
      <c r="I214" s="8">
        <f>IFERROR(H214/H445, "NA")</f>
        <v>9.2180365603628703E-2</v>
      </c>
      <c r="J214" s="9"/>
      <c r="K214" s="7">
        <v>612.08000000000004</v>
      </c>
      <c r="L214" s="8">
        <f>IFERROR(K214/K445, "NA")</f>
        <v>5.3217082537427504E-3</v>
      </c>
      <c r="M214" s="9"/>
      <c r="N214" s="10">
        <f t="shared" si="57"/>
        <v>-245.31999999999994</v>
      </c>
      <c r="O214" s="8">
        <f>IFERROR(N214/N445, "NA")</f>
        <v>-0.22149190126221091</v>
      </c>
      <c r="P214" s="9"/>
      <c r="Q214" s="7">
        <v>6055.87</v>
      </c>
      <c r="R214" s="8">
        <f>IFERROR(Q214/Q445, "NA")</f>
        <v>1.1474861980842063E-2</v>
      </c>
      <c r="S214" s="9"/>
      <c r="T214" s="7">
        <v>0</v>
      </c>
      <c r="U214" s="8">
        <f>IFERROR(T214/T445, "NA")</f>
        <v>0</v>
      </c>
      <c r="V214" s="9"/>
      <c r="W214" s="10">
        <f t="shared" si="58"/>
        <v>-6055.87</v>
      </c>
      <c r="X214" s="8">
        <f>IFERROR(W214/W445, "NA")</f>
        <v>9.0554781061622139E-2</v>
      </c>
      <c r="Y214" s="9"/>
      <c r="Z214" s="7">
        <v>10451.23</v>
      </c>
      <c r="AA214" s="8">
        <f>IFERROR(Z214/Z445, "NA")</f>
        <v>1.8805045629436332E-2</v>
      </c>
      <c r="AB214" s="9"/>
      <c r="AC214" s="10">
        <f t="shared" si="59"/>
        <v>4395.3599999999997</v>
      </c>
      <c r="AD214" s="8">
        <f>IFERROR(AC214/AC445, "NA")</f>
        <v>-0.15688570090575807</v>
      </c>
    </row>
    <row r="215" spans="1:30" ht="16.5" customHeight="1" x14ac:dyDescent="0.45">
      <c r="A215" s="12" t="s">
        <v>195</v>
      </c>
      <c r="B215" s="7">
        <v>498.63</v>
      </c>
      <c r="C215" s="8">
        <f>IFERROR(B215/B445, "NA")</f>
        <v>4.2939710280315889E-3</v>
      </c>
      <c r="D215" s="9"/>
      <c r="E215" s="7">
        <v>0</v>
      </c>
      <c r="F215" s="8">
        <f>IFERROR(E215/E445, "NA")</f>
        <v>0</v>
      </c>
      <c r="G215" s="9"/>
      <c r="H215" s="10">
        <f t="shared" si="56"/>
        <v>-498.63</v>
      </c>
      <c r="I215" s="8">
        <f>IFERROR(H215/H445, "NA")</f>
        <v>5.3608462445693242E-2</v>
      </c>
      <c r="J215" s="9"/>
      <c r="K215" s="7">
        <v>0</v>
      </c>
      <c r="L215" s="8">
        <f>IFERROR(K215/K445, "NA")</f>
        <v>0</v>
      </c>
      <c r="M215" s="9"/>
      <c r="N215" s="10">
        <f t="shared" si="57"/>
        <v>-498.63</v>
      </c>
      <c r="O215" s="8">
        <f>IFERROR(N215/N445, "NA")</f>
        <v>-0.45019772838079347</v>
      </c>
      <c r="P215" s="9"/>
      <c r="Q215" s="7">
        <v>1323.49</v>
      </c>
      <c r="R215" s="8">
        <f>IFERROR(Q215/Q445, "NA")</f>
        <v>2.5077924531115535E-3</v>
      </c>
      <c r="S215" s="9"/>
      <c r="T215" s="7">
        <v>0</v>
      </c>
      <c r="U215" s="8">
        <f>IFERROR(T215/T445, "NA")</f>
        <v>0</v>
      </c>
      <c r="V215" s="9"/>
      <c r="W215" s="10">
        <f t="shared" si="58"/>
        <v>-1323.49</v>
      </c>
      <c r="X215" s="8">
        <f>IFERROR(W215/W445, "NA")</f>
        <v>1.9790442527208525E-2</v>
      </c>
      <c r="Y215" s="9"/>
      <c r="Z215" s="7">
        <v>0</v>
      </c>
      <c r="AA215" s="8">
        <f>IFERROR(Z215/Z445, "NA")</f>
        <v>0</v>
      </c>
      <c r="AB215" s="9"/>
      <c r="AC215" s="10">
        <f t="shared" si="59"/>
        <v>-1323.49</v>
      </c>
      <c r="AD215" s="8">
        <f>IFERROR(AC215/AC445, "NA")</f>
        <v>4.7239965848476971E-2</v>
      </c>
    </row>
    <row r="216" spans="1:30" ht="16.5" customHeight="1" x14ac:dyDescent="0.45">
      <c r="A216" s="12" t="s">
        <v>196</v>
      </c>
      <c r="B216" s="7">
        <v>70</v>
      </c>
      <c r="C216" s="8">
        <f>IFERROR(B216/B445, "NA")</f>
        <v>6.0280763684938976E-4</v>
      </c>
      <c r="D216" s="9"/>
      <c r="E216" s="7">
        <v>0</v>
      </c>
      <c r="F216" s="8">
        <f>IFERROR(E216/E445, "NA")</f>
        <v>0</v>
      </c>
      <c r="G216" s="9"/>
      <c r="H216" s="10">
        <f t="shared" si="56"/>
        <v>-70</v>
      </c>
      <c r="I216" s="8">
        <f>IFERROR(H216/H445, "NA")</f>
        <v>7.5258054493282127E-3</v>
      </c>
      <c r="J216" s="9"/>
      <c r="K216" s="7">
        <v>0</v>
      </c>
      <c r="L216" s="8">
        <f>IFERROR(K216/K445, "NA")</f>
        <v>0</v>
      </c>
      <c r="M216" s="9"/>
      <c r="N216" s="10">
        <f t="shared" si="57"/>
        <v>-70</v>
      </c>
      <c r="O216" s="8">
        <f>IFERROR(N216/N445, "NA")</f>
        <v>-6.3200852308636743E-2</v>
      </c>
      <c r="P216" s="9"/>
      <c r="Q216" s="7">
        <v>220</v>
      </c>
      <c r="R216" s="8">
        <f>IFERROR(Q216/Q445, "NA")</f>
        <v>4.1686324768947387E-4</v>
      </c>
      <c r="S216" s="9"/>
      <c r="T216" s="7">
        <v>0</v>
      </c>
      <c r="U216" s="8">
        <f>IFERROR(T216/T445, "NA")</f>
        <v>0</v>
      </c>
      <c r="V216" s="9"/>
      <c r="W216" s="10">
        <f t="shared" si="58"/>
        <v>-220</v>
      </c>
      <c r="X216" s="8">
        <f>IFERROR(W216/W445, "NA")</f>
        <v>3.289709295866138E-3</v>
      </c>
      <c r="Y216" s="9"/>
      <c r="Z216" s="7">
        <v>2.1</v>
      </c>
      <c r="AA216" s="8">
        <f>IFERROR(Z216/Z445, "NA")</f>
        <v>3.778559635738215E-6</v>
      </c>
      <c r="AB216" s="9"/>
      <c r="AC216" s="10">
        <f t="shared" si="59"/>
        <v>-217.9</v>
      </c>
      <c r="AD216" s="8">
        <f>IFERROR(AC216/AC445, "NA")</f>
        <v>7.7776096218204393E-3</v>
      </c>
    </row>
    <row r="217" spans="1:30" ht="16.5" customHeight="1" x14ac:dyDescent="0.45">
      <c r="A217" s="12" t="s">
        <v>197</v>
      </c>
      <c r="B217" s="7">
        <v>1269.1099999999999</v>
      </c>
      <c r="C217" s="8">
        <f>IFERROR(B217/B445, "NA")</f>
        <v>1.0928988571456128E-2</v>
      </c>
      <c r="D217" s="9"/>
      <c r="E217" s="7">
        <v>0</v>
      </c>
      <c r="F217" s="8">
        <f>IFERROR(E217/E445, "NA")</f>
        <v>0</v>
      </c>
      <c r="G217" s="9"/>
      <c r="H217" s="10">
        <f t="shared" si="56"/>
        <v>-1269.1099999999999</v>
      </c>
      <c r="I217" s="8">
        <f>IFERROR(H217/H445, "NA")</f>
        <v>0.13644392791138468</v>
      </c>
      <c r="J217" s="9"/>
      <c r="K217" s="7">
        <v>1668.43</v>
      </c>
      <c r="L217" s="8">
        <f>IFERROR(K217/K445, "NA")</f>
        <v>1.4506106557626481E-2</v>
      </c>
      <c r="M217" s="9"/>
      <c r="N217" s="10">
        <f t="shared" si="57"/>
        <v>399.32000000000016</v>
      </c>
      <c r="O217" s="8">
        <f>IFERROR(N217/N445, "NA")</f>
        <v>0.36053377634121198</v>
      </c>
      <c r="P217" s="9"/>
      <c r="Q217" s="7">
        <v>8297.75</v>
      </c>
      <c r="R217" s="8">
        <f>IFERROR(Q217/Q445, "NA")</f>
        <v>1.5722850061433327E-2</v>
      </c>
      <c r="S217" s="9"/>
      <c r="T217" s="7">
        <v>0</v>
      </c>
      <c r="U217" s="8">
        <f>IFERROR(T217/T445, "NA")</f>
        <v>0</v>
      </c>
      <c r="V217" s="9"/>
      <c r="W217" s="10">
        <f t="shared" si="58"/>
        <v>-8297.75</v>
      </c>
      <c r="X217" s="8">
        <f>IFERROR(W217/W445, "NA")</f>
        <v>0.12407811504442386</v>
      </c>
      <c r="Y217" s="9"/>
      <c r="Z217" s="7">
        <v>10853.32</v>
      </c>
      <c r="AA217" s="8">
        <f>IFERROR(Z217/Z445, "NA")</f>
        <v>1.9528531840833467E-2</v>
      </c>
      <c r="AB217" s="9"/>
      <c r="AC217" s="10">
        <f t="shared" si="59"/>
        <v>2555.5699999999997</v>
      </c>
      <c r="AD217" s="8">
        <f>IFERROR(AC217/AC445, "NA")</f>
        <v>-9.1217190551792823E-2</v>
      </c>
    </row>
    <row r="218" spans="1:30" ht="16.5" customHeight="1" x14ac:dyDescent="0.45">
      <c r="A218" s="13" t="s">
        <v>198</v>
      </c>
      <c r="B218" s="14">
        <f>IFERROR(B213+B214+B215+B216+B217, "NA")</f>
        <v>2685.14</v>
      </c>
      <c r="C218" s="15">
        <f>IFERROR(B218/B445, "NA")</f>
        <v>2.3123184257282433E-2</v>
      </c>
      <c r="D218" s="2"/>
      <c r="E218" s="14">
        <f>IFERROR(E213+E214+E215+E216+E217, "NA")</f>
        <v>3637.31</v>
      </c>
      <c r="F218" s="15">
        <f>IFERROR(E218/E445, "NA")</f>
        <v>2.8999970579936425E-2</v>
      </c>
      <c r="G218" s="2"/>
      <c r="H218" s="14">
        <f t="shared" si="56"/>
        <v>952.17000000000007</v>
      </c>
      <c r="I218" s="15">
        <f>IFERROR(H218/H445, "NA")</f>
        <v>-0.10236923106695493</v>
      </c>
      <c r="J218" s="2"/>
      <c r="K218" s="14">
        <f>IFERROR(K213+K214+K215+K216+K217, "NA")</f>
        <v>2280.5100000000002</v>
      </c>
      <c r="L218" s="15">
        <f>IFERROR(K218/K445, "NA")</f>
        <v>1.9827814811369231E-2</v>
      </c>
      <c r="M218" s="2"/>
      <c r="N218" s="14">
        <f t="shared" si="57"/>
        <v>-404.62999999999965</v>
      </c>
      <c r="O218" s="15">
        <f>IFERROR(N218/N445, "NA")</f>
        <v>-0.36532801242348095</v>
      </c>
      <c r="P218" s="2"/>
      <c r="Q218" s="14">
        <f>IFERROR(Q213+Q214+Q215+Q216+Q217, "NA")</f>
        <v>15887.11</v>
      </c>
      <c r="R218" s="15">
        <f>IFERROR(Q218/Q445, "NA")</f>
        <v>3.0103419413635989E-2</v>
      </c>
      <c r="S218" s="2"/>
      <c r="T218" s="14">
        <f>IFERROR(T213+T214+T215+T216+T217, "NA")</f>
        <v>17244.16</v>
      </c>
      <c r="U218" s="15">
        <f>IFERROR(T218/T445, "NA")</f>
        <v>2.8999999360943083E-2</v>
      </c>
      <c r="V218" s="2"/>
      <c r="W218" s="14">
        <f t="shared" si="58"/>
        <v>1357.0499999999993</v>
      </c>
      <c r="X218" s="15">
        <f>IFERROR(W218/W445, "NA")</f>
        <v>-2.0292272727068818E-2</v>
      </c>
      <c r="Y218" s="2"/>
      <c r="Z218" s="14">
        <f>IFERROR(Z213+Z214+Z215+Z216+Z217, "NA")</f>
        <v>21306.65</v>
      </c>
      <c r="AA218" s="15">
        <f>IFERROR(Z218/Z445, "NA")</f>
        <v>3.8337356029905539E-2</v>
      </c>
      <c r="AB218" s="2"/>
      <c r="AC218" s="14">
        <f t="shared" si="59"/>
        <v>5419.5400000000009</v>
      </c>
      <c r="AD218" s="15">
        <f>IFERROR(AC218/AC445, "NA")</f>
        <v>-0.19344225080238986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IFERROR(B219/B445, "NA")</f>
        <v>0</v>
      </c>
      <c r="D219" s="9"/>
      <c r="E219" s="7">
        <v>0</v>
      </c>
      <c r="F219" s="8">
        <f>IFERROR(E219/E445, "NA")</f>
        <v>0</v>
      </c>
      <c r="G219" s="9"/>
      <c r="H219" s="10">
        <f t="shared" si="56"/>
        <v>0</v>
      </c>
      <c r="I219" s="8">
        <f>IFERROR(H219/H445, "NA")</f>
        <v>0</v>
      </c>
      <c r="J219" s="9"/>
      <c r="K219" s="7">
        <v>0</v>
      </c>
      <c r="L219" s="8">
        <f>IFERROR(K219/K445, "NA")</f>
        <v>0</v>
      </c>
      <c r="M219" s="9"/>
      <c r="N219" s="10">
        <f t="shared" si="57"/>
        <v>0</v>
      </c>
      <c r="O219" s="8">
        <f>IFERROR(N219/N445, "NA")</f>
        <v>0</v>
      </c>
      <c r="P219" s="9"/>
      <c r="Q219" s="7">
        <v>0</v>
      </c>
      <c r="R219" s="8">
        <f>IFERROR(Q219/Q445, "NA")</f>
        <v>0</v>
      </c>
      <c r="S219" s="9"/>
      <c r="T219" s="7">
        <v>0</v>
      </c>
      <c r="U219" s="8">
        <f>IFERROR(T219/T445, "NA")</f>
        <v>0</v>
      </c>
      <c r="V219" s="9"/>
      <c r="W219" s="10">
        <f t="shared" si="58"/>
        <v>0</v>
      </c>
      <c r="X219" s="8">
        <f>IFERROR(W219/W445, "NA")</f>
        <v>0</v>
      </c>
      <c r="Y219" s="9"/>
      <c r="Z219" s="7">
        <v>0</v>
      </c>
      <c r="AA219" s="8">
        <f>IFERROR(Z219/Z445, "NA")</f>
        <v>0</v>
      </c>
      <c r="AB219" s="9"/>
      <c r="AC219" s="10">
        <f t="shared" si="59"/>
        <v>0</v>
      </c>
      <c r="AD219" s="8">
        <f>IFERROR(AC219/AC445,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IFERROR(B220/B445, "NA")</f>
        <v>0</v>
      </c>
      <c r="D220" s="9"/>
      <c r="E220" s="7">
        <v>0</v>
      </c>
      <c r="F220" s="8">
        <f>IFERROR(E220/E445, "NA")</f>
        <v>0</v>
      </c>
      <c r="G220" s="9"/>
      <c r="H220" s="10">
        <f t="shared" si="56"/>
        <v>0</v>
      </c>
      <c r="I220" s="8">
        <f>IFERROR(H220/H445, "NA")</f>
        <v>0</v>
      </c>
      <c r="J220" s="9"/>
      <c r="K220" s="7">
        <v>0</v>
      </c>
      <c r="L220" s="8">
        <f>IFERROR(K220/K445, "NA")</f>
        <v>0</v>
      </c>
      <c r="M220" s="9"/>
      <c r="N220" s="10">
        <f t="shared" si="57"/>
        <v>0</v>
      </c>
      <c r="O220" s="8">
        <f>IFERROR(N220/N445, "NA")</f>
        <v>0</v>
      </c>
      <c r="P220" s="9"/>
      <c r="Q220" s="7">
        <v>0</v>
      </c>
      <c r="R220" s="8">
        <f>IFERROR(Q220/Q445, "NA")</f>
        <v>0</v>
      </c>
      <c r="S220" s="9"/>
      <c r="T220" s="7">
        <v>0</v>
      </c>
      <c r="U220" s="8">
        <f>IFERROR(T220/T445, "NA")</f>
        <v>0</v>
      </c>
      <c r="V220" s="9"/>
      <c r="W220" s="10">
        <f t="shared" si="58"/>
        <v>0</v>
      </c>
      <c r="X220" s="8">
        <f>IFERROR(W220/W445, "NA")</f>
        <v>0</v>
      </c>
      <c r="Y220" s="9"/>
      <c r="Z220" s="7">
        <v>0</v>
      </c>
      <c r="AA220" s="8">
        <f>IFERROR(Z220/Z445, "NA")</f>
        <v>0</v>
      </c>
      <c r="AB220" s="9"/>
      <c r="AC220" s="10">
        <f t="shared" si="59"/>
        <v>0</v>
      </c>
      <c r="AD220" s="8">
        <f>IFERROR(AC220/AC445,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IFERROR(B221/B445, "NA")</f>
        <v>0</v>
      </c>
      <c r="D221" s="9"/>
      <c r="E221" s="7">
        <v>0</v>
      </c>
      <c r="F221" s="8">
        <f>IFERROR(E221/E445, "NA")</f>
        <v>0</v>
      </c>
      <c r="G221" s="9"/>
      <c r="H221" s="10">
        <f t="shared" si="56"/>
        <v>0</v>
      </c>
      <c r="I221" s="8">
        <f>IFERROR(H221/H445, "NA")</f>
        <v>0</v>
      </c>
      <c r="J221" s="9"/>
      <c r="K221" s="7">
        <v>0</v>
      </c>
      <c r="L221" s="8">
        <f>IFERROR(K221/K445, "NA")</f>
        <v>0</v>
      </c>
      <c r="M221" s="9"/>
      <c r="N221" s="10">
        <f t="shared" si="57"/>
        <v>0</v>
      </c>
      <c r="O221" s="8">
        <f>IFERROR(N221/N445, "NA")</f>
        <v>0</v>
      </c>
      <c r="P221" s="9"/>
      <c r="Q221" s="7">
        <v>0</v>
      </c>
      <c r="R221" s="8">
        <f>IFERROR(Q221/Q445, "NA")</f>
        <v>0</v>
      </c>
      <c r="S221" s="9"/>
      <c r="T221" s="7">
        <v>0</v>
      </c>
      <c r="U221" s="8">
        <f>IFERROR(T221/T445, "NA")</f>
        <v>0</v>
      </c>
      <c r="V221" s="9"/>
      <c r="W221" s="10">
        <f t="shared" si="58"/>
        <v>0</v>
      </c>
      <c r="X221" s="8">
        <f>IFERROR(W221/W445, "NA")</f>
        <v>0</v>
      </c>
      <c r="Y221" s="9"/>
      <c r="Z221" s="7">
        <v>0</v>
      </c>
      <c r="AA221" s="8">
        <f>IFERROR(Z221/Z445, "NA")</f>
        <v>0</v>
      </c>
      <c r="AB221" s="9"/>
      <c r="AC221" s="10">
        <f t="shared" si="59"/>
        <v>0</v>
      </c>
      <c r="AD221" s="8">
        <f>IFERROR(AC221/AC445, "NA")</f>
        <v>0</v>
      </c>
    </row>
    <row r="222" spans="1:30" ht="16.5" customHeight="1" x14ac:dyDescent="0.45">
      <c r="A222" s="6" t="s">
        <v>202</v>
      </c>
      <c r="B222" s="7">
        <v>151.5</v>
      </c>
      <c r="C222" s="8">
        <f>IFERROR(B222/B445, "NA")</f>
        <v>1.3046479568954649E-3</v>
      </c>
      <c r="D222" s="9"/>
      <c r="E222" s="7">
        <v>100</v>
      </c>
      <c r="F222" s="8">
        <f>IFERROR(E222/E445, "NA")</f>
        <v>7.9729169578442378E-4</v>
      </c>
      <c r="G222" s="9"/>
      <c r="H222" s="10">
        <f t="shared" si="56"/>
        <v>-51.5</v>
      </c>
      <c r="I222" s="8">
        <f>IFERROR(H222/H445, "NA")</f>
        <v>5.5368425805771854E-3</v>
      </c>
      <c r="J222" s="9"/>
      <c r="K222" s="7">
        <v>0</v>
      </c>
      <c r="L222" s="8">
        <f>IFERROR(K222/K445, "NA")</f>
        <v>0</v>
      </c>
      <c r="M222" s="9"/>
      <c r="N222" s="10">
        <f t="shared" si="57"/>
        <v>-151.5</v>
      </c>
      <c r="O222" s="8">
        <f>IFERROR(N222/N445, "NA")</f>
        <v>-0.13678470178226382</v>
      </c>
      <c r="P222" s="9"/>
      <c r="Q222" s="7">
        <v>354.09</v>
      </c>
      <c r="R222" s="8">
        <f>IFERROR(Q222/Q445, "NA")</f>
        <v>6.7094139715620808E-4</v>
      </c>
      <c r="S222" s="9"/>
      <c r="T222" s="7">
        <v>500</v>
      </c>
      <c r="U222" s="8">
        <f>IFERROR(T222/T445, "NA")</f>
        <v>8.408643668622619E-4</v>
      </c>
      <c r="V222" s="9"/>
      <c r="W222" s="10">
        <f t="shared" si="58"/>
        <v>145.91000000000003</v>
      </c>
      <c r="X222" s="8">
        <f>IFERROR(W222/W445, "NA")</f>
        <v>-2.181824924362856E-3</v>
      </c>
      <c r="Y222" s="9"/>
      <c r="Z222" s="7">
        <v>509.06</v>
      </c>
      <c r="AA222" s="8">
        <f>IFERROR(Z222/Z445, "NA")</f>
        <v>9.1595884198518841E-4</v>
      </c>
      <c r="AB222" s="9"/>
      <c r="AC222" s="10">
        <f t="shared" si="59"/>
        <v>154.97000000000003</v>
      </c>
      <c r="AD222" s="8">
        <f>IFERROR(AC222/AC445, "NA")</f>
        <v>-5.5314188301675707E-3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IFERROR(B223/B445, "NA")</f>
        <v>0</v>
      </c>
      <c r="D223" s="9"/>
      <c r="E223" s="7">
        <v>0</v>
      </c>
      <c r="F223" s="8">
        <f>IFERROR(E223/E445, "NA")</f>
        <v>0</v>
      </c>
      <c r="G223" s="9"/>
      <c r="H223" s="10">
        <f t="shared" si="56"/>
        <v>0</v>
      </c>
      <c r="I223" s="8">
        <f>IFERROR(H223/H445, "NA")</f>
        <v>0</v>
      </c>
      <c r="J223" s="9"/>
      <c r="K223" s="7">
        <v>0</v>
      </c>
      <c r="L223" s="8">
        <f>IFERROR(K223/K445, "NA")</f>
        <v>0</v>
      </c>
      <c r="M223" s="9"/>
      <c r="N223" s="10">
        <f t="shared" si="57"/>
        <v>0</v>
      </c>
      <c r="O223" s="8">
        <f>IFERROR(N223/N445, "NA")</f>
        <v>0</v>
      </c>
      <c r="P223" s="9"/>
      <c r="Q223" s="7">
        <v>0</v>
      </c>
      <c r="R223" s="8">
        <f>IFERROR(Q223/Q445, "NA")</f>
        <v>0</v>
      </c>
      <c r="S223" s="9"/>
      <c r="T223" s="7">
        <v>0</v>
      </c>
      <c r="U223" s="8">
        <f>IFERROR(T223/T445, "NA")</f>
        <v>0</v>
      </c>
      <c r="V223" s="9"/>
      <c r="W223" s="10">
        <f t="shared" si="58"/>
        <v>0</v>
      </c>
      <c r="X223" s="8">
        <f>IFERROR(W223/W445, "NA")</f>
        <v>0</v>
      </c>
      <c r="Y223" s="9"/>
      <c r="Z223" s="7">
        <v>0</v>
      </c>
      <c r="AA223" s="8">
        <f>IFERROR(Z223/Z445, "NA")</f>
        <v>0</v>
      </c>
      <c r="AB223" s="9"/>
      <c r="AC223" s="10">
        <f t="shared" si="59"/>
        <v>0</v>
      </c>
      <c r="AD223" s="8">
        <f>IFERROR(AC223/AC445,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IFERROR(B224/B445, "NA")</f>
        <v>0</v>
      </c>
      <c r="D224" s="9"/>
      <c r="E224" s="7">
        <v>0</v>
      </c>
      <c r="F224" s="8">
        <f>IFERROR(E224/E445, "NA")</f>
        <v>0</v>
      </c>
      <c r="G224" s="9"/>
      <c r="H224" s="10">
        <f t="shared" si="56"/>
        <v>0</v>
      </c>
      <c r="I224" s="8">
        <f>IFERROR(H224/H445, "NA")</f>
        <v>0</v>
      </c>
      <c r="J224" s="9"/>
      <c r="K224" s="7">
        <v>0</v>
      </c>
      <c r="L224" s="8">
        <f>IFERROR(K224/K445, "NA")</f>
        <v>0</v>
      </c>
      <c r="M224" s="9"/>
      <c r="N224" s="10">
        <f t="shared" si="57"/>
        <v>0</v>
      </c>
      <c r="O224" s="8">
        <f>IFERROR(N224/N445, "NA")</f>
        <v>0</v>
      </c>
      <c r="P224" s="9"/>
      <c r="Q224" s="7">
        <v>0</v>
      </c>
      <c r="R224" s="8">
        <f>IFERROR(Q224/Q445, "NA")</f>
        <v>0</v>
      </c>
      <c r="S224" s="9"/>
      <c r="T224" s="7">
        <v>0</v>
      </c>
      <c r="U224" s="8">
        <f>IFERROR(T224/T445, "NA")</f>
        <v>0</v>
      </c>
      <c r="V224" s="9"/>
      <c r="W224" s="10">
        <f t="shared" si="58"/>
        <v>0</v>
      </c>
      <c r="X224" s="8">
        <f>IFERROR(W224/W445, "NA")</f>
        <v>0</v>
      </c>
      <c r="Y224" s="9"/>
      <c r="Z224" s="7">
        <v>0</v>
      </c>
      <c r="AA224" s="8">
        <f>IFERROR(Z224/Z445, "NA")</f>
        <v>0</v>
      </c>
      <c r="AB224" s="9"/>
      <c r="AC224" s="10">
        <f t="shared" si="59"/>
        <v>0</v>
      </c>
      <c r="AD224" s="8">
        <f>IFERROR(AC224/AC445,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IFERROR(B225/B445, "NA")</f>
        <v>0</v>
      </c>
      <c r="D225" s="9"/>
      <c r="E225" s="7">
        <v>0</v>
      </c>
      <c r="F225" s="8">
        <f>IFERROR(E225/E445, "NA")</f>
        <v>0</v>
      </c>
      <c r="G225" s="9"/>
      <c r="H225" s="10">
        <f t="shared" si="56"/>
        <v>0</v>
      </c>
      <c r="I225" s="8">
        <f>IFERROR(H225/H445, "NA")</f>
        <v>0</v>
      </c>
      <c r="J225" s="9"/>
      <c r="K225" s="7">
        <v>0</v>
      </c>
      <c r="L225" s="8">
        <f>IFERROR(K225/K445, "NA")</f>
        <v>0</v>
      </c>
      <c r="M225" s="9"/>
      <c r="N225" s="10">
        <f t="shared" si="57"/>
        <v>0</v>
      </c>
      <c r="O225" s="8">
        <f>IFERROR(N225/N445, "NA")</f>
        <v>0</v>
      </c>
      <c r="P225" s="9"/>
      <c r="Q225" s="7">
        <v>0</v>
      </c>
      <c r="R225" s="8">
        <f>IFERROR(Q225/Q445, "NA")</f>
        <v>0</v>
      </c>
      <c r="S225" s="9"/>
      <c r="T225" s="7">
        <v>0</v>
      </c>
      <c r="U225" s="8">
        <f>IFERROR(T225/T445, "NA")</f>
        <v>0</v>
      </c>
      <c r="V225" s="9"/>
      <c r="W225" s="10">
        <f t="shared" si="58"/>
        <v>0</v>
      </c>
      <c r="X225" s="8">
        <f>IFERROR(W225/W445, "NA")</f>
        <v>0</v>
      </c>
      <c r="Y225" s="9"/>
      <c r="Z225" s="7">
        <v>0</v>
      </c>
      <c r="AA225" s="8">
        <f>IFERROR(Z225/Z445, "NA")</f>
        <v>0</v>
      </c>
      <c r="AB225" s="9"/>
      <c r="AC225" s="10">
        <f t="shared" si="59"/>
        <v>0</v>
      </c>
      <c r="AD225" s="8">
        <f>IFERROR(AC225/AC445,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IFERROR(B226/B445, "NA")</f>
        <v>0</v>
      </c>
      <c r="D226" s="9"/>
      <c r="E226" s="7">
        <v>0</v>
      </c>
      <c r="F226" s="8">
        <f>IFERROR(E226/E445, "NA")</f>
        <v>0</v>
      </c>
      <c r="G226" s="9"/>
      <c r="H226" s="10">
        <f t="shared" si="56"/>
        <v>0</v>
      </c>
      <c r="I226" s="8">
        <f>IFERROR(H226/H445, "NA")</f>
        <v>0</v>
      </c>
      <c r="J226" s="9"/>
      <c r="K226" s="7">
        <v>0</v>
      </c>
      <c r="L226" s="8">
        <f>IFERROR(K226/K445, "NA")</f>
        <v>0</v>
      </c>
      <c r="M226" s="9"/>
      <c r="N226" s="10">
        <f t="shared" si="57"/>
        <v>0</v>
      </c>
      <c r="O226" s="8">
        <f>IFERROR(N226/N445, "NA")</f>
        <v>0</v>
      </c>
      <c r="P226" s="9"/>
      <c r="Q226" s="7">
        <v>0</v>
      </c>
      <c r="R226" s="8">
        <f>IFERROR(Q226/Q445, "NA")</f>
        <v>0</v>
      </c>
      <c r="S226" s="9"/>
      <c r="T226" s="7">
        <v>0</v>
      </c>
      <c r="U226" s="8">
        <f>IFERROR(T226/T445, "NA")</f>
        <v>0</v>
      </c>
      <c r="V226" s="9"/>
      <c r="W226" s="10">
        <f t="shared" si="58"/>
        <v>0</v>
      </c>
      <c r="X226" s="8">
        <f>IFERROR(W226/W445, "NA")</f>
        <v>0</v>
      </c>
      <c r="Y226" s="9"/>
      <c r="Z226" s="7">
        <v>0</v>
      </c>
      <c r="AA226" s="8">
        <f>IFERROR(Z226/Z445, "NA")</f>
        <v>0</v>
      </c>
      <c r="AB226" s="9"/>
      <c r="AC226" s="10">
        <f t="shared" si="59"/>
        <v>0</v>
      </c>
      <c r="AD226" s="8">
        <f>IFERROR(AC226/AC445,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2836.64</v>
      </c>
      <c r="C227" s="15">
        <f>IFERROR(B227/B445, "NA")</f>
        <v>2.4427832214177898E-2</v>
      </c>
      <c r="D227" s="2"/>
      <c r="E227" s="14">
        <f>IFERROR(E211+E213+E214+E215+E216+E217+E219+E220+E221+E222+E223+E224+E225+E226, "NA")</f>
        <v>3737.31</v>
      </c>
      <c r="F227" s="15">
        <f>IFERROR(E227/E445, "NA")</f>
        <v>2.979726227572085E-2</v>
      </c>
      <c r="G227" s="2"/>
      <c r="H227" s="14">
        <f t="shared" si="56"/>
        <v>900.67000000000007</v>
      </c>
      <c r="I227" s="15">
        <f>IFERROR(H227/H445, "NA")</f>
        <v>-9.6832388486377749E-2</v>
      </c>
      <c r="J227" s="2"/>
      <c r="K227" s="14">
        <f>IFERROR(K211+K213+K214+K215+K216+K217+K219+K220+K221+K222+K223+K224+K225+K226, "NA")</f>
        <v>2280.5100000000002</v>
      </c>
      <c r="L227" s="15">
        <f>IFERROR(K227/K445, "NA")</f>
        <v>1.9827814811369231E-2</v>
      </c>
      <c r="M227" s="2"/>
      <c r="N227" s="14">
        <f t="shared" si="57"/>
        <v>-556.12999999999965</v>
      </c>
      <c r="O227" s="15">
        <f>IFERROR(N227/N445, "NA")</f>
        <v>-0.50211271420574477</v>
      </c>
      <c r="P227" s="2"/>
      <c r="Q227" s="14">
        <f>IFERROR(Q211+Q213+Q214+Q215+Q216+Q217+Q219+Q220+Q221+Q222+Q223+Q224+Q225+Q226, "NA")</f>
        <v>16241.2</v>
      </c>
      <c r="R227" s="15">
        <f>IFERROR(Q227/Q445, "NA")</f>
        <v>3.0774360810792198E-2</v>
      </c>
      <c r="S227" s="2"/>
      <c r="T227" s="14">
        <f>IFERROR(T211+T213+T214+T215+T216+T217+T219+T220+T221+T222+T223+T224+T225+T226, "NA")</f>
        <v>17744.16</v>
      </c>
      <c r="U227" s="15">
        <f>IFERROR(T227/T445, "NA")</f>
        <v>2.9840863727805342E-2</v>
      </c>
      <c r="V227" s="2"/>
      <c r="W227" s="14">
        <f t="shared" si="58"/>
        <v>1502.9599999999991</v>
      </c>
      <c r="X227" s="15">
        <f>IFERROR(W227/W445, "NA")</f>
        <v>-2.2474097651431674E-2</v>
      </c>
      <c r="Y227" s="2"/>
      <c r="Z227" s="14">
        <f>IFERROR(Z211+Z213+Z214+Z215+Z216+Z217+Z219+Z220+Z221+Z222+Z223+Z224+Z225+Z226, "NA")</f>
        <v>21815.710000000003</v>
      </c>
      <c r="AA227" s="15">
        <f>IFERROR(Z227/Z445, "NA")</f>
        <v>3.9253314871890731E-2</v>
      </c>
      <c r="AB227" s="2"/>
      <c r="AC227" s="14">
        <f t="shared" si="59"/>
        <v>5574.510000000002</v>
      </c>
      <c r="AD227" s="15">
        <f>IFERROR(AC227/AC445, "NA")</f>
        <v>-0.19897366963255747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IFERROR(B229/B445, "NA")</f>
        <v>0</v>
      </c>
      <c r="D229" s="9"/>
      <c r="E229" s="7">
        <v>1630.52</v>
      </c>
      <c r="F229" s="8">
        <f>IFERROR(E229/E445, "NA")</f>
        <v>1.3000000558104187E-2</v>
      </c>
      <c r="G229" s="9"/>
      <c r="H229" s="10">
        <f t="shared" ref="H229:H236" si="60">IFERROR(-(B229-E229), "NA")</f>
        <v>1630.52</v>
      </c>
      <c r="I229" s="8">
        <f>IFERROR(H229/H445, "NA")</f>
        <v>-0.17529966144626624</v>
      </c>
      <c r="J229" s="9"/>
      <c r="K229" s="7">
        <v>0</v>
      </c>
      <c r="L229" s="8">
        <f>IFERROR(K229/K445, "NA")</f>
        <v>0</v>
      </c>
      <c r="M229" s="9"/>
      <c r="N229" s="10">
        <f t="shared" ref="N229:N236" si="61">IFERROR(-(B229-K229), "NA")</f>
        <v>0</v>
      </c>
      <c r="O229" s="8">
        <f>IFERROR(N229/N445, "NA")</f>
        <v>0</v>
      </c>
      <c r="P229" s="9"/>
      <c r="Q229" s="7">
        <v>0</v>
      </c>
      <c r="R229" s="8">
        <f>IFERROR(Q229/Q445, "NA")</f>
        <v>0</v>
      </c>
      <c r="S229" s="9"/>
      <c r="T229" s="7">
        <v>7730.14</v>
      </c>
      <c r="U229" s="8">
        <f>IFERROR(T229/T445, "NA")</f>
        <v>1.2999998553713291E-2</v>
      </c>
      <c r="V229" s="9"/>
      <c r="W229" s="10">
        <f t="shared" ref="W229:W236" si="62">IFERROR(-(Q229-T229), "NA")</f>
        <v>7730.14</v>
      </c>
      <c r="X229" s="8">
        <f>IFERROR(W229/W445, "NA")</f>
        <v>-0.1155905155288485</v>
      </c>
      <c r="Y229" s="9"/>
      <c r="Z229" s="7">
        <v>0</v>
      </c>
      <c r="AA229" s="8">
        <f>IFERROR(Z229/Z445, "NA")</f>
        <v>0</v>
      </c>
      <c r="AB229" s="9"/>
      <c r="AC229" s="10">
        <f t="shared" ref="AC229:AC236" si="63">IFERROR(-(Q229-Z229), "NA")</f>
        <v>0</v>
      </c>
      <c r="AD229" s="8">
        <f>IFERROR(AC229/AC445,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IFERROR(B230/B445, "NA")</f>
        <v>0</v>
      </c>
      <c r="D230" s="9"/>
      <c r="E230" s="7">
        <v>0</v>
      </c>
      <c r="F230" s="8">
        <f>IFERROR(E230/E445, "NA")</f>
        <v>0</v>
      </c>
      <c r="G230" s="9"/>
      <c r="H230" s="10">
        <f t="shared" si="60"/>
        <v>0</v>
      </c>
      <c r="I230" s="8">
        <f>IFERROR(H230/H445, "NA")</f>
        <v>0</v>
      </c>
      <c r="J230" s="9"/>
      <c r="K230" s="7">
        <v>0</v>
      </c>
      <c r="L230" s="8">
        <f>IFERROR(K230/K445, "NA")</f>
        <v>0</v>
      </c>
      <c r="M230" s="9"/>
      <c r="N230" s="10">
        <f t="shared" si="61"/>
        <v>0</v>
      </c>
      <c r="O230" s="8">
        <f>IFERROR(N230/N445, "NA")</f>
        <v>0</v>
      </c>
      <c r="P230" s="9"/>
      <c r="Q230" s="7">
        <v>0</v>
      </c>
      <c r="R230" s="8">
        <f>IFERROR(Q230/Q445, "NA")</f>
        <v>0</v>
      </c>
      <c r="S230" s="9"/>
      <c r="T230" s="7">
        <v>0</v>
      </c>
      <c r="U230" s="8">
        <f>IFERROR(T230/T445, "NA")</f>
        <v>0</v>
      </c>
      <c r="V230" s="9"/>
      <c r="W230" s="10">
        <f t="shared" si="62"/>
        <v>0</v>
      </c>
      <c r="X230" s="8">
        <f>IFERROR(W230/W445, "NA")</f>
        <v>0</v>
      </c>
      <c r="Y230" s="9"/>
      <c r="Z230" s="7">
        <v>0</v>
      </c>
      <c r="AA230" s="8">
        <f>IFERROR(Z230/Z445, "NA")</f>
        <v>0</v>
      </c>
      <c r="AB230" s="9"/>
      <c r="AC230" s="10">
        <f t="shared" si="63"/>
        <v>0</v>
      </c>
      <c r="AD230" s="8">
        <f>IFERROR(AC230/AC445,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IFERROR(B231/B445, "NA")</f>
        <v>0</v>
      </c>
      <c r="D231" s="9"/>
      <c r="E231" s="7">
        <v>0</v>
      </c>
      <c r="F231" s="8">
        <f>IFERROR(E231/E445, "NA")</f>
        <v>0</v>
      </c>
      <c r="G231" s="9"/>
      <c r="H231" s="10">
        <f t="shared" si="60"/>
        <v>0</v>
      </c>
      <c r="I231" s="8">
        <f>IFERROR(H231/H445, "NA")</f>
        <v>0</v>
      </c>
      <c r="J231" s="9"/>
      <c r="K231" s="7">
        <v>203</v>
      </c>
      <c r="L231" s="8">
        <f>IFERROR(K231/K445, "NA")</f>
        <v>1.7649764336521016E-3</v>
      </c>
      <c r="M231" s="9"/>
      <c r="N231" s="10">
        <f t="shared" si="61"/>
        <v>203</v>
      </c>
      <c r="O231" s="8">
        <f>IFERROR(N231/N445, "NA")</f>
        <v>0.18328247169504658</v>
      </c>
      <c r="P231" s="9"/>
      <c r="Q231" s="7">
        <v>231</v>
      </c>
      <c r="R231" s="8">
        <f>IFERROR(Q231/Q445, "NA")</f>
        <v>4.3770641007394756E-4</v>
      </c>
      <c r="S231" s="9"/>
      <c r="T231" s="7">
        <v>0</v>
      </c>
      <c r="U231" s="8">
        <f>IFERROR(T231/T445, "NA")</f>
        <v>0</v>
      </c>
      <c r="V231" s="9"/>
      <c r="W231" s="10">
        <f t="shared" si="62"/>
        <v>-231</v>
      </c>
      <c r="X231" s="8">
        <f>IFERROR(W231/W445, "NA")</f>
        <v>3.454194760659445E-3</v>
      </c>
      <c r="Y231" s="9"/>
      <c r="Z231" s="7">
        <v>973.05</v>
      </c>
      <c r="AA231" s="8">
        <f>IFERROR(Z231/Z445, "NA")</f>
        <v>1.7508225969309855E-3</v>
      </c>
      <c r="AB231" s="9"/>
      <c r="AC231" s="10">
        <f t="shared" si="63"/>
        <v>742.05</v>
      </c>
      <c r="AD231" s="8">
        <f>IFERROR(AC231/AC445, "NA")</f>
        <v>-2.6486347957190712E-2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IFERROR(B232/B445, "NA")</f>
        <v>0</v>
      </c>
      <c r="D232" s="9"/>
      <c r="E232" s="7">
        <v>0</v>
      </c>
      <c r="F232" s="8">
        <f>IFERROR(E232/E445, "NA")</f>
        <v>0</v>
      </c>
      <c r="G232" s="9"/>
      <c r="H232" s="10">
        <f t="shared" si="60"/>
        <v>0</v>
      </c>
      <c r="I232" s="8">
        <f>IFERROR(H232/H445, "NA")</f>
        <v>0</v>
      </c>
      <c r="J232" s="9"/>
      <c r="K232" s="7">
        <v>0</v>
      </c>
      <c r="L232" s="8">
        <f>IFERROR(K232/K445, "NA")</f>
        <v>0</v>
      </c>
      <c r="M232" s="9"/>
      <c r="N232" s="10">
        <f t="shared" si="61"/>
        <v>0</v>
      </c>
      <c r="O232" s="8">
        <f>IFERROR(N232/N445, "NA")</f>
        <v>0</v>
      </c>
      <c r="P232" s="9"/>
      <c r="Q232" s="7">
        <v>0</v>
      </c>
      <c r="R232" s="8">
        <f>IFERROR(Q232/Q445, "NA")</f>
        <v>0</v>
      </c>
      <c r="S232" s="9"/>
      <c r="T232" s="7">
        <v>0</v>
      </c>
      <c r="U232" s="8">
        <f>IFERROR(T232/T445, "NA")</f>
        <v>0</v>
      </c>
      <c r="V232" s="9"/>
      <c r="W232" s="10">
        <f t="shared" si="62"/>
        <v>0</v>
      </c>
      <c r="X232" s="8">
        <f>IFERROR(W232/W445, "NA")</f>
        <v>0</v>
      </c>
      <c r="Y232" s="9"/>
      <c r="Z232" s="7">
        <v>0</v>
      </c>
      <c r="AA232" s="8">
        <f>IFERROR(Z232/Z445, "NA")</f>
        <v>0</v>
      </c>
      <c r="AB232" s="9"/>
      <c r="AC232" s="10">
        <f t="shared" si="63"/>
        <v>0</v>
      </c>
      <c r="AD232" s="8">
        <f>IFERROR(AC232/AC445,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IFERROR(B233/B445, "NA")</f>
        <v>0</v>
      </c>
      <c r="D233" s="9"/>
      <c r="E233" s="7">
        <v>0</v>
      </c>
      <c r="F233" s="8">
        <f>IFERROR(E233/E445, "NA")</f>
        <v>0</v>
      </c>
      <c r="G233" s="9"/>
      <c r="H233" s="10">
        <f t="shared" si="60"/>
        <v>0</v>
      </c>
      <c r="I233" s="8">
        <f>IFERROR(H233/H445, "NA")</f>
        <v>0</v>
      </c>
      <c r="J233" s="9"/>
      <c r="K233" s="7">
        <v>0</v>
      </c>
      <c r="L233" s="8">
        <f>IFERROR(K233/K445, "NA")</f>
        <v>0</v>
      </c>
      <c r="M233" s="9"/>
      <c r="N233" s="10">
        <f t="shared" si="61"/>
        <v>0</v>
      </c>
      <c r="O233" s="8">
        <f>IFERROR(N233/N445, "NA")</f>
        <v>0</v>
      </c>
      <c r="P233" s="9"/>
      <c r="Q233" s="7">
        <v>0</v>
      </c>
      <c r="R233" s="8">
        <f>IFERROR(Q233/Q445, "NA")</f>
        <v>0</v>
      </c>
      <c r="S233" s="9"/>
      <c r="T233" s="7">
        <v>0</v>
      </c>
      <c r="U233" s="8">
        <f>IFERROR(T233/T445, "NA")</f>
        <v>0</v>
      </c>
      <c r="V233" s="9"/>
      <c r="W233" s="10">
        <f t="shared" si="62"/>
        <v>0</v>
      </c>
      <c r="X233" s="8">
        <f>IFERROR(W233/W445, "NA")</f>
        <v>0</v>
      </c>
      <c r="Y233" s="9"/>
      <c r="Z233" s="7">
        <v>0</v>
      </c>
      <c r="AA233" s="8">
        <f>IFERROR(Z233/Z445, "NA")</f>
        <v>0</v>
      </c>
      <c r="AB233" s="9"/>
      <c r="AC233" s="10">
        <f t="shared" si="63"/>
        <v>0</v>
      </c>
      <c r="AD233" s="8">
        <f>IFERROR(AC233/AC445, "NA")</f>
        <v>0</v>
      </c>
    </row>
    <row r="234" spans="1:30" ht="16.5" customHeight="1" x14ac:dyDescent="0.45">
      <c r="A234" s="6" t="s">
        <v>213</v>
      </c>
      <c r="B234" s="7">
        <v>1135.9000000000001</v>
      </c>
      <c r="C234" s="8">
        <f>IFERROR(B234/B445, "NA")</f>
        <v>9.7818456385317405E-3</v>
      </c>
      <c r="D234" s="9"/>
      <c r="E234" s="7">
        <v>0</v>
      </c>
      <c r="F234" s="8">
        <f>IFERROR(E234/E445, "NA")</f>
        <v>0</v>
      </c>
      <c r="G234" s="9"/>
      <c r="H234" s="10">
        <f t="shared" si="60"/>
        <v>-1135.9000000000001</v>
      </c>
      <c r="I234" s="8">
        <f>IFERROR(H234/H445, "NA")</f>
        <v>0.12212232014131311</v>
      </c>
      <c r="J234" s="9"/>
      <c r="K234" s="7">
        <v>1785.56</v>
      </c>
      <c r="L234" s="8">
        <f>IFERROR(K234/K445, "NA")</f>
        <v>1.5524489265378553E-2</v>
      </c>
      <c r="M234" s="9"/>
      <c r="N234" s="10">
        <f t="shared" si="61"/>
        <v>649.65999999999985</v>
      </c>
      <c r="O234" s="8">
        <f>IFERROR(N234/N445, "NA")</f>
        <v>0.58655808158327061</v>
      </c>
      <c r="P234" s="9"/>
      <c r="Q234" s="7">
        <v>5618.58</v>
      </c>
      <c r="R234" s="8">
        <f>IFERROR(Q234/Q445, "NA")</f>
        <v>1.0646270482741473E-2</v>
      </c>
      <c r="S234" s="9"/>
      <c r="T234" s="7">
        <v>0</v>
      </c>
      <c r="U234" s="8">
        <f>IFERROR(T234/T445, "NA")</f>
        <v>0</v>
      </c>
      <c r="V234" s="9"/>
      <c r="W234" s="10">
        <f t="shared" si="62"/>
        <v>-5618.58</v>
      </c>
      <c r="X234" s="8">
        <f>IFERROR(W234/W445, "NA")</f>
        <v>8.4015885707125301E-2</v>
      </c>
      <c r="Y234" s="9"/>
      <c r="Z234" s="7">
        <v>7586.57</v>
      </c>
      <c r="AA234" s="8">
        <f>IFERROR(Z234/Z445, "NA")</f>
        <v>1.3650622464620222E-2</v>
      </c>
      <c r="AB234" s="9"/>
      <c r="AC234" s="10">
        <f t="shared" si="63"/>
        <v>1967.9899999999998</v>
      </c>
      <c r="AD234" s="8">
        <f>IFERROR(AC234/AC445, "NA")</f>
        <v>-7.0244414684012865E-2</v>
      </c>
    </row>
    <row r="235" spans="1:30" ht="16.5" customHeight="1" x14ac:dyDescent="0.45">
      <c r="A235" s="6" t="s">
        <v>214</v>
      </c>
      <c r="B235" s="7">
        <v>62.72</v>
      </c>
      <c r="C235" s="8">
        <f>IFERROR(B235/B445, "NA")</f>
        <v>5.4011564261705319E-4</v>
      </c>
      <c r="D235" s="9"/>
      <c r="E235" s="7">
        <v>0</v>
      </c>
      <c r="F235" s="8">
        <f>IFERROR(E235/E445, "NA")</f>
        <v>0</v>
      </c>
      <c r="G235" s="9"/>
      <c r="H235" s="10">
        <f t="shared" si="60"/>
        <v>-62.72</v>
      </c>
      <c r="I235" s="8">
        <f>IFERROR(H235/H445, "NA")</f>
        <v>6.7431216825980782E-3</v>
      </c>
      <c r="J235" s="9"/>
      <c r="K235" s="7">
        <v>0</v>
      </c>
      <c r="L235" s="8">
        <f>IFERROR(K235/K445, "NA")</f>
        <v>0</v>
      </c>
      <c r="M235" s="9"/>
      <c r="N235" s="10">
        <f t="shared" si="61"/>
        <v>-62.72</v>
      </c>
      <c r="O235" s="8">
        <f>IFERROR(N235/N445, "NA")</f>
        <v>-5.6627963668538527E-2</v>
      </c>
      <c r="P235" s="9"/>
      <c r="Q235" s="7">
        <v>186.39</v>
      </c>
      <c r="R235" s="8">
        <f>IFERROR(Q235/Q445, "NA")</f>
        <v>3.5317791244018649E-4</v>
      </c>
      <c r="S235" s="9"/>
      <c r="T235" s="7">
        <v>0</v>
      </c>
      <c r="U235" s="8">
        <f>IFERROR(T235/T445, "NA")</f>
        <v>0</v>
      </c>
      <c r="V235" s="9"/>
      <c r="W235" s="10">
        <f t="shared" si="62"/>
        <v>-186.39</v>
      </c>
      <c r="X235" s="8">
        <f>IFERROR(W235/W445, "NA")</f>
        <v>2.7871314348022246E-3</v>
      </c>
      <c r="Y235" s="9"/>
      <c r="Z235" s="7">
        <v>0</v>
      </c>
      <c r="AA235" s="8">
        <f>IFERROR(Z235/Z445, "NA")</f>
        <v>0</v>
      </c>
      <c r="AB235" s="9"/>
      <c r="AC235" s="10">
        <f t="shared" si="63"/>
        <v>-186.39</v>
      </c>
      <c r="AD235" s="8">
        <f>IFERROR(AC235/AC445, "NA")</f>
        <v>6.6529080193258906E-3</v>
      </c>
    </row>
    <row r="236" spans="1:30" ht="16.5" customHeight="1" x14ac:dyDescent="0.45">
      <c r="A236" s="19" t="s">
        <v>215</v>
      </c>
      <c r="B236" s="14">
        <f>IFERROR(B229+B230+B231+B232+B233+B234+B235, "NA")</f>
        <v>1198.6200000000001</v>
      </c>
      <c r="C236" s="15">
        <f>IFERROR(B236/B445, "NA")</f>
        <v>1.0321961281148795E-2</v>
      </c>
      <c r="D236" s="2"/>
      <c r="E236" s="14">
        <f>IFERROR(E229+E230+E231+E232+E233+E234+E235, "NA")</f>
        <v>1630.52</v>
      </c>
      <c r="F236" s="15">
        <f>IFERROR(E236/E445, "NA")</f>
        <v>1.3000000558104187E-2</v>
      </c>
      <c r="G236" s="2"/>
      <c r="H236" s="14">
        <f t="shared" si="60"/>
        <v>431.89999999999986</v>
      </c>
      <c r="I236" s="15">
        <f>IFERROR(H236/H445, "NA")</f>
        <v>-4.6434219622355062E-2</v>
      </c>
      <c r="J236" s="2"/>
      <c r="K236" s="14">
        <f>IFERROR(K229+K230+K231+K232+K233+K234+K235, "NA")</f>
        <v>1988.56</v>
      </c>
      <c r="L236" s="15">
        <f>IFERROR(K236/K445, "NA")</f>
        <v>1.7289465699030653E-2</v>
      </c>
      <c r="M236" s="2"/>
      <c r="N236" s="14">
        <f t="shared" si="61"/>
        <v>789.93999999999983</v>
      </c>
      <c r="O236" s="15">
        <f>IFERROR(N236/N445, "NA")</f>
        <v>0.71321258960977862</v>
      </c>
      <c r="P236" s="2"/>
      <c r="Q236" s="14">
        <f>IFERROR(Q229+Q230+Q231+Q232+Q233+Q234+Q235, "NA")</f>
        <v>6035.97</v>
      </c>
      <c r="R236" s="15">
        <f>IFERROR(Q236/Q445, "NA")</f>
        <v>1.1437154805255607E-2</v>
      </c>
      <c r="S236" s="2"/>
      <c r="T236" s="14">
        <f>IFERROR(T229+T230+T231+T232+T233+T234+T235, "NA")</f>
        <v>7730.14</v>
      </c>
      <c r="U236" s="15">
        <f>IFERROR(T236/T445, "NA")</f>
        <v>1.2999998553713291E-2</v>
      </c>
      <c r="V236" s="2"/>
      <c r="W236" s="14">
        <f t="shared" si="62"/>
        <v>1694.17</v>
      </c>
      <c r="X236" s="15">
        <f>IFERROR(W236/W445, "NA")</f>
        <v>-2.5333303626261527E-2</v>
      </c>
      <c r="Y236" s="2"/>
      <c r="Z236" s="14">
        <f>IFERROR(Z229+Z230+Z231+Z232+Z233+Z234+Z235, "NA")</f>
        <v>8559.619999999999</v>
      </c>
      <c r="AA236" s="15">
        <f>IFERROR(Z236/Z445, "NA")</f>
        <v>1.5401445061551207E-2</v>
      </c>
      <c r="AB236" s="2"/>
      <c r="AC236" s="14">
        <f t="shared" si="63"/>
        <v>2523.6499999999987</v>
      </c>
      <c r="AD236" s="15">
        <f>IFERROR(AC236/AC445, "NA")</f>
        <v>-9.0077854621877659E-2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IFERROR(B238/B445, "NA")</f>
        <v>0</v>
      </c>
      <c r="D238" s="9"/>
      <c r="E238" s="7">
        <v>0</v>
      </c>
      <c r="F238" s="8">
        <f>IFERROR(E238/E445, "NA")</f>
        <v>0</v>
      </c>
      <c r="G238" s="9"/>
      <c r="H238" s="10">
        <f>IFERROR(-(B238-E238), "NA")</f>
        <v>0</v>
      </c>
      <c r="I238" s="8">
        <f>IFERROR(H238/H445, "NA")</f>
        <v>0</v>
      </c>
      <c r="J238" s="9"/>
      <c r="K238" s="7">
        <v>0</v>
      </c>
      <c r="L238" s="8">
        <f>IFERROR(K238/K445, "NA")</f>
        <v>0</v>
      </c>
      <c r="M238" s="9"/>
      <c r="N238" s="10">
        <f>IFERROR(-(B238-K238), "NA")</f>
        <v>0</v>
      </c>
      <c r="O238" s="8">
        <f>IFERROR(N238/N445, "NA")</f>
        <v>0</v>
      </c>
      <c r="P238" s="9"/>
      <c r="Q238" s="7">
        <v>0</v>
      </c>
      <c r="R238" s="8">
        <f>IFERROR(Q238/Q445, "NA")</f>
        <v>0</v>
      </c>
      <c r="S238" s="9"/>
      <c r="T238" s="7">
        <v>0</v>
      </c>
      <c r="U238" s="8">
        <f>IFERROR(T238/T445, "NA")</f>
        <v>0</v>
      </c>
      <c r="V238" s="9"/>
      <c r="W238" s="10">
        <f>IFERROR(-(Q238-T238), "NA")</f>
        <v>0</v>
      </c>
      <c r="X238" s="8">
        <f>IFERROR(W238/W445, "NA")</f>
        <v>0</v>
      </c>
      <c r="Y238" s="9"/>
      <c r="Z238" s="7">
        <v>0</v>
      </c>
      <c r="AA238" s="8">
        <f>IFERROR(Z238/Z445, "NA")</f>
        <v>0</v>
      </c>
      <c r="AB238" s="9"/>
      <c r="AC238" s="10">
        <f>IFERROR(-(Q238-Z238), "NA")</f>
        <v>0</v>
      </c>
      <c r="AD238" s="8">
        <f>IFERROR(AC238/AC445,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IFERROR(B240/B445, "NA")</f>
        <v>0</v>
      </c>
      <c r="D240" s="9"/>
      <c r="E240" s="7">
        <v>7650.9</v>
      </c>
      <c r="F240" s="8">
        <f>IFERROR(E240/E445, "NA")</f>
        <v>6.0999990352770476E-2</v>
      </c>
      <c r="G240" s="9"/>
      <c r="H240" s="10">
        <f t="shared" ref="H240:H264" si="64">IFERROR(-(B240-E240), "NA")</f>
        <v>7650.9</v>
      </c>
      <c r="I240" s="8">
        <f>IFERROR(H240/H445, "NA")</f>
        <v>-0.8225597844609317</v>
      </c>
      <c r="J240" s="9"/>
      <c r="K240" s="7">
        <v>0</v>
      </c>
      <c r="L240" s="8">
        <f>IFERROR(K240/K445, "NA")</f>
        <v>0</v>
      </c>
      <c r="M240" s="9"/>
      <c r="N240" s="10">
        <f t="shared" ref="N240:N264" si="65">IFERROR(-(B240-K240), "NA")</f>
        <v>0</v>
      </c>
      <c r="O240" s="8">
        <f>IFERROR(N240/N445, "NA")</f>
        <v>0</v>
      </c>
      <c r="P240" s="9"/>
      <c r="Q240" s="7">
        <v>0</v>
      </c>
      <c r="R240" s="8">
        <f>IFERROR(Q240/Q445, "NA")</f>
        <v>0</v>
      </c>
      <c r="S240" s="9"/>
      <c r="T240" s="7">
        <v>36272.199999999997</v>
      </c>
      <c r="U240" s="8">
        <f>IFERROR(T240/T445, "NA")</f>
        <v>6.100000097540266E-2</v>
      </c>
      <c r="V240" s="9"/>
      <c r="W240" s="10">
        <f t="shared" ref="W240:W264" si="66">IFERROR(-(Q240-T240), "NA")</f>
        <v>36272.199999999997</v>
      </c>
      <c r="X240" s="8">
        <f>IFERROR(W240/W445, "NA")</f>
        <v>-0.54238633418870785</v>
      </c>
      <c r="Y240" s="9"/>
      <c r="Z240" s="7">
        <v>0</v>
      </c>
      <c r="AA240" s="8">
        <f>IFERROR(Z240/Z445, "NA")</f>
        <v>0</v>
      </c>
      <c r="AB240" s="9"/>
      <c r="AC240" s="10">
        <f t="shared" ref="AC240:AC264" si="67">IFERROR(-(Q240-Z240), "NA")</f>
        <v>0</v>
      </c>
      <c r="AD240" s="8">
        <f>IFERROR(AC240/AC445,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IFERROR(B241/B445, "NA")</f>
        <v>0</v>
      </c>
      <c r="D241" s="9"/>
      <c r="E241" s="7">
        <v>0</v>
      </c>
      <c r="F241" s="8">
        <f>IFERROR(E241/E445, "NA")</f>
        <v>0</v>
      </c>
      <c r="G241" s="9"/>
      <c r="H241" s="10">
        <f t="shared" si="64"/>
        <v>0</v>
      </c>
      <c r="I241" s="8">
        <f>IFERROR(H241/H445, "NA")</f>
        <v>0</v>
      </c>
      <c r="J241" s="9"/>
      <c r="K241" s="7">
        <v>0</v>
      </c>
      <c r="L241" s="8">
        <f>IFERROR(K241/K445, "NA")</f>
        <v>0</v>
      </c>
      <c r="M241" s="9"/>
      <c r="N241" s="10">
        <f t="shared" si="65"/>
        <v>0</v>
      </c>
      <c r="O241" s="8">
        <f>IFERROR(N241/N445, "NA")</f>
        <v>0</v>
      </c>
      <c r="P241" s="9"/>
      <c r="Q241" s="7">
        <v>0</v>
      </c>
      <c r="R241" s="8">
        <f>IFERROR(Q241/Q445, "NA")</f>
        <v>0</v>
      </c>
      <c r="S241" s="9"/>
      <c r="T241" s="7">
        <v>0</v>
      </c>
      <c r="U241" s="8">
        <f>IFERROR(T241/T445, "NA")</f>
        <v>0</v>
      </c>
      <c r="V241" s="9"/>
      <c r="W241" s="10">
        <f t="shared" si="66"/>
        <v>0</v>
      </c>
      <c r="X241" s="8">
        <f>IFERROR(W241/W445, "NA")</f>
        <v>0</v>
      </c>
      <c r="Y241" s="9"/>
      <c r="Z241" s="7">
        <v>0</v>
      </c>
      <c r="AA241" s="8">
        <f>IFERROR(Z241/Z445, "NA")</f>
        <v>0</v>
      </c>
      <c r="AB241" s="9"/>
      <c r="AC241" s="10">
        <f t="shared" si="67"/>
        <v>0</v>
      </c>
      <c r="AD241" s="8">
        <f>IFERROR(AC241/AC445, "NA")</f>
        <v>0</v>
      </c>
    </row>
    <row r="242" spans="1:30" ht="16.5" customHeight="1" x14ac:dyDescent="0.45">
      <c r="A242" s="12" t="s">
        <v>219</v>
      </c>
      <c r="B242" s="7">
        <v>1416.53</v>
      </c>
      <c r="C242" s="8">
        <f>IFERROR(B242/B445, "NA")</f>
        <v>1.2198501454660943E-2</v>
      </c>
      <c r="D242" s="9"/>
      <c r="E242" s="7">
        <v>0</v>
      </c>
      <c r="F242" s="8">
        <f>IFERROR(E242/E445, "NA")</f>
        <v>0</v>
      </c>
      <c r="G242" s="9"/>
      <c r="H242" s="10">
        <f t="shared" si="64"/>
        <v>-1416.53</v>
      </c>
      <c r="I242" s="8">
        <f>IFERROR(H242/H445, "NA")</f>
        <v>0.15229327418766991</v>
      </c>
      <c r="J242" s="9"/>
      <c r="K242" s="7">
        <v>991.41</v>
      </c>
      <c r="L242" s="8">
        <f>IFERROR(K242/K445, "NA")</f>
        <v>8.619779734418867E-3</v>
      </c>
      <c r="M242" s="9"/>
      <c r="N242" s="10">
        <f t="shared" si="65"/>
        <v>-425.12</v>
      </c>
      <c r="O242" s="8">
        <f>IFERROR(N242/N445, "NA")</f>
        <v>-0.38382780476353795</v>
      </c>
      <c r="P242" s="9"/>
      <c r="Q242" s="7">
        <v>7938.28</v>
      </c>
      <c r="R242" s="8">
        <f>IFERROR(Q242/Q445, "NA")</f>
        <v>1.5041714463038166E-2</v>
      </c>
      <c r="S242" s="9"/>
      <c r="T242" s="7">
        <v>0</v>
      </c>
      <c r="U242" s="8">
        <f>IFERROR(T242/T445, "NA")</f>
        <v>0</v>
      </c>
      <c r="V242" s="9"/>
      <c r="W242" s="10">
        <f t="shared" si="66"/>
        <v>-7938.28</v>
      </c>
      <c r="X242" s="8">
        <f>IFERROR(W242/W445, "NA")</f>
        <v>0.1187028795872193</v>
      </c>
      <c r="Y242" s="9"/>
      <c r="Z242" s="7">
        <v>5454.05</v>
      </c>
      <c r="AA242" s="8">
        <f>IFERROR(Z242/Z445, "NA")</f>
        <v>9.8135491339514328E-3</v>
      </c>
      <c r="AB242" s="9"/>
      <c r="AC242" s="10">
        <f t="shared" si="67"/>
        <v>-2484.2299999999996</v>
      </c>
      <c r="AD242" s="8">
        <f>IFERROR(AC242/AC445, "NA")</f>
        <v>8.8670817580610309E-2</v>
      </c>
    </row>
    <row r="243" spans="1:30" ht="16.5" customHeight="1" x14ac:dyDescent="0.45">
      <c r="A243" s="12" t="s">
        <v>220</v>
      </c>
      <c r="B243" s="7">
        <v>3016.06</v>
      </c>
      <c r="C243" s="8">
        <f>IFERROR(B243/B445, "NA")</f>
        <v>2.5972914302799577E-2</v>
      </c>
      <c r="D243" s="9"/>
      <c r="E243" s="7">
        <v>0</v>
      </c>
      <c r="F243" s="8">
        <f>IFERROR(E243/E445, "NA")</f>
        <v>0</v>
      </c>
      <c r="G243" s="9"/>
      <c r="H243" s="10">
        <f t="shared" si="64"/>
        <v>-3016.06</v>
      </c>
      <c r="I243" s="8">
        <f>IFERROR(H243/H445, "NA")</f>
        <v>0.32426115405001216</v>
      </c>
      <c r="J243" s="9"/>
      <c r="K243" s="7">
        <v>4139</v>
      </c>
      <c r="L243" s="8">
        <f>IFERROR(K243/K445, "NA")</f>
        <v>3.5986391423083977E-2</v>
      </c>
      <c r="M243" s="9"/>
      <c r="N243" s="10">
        <f t="shared" si="65"/>
        <v>1122.94</v>
      </c>
      <c r="O243" s="8">
        <f>IFERROR(N243/N445, "NA")</f>
        <v>1.0138680727351508</v>
      </c>
      <c r="P243" s="9"/>
      <c r="Q243" s="7">
        <v>11182.64</v>
      </c>
      <c r="R243" s="8">
        <f>IFERROR(Q243/Q445, "NA")</f>
        <v>2.1189234673373716E-2</v>
      </c>
      <c r="S243" s="9"/>
      <c r="T243" s="7">
        <v>0</v>
      </c>
      <c r="U243" s="8">
        <f>IFERROR(T243/T445, "NA")</f>
        <v>0</v>
      </c>
      <c r="V243" s="9"/>
      <c r="W243" s="10">
        <f t="shared" si="66"/>
        <v>-11182.64</v>
      </c>
      <c r="X243" s="8">
        <f>IFERROR(W243/W445, "NA")</f>
        <v>0.16721652163783868</v>
      </c>
      <c r="Y243" s="9"/>
      <c r="Z243" s="7">
        <v>15359.09</v>
      </c>
      <c r="AA243" s="8">
        <f>IFERROR(Z243/Z445, "NA")</f>
        <v>2.7635827388414504E-2</v>
      </c>
      <c r="AB243" s="9"/>
      <c r="AC243" s="10">
        <f t="shared" si="67"/>
        <v>4176.4500000000007</v>
      </c>
      <c r="AD243" s="8">
        <f>IFERROR(AC243/AC445, "NA")</f>
        <v>-0.14907204086760889</v>
      </c>
    </row>
    <row r="244" spans="1:30" ht="16.5" customHeight="1" x14ac:dyDescent="0.45">
      <c r="A244" s="12" t="s">
        <v>221</v>
      </c>
      <c r="B244" s="7">
        <v>728.71</v>
      </c>
      <c r="C244" s="8">
        <f>IFERROR(B244/B445, "NA")</f>
        <v>6.2753136149788398E-3</v>
      </c>
      <c r="D244" s="9"/>
      <c r="E244" s="7">
        <v>0</v>
      </c>
      <c r="F244" s="8">
        <f>IFERROR(E244/E445, "NA")</f>
        <v>0</v>
      </c>
      <c r="G244" s="9"/>
      <c r="H244" s="10">
        <f t="shared" si="64"/>
        <v>-728.71</v>
      </c>
      <c r="I244" s="8">
        <f>IFERROR(H244/H445, "NA")</f>
        <v>7.8344709842570887E-2</v>
      </c>
      <c r="J244" s="9"/>
      <c r="K244" s="7">
        <v>593.79</v>
      </c>
      <c r="L244" s="8">
        <f>IFERROR(K244/K445, "NA")</f>
        <v>5.1626864854102525E-3</v>
      </c>
      <c r="M244" s="9"/>
      <c r="N244" s="10">
        <f t="shared" si="65"/>
        <v>-134.92000000000007</v>
      </c>
      <c r="O244" s="8">
        <f>IFERROR(N244/N445, "NA")</f>
        <v>-0.12181512847830392</v>
      </c>
      <c r="P244" s="9"/>
      <c r="Q244" s="7">
        <v>4232.8900000000003</v>
      </c>
      <c r="R244" s="8">
        <f>IFERROR(Q244/Q445, "NA")</f>
        <v>8.0206194205104421E-3</v>
      </c>
      <c r="S244" s="9"/>
      <c r="T244" s="7">
        <v>0</v>
      </c>
      <c r="U244" s="8">
        <f>IFERROR(T244/T445, "NA")</f>
        <v>0</v>
      </c>
      <c r="V244" s="9"/>
      <c r="W244" s="10">
        <f t="shared" si="66"/>
        <v>-4232.8900000000003</v>
      </c>
      <c r="X244" s="8">
        <f>IFERROR(W244/W445, "NA")</f>
        <v>6.3295352642630989E-2</v>
      </c>
      <c r="Y244" s="9"/>
      <c r="Z244" s="7">
        <v>891.37</v>
      </c>
      <c r="AA244" s="8">
        <f>IFERROR(Z244/Z445, "NA")</f>
        <v>1.6038546202418917E-3</v>
      </c>
      <c r="AB244" s="9"/>
      <c r="AC244" s="10">
        <f t="shared" si="67"/>
        <v>-3341.5200000000004</v>
      </c>
      <c r="AD244" s="8">
        <f>IFERROR(AC244/AC445, "NA")</f>
        <v>0.11927048234743201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IFERROR(B245/B445, "NA")</f>
        <v>0</v>
      </c>
      <c r="D245" s="9"/>
      <c r="E245" s="7">
        <v>0</v>
      </c>
      <c r="F245" s="8">
        <f>IFERROR(E245/E445, "NA")</f>
        <v>0</v>
      </c>
      <c r="G245" s="9"/>
      <c r="H245" s="10">
        <f t="shared" si="64"/>
        <v>0</v>
      </c>
      <c r="I245" s="8">
        <f>IFERROR(H245/H445, "NA")</f>
        <v>0</v>
      </c>
      <c r="J245" s="9"/>
      <c r="K245" s="7">
        <v>0</v>
      </c>
      <c r="L245" s="8">
        <f>IFERROR(K245/K445, "NA")</f>
        <v>0</v>
      </c>
      <c r="M245" s="9"/>
      <c r="N245" s="10">
        <f t="shared" si="65"/>
        <v>0</v>
      </c>
      <c r="O245" s="8">
        <f>IFERROR(N245/N445, "NA")</f>
        <v>0</v>
      </c>
      <c r="P245" s="9"/>
      <c r="Q245" s="7">
        <v>0</v>
      </c>
      <c r="R245" s="8">
        <f>IFERROR(Q245/Q445, "NA")</f>
        <v>0</v>
      </c>
      <c r="S245" s="9"/>
      <c r="T245" s="7">
        <v>0</v>
      </c>
      <c r="U245" s="8">
        <f>IFERROR(T245/T445, "NA")</f>
        <v>0</v>
      </c>
      <c r="V245" s="9"/>
      <c r="W245" s="10">
        <f t="shared" si="66"/>
        <v>0</v>
      </c>
      <c r="X245" s="8">
        <f>IFERROR(W245/W445, "NA")</f>
        <v>0</v>
      </c>
      <c r="Y245" s="9"/>
      <c r="Z245" s="7">
        <v>0</v>
      </c>
      <c r="AA245" s="8">
        <f>IFERROR(Z245/Z445, "NA")</f>
        <v>0</v>
      </c>
      <c r="AB245" s="9"/>
      <c r="AC245" s="10">
        <f t="shared" si="67"/>
        <v>0</v>
      </c>
      <c r="AD245" s="8">
        <f>IFERROR(AC245/AC445, "NA")</f>
        <v>0</v>
      </c>
    </row>
    <row r="246" spans="1:30" ht="16.5" customHeight="1" x14ac:dyDescent="0.45">
      <c r="A246" s="12" t="s">
        <v>223</v>
      </c>
      <c r="B246" s="7">
        <v>152.31</v>
      </c>
      <c r="C246" s="8">
        <f>IFERROR(B246/B445, "NA")</f>
        <v>1.3116233024075793E-3</v>
      </c>
      <c r="D246" s="9"/>
      <c r="E246" s="7">
        <v>0</v>
      </c>
      <c r="F246" s="8">
        <f>IFERROR(E246/E445, "NA")</f>
        <v>0</v>
      </c>
      <c r="G246" s="9"/>
      <c r="H246" s="10">
        <f t="shared" si="64"/>
        <v>-152.31</v>
      </c>
      <c r="I246" s="8">
        <f>IFERROR(H246/H445, "NA")</f>
        <v>1.6375077542674001E-2</v>
      </c>
      <c r="J246" s="9"/>
      <c r="K246" s="7">
        <v>357.53</v>
      </c>
      <c r="L246" s="8">
        <f>IFERROR(K246/K445, "NA")</f>
        <v>3.1085321395252995E-3</v>
      </c>
      <c r="M246" s="9"/>
      <c r="N246" s="10">
        <f t="shared" si="65"/>
        <v>205.21999999999997</v>
      </c>
      <c r="O246" s="8">
        <f>IFERROR(N246/N445, "NA")</f>
        <v>0.18528684158254902</v>
      </c>
      <c r="P246" s="9"/>
      <c r="Q246" s="7">
        <v>746.62</v>
      </c>
      <c r="R246" s="8">
        <f>IFERROR(Q246/Q445, "NA")</f>
        <v>1.4147201726814316E-3</v>
      </c>
      <c r="S246" s="9"/>
      <c r="T246" s="7">
        <v>0</v>
      </c>
      <c r="U246" s="8">
        <f>IFERROR(T246/T445, "NA")</f>
        <v>0</v>
      </c>
      <c r="V246" s="9"/>
      <c r="W246" s="10">
        <f t="shared" si="66"/>
        <v>-746.62</v>
      </c>
      <c r="X246" s="8">
        <f>IFERROR(W246/W445, "NA")</f>
        <v>1.1164376156725346E-2</v>
      </c>
      <c r="Y246" s="9"/>
      <c r="Z246" s="7">
        <v>1879.16</v>
      </c>
      <c r="AA246" s="8">
        <f>IFERROR(Z246/Z445, "NA")</f>
        <v>3.381199107187535E-3</v>
      </c>
      <c r="AB246" s="9"/>
      <c r="AC246" s="10">
        <f t="shared" si="67"/>
        <v>1132.54</v>
      </c>
      <c r="AD246" s="8">
        <f>IFERROR(AC246/AC445, "NA")</f>
        <v>-4.0424295553448918E-2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IFERROR(B247/B445, "NA")</f>
        <v>0</v>
      </c>
      <c r="D247" s="9"/>
      <c r="E247" s="7">
        <v>0</v>
      </c>
      <c r="F247" s="8">
        <f>IFERROR(E247/E445, "NA")</f>
        <v>0</v>
      </c>
      <c r="G247" s="9"/>
      <c r="H247" s="10">
        <f t="shared" si="64"/>
        <v>0</v>
      </c>
      <c r="I247" s="8">
        <f>IFERROR(H247/H445, "NA")</f>
        <v>0</v>
      </c>
      <c r="J247" s="9"/>
      <c r="K247" s="7">
        <v>0</v>
      </c>
      <c r="L247" s="8">
        <f>IFERROR(K247/K445, "NA")</f>
        <v>0</v>
      </c>
      <c r="M247" s="9"/>
      <c r="N247" s="10">
        <f t="shared" si="65"/>
        <v>0</v>
      </c>
      <c r="O247" s="8">
        <f>IFERROR(N247/N445, "NA")</f>
        <v>0</v>
      </c>
      <c r="P247" s="9"/>
      <c r="Q247" s="7">
        <v>0</v>
      </c>
      <c r="R247" s="8">
        <f>IFERROR(Q247/Q445, "NA")</f>
        <v>0</v>
      </c>
      <c r="S247" s="9"/>
      <c r="T247" s="7">
        <v>0</v>
      </c>
      <c r="U247" s="8">
        <f>IFERROR(T247/T445, "NA")</f>
        <v>0</v>
      </c>
      <c r="V247" s="9"/>
      <c r="W247" s="10">
        <f t="shared" si="66"/>
        <v>0</v>
      </c>
      <c r="X247" s="8">
        <f>IFERROR(W247/W445, "NA")</f>
        <v>0</v>
      </c>
      <c r="Y247" s="9"/>
      <c r="Z247" s="7">
        <v>0</v>
      </c>
      <c r="AA247" s="8">
        <f>IFERROR(Z247/Z445, "NA")</f>
        <v>0</v>
      </c>
      <c r="AB247" s="9"/>
      <c r="AC247" s="10">
        <f t="shared" si="67"/>
        <v>0</v>
      </c>
      <c r="AD247" s="8">
        <f>IFERROR(AC247/AC445, "NA")</f>
        <v>0</v>
      </c>
    </row>
    <row r="248" spans="1:30" ht="16.5" customHeight="1" x14ac:dyDescent="0.45">
      <c r="A248" s="12" t="s">
        <v>225</v>
      </c>
      <c r="B248" s="7">
        <v>272.08</v>
      </c>
      <c r="C248" s="8">
        <f>IFERROR(B248/B445, "NA")</f>
        <v>2.3430271690568849E-3</v>
      </c>
      <c r="D248" s="9"/>
      <c r="E248" s="7">
        <v>0</v>
      </c>
      <c r="F248" s="8">
        <f>IFERROR(E248/E445, "NA")</f>
        <v>0</v>
      </c>
      <c r="G248" s="9"/>
      <c r="H248" s="10">
        <f t="shared" si="64"/>
        <v>-272.08</v>
      </c>
      <c r="I248" s="8">
        <f>IFERROR(H248/H445, "NA")</f>
        <v>2.9251730666474574E-2</v>
      </c>
      <c r="J248" s="9"/>
      <c r="K248" s="7">
        <v>268.5</v>
      </c>
      <c r="L248" s="8">
        <f>IFERROR(K248/K445, "NA")</f>
        <v>2.3344639036235923E-3</v>
      </c>
      <c r="M248" s="9"/>
      <c r="N248" s="10">
        <f t="shared" si="65"/>
        <v>-3.5799999999999841</v>
      </c>
      <c r="O248" s="8">
        <f>IFERROR(N248/N445, "NA")</f>
        <v>-3.2322721609274077E-3</v>
      </c>
      <c r="P248" s="9"/>
      <c r="Q248" s="7">
        <v>1356.75</v>
      </c>
      <c r="R248" s="8">
        <f>IFERROR(Q248/Q445, "NA")</f>
        <v>2.5708145968304256E-3</v>
      </c>
      <c r="S248" s="9"/>
      <c r="T248" s="7">
        <v>0</v>
      </c>
      <c r="U248" s="8">
        <f>IFERROR(T248/T445, "NA")</f>
        <v>0</v>
      </c>
      <c r="V248" s="9"/>
      <c r="W248" s="10">
        <f t="shared" si="66"/>
        <v>-1356.75</v>
      </c>
      <c r="X248" s="8">
        <f>IFERROR(W248/W445, "NA")</f>
        <v>2.0287786759847194E-2</v>
      </c>
      <c r="Y248" s="9"/>
      <c r="Z248" s="7">
        <v>1356.75</v>
      </c>
      <c r="AA248" s="8">
        <f>IFERROR(Z248/Z445, "NA")</f>
        <v>2.4412194218037253E-3</v>
      </c>
      <c r="AB248" s="9"/>
      <c r="AC248" s="10">
        <f t="shared" si="67"/>
        <v>0</v>
      </c>
      <c r="AD248" s="8">
        <f>IFERROR(AC248/AC445, "NA")</f>
        <v>0</v>
      </c>
    </row>
    <row r="249" spans="1:30" ht="16.5" customHeight="1" x14ac:dyDescent="0.45">
      <c r="A249" s="12" t="s">
        <v>226</v>
      </c>
      <c r="B249" s="7">
        <v>2048.71</v>
      </c>
      <c r="C249" s="8">
        <f>IFERROR(B249/B445, "NA")</f>
        <v>1.7642543338424476E-2</v>
      </c>
      <c r="D249" s="9"/>
      <c r="E249" s="7">
        <v>0</v>
      </c>
      <c r="F249" s="8">
        <f>IFERROR(E249/E445, "NA")</f>
        <v>0</v>
      </c>
      <c r="G249" s="9"/>
      <c r="H249" s="10">
        <f t="shared" si="64"/>
        <v>-2048.71</v>
      </c>
      <c r="I249" s="8">
        <f>IFERROR(H249/H445, "NA")</f>
        <v>0.22025989831561718</v>
      </c>
      <c r="J249" s="9"/>
      <c r="K249" s="7">
        <v>971.56</v>
      </c>
      <c r="L249" s="8">
        <f>IFERROR(K249/K445, "NA")</f>
        <v>8.4471946003893371E-3</v>
      </c>
      <c r="M249" s="9"/>
      <c r="N249" s="10">
        <f t="shared" si="65"/>
        <v>-1077.1500000000001</v>
      </c>
      <c r="O249" s="8">
        <f>IFERROR(N249/N445, "NA")</f>
        <v>-0.97252568663211547</v>
      </c>
      <c r="P249" s="9"/>
      <c r="Q249" s="7">
        <v>9339.36</v>
      </c>
      <c r="R249" s="8">
        <f>IFERROR(Q249/Q445, "NA")</f>
        <v>1.7696527004278022E-2</v>
      </c>
      <c r="S249" s="9"/>
      <c r="T249" s="7">
        <v>0</v>
      </c>
      <c r="U249" s="8">
        <f>IFERROR(T249/T445, "NA")</f>
        <v>0</v>
      </c>
      <c r="V249" s="9"/>
      <c r="W249" s="10">
        <f t="shared" si="66"/>
        <v>-9339.36</v>
      </c>
      <c r="X249" s="8">
        <f>IFERROR(W249/W445, "NA")</f>
        <v>0.13965354277018355</v>
      </c>
      <c r="Y249" s="9"/>
      <c r="Z249" s="7">
        <v>6917.28</v>
      </c>
      <c r="AA249" s="8">
        <f>IFERROR(Z249/Z445, "NA")</f>
        <v>1.2446359522428207E-2</v>
      </c>
      <c r="AB249" s="9"/>
      <c r="AC249" s="10">
        <f t="shared" si="67"/>
        <v>-2422.0800000000008</v>
      </c>
      <c r="AD249" s="8">
        <f>IFERROR(AC249/AC445, "NA")</f>
        <v>8.6452467704538113E-2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IFERROR(B250/B445, "NA")</f>
        <v>0</v>
      </c>
      <c r="D250" s="9"/>
      <c r="E250" s="7">
        <v>0</v>
      </c>
      <c r="F250" s="8">
        <f>IFERROR(E250/E445, "NA")</f>
        <v>0</v>
      </c>
      <c r="G250" s="9"/>
      <c r="H250" s="10">
        <f t="shared" si="64"/>
        <v>0</v>
      </c>
      <c r="I250" s="8">
        <f>IFERROR(H250/H445, "NA")</f>
        <v>0</v>
      </c>
      <c r="J250" s="9"/>
      <c r="K250" s="7">
        <v>0</v>
      </c>
      <c r="L250" s="8">
        <f>IFERROR(K250/K445, "NA")</f>
        <v>0</v>
      </c>
      <c r="M250" s="9"/>
      <c r="N250" s="10">
        <f t="shared" si="65"/>
        <v>0</v>
      </c>
      <c r="O250" s="8">
        <f>IFERROR(N250/N445, "NA")</f>
        <v>0</v>
      </c>
      <c r="P250" s="9"/>
      <c r="Q250" s="7">
        <v>0</v>
      </c>
      <c r="R250" s="8">
        <f>IFERROR(Q250/Q445, "NA")</f>
        <v>0</v>
      </c>
      <c r="S250" s="9"/>
      <c r="T250" s="7">
        <v>0</v>
      </c>
      <c r="U250" s="8">
        <f>IFERROR(T250/T445, "NA")</f>
        <v>0</v>
      </c>
      <c r="V250" s="9"/>
      <c r="W250" s="10">
        <f t="shared" si="66"/>
        <v>0</v>
      </c>
      <c r="X250" s="8">
        <f>IFERROR(W250/W445, "NA")</f>
        <v>0</v>
      </c>
      <c r="Y250" s="9"/>
      <c r="Z250" s="7">
        <v>0</v>
      </c>
      <c r="AA250" s="8">
        <f>IFERROR(Z250/Z445, "NA")</f>
        <v>0</v>
      </c>
      <c r="AB250" s="9"/>
      <c r="AC250" s="10">
        <f t="shared" si="67"/>
        <v>0</v>
      </c>
      <c r="AD250" s="8">
        <f>IFERROR(AC250/AC445,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IFERROR(B251/B445, "NA")</f>
        <v>0</v>
      </c>
      <c r="D251" s="9"/>
      <c r="E251" s="7">
        <v>0</v>
      </c>
      <c r="F251" s="8">
        <f>IFERROR(E251/E445, "NA")</f>
        <v>0</v>
      </c>
      <c r="G251" s="9"/>
      <c r="H251" s="10">
        <f t="shared" si="64"/>
        <v>0</v>
      </c>
      <c r="I251" s="8">
        <f>IFERROR(H251/H445, "NA")</f>
        <v>0</v>
      </c>
      <c r="J251" s="9"/>
      <c r="K251" s="7">
        <v>0</v>
      </c>
      <c r="L251" s="8">
        <f>IFERROR(K251/K445, "NA")</f>
        <v>0</v>
      </c>
      <c r="M251" s="9"/>
      <c r="N251" s="10">
        <f t="shared" si="65"/>
        <v>0</v>
      </c>
      <c r="O251" s="8">
        <f>IFERROR(N251/N445, "NA")</f>
        <v>0</v>
      </c>
      <c r="P251" s="9"/>
      <c r="Q251" s="7">
        <v>0</v>
      </c>
      <c r="R251" s="8">
        <f>IFERROR(Q251/Q445, "NA")</f>
        <v>0</v>
      </c>
      <c r="S251" s="9"/>
      <c r="T251" s="7">
        <v>0</v>
      </c>
      <c r="U251" s="8">
        <f>IFERROR(T251/T445, "NA")</f>
        <v>0</v>
      </c>
      <c r="V251" s="9"/>
      <c r="W251" s="10">
        <f t="shared" si="66"/>
        <v>0</v>
      </c>
      <c r="X251" s="8">
        <f>IFERROR(W251/W445, "NA")</f>
        <v>0</v>
      </c>
      <c r="Y251" s="9"/>
      <c r="Z251" s="7">
        <v>0</v>
      </c>
      <c r="AA251" s="8">
        <f>IFERROR(Z251/Z445, "NA")</f>
        <v>0</v>
      </c>
      <c r="AB251" s="9"/>
      <c r="AC251" s="10">
        <f t="shared" si="67"/>
        <v>0</v>
      </c>
      <c r="AD251" s="8">
        <f>IFERROR(AC251/AC445,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IFERROR(B252/B445, "NA")</f>
        <v>0</v>
      </c>
      <c r="D252" s="9"/>
      <c r="E252" s="7">
        <v>0</v>
      </c>
      <c r="F252" s="8">
        <f>IFERROR(E252/E445, "NA")</f>
        <v>0</v>
      </c>
      <c r="G252" s="9"/>
      <c r="H252" s="10">
        <f t="shared" si="64"/>
        <v>0</v>
      </c>
      <c r="I252" s="8">
        <f>IFERROR(H252/H445, "NA")</f>
        <v>0</v>
      </c>
      <c r="J252" s="9"/>
      <c r="K252" s="7">
        <v>0</v>
      </c>
      <c r="L252" s="8">
        <f>IFERROR(K252/K445, "NA")</f>
        <v>0</v>
      </c>
      <c r="M252" s="9"/>
      <c r="N252" s="10">
        <f t="shared" si="65"/>
        <v>0</v>
      </c>
      <c r="O252" s="8">
        <f>IFERROR(N252/N445, "NA")</f>
        <v>0</v>
      </c>
      <c r="P252" s="9"/>
      <c r="Q252" s="7">
        <v>0</v>
      </c>
      <c r="R252" s="8">
        <f>IFERROR(Q252/Q445, "NA")</f>
        <v>0</v>
      </c>
      <c r="S252" s="9"/>
      <c r="T252" s="7">
        <v>0</v>
      </c>
      <c r="U252" s="8">
        <f>IFERROR(T252/T445, "NA")</f>
        <v>0</v>
      </c>
      <c r="V252" s="9"/>
      <c r="W252" s="10">
        <f t="shared" si="66"/>
        <v>0</v>
      </c>
      <c r="X252" s="8">
        <f>IFERROR(W252/W445, "NA")</f>
        <v>0</v>
      </c>
      <c r="Y252" s="9"/>
      <c r="Z252" s="7">
        <v>0</v>
      </c>
      <c r="AA252" s="8">
        <f>IFERROR(Z252/Z445, "NA")</f>
        <v>0</v>
      </c>
      <c r="AB252" s="9"/>
      <c r="AC252" s="10">
        <f t="shared" si="67"/>
        <v>0</v>
      </c>
      <c r="AD252" s="8">
        <f>IFERROR(AC252/AC445,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IFERROR(B253/B445, "NA")</f>
        <v>0</v>
      </c>
      <c r="D253" s="9"/>
      <c r="E253" s="7">
        <v>0</v>
      </c>
      <c r="F253" s="8">
        <f>IFERROR(E253/E445, "NA")</f>
        <v>0</v>
      </c>
      <c r="G253" s="9"/>
      <c r="H253" s="10">
        <f t="shared" si="64"/>
        <v>0</v>
      </c>
      <c r="I253" s="8">
        <f>IFERROR(H253/H445, "NA")</f>
        <v>0</v>
      </c>
      <c r="J253" s="9"/>
      <c r="K253" s="7">
        <v>0</v>
      </c>
      <c r="L253" s="8">
        <f>IFERROR(K253/K445, "NA")</f>
        <v>0</v>
      </c>
      <c r="M253" s="9"/>
      <c r="N253" s="10">
        <f t="shared" si="65"/>
        <v>0</v>
      </c>
      <c r="O253" s="8">
        <f>IFERROR(N253/N445, "NA")</f>
        <v>0</v>
      </c>
      <c r="P253" s="9"/>
      <c r="Q253" s="7">
        <v>0</v>
      </c>
      <c r="R253" s="8">
        <f>IFERROR(Q253/Q445, "NA")</f>
        <v>0</v>
      </c>
      <c r="S253" s="9"/>
      <c r="T253" s="7">
        <v>0</v>
      </c>
      <c r="U253" s="8">
        <f>IFERROR(T253/T445, "NA")</f>
        <v>0</v>
      </c>
      <c r="V253" s="9"/>
      <c r="W253" s="10">
        <f t="shared" si="66"/>
        <v>0</v>
      </c>
      <c r="X253" s="8">
        <f>IFERROR(W253/W445, "NA")</f>
        <v>0</v>
      </c>
      <c r="Y253" s="9"/>
      <c r="Z253" s="7">
        <v>0</v>
      </c>
      <c r="AA253" s="8">
        <f>IFERROR(Z253/Z445, "NA")</f>
        <v>0</v>
      </c>
      <c r="AB253" s="9"/>
      <c r="AC253" s="10">
        <f t="shared" si="67"/>
        <v>0</v>
      </c>
      <c r="AD253" s="8">
        <f>IFERROR(AC253/AC445,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IFERROR(B254/B445, "NA")</f>
        <v>0</v>
      </c>
      <c r="D254" s="9"/>
      <c r="E254" s="7">
        <v>0</v>
      </c>
      <c r="F254" s="8">
        <f>IFERROR(E254/E445, "NA")</f>
        <v>0</v>
      </c>
      <c r="G254" s="9"/>
      <c r="H254" s="10">
        <f t="shared" si="64"/>
        <v>0</v>
      </c>
      <c r="I254" s="8">
        <f>IFERROR(H254/H445, "NA")</f>
        <v>0</v>
      </c>
      <c r="J254" s="9"/>
      <c r="K254" s="7">
        <v>1245.26</v>
      </c>
      <c r="L254" s="8">
        <f>IFERROR(K254/K445, "NA")</f>
        <v>1.0826869723003034E-2</v>
      </c>
      <c r="M254" s="9"/>
      <c r="N254" s="10">
        <f t="shared" si="65"/>
        <v>1245.26</v>
      </c>
      <c r="O254" s="8">
        <f>IFERROR(N254/N445, "NA")</f>
        <v>1.1243070477979</v>
      </c>
      <c r="P254" s="9"/>
      <c r="Q254" s="7">
        <v>2543.2399999999998</v>
      </c>
      <c r="R254" s="8">
        <f>IFERROR(Q254/Q445, "NA")</f>
        <v>4.8190149366080792E-3</v>
      </c>
      <c r="S254" s="9"/>
      <c r="T254" s="7">
        <v>0</v>
      </c>
      <c r="U254" s="8">
        <f>IFERROR(T254/T445, "NA")</f>
        <v>0</v>
      </c>
      <c r="V254" s="9"/>
      <c r="W254" s="10">
        <f t="shared" si="66"/>
        <v>-2543.2399999999998</v>
      </c>
      <c r="X254" s="8">
        <f>IFERROR(W254/W445, "NA")</f>
        <v>3.8029637589175436E-2</v>
      </c>
      <c r="Y254" s="9"/>
      <c r="Z254" s="7">
        <v>4164.7</v>
      </c>
      <c r="AA254" s="8">
        <f>IFERROR(Z254/Z445, "NA")</f>
        <v>7.4936034833137819E-3</v>
      </c>
      <c r="AB254" s="9"/>
      <c r="AC254" s="10">
        <f t="shared" si="67"/>
        <v>1621.46</v>
      </c>
      <c r="AD254" s="8">
        <f>IFERROR(AC254/AC445, "NA")</f>
        <v>-5.7875552535093938E-2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IFERROR(B255/B445, "NA")</f>
        <v>0</v>
      </c>
      <c r="D255" s="9"/>
      <c r="E255" s="7">
        <v>0</v>
      </c>
      <c r="F255" s="8">
        <f>IFERROR(E255/E445, "NA")</f>
        <v>0</v>
      </c>
      <c r="G255" s="9"/>
      <c r="H255" s="10">
        <f t="shared" si="64"/>
        <v>0</v>
      </c>
      <c r="I255" s="8">
        <f>IFERROR(H255/H445, "NA")</f>
        <v>0</v>
      </c>
      <c r="J255" s="9"/>
      <c r="K255" s="7">
        <v>0</v>
      </c>
      <c r="L255" s="8">
        <f>IFERROR(K255/K445, "NA")</f>
        <v>0</v>
      </c>
      <c r="M255" s="9"/>
      <c r="N255" s="10">
        <f t="shared" si="65"/>
        <v>0</v>
      </c>
      <c r="O255" s="8">
        <f>IFERROR(N255/N445, "NA")</f>
        <v>0</v>
      </c>
      <c r="P255" s="9"/>
      <c r="Q255" s="7">
        <v>0</v>
      </c>
      <c r="R255" s="8">
        <f>IFERROR(Q255/Q445, "NA")</f>
        <v>0</v>
      </c>
      <c r="S255" s="9"/>
      <c r="T255" s="7">
        <v>0</v>
      </c>
      <c r="U255" s="8">
        <f>IFERROR(T255/T445, "NA")</f>
        <v>0</v>
      </c>
      <c r="V255" s="9"/>
      <c r="W255" s="10">
        <f t="shared" si="66"/>
        <v>0</v>
      </c>
      <c r="X255" s="8">
        <f>IFERROR(W255/W445, "NA")</f>
        <v>0</v>
      </c>
      <c r="Y255" s="9"/>
      <c r="Z255" s="7">
        <v>0</v>
      </c>
      <c r="AA255" s="8">
        <f>IFERROR(Z255/Z445, "NA")</f>
        <v>0</v>
      </c>
      <c r="AB255" s="9"/>
      <c r="AC255" s="10">
        <f t="shared" si="67"/>
        <v>0</v>
      </c>
      <c r="AD255" s="8">
        <f>IFERROR(AC255/AC445,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IFERROR(B256/B445, "NA")</f>
        <v>0</v>
      </c>
      <c r="D256" s="9"/>
      <c r="E256" s="7">
        <v>0</v>
      </c>
      <c r="F256" s="8">
        <f>IFERROR(E256/E445, "NA")</f>
        <v>0</v>
      </c>
      <c r="G256" s="9"/>
      <c r="H256" s="10">
        <f t="shared" si="64"/>
        <v>0</v>
      </c>
      <c r="I256" s="8">
        <f>IFERROR(H256/H445, "NA")</f>
        <v>0</v>
      </c>
      <c r="J256" s="9"/>
      <c r="K256" s="7">
        <v>0</v>
      </c>
      <c r="L256" s="8">
        <f>IFERROR(K256/K445, "NA")</f>
        <v>0</v>
      </c>
      <c r="M256" s="9"/>
      <c r="N256" s="10">
        <f t="shared" si="65"/>
        <v>0</v>
      </c>
      <c r="O256" s="8">
        <f>IFERROR(N256/N445, "NA")</f>
        <v>0</v>
      </c>
      <c r="P256" s="9"/>
      <c r="Q256" s="7">
        <v>0</v>
      </c>
      <c r="R256" s="8">
        <f>IFERROR(Q256/Q445, "NA")</f>
        <v>0</v>
      </c>
      <c r="S256" s="9"/>
      <c r="T256" s="7">
        <v>0</v>
      </c>
      <c r="U256" s="8">
        <f>IFERROR(T256/T445, "NA")</f>
        <v>0</v>
      </c>
      <c r="V256" s="9"/>
      <c r="W256" s="10">
        <f t="shared" si="66"/>
        <v>0</v>
      </c>
      <c r="X256" s="8">
        <f>IFERROR(W256/W445, "NA")</f>
        <v>0</v>
      </c>
      <c r="Y256" s="9"/>
      <c r="Z256" s="7">
        <v>0</v>
      </c>
      <c r="AA256" s="8">
        <f>IFERROR(Z256/Z445, "NA")</f>
        <v>0</v>
      </c>
      <c r="AB256" s="9"/>
      <c r="AC256" s="10">
        <f t="shared" si="67"/>
        <v>0</v>
      </c>
      <c r="AD256" s="8">
        <f>IFERROR(AC256/AC445,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IFERROR(B257/B445, "NA")</f>
        <v>0</v>
      </c>
      <c r="D257" s="9"/>
      <c r="E257" s="7">
        <v>0</v>
      </c>
      <c r="F257" s="8">
        <f>IFERROR(E257/E445, "NA")</f>
        <v>0</v>
      </c>
      <c r="G257" s="9"/>
      <c r="H257" s="10">
        <f t="shared" si="64"/>
        <v>0</v>
      </c>
      <c r="I257" s="8">
        <f>IFERROR(H257/H445, "NA")</f>
        <v>0</v>
      </c>
      <c r="J257" s="9"/>
      <c r="K257" s="7">
        <v>0</v>
      </c>
      <c r="L257" s="8">
        <f>IFERROR(K257/K445, "NA")</f>
        <v>0</v>
      </c>
      <c r="M257" s="9"/>
      <c r="N257" s="10">
        <f t="shared" si="65"/>
        <v>0</v>
      </c>
      <c r="O257" s="8">
        <f>IFERROR(N257/N445, "NA")</f>
        <v>0</v>
      </c>
      <c r="P257" s="9"/>
      <c r="Q257" s="7">
        <v>0</v>
      </c>
      <c r="R257" s="8">
        <f>IFERROR(Q257/Q445, "NA")</f>
        <v>0</v>
      </c>
      <c r="S257" s="9"/>
      <c r="T257" s="7">
        <v>0</v>
      </c>
      <c r="U257" s="8">
        <f>IFERROR(T257/T445, "NA")</f>
        <v>0</v>
      </c>
      <c r="V257" s="9"/>
      <c r="W257" s="10">
        <f t="shared" si="66"/>
        <v>0</v>
      </c>
      <c r="X257" s="8">
        <f>IFERROR(W257/W445, "NA")</f>
        <v>0</v>
      </c>
      <c r="Y257" s="9"/>
      <c r="Z257" s="7">
        <v>0</v>
      </c>
      <c r="AA257" s="8">
        <f>IFERROR(Z257/Z445, "NA")</f>
        <v>0</v>
      </c>
      <c r="AB257" s="9"/>
      <c r="AC257" s="10">
        <f t="shared" si="67"/>
        <v>0</v>
      </c>
      <c r="AD257" s="8">
        <f>IFERROR(AC257/AC445, "NA")</f>
        <v>0</v>
      </c>
    </row>
    <row r="258" spans="1:30" ht="16.5" customHeight="1" x14ac:dyDescent="0.45">
      <c r="A258" s="12" t="s">
        <v>235</v>
      </c>
      <c r="B258" s="7">
        <v>1061.22</v>
      </c>
      <c r="C258" s="8">
        <f>IFERROR(B258/B445, "NA")</f>
        <v>9.1387360053901343E-3</v>
      </c>
      <c r="D258" s="9"/>
      <c r="E258" s="7">
        <v>0</v>
      </c>
      <c r="F258" s="8">
        <f>IFERROR(E258/E445, "NA")</f>
        <v>0</v>
      </c>
      <c r="G258" s="9"/>
      <c r="H258" s="10">
        <f t="shared" si="64"/>
        <v>-1061.22</v>
      </c>
      <c r="I258" s="8">
        <f>IFERROR(H258/H445, "NA")</f>
        <v>0.11409336084194409</v>
      </c>
      <c r="J258" s="9"/>
      <c r="K258" s="7">
        <v>125.75</v>
      </c>
      <c r="L258" s="8">
        <f>IFERROR(K258/K445, "NA")</f>
        <v>1.0933289976933584E-3</v>
      </c>
      <c r="M258" s="9"/>
      <c r="N258" s="10">
        <f t="shared" si="65"/>
        <v>-935.47</v>
      </c>
      <c r="O258" s="8">
        <f>IFERROR(N258/N445, "NA")</f>
        <v>-0.8446071615594346</v>
      </c>
      <c r="P258" s="9"/>
      <c r="Q258" s="7">
        <v>1886.06</v>
      </c>
      <c r="R258" s="8">
        <f>IFERROR(Q258/Q445, "NA")</f>
        <v>3.5737686224418595E-3</v>
      </c>
      <c r="S258" s="9"/>
      <c r="T258" s="7">
        <v>0</v>
      </c>
      <c r="U258" s="8">
        <f>IFERROR(T258/T445, "NA")</f>
        <v>0</v>
      </c>
      <c r="V258" s="9"/>
      <c r="W258" s="10">
        <f t="shared" si="66"/>
        <v>-1886.06</v>
      </c>
      <c r="X258" s="8">
        <f>IFERROR(W258/W445, "NA")</f>
        <v>2.82026777934604E-2</v>
      </c>
      <c r="Y258" s="9"/>
      <c r="Z258" s="7">
        <v>125.75</v>
      </c>
      <c r="AA258" s="8">
        <f>IFERROR(Z258/Z445, "NA")</f>
        <v>2.262637496162288E-4</v>
      </c>
      <c r="AB258" s="9"/>
      <c r="AC258" s="10">
        <f t="shared" si="67"/>
        <v>-1760.31</v>
      </c>
      <c r="AD258" s="8">
        <f>IFERROR(AC258/AC445, "NA")</f>
        <v>6.2831592443261752E-2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IFERROR(B259/B445, "NA")</f>
        <v>0</v>
      </c>
      <c r="D259" s="9"/>
      <c r="E259" s="7">
        <v>0</v>
      </c>
      <c r="F259" s="8">
        <f>IFERROR(E259/E445, "NA")</f>
        <v>0</v>
      </c>
      <c r="G259" s="9"/>
      <c r="H259" s="10">
        <f t="shared" si="64"/>
        <v>0</v>
      </c>
      <c r="I259" s="8">
        <f>IFERROR(H259/H445, "NA")</f>
        <v>0</v>
      </c>
      <c r="J259" s="9"/>
      <c r="K259" s="7">
        <v>0</v>
      </c>
      <c r="L259" s="8">
        <f>IFERROR(K259/K445, "NA")</f>
        <v>0</v>
      </c>
      <c r="M259" s="9"/>
      <c r="N259" s="10">
        <f t="shared" si="65"/>
        <v>0</v>
      </c>
      <c r="O259" s="8">
        <f>IFERROR(N259/N445, "NA")</f>
        <v>0</v>
      </c>
      <c r="P259" s="9"/>
      <c r="Q259" s="7">
        <v>0</v>
      </c>
      <c r="R259" s="8">
        <f>IFERROR(Q259/Q445, "NA")</f>
        <v>0</v>
      </c>
      <c r="S259" s="9"/>
      <c r="T259" s="7">
        <v>0</v>
      </c>
      <c r="U259" s="8">
        <f>IFERROR(T259/T445, "NA")</f>
        <v>0</v>
      </c>
      <c r="V259" s="9"/>
      <c r="W259" s="10">
        <f t="shared" si="66"/>
        <v>0</v>
      </c>
      <c r="X259" s="8">
        <f>IFERROR(W259/W445, "NA")</f>
        <v>0</v>
      </c>
      <c r="Y259" s="9"/>
      <c r="Z259" s="7">
        <v>0</v>
      </c>
      <c r="AA259" s="8">
        <f>IFERROR(Z259/Z445, "NA")</f>
        <v>0</v>
      </c>
      <c r="AB259" s="9"/>
      <c r="AC259" s="10">
        <f t="shared" si="67"/>
        <v>0</v>
      </c>
      <c r="AD259" s="8">
        <f>IFERROR(AC259/AC445,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IFERROR(B260/B445, "NA")</f>
        <v>0</v>
      </c>
      <c r="D260" s="9"/>
      <c r="E260" s="7">
        <v>0</v>
      </c>
      <c r="F260" s="8">
        <f>IFERROR(E260/E445, "NA")</f>
        <v>0</v>
      </c>
      <c r="G260" s="9"/>
      <c r="H260" s="10">
        <f t="shared" si="64"/>
        <v>0</v>
      </c>
      <c r="I260" s="8">
        <f>IFERROR(H260/H445, "NA")</f>
        <v>0</v>
      </c>
      <c r="J260" s="9"/>
      <c r="K260" s="7">
        <v>0</v>
      </c>
      <c r="L260" s="8">
        <f>IFERROR(K260/K445, "NA")</f>
        <v>0</v>
      </c>
      <c r="M260" s="9"/>
      <c r="N260" s="10">
        <f t="shared" si="65"/>
        <v>0</v>
      </c>
      <c r="O260" s="8">
        <f>IFERROR(N260/N445, "NA")</f>
        <v>0</v>
      </c>
      <c r="P260" s="9"/>
      <c r="Q260" s="7">
        <v>0</v>
      </c>
      <c r="R260" s="8">
        <f>IFERROR(Q260/Q445, "NA")</f>
        <v>0</v>
      </c>
      <c r="S260" s="9"/>
      <c r="T260" s="7">
        <v>0</v>
      </c>
      <c r="U260" s="8">
        <f>IFERROR(T260/T445, "NA")</f>
        <v>0</v>
      </c>
      <c r="V260" s="9"/>
      <c r="W260" s="10">
        <f t="shared" si="66"/>
        <v>0</v>
      </c>
      <c r="X260" s="8">
        <f>IFERROR(W260/W445, "NA")</f>
        <v>0</v>
      </c>
      <c r="Y260" s="9"/>
      <c r="Z260" s="7">
        <v>0</v>
      </c>
      <c r="AA260" s="8">
        <f>IFERROR(Z260/Z445, "NA")</f>
        <v>0</v>
      </c>
      <c r="AB260" s="9"/>
      <c r="AC260" s="10">
        <f t="shared" si="67"/>
        <v>0</v>
      </c>
      <c r="AD260" s="8">
        <f>IFERROR(AC260/AC445,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IFERROR(B261/B445, "NA")</f>
        <v>0</v>
      </c>
      <c r="D261" s="9"/>
      <c r="E261" s="7">
        <v>0</v>
      </c>
      <c r="F261" s="8">
        <f>IFERROR(E261/E445, "NA")</f>
        <v>0</v>
      </c>
      <c r="G261" s="9"/>
      <c r="H261" s="10">
        <f t="shared" si="64"/>
        <v>0</v>
      </c>
      <c r="I261" s="8">
        <f>IFERROR(H261/H445, "NA")</f>
        <v>0</v>
      </c>
      <c r="J261" s="9"/>
      <c r="K261" s="7">
        <v>0</v>
      </c>
      <c r="L261" s="8">
        <f>IFERROR(K261/K445, "NA")</f>
        <v>0</v>
      </c>
      <c r="M261" s="9"/>
      <c r="N261" s="10">
        <f t="shared" si="65"/>
        <v>0</v>
      </c>
      <c r="O261" s="8">
        <f>IFERROR(N261/N445, "NA")</f>
        <v>0</v>
      </c>
      <c r="P261" s="9"/>
      <c r="Q261" s="7">
        <v>0</v>
      </c>
      <c r="R261" s="8">
        <f>IFERROR(Q261/Q445, "NA")</f>
        <v>0</v>
      </c>
      <c r="S261" s="9"/>
      <c r="T261" s="7">
        <v>0</v>
      </c>
      <c r="U261" s="8">
        <f>IFERROR(T261/T445, "NA")</f>
        <v>0</v>
      </c>
      <c r="V261" s="9"/>
      <c r="W261" s="10">
        <f t="shared" si="66"/>
        <v>0</v>
      </c>
      <c r="X261" s="8">
        <f>IFERROR(W261/W445, "NA")</f>
        <v>0</v>
      </c>
      <c r="Y261" s="9"/>
      <c r="Z261" s="7">
        <v>0</v>
      </c>
      <c r="AA261" s="8">
        <f>IFERROR(Z261/Z445, "NA")</f>
        <v>0</v>
      </c>
      <c r="AB261" s="9"/>
      <c r="AC261" s="10">
        <f t="shared" si="67"/>
        <v>0</v>
      </c>
      <c r="AD261" s="8">
        <f>IFERROR(AC261/AC445, "NA")</f>
        <v>0</v>
      </c>
    </row>
    <row r="262" spans="1:30" ht="16.5" hidden="1" customHeight="1" x14ac:dyDescent="0.45">
      <c r="A262" s="12" t="s">
        <v>239</v>
      </c>
      <c r="B262" s="7">
        <v>0</v>
      </c>
      <c r="C262" s="8">
        <f>IFERROR(B262/B445, "NA")</f>
        <v>0</v>
      </c>
      <c r="D262" s="9"/>
      <c r="E262" s="7">
        <v>0</v>
      </c>
      <c r="F262" s="8">
        <f>IFERROR(E262/E445, "NA")</f>
        <v>0</v>
      </c>
      <c r="G262" s="9"/>
      <c r="H262" s="10">
        <f t="shared" si="64"/>
        <v>0</v>
      </c>
      <c r="I262" s="8">
        <f>IFERROR(H262/H445, "NA")</f>
        <v>0</v>
      </c>
      <c r="J262" s="9"/>
      <c r="K262" s="7">
        <v>0</v>
      </c>
      <c r="L262" s="8">
        <f>IFERROR(K262/K445, "NA")</f>
        <v>0</v>
      </c>
      <c r="M262" s="9"/>
      <c r="N262" s="10">
        <f t="shared" si="65"/>
        <v>0</v>
      </c>
      <c r="O262" s="8">
        <f>IFERROR(N262/N445, "NA")</f>
        <v>0</v>
      </c>
      <c r="P262" s="9"/>
      <c r="Q262" s="7">
        <v>0</v>
      </c>
      <c r="R262" s="8">
        <f>IFERROR(Q262/Q445, "NA")</f>
        <v>0</v>
      </c>
      <c r="S262" s="9"/>
      <c r="T262" s="7">
        <v>0</v>
      </c>
      <c r="U262" s="8">
        <f>IFERROR(T262/T445, "NA")</f>
        <v>0</v>
      </c>
      <c r="V262" s="9"/>
      <c r="W262" s="10">
        <f t="shared" si="66"/>
        <v>0</v>
      </c>
      <c r="X262" s="8">
        <f>IFERROR(W262/W445, "NA")</f>
        <v>0</v>
      </c>
      <c r="Y262" s="9"/>
      <c r="Z262" s="7">
        <v>0</v>
      </c>
      <c r="AA262" s="8">
        <f>IFERROR(Z262/Z445, "NA")</f>
        <v>0</v>
      </c>
      <c r="AB262" s="9"/>
      <c r="AC262" s="10">
        <f t="shared" si="67"/>
        <v>0</v>
      </c>
      <c r="AD262" s="8">
        <f>IFERROR(AC262/AC445, "NA")</f>
        <v>0</v>
      </c>
    </row>
    <row r="263" spans="1:30" ht="16.5" customHeight="1" x14ac:dyDescent="0.45">
      <c r="A263" s="13" t="s">
        <v>240</v>
      </c>
      <c r="B263" s="14">
        <f>IFERROR(B240+B241+B242+B243+B244+B245+B246+B247+B248+B249+B250+B251+B252+B253+B254+B255+B256+B257+B258+B259+B260+B261+B262, "NA")</f>
        <v>8695.6200000000008</v>
      </c>
      <c r="C263" s="15">
        <f>IFERROR(B263/B445, "NA")</f>
        <v>7.4882659187718442E-2</v>
      </c>
      <c r="D263" s="2"/>
      <c r="E263" s="14">
        <f>IFERROR(E240+E241+E242+E243+E244+E245+E246+E247+E248+E249+E250+E251+E252+E253+E254+E255+E256+E257+E258+E259+E260+E261+E262, "NA")</f>
        <v>7650.9</v>
      </c>
      <c r="F263" s="15">
        <f>IFERROR(E263/E445, "NA")</f>
        <v>6.0999990352770476E-2</v>
      </c>
      <c r="G263" s="2"/>
      <c r="H263" s="14">
        <f t="shared" si="64"/>
        <v>-1044.7200000000012</v>
      </c>
      <c r="I263" s="15">
        <f>IFERROR(H263/H445, "NA")</f>
        <v>0.11231942098603113</v>
      </c>
      <c r="J263" s="2"/>
      <c r="K263" s="14">
        <f>IFERROR(K240+K241+K242+K243+K244+K245+K246+K247+K248+K249+K250+K251+K252+K253+K254+K255+K256+K257+K258+K259+K260+K261+K262, "NA")</f>
        <v>8692.7999999999993</v>
      </c>
      <c r="L263" s="15">
        <f>IFERROR(K263/K445, "NA")</f>
        <v>7.5579247007147715E-2</v>
      </c>
      <c r="M263" s="2"/>
      <c r="N263" s="14">
        <f t="shared" si="65"/>
        <v>-2.820000000001528</v>
      </c>
      <c r="O263" s="15">
        <f>IFERROR(N263/N445, "NA")</f>
        <v>-2.5460914787207457E-3</v>
      </c>
      <c r="P263" s="2"/>
      <c r="Q263" s="14">
        <f>IFERROR(Q240+Q241+Q242+Q243+Q244+Q245+Q246+Q247+Q248+Q249+Q250+Q251+Q252+Q253+Q254+Q255+Q256+Q257+Q258+Q259+Q260+Q261+Q262, "NA")</f>
        <v>39225.839999999989</v>
      </c>
      <c r="R263" s="15">
        <f>IFERROR(Q263/Q445, "NA")</f>
        <v>7.4326413889762119E-2</v>
      </c>
      <c r="S263" s="2"/>
      <c r="T263" s="14">
        <f>IFERROR(T240+T241+T242+T243+T244+T245+T246+T247+T248+T249+T250+T251+T252+T253+T254+T255+T256+T257+T258+T259+T260+T261+T262, "NA")</f>
        <v>36272.199999999997</v>
      </c>
      <c r="U263" s="15">
        <f>IFERROR(T263/T445, "NA")</f>
        <v>6.100000097540266E-2</v>
      </c>
      <c r="V263" s="2"/>
      <c r="W263" s="14">
        <f t="shared" si="66"/>
        <v>-2953.6399999999921</v>
      </c>
      <c r="X263" s="15">
        <f>IFERROR(W263/W445, "NA")</f>
        <v>4.4166440748372886E-2</v>
      </c>
      <c r="Y263" s="2"/>
      <c r="Z263" s="14">
        <f>IFERROR(Z240+Z241+Z242+Z243+Z244+Z245+Z246+Z247+Z248+Z249+Z250+Z251+Z252+Z253+Z254+Z255+Z256+Z257+Z258+Z259+Z260+Z261+Z262, "NA")</f>
        <v>36148.149999999994</v>
      </c>
      <c r="AA263" s="15">
        <f>IFERROR(Z263/Z445, "NA")</f>
        <v>6.5041876426957301E-2</v>
      </c>
      <c r="AB263" s="2"/>
      <c r="AC263" s="14">
        <f t="shared" si="67"/>
        <v>-3077.6899999999951</v>
      </c>
      <c r="AD263" s="15">
        <f>IFERROR(AC263/AC445, "NA")</f>
        <v>0.10985347111969027</v>
      </c>
    </row>
    <row r="264" spans="1:30" ht="16.5" customHeight="1" x14ac:dyDescent="0.45">
      <c r="A264" s="19" t="s">
        <v>241</v>
      </c>
      <c r="B264" s="14">
        <f>IFERROR(B238+B240+B241+B242+B243+B244+B245+B246+B247+B248+B249+B250+B251+B252+B253+B254+B255+B256+B257+B258+B259+B260+B261+B262, "NA")</f>
        <v>8695.6200000000008</v>
      </c>
      <c r="C264" s="15">
        <f>IFERROR(B264/B445, "NA")</f>
        <v>7.4882659187718442E-2</v>
      </c>
      <c r="D264" s="2"/>
      <c r="E264" s="14">
        <f>IFERROR(E238+E240+E241+E242+E243+E244+E245+E246+E247+E248+E249+E250+E251+E252+E253+E254+E255+E256+E257+E258+E259+E260+E261+E262, "NA")</f>
        <v>7650.9</v>
      </c>
      <c r="F264" s="15">
        <f>IFERROR(E264/E445, "NA")</f>
        <v>6.0999990352770476E-2</v>
      </c>
      <c r="G264" s="2"/>
      <c r="H264" s="14">
        <f t="shared" si="64"/>
        <v>-1044.7200000000012</v>
      </c>
      <c r="I264" s="15">
        <f>IFERROR(H264/H445, "NA")</f>
        <v>0.11231942098603113</v>
      </c>
      <c r="J264" s="2"/>
      <c r="K264" s="14">
        <f>IFERROR(K238+K240+K241+K242+K243+K244+K245+K246+K247+K248+K249+K250+K251+K252+K253+K254+K255+K256+K257+K258+K259+K260+K261+K262, "NA")</f>
        <v>8692.7999999999993</v>
      </c>
      <c r="L264" s="15">
        <f>IFERROR(K264/K445, "NA")</f>
        <v>7.5579247007147715E-2</v>
      </c>
      <c r="M264" s="2"/>
      <c r="N264" s="14">
        <f t="shared" si="65"/>
        <v>-2.820000000001528</v>
      </c>
      <c r="O264" s="15">
        <f>IFERROR(N264/N445, "NA")</f>
        <v>-2.5460914787207457E-3</v>
      </c>
      <c r="P264" s="2"/>
      <c r="Q264" s="14">
        <f>IFERROR(Q238+Q240+Q241+Q242+Q243+Q244+Q245+Q246+Q247+Q248+Q249+Q250+Q251+Q252+Q253+Q254+Q255+Q256+Q257+Q258+Q259+Q260+Q261+Q262, "NA")</f>
        <v>39225.839999999989</v>
      </c>
      <c r="R264" s="15">
        <f>IFERROR(Q264/Q445, "NA")</f>
        <v>7.4326413889762119E-2</v>
      </c>
      <c r="S264" s="2"/>
      <c r="T264" s="14">
        <f>IFERROR(T238+T240+T241+T242+T243+T244+T245+T246+T247+T248+T249+T250+T251+T252+T253+T254+T255+T256+T257+T258+T259+T260+T261+T262, "NA")</f>
        <v>36272.199999999997</v>
      </c>
      <c r="U264" s="15">
        <f>IFERROR(T264/T445, "NA")</f>
        <v>6.100000097540266E-2</v>
      </c>
      <c r="V264" s="2"/>
      <c r="W264" s="14">
        <f t="shared" si="66"/>
        <v>-2953.6399999999921</v>
      </c>
      <c r="X264" s="15">
        <f>IFERROR(W264/W445, "NA")</f>
        <v>4.4166440748372886E-2</v>
      </c>
      <c r="Y264" s="2"/>
      <c r="Z264" s="14">
        <f>IFERROR(Z238+Z240+Z241+Z242+Z243+Z244+Z245+Z246+Z247+Z248+Z249+Z250+Z251+Z252+Z253+Z254+Z255+Z256+Z257+Z258+Z259+Z260+Z261+Z262, "NA")</f>
        <v>36148.149999999994</v>
      </c>
      <c r="AA264" s="15">
        <f>IFERROR(Z264/Z445, "NA")</f>
        <v>6.5041876426957301E-2</v>
      </c>
      <c r="AB264" s="2"/>
      <c r="AC264" s="14">
        <f t="shared" si="67"/>
        <v>-3077.6899999999951</v>
      </c>
      <c r="AD264" s="15">
        <f>IFERROR(AC264/AC445, "NA")</f>
        <v>0.10985347111969027</v>
      </c>
    </row>
    <row r="265" spans="1:30" ht="16.5" customHeight="1" x14ac:dyDescent="0.45">
      <c r="A265" s="5" t="s">
        <v>242</v>
      </c>
      <c r="B265" s="2"/>
      <c r="C265" s="3"/>
      <c r="D265" s="4"/>
      <c r="E265" s="2"/>
      <c r="F265" s="3"/>
      <c r="G265" s="4"/>
      <c r="H265" s="2"/>
      <c r="I265" s="3"/>
      <c r="J265" s="4"/>
      <c r="K265" s="2"/>
      <c r="L265" s="3"/>
      <c r="M265" s="4"/>
      <c r="N265" s="2"/>
      <c r="O265" s="3"/>
      <c r="P265" s="4"/>
      <c r="Q265" s="2"/>
      <c r="R265" s="3"/>
      <c r="S265" s="4"/>
      <c r="T265" s="2"/>
      <c r="U265" s="3"/>
      <c r="V265" s="4"/>
      <c r="W265" s="2"/>
      <c r="X265" s="3"/>
      <c r="Y265" s="4"/>
      <c r="Z265" s="2"/>
      <c r="AA265" s="3"/>
      <c r="AB265" s="4"/>
      <c r="AC265" s="2"/>
      <c r="AD265" s="3"/>
    </row>
    <row r="266" spans="1:30" ht="16.5" customHeight="1" x14ac:dyDescent="0.45">
      <c r="A266" s="6" t="s">
        <v>242</v>
      </c>
      <c r="B266" s="7">
        <v>3045.49</v>
      </c>
      <c r="C266" s="8">
        <f>IFERROR(B266/B445, "NA")</f>
        <v>2.6226351856406396E-2</v>
      </c>
      <c r="D266" s="9"/>
      <c r="E266" s="7">
        <v>3386.46</v>
      </c>
      <c r="F266" s="8">
        <f>IFERROR(E266/E445, "NA")</f>
        <v>2.69999643610612E-2</v>
      </c>
      <c r="G266" s="9"/>
      <c r="H266" s="10">
        <f>IFERROR(-(B266-E266), "NA")</f>
        <v>340.97000000000025</v>
      </c>
      <c r="I266" s="8">
        <f>IFERROR(H266/H445, "NA")</f>
        <v>-3.6658198343677756E-2</v>
      </c>
      <c r="J266" s="9"/>
      <c r="K266" s="7">
        <v>3150.68</v>
      </c>
      <c r="L266" s="8">
        <f>IFERROR(K266/K445, "NA")</f>
        <v>2.739347758610346E-2</v>
      </c>
      <c r="M266" s="9"/>
      <c r="N266" s="10">
        <f>IFERROR(-(B266-K266), "NA")</f>
        <v>105.19000000000005</v>
      </c>
      <c r="O266" s="8">
        <f>IFERROR(N266/N445, "NA")</f>
        <v>9.4972823633507189E-2</v>
      </c>
      <c r="P266" s="9"/>
      <c r="Q266" s="7">
        <v>14163.75</v>
      </c>
      <c r="R266" s="8">
        <f>IFERROR(Q266/Q445, "NA")</f>
        <v>2.6837940111189933E-2</v>
      </c>
      <c r="S266" s="9"/>
      <c r="T266" s="7">
        <v>16054.91</v>
      </c>
      <c r="U266" s="8">
        <f>IFERROR(T266/T445, "NA")</f>
        <v>2.7000003464361193E-2</v>
      </c>
      <c r="V266" s="9"/>
      <c r="W266" s="10">
        <f>IFERROR(-(Q266-T266), "NA")</f>
        <v>1891.1599999999999</v>
      </c>
      <c r="X266" s="8">
        <f>IFERROR(W266/W445, "NA")</f>
        <v>-2.8278939236228207E-2</v>
      </c>
      <c r="Y266" s="9"/>
      <c r="Z266" s="7">
        <v>14602.66</v>
      </c>
      <c r="AA266" s="8">
        <f>IFERROR(Z266/Z445, "NA")</f>
        <v>2.6274772214480473E-2</v>
      </c>
      <c r="AB266" s="9"/>
      <c r="AC266" s="10">
        <f>IFERROR(-(Q266-Z266), "NA")</f>
        <v>438.90999999999985</v>
      </c>
      <c r="AD266" s="8">
        <f>IFERROR(AC266/AC445, "NA")</f>
        <v>-1.5666225971148268E-2</v>
      </c>
    </row>
    <row r="267" spans="1:30" ht="16.5" customHeight="1" x14ac:dyDescent="0.45">
      <c r="A267" s="6" t="s">
        <v>243</v>
      </c>
      <c r="B267" s="7">
        <v>0</v>
      </c>
      <c r="C267" s="8">
        <f>IFERROR(B267/B445, "NA")</f>
        <v>0</v>
      </c>
      <c r="D267" s="9"/>
      <c r="E267" s="7">
        <v>0</v>
      </c>
      <c r="F267" s="8">
        <f>IFERROR(E267/E445, "NA")</f>
        <v>0</v>
      </c>
      <c r="G267" s="9"/>
      <c r="H267" s="10">
        <f>IFERROR(-(B267-E267), "NA")</f>
        <v>0</v>
      </c>
      <c r="I267" s="8">
        <f>IFERROR(H267/H445, "NA")</f>
        <v>0</v>
      </c>
      <c r="J267" s="9"/>
      <c r="K267" s="7">
        <v>0</v>
      </c>
      <c r="L267" s="8">
        <f>IFERROR(K267/K445, "NA")</f>
        <v>0</v>
      </c>
      <c r="M267" s="9"/>
      <c r="N267" s="10">
        <f>IFERROR(-(B267-K267), "NA")</f>
        <v>0</v>
      </c>
      <c r="O267" s="8">
        <f>IFERROR(N267/N445, "NA")</f>
        <v>0</v>
      </c>
      <c r="P267" s="9"/>
      <c r="Q267" s="7">
        <v>0</v>
      </c>
      <c r="R267" s="8">
        <f>IFERROR(Q267/Q445, "NA")</f>
        <v>0</v>
      </c>
      <c r="S267" s="9"/>
      <c r="T267" s="7">
        <v>0</v>
      </c>
      <c r="U267" s="8">
        <f>IFERROR(T267/T445, "NA")</f>
        <v>0</v>
      </c>
      <c r="V267" s="9"/>
      <c r="W267" s="10">
        <f>IFERROR(-(Q267-T267), "NA")</f>
        <v>0</v>
      </c>
      <c r="X267" s="8">
        <f>IFERROR(W267/W445, "NA")</f>
        <v>0</v>
      </c>
      <c r="Y267" s="9"/>
      <c r="Z267" s="7">
        <v>74.099999999999994</v>
      </c>
      <c r="AA267" s="8">
        <f>IFERROR(Z267/Z445, "NA")</f>
        <v>1.3332917571819128E-4</v>
      </c>
      <c r="AB267" s="9"/>
      <c r="AC267" s="10">
        <f>IFERROR(-(Q267-Z267), "NA")</f>
        <v>74.099999999999994</v>
      </c>
      <c r="AD267" s="8">
        <f>IFERROR(AC267/AC445, "NA")</f>
        <v>-2.6448869801601401E-3</v>
      </c>
    </row>
    <row r="268" spans="1:30" ht="16.5" customHeight="1" x14ac:dyDescent="0.45">
      <c r="A268" s="19" t="s">
        <v>244</v>
      </c>
      <c r="B268" s="14">
        <f>IFERROR(B266+B267, "NA")</f>
        <v>3045.49</v>
      </c>
      <c r="C268" s="15">
        <f>IFERROR(B268/B445, "NA")</f>
        <v>2.6226351856406396E-2</v>
      </c>
      <c r="D268" s="2"/>
      <c r="E268" s="14">
        <f>IFERROR(E266+E267, "NA")</f>
        <v>3386.46</v>
      </c>
      <c r="F268" s="15">
        <f>IFERROR(E268/E445, "NA")</f>
        <v>2.69999643610612E-2</v>
      </c>
      <c r="G268" s="2"/>
      <c r="H268" s="14">
        <f>IFERROR(-(B268-E268), "NA")</f>
        <v>340.97000000000025</v>
      </c>
      <c r="I268" s="15">
        <f>IFERROR(H268/H445, "NA")</f>
        <v>-3.6658198343677756E-2</v>
      </c>
      <c r="J268" s="2"/>
      <c r="K268" s="14">
        <f>IFERROR(K266+K267, "NA")</f>
        <v>3150.68</v>
      </c>
      <c r="L268" s="15">
        <f>IFERROR(K268/K445, "NA")</f>
        <v>2.739347758610346E-2</v>
      </c>
      <c r="M268" s="2"/>
      <c r="N268" s="14">
        <f>IFERROR(-(B268-K268), "NA")</f>
        <v>105.19000000000005</v>
      </c>
      <c r="O268" s="15">
        <f>IFERROR(N268/N445, "NA")</f>
        <v>9.4972823633507189E-2</v>
      </c>
      <c r="P268" s="2"/>
      <c r="Q268" s="14">
        <f>IFERROR(Q266+Q267, "NA")</f>
        <v>14163.75</v>
      </c>
      <c r="R268" s="15">
        <f>IFERROR(Q268/Q445, "NA")</f>
        <v>2.6837940111189933E-2</v>
      </c>
      <c r="S268" s="2"/>
      <c r="T268" s="14">
        <f>IFERROR(T266+T267, "NA")</f>
        <v>16054.91</v>
      </c>
      <c r="U268" s="15">
        <f>IFERROR(T268/T445, "NA")</f>
        <v>2.7000003464361193E-2</v>
      </c>
      <c r="V268" s="2"/>
      <c r="W268" s="14">
        <f>IFERROR(-(Q268-T268), "NA")</f>
        <v>1891.1599999999999</v>
      </c>
      <c r="X268" s="15">
        <f>IFERROR(W268/W445, "NA")</f>
        <v>-2.8278939236228207E-2</v>
      </c>
      <c r="Y268" s="2"/>
      <c r="Z268" s="14">
        <f>IFERROR(Z266+Z267, "NA")</f>
        <v>14676.76</v>
      </c>
      <c r="AA268" s="15">
        <f>IFERROR(Z268/Z445, "NA")</f>
        <v>2.6408101390198668E-2</v>
      </c>
      <c r="AB268" s="2"/>
      <c r="AC268" s="14">
        <f>IFERROR(-(Q268-Z268), "NA")</f>
        <v>513.01000000000022</v>
      </c>
      <c r="AD268" s="15">
        <f>IFERROR(AC268/AC445, "NA")</f>
        <v>-1.8311112951308422E-2</v>
      </c>
    </row>
    <row r="269" spans="1:30" ht="16.5" customHeight="1" x14ac:dyDescent="0.45">
      <c r="A269" s="5" t="s">
        <v>245</v>
      </c>
      <c r="B269" s="2"/>
      <c r="C269" s="3"/>
      <c r="D269" s="4"/>
      <c r="E269" s="2"/>
      <c r="F269" s="3"/>
      <c r="G269" s="4"/>
      <c r="H269" s="2"/>
      <c r="I269" s="3"/>
      <c r="J269" s="4"/>
      <c r="K269" s="2"/>
      <c r="L269" s="3"/>
      <c r="M269" s="4"/>
      <c r="N269" s="2"/>
      <c r="O269" s="3"/>
      <c r="P269" s="4"/>
      <c r="Q269" s="2"/>
      <c r="R269" s="3"/>
      <c r="S269" s="4"/>
      <c r="T269" s="2"/>
      <c r="U269" s="3"/>
      <c r="V269" s="4"/>
      <c r="W269" s="2"/>
      <c r="X269" s="3"/>
      <c r="Y269" s="4"/>
      <c r="Z269" s="2"/>
      <c r="AA269" s="3"/>
      <c r="AB269" s="4"/>
      <c r="AC269" s="2"/>
      <c r="AD269" s="3"/>
    </row>
    <row r="270" spans="1:30" ht="16.5" hidden="1" customHeight="1" x14ac:dyDescent="0.45">
      <c r="A270" s="6" t="s">
        <v>245</v>
      </c>
      <c r="B270" s="7">
        <v>0</v>
      </c>
      <c r="C270" s="8">
        <f>IFERROR(B270/B445, "NA")</f>
        <v>0</v>
      </c>
      <c r="D270" s="9"/>
      <c r="E270" s="7">
        <v>0</v>
      </c>
      <c r="F270" s="8">
        <f>IFERROR(E270/E445, "NA")</f>
        <v>0</v>
      </c>
      <c r="G270" s="9"/>
      <c r="H270" s="10">
        <f>IFERROR(-(B270-E270), "NA")</f>
        <v>0</v>
      </c>
      <c r="I270" s="8">
        <f>IFERROR(H270/H445, "NA")</f>
        <v>0</v>
      </c>
      <c r="J270" s="9"/>
      <c r="K270" s="7">
        <v>0</v>
      </c>
      <c r="L270" s="8">
        <f>IFERROR(K270/K445, "NA")</f>
        <v>0</v>
      </c>
      <c r="M270" s="9"/>
      <c r="N270" s="10">
        <f>IFERROR(-(B270-K270), "NA")</f>
        <v>0</v>
      </c>
      <c r="O270" s="8">
        <f>IFERROR(N270/N445, "NA")</f>
        <v>0</v>
      </c>
      <c r="P270" s="9"/>
      <c r="Q270" s="7">
        <v>0</v>
      </c>
      <c r="R270" s="8">
        <f>IFERROR(Q270/Q445, "NA")</f>
        <v>0</v>
      </c>
      <c r="S270" s="9"/>
      <c r="T270" s="7">
        <v>0</v>
      </c>
      <c r="U270" s="8">
        <f>IFERROR(T270/T445, "NA")</f>
        <v>0</v>
      </c>
      <c r="V270" s="9"/>
      <c r="W270" s="10">
        <f>IFERROR(-(Q270-T270), "NA")</f>
        <v>0</v>
      </c>
      <c r="X270" s="8">
        <f>IFERROR(W270/W445, "NA")</f>
        <v>0</v>
      </c>
      <c r="Y270" s="9"/>
      <c r="Z270" s="7">
        <v>0</v>
      </c>
      <c r="AA270" s="8">
        <f>IFERROR(Z270/Z445, "NA")</f>
        <v>0</v>
      </c>
      <c r="AB270" s="9"/>
      <c r="AC270" s="10">
        <f>IFERROR(-(Q270-Z270), "NA")</f>
        <v>0</v>
      </c>
      <c r="AD270" s="8">
        <f>IFERROR(AC270/AC445, "NA")</f>
        <v>0</v>
      </c>
    </row>
    <row r="271" spans="1:30" ht="16.5" customHeight="1" x14ac:dyDescent="0.45">
      <c r="A271" s="6" t="s">
        <v>246</v>
      </c>
      <c r="B271" s="7">
        <v>226.64</v>
      </c>
      <c r="C271" s="8">
        <f>IFERROR(B271/B445, "NA")</f>
        <v>1.9517188973649383E-3</v>
      </c>
      <c r="D271" s="9"/>
      <c r="E271" s="7">
        <v>111.38</v>
      </c>
      <c r="F271" s="8">
        <f>IFERROR(E271/E445, "NA")</f>
        <v>8.8802349076469119E-4</v>
      </c>
      <c r="G271" s="9"/>
      <c r="H271" s="10">
        <f>IFERROR(-(B271-E271), "NA")</f>
        <v>-115.25999999999999</v>
      </c>
      <c r="I271" s="8">
        <f>IFERROR(H271/H445, "NA")</f>
        <v>1.2391776229850996E-2</v>
      </c>
      <c r="J271" s="9"/>
      <c r="K271" s="7">
        <v>89.79</v>
      </c>
      <c r="L271" s="8">
        <f>IFERROR(K271/K445, "NA")</f>
        <v>7.8067602944641482E-4</v>
      </c>
      <c r="M271" s="9"/>
      <c r="N271" s="10">
        <f>IFERROR(-(B271-K271), "NA")</f>
        <v>-136.84999999999997</v>
      </c>
      <c r="O271" s="8">
        <f>IFERROR(N271/N445, "NA")</f>
        <v>-0.12355766626338481</v>
      </c>
      <c r="P271" s="9"/>
      <c r="Q271" s="7">
        <v>816.55</v>
      </c>
      <c r="R271" s="8">
        <f>IFERROR(Q271/Q445, "NA")</f>
        <v>1.547225840458363E-3</v>
      </c>
      <c r="S271" s="9"/>
      <c r="T271" s="7">
        <v>556.9</v>
      </c>
      <c r="U271" s="8">
        <f>IFERROR(T271/T445, "NA")</f>
        <v>9.365547318111872E-4</v>
      </c>
      <c r="V271" s="9"/>
      <c r="W271" s="10">
        <f>IFERROR(-(Q271-T271), "NA")</f>
        <v>-259.64999999999998</v>
      </c>
      <c r="X271" s="8">
        <f>IFERROR(W271/W445, "NA")</f>
        <v>3.8826046303256485E-3</v>
      </c>
      <c r="Y271" s="9"/>
      <c r="Z271" s="7">
        <v>707.76</v>
      </c>
      <c r="AA271" s="8">
        <f>IFERROR(Z271/Z445, "NA")</f>
        <v>1.2734825560905137E-3</v>
      </c>
      <c r="AB271" s="9"/>
      <c r="AC271" s="10">
        <f>IFERROR(-(Q271-Z271), "NA")</f>
        <v>-108.78999999999996</v>
      </c>
      <c r="AD271" s="8">
        <f>IFERROR(AC271/AC445, "NA")</f>
        <v>3.8830938538680368E-3</v>
      </c>
    </row>
    <row r="272" spans="1:30" ht="16.5" customHeight="1" x14ac:dyDescent="0.45">
      <c r="A272" s="6" t="s">
        <v>247</v>
      </c>
      <c r="B272" s="7">
        <v>1074.56</v>
      </c>
      <c r="C272" s="8">
        <f>IFERROR(B272/B445, "NA")</f>
        <v>9.2536139178982877E-3</v>
      </c>
      <c r="D272" s="9"/>
      <c r="E272" s="7">
        <v>1183.75</v>
      </c>
      <c r="F272" s="8">
        <f>IFERROR(E272/E445, "NA")</f>
        <v>9.4379404488481172E-3</v>
      </c>
      <c r="G272" s="9"/>
      <c r="H272" s="10">
        <f>IFERROR(-(B272-E272), "NA")</f>
        <v>109.19000000000005</v>
      </c>
      <c r="I272" s="8">
        <f>IFERROR(H272/H445, "NA")</f>
        <v>-1.1739181385887828E-2</v>
      </c>
      <c r="J272" s="9"/>
      <c r="K272" s="7">
        <v>1183.75</v>
      </c>
      <c r="L272" s="8">
        <f>IFERROR(K272/K445, "NA")</f>
        <v>1.0292073169141257E-2</v>
      </c>
      <c r="M272" s="9"/>
      <c r="N272" s="10">
        <f>IFERROR(-(B272-K272), "NA")</f>
        <v>109.19000000000005</v>
      </c>
      <c r="O272" s="8">
        <f>IFERROR(N272/N445, "NA")</f>
        <v>9.8584300908286432E-2</v>
      </c>
      <c r="P272" s="9"/>
      <c r="Q272" s="7">
        <v>5514.32</v>
      </c>
      <c r="R272" s="8">
        <f>IFERROR(Q272/Q445, "NA")</f>
        <v>1.0448715199995543E-2</v>
      </c>
      <c r="S272" s="9"/>
      <c r="T272" s="7">
        <v>5918.75</v>
      </c>
      <c r="U272" s="8">
        <f>IFERROR(T272/T445, "NA")</f>
        <v>9.9537319427320248E-3</v>
      </c>
      <c r="V272" s="9"/>
      <c r="W272" s="10">
        <f>IFERROR(-(Q272-T272), "NA")</f>
        <v>404.43000000000029</v>
      </c>
      <c r="X272" s="8">
        <f>IFERROR(W272/W445, "NA")</f>
        <v>-6.047532411487015E-3</v>
      </c>
      <c r="Y272" s="9"/>
      <c r="Z272" s="7">
        <v>5107.53</v>
      </c>
      <c r="AA272" s="8">
        <f>IFERROR(Z272/Z445, "NA")</f>
        <v>9.1900508077723819E-3</v>
      </c>
      <c r="AB272" s="9"/>
      <c r="AC272" s="10">
        <f>IFERROR(-(Q272-Z272), "NA")</f>
        <v>-406.78999999999996</v>
      </c>
      <c r="AD272" s="8">
        <f>IFERROR(AC272/AC445, "NA")</f>
        <v>1.4519751344930408E-2</v>
      </c>
    </row>
    <row r="273" spans="1:30" ht="16.5" customHeight="1" x14ac:dyDescent="0.45">
      <c r="A273" s="6" t="s">
        <v>248</v>
      </c>
      <c r="B273" s="7">
        <v>199.27</v>
      </c>
      <c r="C273" s="8">
        <f>IFERROR(B273/B445, "NA")</f>
        <v>1.7160211113568271E-3</v>
      </c>
      <c r="D273" s="9"/>
      <c r="E273" s="7">
        <v>0</v>
      </c>
      <c r="F273" s="8">
        <f>IFERROR(E273/E445, "NA")</f>
        <v>0</v>
      </c>
      <c r="G273" s="9"/>
      <c r="H273" s="10">
        <f>IFERROR(-(B273-E273), "NA")</f>
        <v>-199.27</v>
      </c>
      <c r="I273" s="8">
        <f>IFERROR(H273/H445, "NA")</f>
        <v>2.1423817884109044E-2</v>
      </c>
      <c r="J273" s="9"/>
      <c r="K273" s="7">
        <v>0</v>
      </c>
      <c r="L273" s="8">
        <f>IFERROR(K273/K445, "NA")</f>
        <v>0</v>
      </c>
      <c r="M273" s="9"/>
      <c r="N273" s="10">
        <f>IFERROR(-(B273-K273), "NA")</f>
        <v>-199.27</v>
      </c>
      <c r="O273" s="8">
        <f>IFERROR(N273/N445, "NA")</f>
        <v>-0.17991476913631493</v>
      </c>
      <c r="P273" s="9"/>
      <c r="Q273" s="7">
        <v>996.35</v>
      </c>
      <c r="R273" s="8">
        <f>IFERROR(Q273/Q445, "NA")</f>
        <v>1.887916803797306E-3</v>
      </c>
      <c r="S273" s="9"/>
      <c r="T273" s="7">
        <v>0</v>
      </c>
      <c r="U273" s="8">
        <f>IFERROR(T273/T445, "NA")</f>
        <v>0</v>
      </c>
      <c r="V273" s="9"/>
      <c r="W273" s="10">
        <f>IFERROR(-(Q273-T273), "NA")</f>
        <v>-996.35</v>
      </c>
      <c r="X273" s="8">
        <f>IFERROR(W273/W445, "NA")</f>
        <v>1.4898644804255576E-2</v>
      </c>
      <c r="Y273" s="9"/>
      <c r="Z273" s="7">
        <v>0</v>
      </c>
      <c r="AA273" s="8">
        <f>IFERROR(Z273/Z445, "NA")</f>
        <v>0</v>
      </c>
      <c r="AB273" s="9"/>
      <c r="AC273" s="10">
        <f>IFERROR(-(Q273-Z273), "NA")</f>
        <v>-996.35</v>
      </c>
      <c r="AD273" s="8">
        <f>IFERROR(AC273/AC445, "NA")</f>
        <v>3.5563200306107365E-2</v>
      </c>
    </row>
    <row r="274" spans="1:30" ht="16.5" customHeight="1" x14ac:dyDescent="0.45">
      <c r="A274" s="19" t="s">
        <v>249</v>
      </c>
      <c r="B274" s="14">
        <f>IFERROR(B270+B271+B272+B273, "NA")</f>
        <v>1500.4699999999998</v>
      </c>
      <c r="C274" s="15">
        <f>IFERROR(B274/B445, "NA")</f>
        <v>1.2921353926620053E-2</v>
      </c>
      <c r="D274" s="2"/>
      <c r="E274" s="14">
        <f>IFERROR(E270+E271+E272+E273, "NA")</f>
        <v>1295.1300000000001</v>
      </c>
      <c r="F274" s="15">
        <f>IFERROR(E274/E445, "NA")</f>
        <v>1.0325963939612808E-2</v>
      </c>
      <c r="G274" s="2"/>
      <c r="H274" s="14">
        <f>IFERROR(-(B274-E274), "NA")</f>
        <v>-205.33999999999969</v>
      </c>
      <c r="I274" s="15">
        <f>IFERROR(H274/H445, "NA")</f>
        <v>2.2076412728072186E-2</v>
      </c>
      <c r="J274" s="2"/>
      <c r="K274" s="14">
        <f>IFERROR(K270+K271+K272+K273, "NA")</f>
        <v>1273.54</v>
      </c>
      <c r="L274" s="15">
        <f>IFERROR(K274/K445, "NA")</f>
        <v>1.107274919858767E-2</v>
      </c>
      <c r="M274" s="2"/>
      <c r="N274" s="14">
        <f>IFERROR(-(B274-K274), "NA")</f>
        <v>-226.92999999999984</v>
      </c>
      <c r="O274" s="15">
        <f>IFERROR(N274/N445, "NA")</f>
        <v>-0.20488813449141324</v>
      </c>
      <c r="P274" s="2"/>
      <c r="Q274" s="14">
        <f>IFERROR(Q270+Q271+Q272+Q273, "NA")</f>
        <v>7327.22</v>
      </c>
      <c r="R274" s="15">
        <f>IFERROR(Q274/Q445, "NA")</f>
        <v>1.3883857844251212E-2</v>
      </c>
      <c r="S274" s="2"/>
      <c r="T274" s="14">
        <f>IFERROR(T270+T271+T272+T273, "NA")</f>
        <v>6475.65</v>
      </c>
      <c r="U274" s="15">
        <f>IFERROR(T274/T445, "NA")</f>
        <v>1.0890286674543212E-2</v>
      </c>
      <c r="V274" s="2"/>
      <c r="W274" s="14">
        <f>IFERROR(-(Q274-T274), "NA")</f>
        <v>-851.57000000000062</v>
      </c>
      <c r="X274" s="15">
        <f>IFERROR(W274/W445, "NA")</f>
        <v>1.2733717023094225E-2</v>
      </c>
      <c r="Y274" s="2"/>
      <c r="Z274" s="14">
        <f>IFERROR(Z270+Z271+Z272+Z273, "NA")</f>
        <v>5815.29</v>
      </c>
      <c r="AA274" s="15">
        <f>IFERROR(Z274/Z445, "NA")</f>
        <v>1.0463533363862897E-2</v>
      </c>
      <c r="AB274" s="2"/>
      <c r="AC274" s="14">
        <f>IFERROR(-(Q274-Z274), "NA")</f>
        <v>-1511.9300000000003</v>
      </c>
      <c r="AD274" s="15">
        <f>IFERROR(AC274/AC445, "NA")</f>
        <v>5.3966045504905823E-2</v>
      </c>
    </row>
    <row r="275" spans="1:30" ht="16.5" customHeight="1" x14ac:dyDescent="0.45">
      <c r="A275" s="5" t="s">
        <v>250</v>
      </c>
      <c r="B275" s="2"/>
      <c r="C275" s="3"/>
      <c r="D275" s="4"/>
      <c r="E275" s="2"/>
      <c r="F275" s="3"/>
      <c r="G275" s="4"/>
      <c r="H275" s="2"/>
      <c r="I275" s="3"/>
      <c r="J275" s="4"/>
      <c r="K275" s="2"/>
      <c r="L275" s="3"/>
      <c r="M275" s="4"/>
      <c r="N275" s="2"/>
      <c r="O275" s="3"/>
      <c r="P275" s="4"/>
      <c r="Q275" s="2"/>
      <c r="R275" s="3"/>
      <c r="S275" s="4"/>
      <c r="T275" s="2"/>
      <c r="U275" s="3"/>
      <c r="V275" s="4"/>
      <c r="W275" s="2"/>
      <c r="X275" s="3"/>
      <c r="Y275" s="4"/>
      <c r="Z275" s="2"/>
      <c r="AA275" s="3"/>
      <c r="AB275" s="4"/>
      <c r="AC275" s="2"/>
      <c r="AD275" s="3"/>
    </row>
    <row r="276" spans="1:30" ht="16.5" hidden="1" customHeight="1" x14ac:dyDescent="0.45">
      <c r="A276" s="6" t="s">
        <v>250</v>
      </c>
      <c r="B276" s="7">
        <v>0</v>
      </c>
      <c r="C276" s="8">
        <f>IFERROR(B276/B445, "NA")</f>
        <v>0</v>
      </c>
      <c r="D276" s="9"/>
      <c r="E276" s="7">
        <v>0</v>
      </c>
      <c r="F276" s="8">
        <f>IFERROR(E276/E445, "NA")</f>
        <v>0</v>
      </c>
      <c r="G276" s="9"/>
      <c r="H276" s="10">
        <f t="shared" ref="H276:H285" si="68">IFERROR(-(B276-E276), "NA")</f>
        <v>0</v>
      </c>
      <c r="I276" s="8">
        <f>IFERROR(H276/H445, "NA")</f>
        <v>0</v>
      </c>
      <c r="J276" s="9"/>
      <c r="K276" s="7">
        <v>0</v>
      </c>
      <c r="L276" s="8">
        <f>IFERROR(K276/K445, "NA")</f>
        <v>0</v>
      </c>
      <c r="M276" s="9"/>
      <c r="N276" s="10">
        <f t="shared" ref="N276:N285" si="69">IFERROR(-(B276-K276), "NA")</f>
        <v>0</v>
      </c>
      <c r="O276" s="8">
        <f>IFERROR(N276/N445, "NA")</f>
        <v>0</v>
      </c>
      <c r="P276" s="9"/>
      <c r="Q276" s="7">
        <v>0</v>
      </c>
      <c r="R276" s="8">
        <f>IFERROR(Q276/Q445, "NA")</f>
        <v>0</v>
      </c>
      <c r="S276" s="9"/>
      <c r="T276" s="7">
        <v>0</v>
      </c>
      <c r="U276" s="8">
        <f>IFERROR(T276/T445, "NA")</f>
        <v>0</v>
      </c>
      <c r="V276" s="9"/>
      <c r="W276" s="10">
        <f t="shared" ref="W276:W285" si="70">IFERROR(-(Q276-T276), "NA")</f>
        <v>0</v>
      </c>
      <c r="X276" s="8">
        <f>IFERROR(W276/W445, "NA")</f>
        <v>0</v>
      </c>
      <c r="Y276" s="9"/>
      <c r="Z276" s="7">
        <v>0</v>
      </c>
      <c r="AA276" s="8">
        <f>IFERROR(Z276/Z445, "NA")</f>
        <v>0</v>
      </c>
      <c r="AB276" s="9"/>
      <c r="AC276" s="10">
        <f t="shared" ref="AC276:AC285" si="71">IFERROR(-(Q276-Z276), "NA")</f>
        <v>0</v>
      </c>
      <c r="AD276" s="8">
        <f>IFERROR(AC276/AC445,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IFERROR(B277/B445, "NA")</f>
        <v>0</v>
      </c>
      <c r="D277" s="9"/>
      <c r="E277" s="7">
        <v>0</v>
      </c>
      <c r="F277" s="8">
        <f>IFERROR(E277/E445, "NA")</f>
        <v>0</v>
      </c>
      <c r="G277" s="9"/>
      <c r="H277" s="10">
        <f t="shared" si="68"/>
        <v>0</v>
      </c>
      <c r="I277" s="8">
        <f>IFERROR(H277/H445, "NA")</f>
        <v>0</v>
      </c>
      <c r="J277" s="9"/>
      <c r="K277" s="7">
        <v>0</v>
      </c>
      <c r="L277" s="8">
        <f>IFERROR(K277/K445, "NA")</f>
        <v>0</v>
      </c>
      <c r="M277" s="9"/>
      <c r="N277" s="10">
        <f t="shared" si="69"/>
        <v>0</v>
      </c>
      <c r="O277" s="8">
        <f>IFERROR(N277/N445, "NA")</f>
        <v>0</v>
      </c>
      <c r="P277" s="9"/>
      <c r="Q277" s="7">
        <v>0</v>
      </c>
      <c r="R277" s="8">
        <f>IFERROR(Q277/Q445, "NA")</f>
        <v>0</v>
      </c>
      <c r="S277" s="9"/>
      <c r="T277" s="7">
        <v>0</v>
      </c>
      <c r="U277" s="8">
        <f>IFERROR(T277/T445, "NA")</f>
        <v>0</v>
      </c>
      <c r="V277" s="9"/>
      <c r="W277" s="10">
        <f t="shared" si="70"/>
        <v>0</v>
      </c>
      <c r="X277" s="8">
        <f>IFERROR(W277/W445, "NA")</f>
        <v>0</v>
      </c>
      <c r="Y277" s="9"/>
      <c r="Z277" s="7">
        <v>0</v>
      </c>
      <c r="AA277" s="8">
        <f>IFERROR(Z277/Z445, "NA")</f>
        <v>0</v>
      </c>
      <c r="AB277" s="9"/>
      <c r="AC277" s="10">
        <f t="shared" si="71"/>
        <v>0</v>
      </c>
      <c r="AD277" s="8">
        <f>IFERROR(AC277/AC445,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IFERROR(B278/B445, "NA")</f>
        <v>0</v>
      </c>
      <c r="D278" s="9"/>
      <c r="E278" s="7">
        <v>0</v>
      </c>
      <c r="F278" s="8">
        <f>IFERROR(E278/E445, "NA")</f>
        <v>0</v>
      </c>
      <c r="G278" s="9"/>
      <c r="H278" s="10">
        <f t="shared" si="68"/>
        <v>0</v>
      </c>
      <c r="I278" s="8">
        <f>IFERROR(H278/H445, "NA")</f>
        <v>0</v>
      </c>
      <c r="J278" s="9"/>
      <c r="K278" s="7">
        <v>0</v>
      </c>
      <c r="L278" s="8">
        <f>IFERROR(K278/K445, "NA")</f>
        <v>0</v>
      </c>
      <c r="M278" s="9"/>
      <c r="N278" s="10">
        <f t="shared" si="69"/>
        <v>0</v>
      </c>
      <c r="O278" s="8">
        <f>IFERROR(N278/N445, "NA")</f>
        <v>0</v>
      </c>
      <c r="P278" s="9"/>
      <c r="Q278" s="7">
        <v>0</v>
      </c>
      <c r="R278" s="8">
        <f>IFERROR(Q278/Q445, "NA")</f>
        <v>0</v>
      </c>
      <c r="S278" s="9"/>
      <c r="T278" s="7">
        <v>0</v>
      </c>
      <c r="U278" s="8">
        <f>IFERROR(T278/T445, "NA")</f>
        <v>0</v>
      </c>
      <c r="V278" s="9"/>
      <c r="W278" s="10">
        <f t="shared" si="70"/>
        <v>0</v>
      </c>
      <c r="X278" s="8">
        <f>IFERROR(W278/W445, "NA")</f>
        <v>0</v>
      </c>
      <c r="Y278" s="9"/>
      <c r="Z278" s="7">
        <v>0</v>
      </c>
      <c r="AA278" s="8">
        <f>IFERROR(Z278/Z445, "NA")</f>
        <v>0</v>
      </c>
      <c r="AB278" s="9"/>
      <c r="AC278" s="10">
        <f t="shared" si="71"/>
        <v>0</v>
      </c>
      <c r="AD278" s="8">
        <f>IFERROR(AC278/AC445,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IFERROR(B279/B445, "NA")</f>
        <v>0</v>
      </c>
      <c r="D279" s="9"/>
      <c r="E279" s="7">
        <v>0</v>
      </c>
      <c r="F279" s="8">
        <f>IFERROR(E279/E445, "NA")</f>
        <v>0</v>
      </c>
      <c r="G279" s="9"/>
      <c r="H279" s="10">
        <f t="shared" si="68"/>
        <v>0</v>
      </c>
      <c r="I279" s="8">
        <f>IFERROR(H279/H445, "NA")</f>
        <v>0</v>
      </c>
      <c r="J279" s="9"/>
      <c r="K279" s="7">
        <v>0</v>
      </c>
      <c r="L279" s="8">
        <f>IFERROR(K279/K445, "NA")</f>
        <v>0</v>
      </c>
      <c r="M279" s="9"/>
      <c r="N279" s="10">
        <f t="shared" si="69"/>
        <v>0</v>
      </c>
      <c r="O279" s="8">
        <f>IFERROR(N279/N445, "NA")</f>
        <v>0</v>
      </c>
      <c r="P279" s="9"/>
      <c r="Q279" s="7">
        <v>0</v>
      </c>
      <c r="R279" s="8">
        <f>IFERROR(Q279/Q445, "NA")</f>
        <v>0</v>
      </c>
      <c r="S279" s="9"/>
      <c r="T279" s="7">
        <v>0</v>
      </c>
      <c r="U279" s="8">
        <f>IFERROR(T279/T445, "NA")</f>
        <v>0</v>
      </c>
      <c r="V279" s="9"/>
      <c r="W279" s="10">
        <f t="shared" si="70"/>
        <v>0</v>
      </c>
      <c r="X279" s="8">
        <f>IFERROR(W279/W445, "NA")</f>
        <v>0</v>
      </c>
      <c r="Y279" s="9"/>
      <c r="Z279" s="7">
        <v>0</v>
      </c>
      <c r="AA279" s="8">
        <f>IFERROR(Z279/Z445, "NA")</f>
        <v>0</v>
      </c>
      <c r="AB279" s="9"/>
      <c r="AC279" s="10">
        <f t="shared" si="71"/>
        <v>0</v>
      </c>
      <c r="AD279" s="8">
        <f>IFERROR(AC279/AC445,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IFERROR(B280/B445, "NA")</f>
        <v>0</v>
      </c>
      <c r="D280" s="9"/>
      <c r="E280" s="7">
        <v>0</v>
      </c>
      <c r="F280" s="8">
        <f>IFERROR(E280/E445, "NA")</f>
        <v>0</v>
      </c>
      <c r="G280" s="9"/>
      <c r="H280" s="10">
        <f t="shared" si="68"/>
        <v>0</v>
      </c>
      <c r="I280" s="8">
        <f>IFERROR(H280/H445, "NA")</f>
        <v>0</v>
      </c>
      <c r="J280" s="9"/>
      <c r="K280" s="7">
        <v>0</v>
      </c>
      <c r="L280" s="8">
        <f>IFERROR(K280/K445, "NA")</f>
        <v>0</v>
      </c>
      <c r="M280" s="9"/>
      <c r="N280" s="10">
        <f t="shared" si="69"/>
        <v>0</v>
      </c>
      <c r="O280" s="8">
        <f>IFERROR(N280/N445, "NA")</f>
        <v>0</v>
      </c>
      <c r="P280" s="9"/>
      <c r="Q280" s="7">
        <v>0</v>
      </c>
      <c r="R280" s="8">
        <f>IFERROR(Q280/Q445, "NA")</f>
        <v>0</v>
      </c>
      <c r="S280" s="9"/>
      <c r="T280" s="7">
        <v>0</v>
      </c>
      <c r="U280" s="8">
        <f>IFERROR(T280/T445, "NA")</f>
        <v>0</v>
      </c>
      <c r="V280" s="9"/>
      <c r="W280" s="10">
        <f t="shared" si="70"/>
        <v>0</v>
      </c>
      <c r="X280" s="8">
        <f>IFERROR(W280/W445, "NA")</f>
        <v>0</v>
      </c>
      <c r="Y280" s="9"/>
      <c r="Z280" s="7">
        <v>0</v>
      </c>
      <c r="AA280" s="8">
        <f>IFERROR(Z280/Z445, "NA")</f>
        <v>0</v>
      </c>
      <c r="AB280" s="9"/>
      <c r="AC280" s="10">
        <f t="shared" si="71"/>
        <v>0</v>
      </c>
      <c r="AD280" s="8">
        <f>IFERROR(AC280/AC445,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IFERROR(B281/B445, "NA")</f>
        <v>0</v>
      </c>
      <c r="D281" s="9"/>
      <c r="E281" s="7">
        <v>0</v>
      </c>
      <c r="F281" s="8">
        <f>IFERROR(E281/E445, "NA")</f>
        <v>0</v>
      </c>
      <c r="G281" s="9"/>
      <c r="H281" s="10">
        <f t="shared" si="68"/>
        <v>0</v>
      </c>
      <c r="I281" s="8">
        <f>IFERROR(H281/H445, "NA")</f>
        <v>0</v>
      </c>
      <c r="J281" s="9"/>
      <c r="K281" s="7">
        <v>0</v>
      </c>
      <c r="L281" s="8">
        <f>IFERROR(K281/K445, "NA")</f>
        <v>0</v>
      </c>
      <c r="M281" s="9"/>
      <c r="N281" s="10">
        <f t="shared" si="69"/>
        <v>0</v>
      </c>
      <c r="O281" s="8">
        <f>IFERROR(N281/N445, "NA")</f>
        <v>0</v>
      </c>
      <c r="P281" s="9"/>
      <c r="Q281" s="7">
        <v>0</v>
      </c>
      <c r="R281" s="8">
        <f>IFERROR(Q281/Q445, "NA")</f>
        <v>0</v>
      </c>
      <c r="S281" s="9"/>
      <c r="T281" s="7">
        <v>0</v>
      </c>
      <c r="U281" s="8">
        <f>IFERROR(T281/T445, "NA")</f>
        <v>0</v>
      </c>
      <c r="V281" s="9"/>
      <c r="W281" s="10">
        <f t="shared" si="70"/>
        <v>0</v>
      </c>
      <c r="X281" s="8">
        <f>IFERROR(W281/W445, "NA")</f>
        <v>0</v>
      </c>
      <c r="Y281" s="9"/>
      <c r="Z281" s="7">
        <v>0</v>
      </c>
      <c r="AA281" s="8">
        <f>IFERROR(Z281/Z445, "NA")</f>
        <v>0</v>
      </c>
      <c r="AB281" s="9"/>
      <c r="AC281" s="10">
        <f t="shared" si="71"/>
        <v>0</v>
      </c>
      <c r="AD281" s="8">
        <f>IFERROR(AC281/AC445,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IFERROR(B282/B445, "NA")</f>
        <v>0</v>
      </c>
      <c r="D282" s="9"/>
      <c r="E282" s="7">
        <v>0</v>
      </c>
      <c r="F282" s="8">
        <f>IFERROR(E282/E445, "NA")</f>
        <v>0</v>
      </c>
      <c r="G282" s="9"/>
      <c r="H282" s="10">
        <f t="shared" si="68"/>
        <v>0</v>
      </c>
      <c r="I282" s="8">
        <f>IFERROR(H282/H445, "NA")</f>
        <v>0</v>
      </c>
      <c r="J282" s="9"/>
      <c r="K282" s="7">
        <v>0</v>
      </c>
      <c r="L282" s="8">
        <f>IFERROR(K282/K445, "NA")</f>
        <v>0</v>
      </c>
      <c r="M282" s="9"/>
      <c r="N282" s="10">
        <f t="shared" si="69"/>
        <v>0</v>
      </c>
      <c r="O282" s="8">
        <f>IFERROR(N282/N445, "NA")</f>
        <v>0</v>
      </c>
      <c r="P282" s="9"/>
      <c r="Q282" s="7">
        <v>0</v>
      </c>
      <c r="R282" s="8">
        <f>IFERROR(Q282/Q445, "NA")</f>
        <v>0</v>
      </c>
      <c r="S282" s="9"/>
      <c r="T282" s="7">
        <v>0</v>
      </c>
      <c r="U282" s="8">
        <f>IFERROR(T282/T445, "NA")</f>
        <v>0</v>
      </c>
      <c r="V282" s="9"/>
      <c r="W282" s="10">
        <f t="shared" si="70"/>
        <v>0</v>
      </c>
      <c r="X282" s="8">
        <f>IFERROR(W282/W445, "NA")</f>
        <v>0</v>
      </c>
      <c r="Y282" s="9"/>
      <c r="Z282" s="7">
        <v>0</v>
      </c>
      <c r="AA282" s="8">
        <f>IFERROR(Z282/Z445, "NA")</f>
        <v>0</v>
      </c>
      <c r="AB282" s="9"/>
      <c r="AC282" s="10">
        <f t="shared" si="71"/>
        <v>0</v>
      </c>
      <c r="AD282" s="8">
        <f>IFERROR(AC282/AC445,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IFERROR(B283/B445, "NA")</f>
        <v>0</v>
      </c>
      <c r="D283" s="9"/>
      <c r="E283" s="7">
        <v>0</v>
      </c>
      <c r="F283" s="8">
        <f>IFERROR(E283/E445, "NA")</f>
        <v>0</v>
      </c>
      <c r="G283" s="9"/>
      <c r="H283" s="10">
        <f t="shared" si="68"/>
        <v>0</v>
      </c>
      <c r="I283" s="8">
        <f>IFERROR(H283/H445, "NA")</f>
        <v>0</v>
      </c>
      <c r="J283" s="9"/>
      <c r="K283" s="7">
        <v>0</v>
      </c>
      <c r="L283" s="8">
        <f>IFERROR(K283/K445, "NA")</f>
        <v>0</v>
      </c>
      <c r="M283" s="9"/>
      <c r="N283" s="10">
        <f t="shared" si="69"/>
        <v>0</v>
      </c>
      <c r="O283" s="8">
        <f>IFERROR(N283/N445, "NA")</f>
        <v>0</v>
      </c>
      <c r="P283" s="9"/>
      <c r="Q283" s="7">
        <v>0</v>
      </c>
      <c r="R283" s="8">
        <f>IFERROR(Q283/Q445, "NA")</f>
        <v>0</v>
      </c>
      <c r="S283" s="9"/>
      <c r="T283" s="7">
        <v>0</v>
      </c>
      <c r="U283" s="8">
        <f>IFERROR(T283/T445, "NA")</f>
        <v>0</v>
      </c>
      <c r="V283" s="9"/>
      <c r="W283" s="10">
        <f t="shared" si="70"/>
        <v>0</v>
      </c>
      <c r="X283" s="8">
        <f>IFERROR(W283/W445, "NA")</f>
        <v>0</v>
      </c>
      <c r="Y283" s="9"/>
      <c r="Z283" s="7">
        <v>0</v>
      </c>
      <c r="AA283" s="8">
        <f>IFERROR(Z283/Z445, "NA")</f>
        <v>0</v>
      </c>
      <c r="AB283" s="9"/>
      <c r="AC283" s="10">
        <f t="shared" si="71"/>
        <v>0</v>
      </c>
      <c r="AD283" s="8">
        <f>IFERROR(AC283/AC445, "NA")</f>
        <v>0</v>
      </c>
    </row>
    <row r="284" spans="1:30" ht="16.5" hidden="1" customHeight="1" x14ac:dyDescent="0.45">
      <c r="A284" s="6" t="s">
        <v>258</v>
      </c>
      <c r="B284" s="7">
        <v>0</v>
      </c>
      <c r="C284" s="8">
        <f>IFERROR(B284/B445, "NA")</f>
        <v>0</v>
      </c>
      <c r="D284" s="9"/>
      <c r="E284" s="7">
        <v>0</v>
      </c>
      <c r="F284" s="8">
        <f>IFERROR(E284/E445, "NA")</f>
        <v>0</v>
      </c>
      <c r="G284" s="9"/>
      <c r="H284" s="10">
        <f t="shared" si="68"/>
        <v>0</v>
      </c>
      <c r="I284" s="8">
        <f>IFERROR(H284/H445, "NA")</f>
        <v>0</v>
      </c>
      <c r="J284" s="9"/>
      <c r="K284" s="7">
        <v>0</v>
      </c>
      <c r="L284" s="8">
        <f>IFERROR(K284/K445, "NA")</f>
        <v>0</v>
      </c>
      <c r="M284" s="9"/>
      <c r="N284" s="10">
        <f t="shared" si="69"/>
        <v>0</v>
      </c>
      <c r="O284" s="8">
        <f>IFERROR(N284/N445, "NA")</f>
        <v>0</v>
      </c>
      <c r="P284" s="9"/>
      <c r="Q284" s="7">
        <v>0</v>
      </c>
      <c r="R284" s="8">
        <f>IFERROR(Q284/Q445, "NA")</f>
        <v>0</v>
      </c>
      <c r="S284" s="9"/>
      <c r="T284" s="7">
        <v>0</v>
      </c>
      <c r="U284" s="8">
        <f>IFERROR(T284/T445, "NA")</f>
        <v>0</v>
      </c>
      <c r="V284" s="9"/>
      <c r="W284" s="10">
        <f t="shared" si="70"/>
        <v>0</v>
      </c>
      <c r="X284" s="8">
        <f>IFERROR(W284/W445, "NA")</f>
        <v>0</v>
      </c>
      <c r="Y284" s="9"/>
      <c r="Z284" s="7">
        <v>0</v>
      </c>
      <c r="AA284" s="8">
        <f>IFERROR(Z284/Z445, "NA")</f>
        <v>0</v>
      </c>
      <c r="AB284" s="9"/>
      <c r="AC284" s="10">
        <f t="shared" si="71"/>
        <v>0</v>
      </c>
      <c r="AD284" s="8">
        <f>IFERROR(AC284/AC445, "NA")</f>
        <v>0</v>
      </c>
    </row>
    <row r="285" spans="1:30" ht="16.5" customHeight="1" x14ac:dyDescent="0.45">
      <c r="A285" s="19" t="s">
        <v>259</v>
      </c>
      <c r="B285" s="14">
        <f>IFERROR(B276+B277+B278+B279+B280+B281+B282+B283+B284, "NA")</f>
        <v>0</v>
      </c>
      <c r="C285" s="15">
        <f>IFERROR(B285/B445, "NA")</f>
        <v>0</v>
      </c>
      <c r="D285" s="2"/>
      <c r="E285" s="14">
        <f>IFERROR(E276+E277+E278+E279+E280+E281+E282+E283+E284, "NA")</f>
        <v>0</v>
      </c>
      <c r="F285" s="15">
        <f>IFERROR(E285/E445, "NA")</f>
        <v>0</v>
      </c>
      <c r="G285" s="2"/>
      <c r="H285" s="14">
        <f t="shared" si="68"/>
        <v>0</v>
      </c>
      <c r="I285" s="15">
        <f>IFERROR(H285/H445, "NA")</f>
        <v>0</v>
      </c>
      <c r="J285" s="2"/>
      <c r="K285" s="14">
        <f>IFERROR(K276+K277+K278+K279+K280+K281+K282+K283+K284, "NA")</f>
        <v>0</v>
      </c>
      <c r="L285" s="15">
        <f>IFERROR(K285/K445, "NA")</f>
        <v>0</v>
      </c>
      <c r="M285" s="2"/>
      <c r="N285" s="14">
        <f t="shared" si="69"/>
        <v>0</v>
      </c>
      <c r="O285" s="15">
        <f>IFERROR(N285/N445, "NA")</f>
        <v>0</v>
      </c>
      <c r="P285" s="2"/>
      <c r="Q285" s="14">
        <f>IFERROR(Q276+Q277+Q278+Q279+Q280+Q281+Q282+Q283+Q284, "NA")</f>
        <v>0</v>
      </c>
      <c r="R285" s="15">
        <f>IFERROR(Q285/Q445, "NA")</f>
        <v>0</v>
      </c>
      <c r="S285" s="2"/>
      <c r="T285" s="14">
        <f>IFERROR(T276+T277+T278+T279+T280+T281+T282+T283+T284, "NA")</f>
        <v>0</v>
      </c>
      <c r="U285" s="15">
        <f>IFERROR(T285/T445, "NA")</f>
        <v>0</v>
      </c>
      <c r="V285" s="2"/>
      <c r="W285" s="14">
        <f t="shared" si="70"/>
        <v>0</v>
      </c>
      <c r="X285" s="15">
        <f>IFERROR(W285/W445, "NA")</f>
        <v>0</v>
      </c>
      <c r="Y285" s="2"/>
      <c r="Z285" s="14">
        <f>IFERROR(Z276+Z277+Z278+Z279+Z280+Z281+Z282+Z283+Z284, "NA")</f>
        <v>0</v>
      </c>
      <c r="AA285" s="15">
        <f>IFERROR(Z285/Z445, "NA")</f>
        <v>0</v>
      </c>
      <c r="AB285" s="2"/>
      <c r="AC285" s="14">
        <f t="shared" si="71"/>
        <v>0</v>
      </c>
      <c r="AD285" s="15">
        <f>IFERROR(AC285/AC445, "NA")</f>
        <v>0</v>
      </c>
    </row>
    <row r="286" spans="1:30" ht="16.5" customHeight="1" x14ac:dyDescent="0.45">
      <c r="A286" s="5" t="s">
        <v>260</v>
      </c>
      <c r="B286" s="2"/>
      <c r="C286" s="3"/>
      <c r="D286" s="4"/>
      <c r="E286" s="2"/>
      <c r="F286" s="3"/>
      <c r="G286" s="4"/>
      <c r="H286" s="2"/>
      <c r="I286" s="3"/>
      <c r="J286" s="4"/>
      <c r="K286" s="2"/>
      <c r="L286" s="3"/>
      <c r="M286" s="4"/>
      <c r="N286" s="2"/>
      <c r="O286" s="3"/>
      <c r="P286" s="4"/>
      <c r="Q286" s="2"/>
      <c r="R286" s="3"/>
      <c r="S286" s="4"/>
      <c r="T286" s="2"/>
      <c r="U286" s="3"/>
      <c r="V286" s="4"/>
      <c r="W286" s="2"/>
      <c r="X286" s="3"/>
      <c r="Y286" s="4"/>
      <c r="Z286" s="2"/>
      <c r="AA286" s="3"/>
      <c r="AB286" s="4"/>
      <c r="AC286" s="2"/>
      <c r="AD286" s="3"/>
    </row>
    <row r="287" spans="1:30" ht="16.5" hidden="1" customHeight="1" x14ac:dyDescent="0.45">
      <c r="A287" s="6" t="s">
        <v>260</v>
      </c>
      <c r="B287" s="7">
        <v>0</v>
      </c>
      <c r="C287" s="8">
        <f>IFERROR(B287/B445, "NA")</f>
        <v>0</v>
      </c>
      <c r="D287" s="9"/>
      <c r="E287" s="7">
        <v>0</v>
      </c>
      <c r="F287" s="8">
        <f>IFERROR(E287/E445, "NA")</f>
        <v>0</v>
      </c>
      <c r="G287" s="9"/>
      <c r="H287" s="10">
        <f t="shared" ref="H287:H296" si="72">IFERROR(-(B287-E287), "NA")</f>
        <v>0</v>
      </c>
      <c r="I287" s="8">
        <f>IFERROR(H287/H445, "NA")</f>
        <v>0</v>
      </c>
      <c r="J287" s="9"/>
      <c r="K287" s="7">
        <v>0</v>
      </c>
      <c r="L287" s="8">
        <f>IFERROR(K287/K445, "NA")</f>
        <v>0</v>
      </c>
      <c r="M287" s="9"/>
      <c r="N287" s="10">
        <f t="shared" ref="N287:N296" si="73">IFERROR(-(B287-K287), "NA")</f>
        <v>0</v>
      </c>
      <c r="O287" s="8">
        <f>IFERROR(N287/N445, "NA")</f>
        <v>0</v>
      </c>
      <c r="P287" s="9"/>
      <c r="Q287" s="7">
        <v>0</v>
      </c>
      <c r="R287" s="8">
        <f>IFERROR(Q287/Q445, "NA")</f>
        <v>0</v>
      </c>
      <c r="S287" s="9"/>
      <c r="T287" s="7">
        <v>0</v>
      </c>
      <c r="U287" s="8">
        <f>IFERROR(T287/T445, "NA")</f>
        <v>0</v>
      </c>
      <c r="V287" s="9"/>
      <c r="W287" s="10">
        <f t="shared" ref="W287:W296" si="74">IFERROR(-(Q287-T287), "NA")</f>
        <v>0</v>
      </c>
      <c r="X287" s="8">
        <f>IFERROR(W287/W445, "NA")</f>
        <v>0</v>
      </c>
      <c r="Y287" s="9"/>
      <c r="Z287" s="7">
        <v>0</v>
      </c>
      <c r="AA287" s="8">
        <f>IFERROR(Z287/Z445, "NA")</f>
        <v>0</v>
      </c>
      <c r="AB287" s="9"/>
      <c r="AC287" s="10">
        <f t="shared" ref="AC287:AC296" si="75">IFERROR(-(Q287-Z287), "NA")</f>
        <v>0</v>
      </c>
      <c r="AD287" s="8">
        <f>IFERROR(AC287/AC445, "NA")</f>
        <v>0</v>
      </c>
    </row>
    <row r="288" spans="1:30" ht="16.5" hidden="1" customHeight="1" x14ac:dyDescent="0.45">
      <c r="A288" s="6" t="s">
        <v>261</v>
      </c>
      <c r="B288" s="7">
        <v>0</v>
      </c>
      <c r="C288" s="8">
        <f>IFERROR(B288/B445, "NA")</f>
        <v>0</v>
      </c>
      <c r="D288" s="9"/>
      <c r="E288" s="7">
        <v>0</v>
      </c>
      <c r="F288" s="8">
        <f>IFERROR(E288/E445, "NA")</f>
        <v>0</v>
      </c>
      <c r="G288" s="9"/>
      <c r="H288" s="10">
        <f t="shared" si="72"/>
        <v>0</v>
      </c>
      <c r="I288" s="8">
        <f>IFERROR(H288/H445, "NA")</f>
        <v>0</v>
      </c>
      <c r="J288" s="9"/>
      <c r="K288" s="7">
        <v>0</v>
      </c>
      <c r="L288" s="8">
        <f>IFERROR(K288/K445, "NA")</f>
        <v>0</v>
      </c>
      <c r="M288" s="9"/>
      <c r="N288" s="10">
        <f t="shared" si="73"/>
        <v>0</v>
      </c>
      <c r="O288" s="8">
        <f>IFERROR(N288/N445, "NA")</f>
        <v>0</v>
      </c>
      <c r="P288" s="9"/>
      <c r="Q288" s="7">
        <v>0</v>
      </c>
      <c r="R288" s="8">
        <f>IFERROR(Q288/Q445, "NA")</f>
        <v>0</v>
      </c>
      <c r="S288" s="9"/>
      <c r="T288" s="7">
        <v>0</v>
      </c>
      <c r="U288" s="8">
        <f>IFERROR(T288/T445, "NA")</f>
        <v>0</v>
      </c>
      <c r="V288" s="9"/>
      <c r="W288" s="10">
        <f t="shared" si="74"/>
        <v>0</v>
      </c>
      <c r="X288" s="8">
        <f>IFERROR(W288/W445, "NA")</f>
        <v>0</v>
      </c>
      <c r="Y288" s="9"/>
      <c r="Z288" s="7">
        <v>0</v>
      </c>
      <c r="AA288" s="8">
        <f>IFERROR(Z288/Z445, "NA")</f>
        <v>0</v>
      </c>
      <c r="AB288" s="9"/>
      <c r="AC288" s="10">
        <f t="shared" si="75"/>
        <v>0</v>
      </c>
      <c r="AD288" s="8">
        <f>IFERROR(AC288/AC445, "NA")</f>
        <v>0</v>
      </c>
    </row>
    <row r="289" spans="1:30" ht="16.5" customHeight="1" x14ac:dyDescent="0.45">
      <c r="A289" s="6" t="s">
        <v>262</v>
      </c>
      <c r="B289" s="7">
        <v>158.34</v>
      </c>
      <c r="C289" s="8">
        <f>IFERROR(B289/B445, "NA")</f>
        <v>1.3635508745533196E-3</v>
      </c>
      <c r="D289" s="9"/>
      <c r="E289" s="7">
        <v>158</v>
      </c>
      <c r="F289" s="8">
        <f>IFERROR(E289/E445, "NA")</f>
        <v>1.2597208793393897E-3</v>
      </c>
      <c r="G289" s="9"/>
      <c r="H289" s="10">
        <f t="shared" si="72"/>
        <v>-0.34000000000000341</v>
      </c>
      <c r="I289" s="8">
        <f>IFERROR(H289/H445, "NA")</f>
        <v>3.6553912182451685E-5</v>
      </c>
      <c r="J289" s="9"/>
      <c r="K289" s="7">
        <v>158.33000000000001</v>
      </c>
      <c r="L289" s="8">
        <f>IFERROR(K289/K445, "NA")</f>
        <v>1.3765946735967351E-3</v>
      </c>
      <c r="M289" s="9"/>
      <c r="N289" s="10">
        <f t="shared" si="73"/>
        <v>-9.9999999999909051E-3</v>
      </c>
      <c r="O289" s="8">
        <f>IFERROR(N289/N445, "NA")</f>
        <v>-9.028693186939895E-6</v>
      </c>
      <c r="P289" s="9"/>
      <c r="Q289" s="7">
        <v>791.72</v>
      </c>
      <c r="R289" s="8">
        <f>IFERROR(Q289/Q445, "NA")</f>
        <v>1.5001771384577738E-3</v>
      </c>
      <c r="S289" s="9"/>
      <c r="T289" s="7">
        <v>790</v>
      </c>
      <c r="U289" s="8">
        <f>IFERROR(T289/T445, "NA")</f>
        <v>1.3285656996423736E-3</v>
      </c>
      <c r="V289" s="9"/>
      <c r="W289" s="10">
        <f t="shared" si="74"/>
        <v>-1.7200000000000273</v>
      </c>
      <c r="X289" s="8">
        <f>IFERROR(W289/W445, "NA")</f>
        <v>2.5719545404044761E-5</v>
      </c>
      <c r="Y289" s="9"/>
      <c r="Z289" s="7">
        <v>791.67</v>
      </c>
      <c r="AA289" s="8">
        <f>IFERROR(Z289/Z445, "NA")</f>
        <v>1.4244630032499391E-3</v>
      </c>
      <c r="AB289" s="9"/>
      <c r="AC289" s="10">
        <f t="shared" si="75"/>
        <v>-5.0000000000068212E-2</v>
      </c>
      <c r="AD289" s="8">
        <f>IFERROR(AC289/AC445, "NA")</f>
        <v>1.7846740756840406E-6</v>
      </c>
    </row>
    <row r="290" spans="1:30" ht="16.5" customHeight="1" x14ac:dyDescent="0.45">
      <c r="A290" s="6" t="s">
        <v>263</v>
      </c>
      <c r="B290" s="7">
        <v>252.3</v>
      </c>
      <c r="C290" s="8">
        <f>IFERROR(B290/B445, "NA")</f>
        <v>2.1726909539585863E-3</v>
      </c>
      <c r="D290" s="9"/>
      <c r="E290" s="7">
        <v>233</v>
      </c>
      <c r="F290" s="8">
        <f>IFERROR(E290/E445, "NA")</f>
        <v>1.8576896511777075E-3</v>
      </c>
      <c r="G290" s="9"/>
      <c r="H290" s="10">
        <f t="shared" si="72"/>
        <v>-19.300000000000011</v>
      </c>
      <c r="I290" s="8">
        <f>IFERROR(H290/H445, "NA")</f>
        <v>2.0749720738862084E-3</v>
      </c>
      <c r="J290" s="9"/>
      <c r="K290" s="7">
        <v>216.02</v>
      </c>
      <c r="L290" s="8">
        <f>IFERROR(K290/K445, "NA")</f>
        <v>1.8781783704311674E-3</v>
      </c>
      <c r="M290" s="9"/>
      <c r="N290" s="10">
        <f t="shared" si="73"/>
        <v>-36.28</v>
      </c>
      <c r="O290" s="8">
        <f>IFERROR(N290/N445, "NA")</f>
        <v>-3.2756098882247731E-2</v>
      </c>
      <c r="P290" s="9"/>
      <c r="Q290" s="7">
        <v>1244.25</v>
      </c>
      <c r="R290" s="8">
        <f>IFERROR(Q290/Q445, "NA")</f>
        <v>2.3576458906255813E-3</v>
      </c>
      <c r="S290" s="9"/>
      <c r="T290" s="7">
        <v>1165</v>
      </c>
      <c r="U290" s="8">
        <f>IFERROR(T290/T445, "NA")</f>
        <v>1.9592139747890702E-3</v>
      </c>
      <c r="V290" s="9"/>
      <c r="W290" s="10">
        <f t="shared" si="74"/>
        <v>-79.25</v>
      </c>
      <c r="X290" s="8">
        <f>IFERROR(W290/W445, "NA")</f>
        <v>1.1850430077154158E-3</v>
      </c>
      <c r="Y290" s="9"/>
      <c r="Z290" s="7">
        <v>1044.44</v>
      </c>
      <c r="AA290" s="8">
        <f>IFERROR(Z290/Z445, "NA")</f>
        <v>1.8792756314049625E-3</v>
      </c>
      <c r="AB290" s="9"/>
      <c r="AC290" s="10">
        <f t="shared" si="75"/>
        <v>-199.80999999999995</v>
      </c>
      <c r="AD290" s="8">
        <f>IFERROR(AC290/AC445, "NA")</f>
        <v>7.131914541238832E-3</v>
      </c>
    </row>
    <row r="291" spans="1:30" ht="16.5" customHeight="1" x14ac:dyDescent="0.45">
      <c r="A291" s="6" t="s">
        <v>264</v>
      </c>
      <c r="B291" s="7">
        <v>0</v>
      </c>
      <c r="C291" s="8">
        <f>IFERROR(B291/B445, "NA")</f>
        <v>0</v>
      </c>
      <c r="D291" s="9"/>
      <c r="E291" s="7">
        <v>376.27</v>
      </c>
      <c r="F291" s="8">
        <f>IFERROR(E291/E445, "NA")</f>
        <v>2.9999694637280511E-3</v>
      </c>
      <c r="G291" s="9"/>
      <c r="H291" s="10">
        <f t="shared" si="72"/>
        <v>376.27</v>
      </c>
      <c r="I291" s="8">
        <f>IFERROR(H291/H445, "NA")</f>
        <v>-4.045335452026752E-2</v>
      </c>
      <c r="J291" s="9"/>
      <c r="K291" s="7">
        <v>209.13</v>
      </c>
      <c r="L291" s="8">
        <f>IFERROR(K291/K445, "NA")</f>
        <v>1.8182735052692806E-3</v>
      </c>
      <c r="M291" s="9"/>
      <c r="N291" s="10">
        <f t="shared" si="73"/>
        <v>209.13</v>
      </c>
      <c r="O291" s="8">
        <f>IFERROR(N291/N445, "NA")</f>
        <v>0.18881706061864575</v>
      </c>
      <c r="P291" s="9"/>
      <c r="Q291" s="7">
        <v>1296.75</v>
      </c>
      <c r="R291" s="8">
        <f>IFERROR(Q291/Q445, "NA")</f>
        <v>2.4571246201878418E-3</v>
      </c>
      <c r="S291" s="9"/>
      <c r="T291" s="7">
        <v>1625.16</v>
      </c>
      <c r="U291" s="8">
        <f>IFERROR(T291/T445, "NA")</f>
        <v>2.733078268899747E-3</v>
      </c>
      <c r="V291" s="9"/>
      <c r="W291" s="10">
        <f t="shared" si="74"/>
        <v>328.41000000000008</v>
      </c>
      <c r="X291" s="8">
        <f>IFERROR(W291/W445, "NA")</f>
        <v>-4.9107883175245398E-3</v>
      </c>
      <c r="Y291" s="9"/>
      <c r="Z291" s="7">
        <v>209.13</v>
      </c>
      <c r="AA291" s="8">
        <f>IFERROR(Z291/Z445, "NA")</f>
        <v>3.7629056029615847E-4</v>
      </c>
      <c r="AB291" s="9"/>
      <c r="AC291" s="10">
        <f t="shared" si="75"/>
        <v>-1087.6199999999999</v>
      </c>
      <c r="AD291" s="8">
        <f>IFERROR(AC291/AC445, "NA")</f>
        <v>3.8820944363856559E-2</v>
      </c>
    </row>
    <row r="292" spans="1:30" ht="16.5" customHeight="1" x14ac:dyDescent="0.45">
      <c r="A292" s="6" t="s">
        <v>265</v>
      </c>
      <c r="B292" s="7">
        <v>0</v>
      </c>
      <c r="C292" s="8">
        <f>IFERROR(B292/B445, "NA")</f>
        <v>0</v>
      </c>
      <c r="D292" s="9"/>
      <c r="E292" s="7">
        <v>501.7</v>
      </c>
      <c r="F292" s="8">
        <f>IFERROR(E292/E445, "NA")</f>
        <v>4.0000124377504538E-3</v>
      </c>
      <c r="G292" s="9"/>
      <c r="H292" s="10">
        <f t="shared" si="72"/>
        <v>501.7</v>
      </c>
      <c r="I292" s="8">
        <f>IFERROR(H292/H445, "NA")</f>
        <v>-5.393852277039949E-2</v>
      </c>
      <c r="J292" s="9"/>
      <c r="K292" s="7">
        <v>336</v>
      </c>
      <c r="L292" s="8">
        <f>IFERROR(K292/K445, "NA")</f>
        <v>2.9213403039758919E-3</v>
      </c>
      <c r="M292" s="9"/>
      <c r="N292" s="10">
        <f t="shared" si="73"/>
        <v>336</v>
      </c>
      <c r="O292" s="8">
        <f>IFERROR(N292/N445, "NA")</f>
        <v>0.3033640910814564</v>
      </c>
      <c r="P292" s="9"/>
      <c r="Q292" s="7">
        <v>5239.88</v>
      </c>
      <c r="R292" s="8">
        <f>IFERROR(Q292/Q445, "NA")</f>
        <v>9.9286972468323655E-3</v>
      </c>
      <c r="S292" s="9"/>
      <c r="T292" s="7">
        <v>2378.5100000000002</v>
      </c>
      <c r="U292" s="8">
        <f>IFERROR(T292/T445, "NA")</f>
        <v>4.0000086104511169E-3</v>
      </c>
      <c r="V292" s="9"/>
      <c r="W292" s="10">
        <f t="shared" si="74"/>
        <v>-2861.37</v>
      </c>
      <c r="X292" s="8">
        <f>IFERROR(W292/W445, "NA")</f>
        <v>4.2786706763238598E-2</v>
      </c>
      <c r="Y292" s="9"/>
      <c r="Z292" s="7">
        <v>1017.31</v>
      </c>
      <c r="AA292" s="8">
        <f>IFERROR(Z292/Z445, "NA")</f>
        <v>1.8304602395394489E-3</v>
      </c>
      <c r="AB292" s="9"/>
      <c r="AC292" s="10">
        <f t="shared" si="75"/>
        <v>-4222.57</v>
      </c>
      <c r="AD292" s="8">
        <f>IFERROR(AC292/AC445, "NA")</f>
        <v>0.15071822423501757</v>
      </c>
    </row>
    <row r="293" spans="1:30" ht="16.5" customHeight="1" x14ac:dyDescent="0.45">
      <c r="A293" s="6" t="s">
        <v>266</v>
      </c>
      <c r="B293" s="7">
        <v>0</v>
      </c>
      <c r="C293" s="8">
        <f>IFERROR(B293/B445, "NA")</f>
        <v>0</v>
      </c>
      <c r="D293" s="9"/>
      <c r="E293" s="7">
        <v>125.42</v>
      </c>
      <c r="F293" s="8">
        <f>IFERROR(E293/E445, "NA")</f>
        <v>9.9996324485282441E-4</v>
      </c>
      <c r="G293" s="9"/>
      <c r="H293" s="10">
        <f t="shared" si="72"/>
        <v>125.42</v>
      </c>
      <c r="I293" s="8">
        <f>IFERROR(H293/H445, "NA")</f>
        <v>-1.3484093135067779E-2</v>
      </c>
      <c r="J293" s="9"/>
      <c r="K293" s="7">
        <v>0</v>
      </c>
      <c r="L293" s="8">
        <f>IFERROR(K293/K445, "NA")</f>
        <v>0</v>
      </c>
      <c r="M293" s="9"/>
      <c r="N293" s="10">
        <f t="shared" si="73"/>
        <v>0</v>
      </c>
      <c r="O293" s="8">
        <f>IFERROR(N293/N445, "NA")</f>
        <v>0</v>
      </c>
      <c r="P293" s="9"/>
      <c r="Q293" s="7">
        <v>522.95000000000005</v>
      </c>
      <c r="R293" s="8">
        <f>IFERROR(Q293/Q445, "NA")</f>
        <v>9.9090288808731993E-4</v>
      </c>
      <c r="S293" s="9"/>
      <c r="T293" s="7">
        <v>594.62</v>
      </c>
      <c r="U293" s="8">
        <f>IFERROR(T293/T445, "NA")</f>
        <v>9.9998953964727626E-4</v>
      </c>
      <c r="V293" s="9"/>
      <c r="W293" s="10">
        <f t="shared" si="74"/>
        <v>71.669999999999959</v>
      </c>
      <c r="X293" s="8">
        <f>IFERROR(W293/W445, "NA")</f>
        <v>-1.0716975692487544E-3</v>
      </c>
      <c r="Y293" s="9"/>
      <c r="Z293" s="7">
        <v>0</v>
      </c>
      <c r="AA293" s="8">
        <f>IFERROR(Z293/Z445, "NA")</f>
        <v>0</v>
      </c>
      <c r="AB293" s="9"/>
      <c r="AC293" s="10">
        <f t="shared" si="75"/>
        <v>-522.95000000000005</v>
      </c>
      <c r="AD293" s="8">
        <f>IFERROR(AC293/AC445, "NA")</f>
        <v>1.8665906157553917E-2</v>
      </c>
    </row>
    <row r="294" spans="1:30" ht="16.5" customHeight="1" x14ac:dyDescent="0.45">
      <c r="A294" s="6" t="s">
        <v>267</v>
      </c>
      <c r="B294" s="7">
        <v>0</v>
      </c>
      <c r="C294" s="8">
        <f>IFERROR(B294/B445, "NA")</f>
        <v>0</v>
      </c>
      <c r="D294" s="9"/>
      <c r="E294" s="7">
        <v>125.42</v>
      </c>
      <c r="F294" s="8">
        <f>IFERROR(E294/E445, "NA")</f>
        <v>9.9996324485282441E-4</v>
      </c>
      <c r="G294" s="9"/>
      <c r="H294" s="10">
        <f t="shared" si="72"/>
        <v>125.42</v>
      </c>
      <c r="I294" s="8">
        <f>IFERROR(H294/H445, "NA")</f>
        <v>-1.3484093135067779E-2</v>
      </c>
      <c r="J294" s="9"/>
      <c r="K294" s="7">
        <v>0</v>
      </c>
      <c r="L294" s="8">
        <f>IFERROR(K294/K445, "NA")</f>
        <v>0</v>
      </c>
      <c r="M294" s="9"/>
      <c r="N294" s="10">
        <f t="shared" si="73"/>
        <v>0</v>
      </c>
      <c r="O294" s="8">
        <f>IFERROR(N294/N445, "NA")</f>
        <v>0</v>
      </c>
      <c r="P294" s="9"/>
      <c r="Q294" s="7">
        <v>0</v>
      </c>
      <c r="R294" s="8">
        <f>IFERROR(Q294/Q445, "NA")</f>
        <v>0</v>
      </c>
      <c r="S294" s="9"/>
      <c r="T294" s="7">
        <v>594.62</v>
      </c>
      <c r="U294" s="8">
        <f>IFERROR(T294/T445, "NA")</f>
        <v>9.9998953964727626E-4</v>
      </c>
      <c r="V294" s="9"/>
      <c r="W294" s="10">
        <f t="shared" si="74"/>
        <v>594.62</v>
      </c>
      <c r="X294" s="8">
        <f>IFERROR(W294/W445, "NA")</f>
        <v>-8.8914860977632876E-3</v>
      </c>
      <c r="Y294" s="9"/>
      <c r="Z294" s="7">
        <v>0</v>
      </c>
      <c r="AA294" s="8">
        <f>IFERROR(Z294/Z445, "NA")</f>
        <v>0</v>
      </c>
      <c r="AB294" s="9"/>
      <c r="AC294" s="10">
        <f t="shared" si="75"/>
        <v>0</v>
      </c>
      <c r="AD294" s="8">
        <f>IFERROR(AC294/AC445, "NA")</f>
        <v>0</v>
      </c>
    </row>
    <row r="295" spans="1:30" ht="16.5" customHeight="1" x14ac:dyDescent="0.45">
      <c r="A295" s="6" t="s">
        <v>268</v>
      </c>
      <c r="B295" s="7">
        <v>300</v>
      </c>
      <c r="C295" s="8">
        <f>IFERROR(B295/B445, "NA")</f>
        <v>2.583461300783099E-3</v>
      </c>
      <c r="D295" s="9"/>
      <c r="E295" s="7">
        <v>412</v>
      </c>
      <c r="F295" s="8">
        <f>IFERROR(E295/E445, "NA")</f>
        <v>3.2848417866318262E-3</v>
      </c>
      <c r="G295" s="9"/>
      <c r="H295" s="10">
        <f t="shared" si="72"/>
        <v>112</v>
      </c>
      <c r="I295" s="8">
        <f>IFERROR(H295/H445, "NA")</f>
        <v>-1.2041288718925141E-2</v>
      </c>
      <c r="J295" s="9"/>
      <c r="K295" s="7">
        <v>430.73</v>
      </c>
      <c r="L295" s="8">
        <f>IFERROR(K295/K445, "NA")</f>
        <v>3.744966991462905E-3</v>
      </c>
      <c r="M295" s="9"/>
      <c r="N295" s="10">
        <f t="shared" si="73"/>
        <v>130.73000000000002</v>
      </c>
      <c r="O295" s="8">
        <f>IFERROR(N295/N445, "NA")</f>
        <v>0.11803210603297262</v>
      </c>
      <c r="P295" s="9"/>
      <c r="Q295" s="7">
        <v>1713.96</v>
      </c>
      <c r="R295" s="8">
        <f>IFERROR(Q295/Q445, "NA")</f>
        <v>3.2476678727720483E-3</v>
      </c>
      <c r="S295" s="9"/>
      <c r="T295" s="7">
        <v>2060</v>
      </c>
      <c r="U295" s="8">
        <f>IFERROR(T295/T445, "NA")</f>
        <v>3.4643611914725188E-3</v>
      </c>
      <c r="V295" s="9"/>
      <c r="W295" s="10">
        <f t="shared" si="74"/>
        <v>346.03999999999996</v>
      </c>
      <c r="X295" s="8">
        <f>IFERROR(W295/W445, "NA")</f>
        <v>-5.1744136579159926E-3</v>
      </c>
      <c r="Y295" s="9"/>
      <c r="Z295" s="7">
        <v>1929.69</v>
      </c>
      <c r="AA295" s="8">
        <f>IFERROR(Z295/Z445, "NA")</f>
        <v>3.4721184492798457E-3</v>
      </c>
      <c r="AB295" s="9"/>
      <c r="AC295" s="10">
        <f t="shared" si="75"/>
        <v>215.73000000000002</v>
      </c>
      <c r="AD295" s="8">
        <f>IFERROR(AC295/AC445, "NA")</f>
        <v>-7.7001547669358576E-3</v>
      </c>
    </row>
    <row r="296" spans="1:30" ht="16.5" customHeight="1" x14ac:dyDescent="0.45">
      <c r="A296" s="19" t="s">
        <v>269</v>
      </c>
      <c r="B296" s="14">
        <f>IFERROR(B287+B288+B289+B290+B291+B292+B293+B294+B295, "NA")</f>
        <v>710.64</v>
      </c>
      <c r="C296" s="15">
        <f>IFERROR(B296/B445, "NA")</f>
        <v>6.1197031292950042E-3</v>
      </c>
      <c r="D296" s="2"/>
      <c r="E296" s="14">
        <f>IFERROR(E287+E288+E289+E290+E291+E292+E293+E294+E295, "NA")</f>
        <v>1931.8100000000002</v>
      </c>
      <c r="F296" s="15">
        <f>IFERROR(E296/E445, "NA")</f>
        <v>1.540216070833308E-2</v>
      </c>
      <c r="G296" s="2"/>
      <c r="H296" s="14">
        <f t="shared" si="72"/>
        <v>1221.17</v>
      </c>
      <c r="I296" s="15">
        <f>IFERROR(H296/H445, "NA")</f>
        <v>-0.13128982629365907</v>
      </c>
      <c r="J296" s="2"/>
      <c r="K296" s="14">
        <f>IFERROR(K287+K288+K289+K290+K291+K292+K293+K294+K295, "NA")</f>
        <v>1350.21</v>
      </c>
      <c r="L296" s="15">
        <f>IFERROR(K296/K445, "NA")</f>
        <v>1.173935384473598E-2</v>
      </c>
      <c r="M296" s="2"/>
      <c r="N296" s="14">
        <f t="shared" si="73"/>
        <v>639.57000000000005</v>
      </c>
      <c r="O296" s="15">
        <f>IFERROR(N296/N445, "NA")</f>
        <v>0.57744813015764007</v>
      </c>
      <c r="P296" s="2"/>
      <c r="Q296" s="14">
        <f>IFERROR(Q287+Q288+Q289+Q290+Q291+Q292+Q293+Q294+Q295, "NA")</f>
        <v>10809.510000000002</v>
      </c>
      <c r="R296" s="15">
        <f>IFERROR(Q296/Q445, "NA")</f>
        <v>2.0482215656962934E-2</v>
      </c>
      <c r="S296" s="2"/>
      <c r="T296" s="14">
        <f>IFERROR(T287+T288+T289+T290+T291+T292+T293+T294+T295, "NA")</f>
        <v>9207.91</v>
      </c>
      <c r="U296" s="15">
        <f>IFERROR(T296/T445, "NA")</f>
        <v>1.5485206824549378E-2</v>
      </c>
      <c r="V296" s="2"/>
      <c r="W296" s="14">
        <f t="shared" si="74"/>
        <v>-1601.6000000000022</v>
      </c>
      <c r="X296" s="15">
        <f>IFERROR(W296/W445, "NA")</f>
        <v>2.3949083673905518E-2</v>
      </c>
      <c r="Y296" s="2"/>
      <c r="Z296" s="14">
        <f>IFERROR(Z287+Z288+Z289+Z290+Z291+Z292+Z293+Z294+Z295, "NA")</f>
        <v>4992.24</v>
      </c>
      <c r="AA296" s="15">
        <f>IFERROR(Z296/Z445, "NA")</f>
        <v>8.9826078837703539E-3</v>
      </c>
      <c r="AB296" s="2"/>
      <c r="AC296" s="14">
        <f t="shared" si="75"/>
        <v>-5817.2700000000023</v>
      </c>
      <c r="AD296" s="15">
        <f>IFERROR(AC296/AC445, "NA")</f>
        <v>0.20763861920480681</v>
      </c>
    </row>
    <row r="297" spans="1:30" ht="16.5" customHeight="1" x14ac:dyDescent="0.45">
      <c r="A297" s="5" t="s">
        <v>270</v>
      </c>
      <c r="B297" s="2"/>
      <c r="C297" s="3"/>
      <c r="D297" s="4"/>
      <c r="E297" s="2"/>
      <c r="F297" s="3"/>
      <c r="G297" s="4"/>
      <c r="H297" s="2"/>
      <c r="I297" s="3"/>
      <c r="J297" s="4"/>
      <c r="K297" s="2"/>
      <c r="L297" s="3"/>
      <c r="M297" s="4"/>
      <c r="N297" s="2"/>
      <c r="O297" s="3"/>
      <c r="P297" s="4"/>
      <c r="Q297" s="2"/>
      <c r="R297" s="3"/>
      <c r="S297" s="4"/>
      <c r="T297" s="2"/>
      <c r="U297" s="3"/>
      <c r="V297" s="4"/>
      <c r="W297" s="2"/>
      <c r="X297" s="3"/>
      <c r="Y297" s="4"/>
      <c r="Z297" s="2"/>
      <c r="AA297" s="3"/>
      <c r="AB297" s="4"/>
      <c r="AC297" s="2"/>
      <c r="AD297" s="3"/>
    </row>
    <row r="298" spans="1:30" ht="16.5" hidden="1" customHeight="1" x14ac:dyDescent="0.45">
      <c r="A298" s="6" t="s">
        <v>270</v>
      </c>
      <c r="B298" s="7">
        <v>0</v>
      </c>
      <c r="C298" s="8">
        <f>IFERROR(B298/B445, "NA")</f>
        <v>0</v>
      </c>
      <c r="D298" s="9"/>
      <c r="E298" s="7">
        <v>0</v>
      </c>
      <c r="F298" s="8">
        <f>IFERROR(E298/E445, "NA")</f>
        <v>0</v>
      </c>
      <c r="G298" s="9"/>
      <c r="H298" s="10">
        <f t="shared" ref="H298:H326" si="76">IFERROR(-(B298-E298), "NA")</f>
        <v>0</v>
      </c>
      <c r="I298" s="8">
        <f>IFERROR(H298/H445, "NA")</f>
        <v>0</v>
      </c>
      <c r="J298" s="9"/>
      <c r="K298" s="7">
        <v>0</v>
      </c>
      <c r="L298" s="8">
        <f>IFERROR(K298/K445, "NA")</f>
        <v>0</v>
      </c>
      <c r="M298" s="9"/>
      <c r="N298" s="10">
        <f t="shared" ref="N298:N326" si="77">IFERROR(-(B298-K298), "NA")</f>
        <v>0</v>
      </c>
      <c r="O298" s="8">
        <f>IFERROR(N298/N445, "NA")</f>
        <v>0</v>
      </c>
      <c r="P298" s="9"/>
      <c r="Q298" s="7">
        <v>0</v>
      </c>
      <c r="R298" s="8">
        <f>IFERROR(Q298/Q445, "NA")</f>
        <v>0</v>
      </c>
      <c r="S298" s="9"/>
      <c r="T298" s="7">
        <v>0</v>
      </c>
      <c r="U298" s="8">
        <f>IFERROR(T298/T445, "NA")</f>
        <v>0</v>
      </c>
      <c r="V298" s="9"/>
      <c r="W298" s="10">
        <f t="shared" ref="W298:W326" si="78">IFERROR(-(Q298-T298), "NA")</f>
        <v>0</v>
      </c>
      <c r="X298" s="8">
        <f>IFERROR(W298/W445, "NA")</f>
        <v>0</v>
      </c>
      <c r="Y298" s="9"/>
      <c r="Z298" s="7">
        <v>0</v>
      </c>
      <c r="AA298" s="8">
        <f>IFERROR(Z298/Z445, "NA")</f>
        <v>0</v>
      </c>
      <c r="AB298" s="9"/>
      <c r="AC298" s="10">
        <f t="shared" ref="AC298:AC326" si="79">IFERROR(-(Q298-Z298), "NA")</f>
        <v>0</v>
      </c>
      <c r="AD298" s="8">
        <f>IFERROR(AC298/AC445,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IFERROR(B299/B445, "NA")</f>
        <v>0</v>
      </c>
      <c r="D299" s="9"/>
      <c r="E299" s="7">
        <v>0</v>
      </c>
      <c r="F299" s="8">
        <f>IFERROR(E299/E445, "NA")</f>
        <v>0</v>
      </c>
      <c r="G299" s="9"/>
      <c r="H299" s="10">
        <f t="shared" si="76"/>
        <v>0</v>
      </c>
      <c r="I299" s="8">
        <f>IFERROR(H299/H445, "NA")</f>
        <v>0</v>
      </c>
      <c r="J299" s="9"/>
      <c r="K299" s="7">
        <v>0</v>
      </c>
      <c r="L299" s="8">
        <f>IFERROR(K299/K445, "NA")</f>
        <v>0</v>
      </c>
      <c r="M299" s="9"/>
      <c r="N299" s="10">
        <f t="shared" si="77"/>
        <v>0</v>
      </c>
      <c r="O299" s="8">
        <f>IFERROR(N299/N445, "NA")</f>
        <v>0</v>
      </c>
      <c r="P299" s="9"/>
      <c r="Q299" s="7">
        <v>0</v>
      </c>
      <c r="R299" s="8">
        <f>IFERROR(Q299/Q445, "NA")</f>
        <v>0</v>
      </c>
      <c r="S299" s="9"/>
      <c r="T299" s="7">
        <v>0</v>
      </c>
      <c r="U299" s="8">
        <f>IFERROR(T299/T445, "NA")</f>
        <v>0</v>
      </c>
      <c r="V299" s="9"/>
      <c r="W299" s="10">
        <f t="shared" si="78"/>
        <v>0</v>
      </c>
      <c r="X299" s="8">
        <f>IFERROR(W299/W445, "NA")</f>
        <v>0</v>
      </c>
      <c r="Y299" s="9"/>
      <c r="Z299" s="7">
        <v>0</v>
      </c>
      <c r="AA299" s="8">
        <f>IFERROR(Z299/Z445, "NA")</f>
        <v>0</v>
      </c>
      <c r="AB299" s="9"/>
      <c r="AC299" s="10">
        <f t="shared" si="79"/>
        <v>0</v>
      </c>
      <c r="AD299" s="8">
        <f>IFERROR(AC299/AC445, "NA")</f>
        <v>0</v>
      </c>
    </row>
    <row r="300" spans="1:30" ht="16.5" customHeight="1" x14ac:dyDescent="0.45">
      <c r="A300" s="6" t="s">
        <v>272</v>
      </c>
      <c r="B300" s="7">
        <v>490.04</v>
      </c>
      <c r="C300" s="8">
        <f>IFERROR(B300/B445, "NA")</f>
        <v>4.219997919452499E-3</v>
      </c>
      <c r="D300" s="9"/>
      <c r="E300" s="7">
        <v>469</v>
      </c>
      <c r="F300" s="8">
        <f>IFERROR(E300/E445, "NA")</f>
        <v>3.7392980532289476E-3</v>
      </c>
      <c r="G300" s="9"/>
      <c r="H300" s="10">
        <f t="shared" si="76"/>
        <v>-21.04000000000002</v>
      </c>
      <c r="I300" s="8">
        <f>IFERROR(H300/H445, "NA")</f>
        <v>2.2620420950552251E-3</v>
      </c>
      <c r="J300" s="9"/>
      <c r="K300" s="7">
        <v>271.89</v>
      </c>
      <c r="L300" s="8">
        <f>IFERROR(K300/K445, "NA")</f>
        <v>2.3639381406190632E-3</v>
      </c>
      <c r="M300" s="9"/>
      <c r="N300" s="10">
        <f t="shared" si="77"/>
        <v>-218.15000000000003</v>
      </c>
      <c r="O300" s="8">
        <f>IFERROR(N300/N445, "NA")</f>
        <v>-0.19696094187327298</v>
      </c>
      <c r="P300" s="9"/>
      <c r="Q300" s="7">
        <v>2409.67</v>
      </c>
      <c r="R300" s="8">
        <f>IFERROR(Q300/Q445, "NA")</f>
        <v>4.565922100272248E-3</v>
      </c>
      <c r="S300" s="9"/>
      <c r="T300" s="7">
        <v>2345</v>
      </c>
      <c r="U300" s="8">
        <f>IFERROR(T300/T445, "NA")</f>
        <v>3.9436538805840077E-3</v>
      </c>
      <c r="V300" s="9"/>
      <c r="W300" s="10">
        <f t="shared" si="78"/>
        <v>-64.670000000000073</v>
      </c>
      <c r="X300" s="8">
        <f>IFERROR(W300/W445, "NA")</f>
        <v>9.670250007439245E-4</v>
      </c>
      <c r="Y300" s="9"/>
      <c r="Z300" s="7">
        <v>2137.12</v>
      </c>
      <c r="AA300" s="8">
        <f>IFERROR(Z300/Z445, "NA")</f>
        <v>3.8453501755851679E-3</v>
      </c>
      <c r="AB300" s="9"/>
      <c r="AC300" s="10">
        <f t="shared" si="79"/>
        <v>-272.55000000000018</v>
      </c>
      <c r="AD300" s="8">
        <f>IFERROR(AC300/AC445, "NA")</f>
        <v>9.7282583865404403E-3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IFERROR(B301/B445, "NA")</f>
        <v>0</v>
      </c>
      <c r="D301" s="9"/>
      <c r="E301" s="7">
        <v>0</v>
      </c>
      <c r="F301" s="8">
        <f>IFERROR(E301/E445, "NA")</f>
        <v>0</v>
      </c>
      <c r="G301" s="9"/>
      <c r="H301" s="10">
        <f t="shared" si="76"/>
        <v>0</v>
      </c>
      <c r="I301" s="8">
        <f>IFERROR(H301/H445, "NA")</f>
        <v>0</v>
      </c>
      <c r="J301" s="9"/>
      <c r="K301" s="7">
        <v>0</v>
      </c>
      <c r="L301" s="8">
        <f>IFERROR(K301/K445, "NA")</f>
        <v>0</v>
      </c>
      <c r="M301" s="9"/>
      <c r="N301" s="10">
        <f t="shared" si="77"/>
        <v>0</v>
      </c>
      <c r="O301" s="8">
        <f>IFERROR(N301/N445, "NA")</f>
        <v>0</v>
      </c>
      <c r="P301" s="9"/>
      <c r="Q301" s="7">
        <v>0</v>
      </c>
      <c r="R301" s="8">
        <f>IFERROR(Q301/Q445, "NA")</f>
        <v>0</v>
      </c>
      <c r="S301" s="9"/>
      <c r="T301" s="7">
        <v>0</v>
      </c>
      <c r="U301" s="8">
        <f>IFERROR(T301/T445, "NA")</f>
        <v>0</v>
      </c>
      <c r="V301" s="9"/>
      <c r="W301" s="10">
        <f t="shared" si="78"/>
        <v>0</v>
      </c>
      <c r="X301" s="8">
        <f>IFERROR(W301/W445, "NA")</f>
        <v>0</v>
      </c>
      <c r="Y301" s="9"/>
      <c r="Z301" s="7">
        <v>0</v>
      </c>
      <c r="AA301" s="8">
        <f>IFERROR(Z301/Z445, "NA")</f>
        <v>0</v>
      </c>
      <c r="AB301" s="9"/>
      <c r="AC301" s="10">
        <f t="shared" si="79"/>
        <v>0</v>
      </c>
      <c r="AD301" s="8">
        <f>IFERROR(AC301/AC445,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IFERROR(B302/B445, "NA")</f>
        <v>0</v>
      </c>
      <c r="D302" s="9"/>
      <c r="E302" s="7">
        <v>0</v>
      </c>
      <c r="F302" s="8">
        <f>IFERROR(E302/E445, "NA")</f>
        <v>0</v>
      </c>
      <c r="G302" s="9"/>
      <c r="H302" s="10">
        <f t="shared" si="76"/>
        <v>0</v>
      </c>
      <c r="I302" s="8">
        <f>IFERROR(H302/H445, "NA")</f>
        <v>0</v>
      </c>
      <c r="J302" s="9"/>
      <c r="K302" s="7">
        <v>0</v>
      </c>
      <c r="L302" s="8">
        <f>IFERROR(K302/K445, "NA")</f>
        <v>0</v>
      </c>
      <c r="M302" s="9"/>
      <c r="N302" s="10">
        <f t="shared" si="77"/>
        <v>0</v>
      </c>
      <c r="O302" s="8">
        <f>IFERROR(N302/N445, "NA")</f>
        <v>0</v>
      </c>
      <c r="P302" s="9"/>
      <c r="Q302" s="7">
        <v>0</v>
      </c>
      <c r="R302" s="8">
        <f>IFERROR(Q302/Q445, "NA")</f>
        <v>0</v>
      </c>
      <c r="S302" s="9"/>
      <c r="T302" s="7">
        <v>0</v>
      </c>
      <c r="U302" s="8">
        <f>IFERROR(T302/T445, "NA")</f>
        <v>0</v>
      </c>
      <c r="V302" s="9"/>
      <c r="W302" s="10">
        <f t="shared" si="78"/>
        <v>0</v>
      </c>
      <c r="X302" s="8">
        <f>IFERROR(W302/W445, "NA")</f>
        <v>0</v>
      </c>
      <c r="Y302" s="9"/>
      <c r="Z302" s="7">
        <v>0</v>
      </c>
      <c r="AA302" s="8">
        <f>IFERROR(Z302/Z445, "NA")</f>
        <v>0</v>
      </c>
      <c r="AB302" s="9"/>
      <c r="AC302" s="10">
        <f t="shared" si="79"/>
        <v>0</v>
      </c>
      <c r="AD302" s="8">
        <f>IFERROR(AC302/AC445,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IFERROR(B303/B445, "NA")</f>
        <v>0</v>
      </c>
      <c r="D303" s="9"/>
      <c r="E303" s="7">
        <v>0</v>
      </c>
      <c r="F303" s="8">
        <f>IFERROR(E303/E445, "NA")</f>
        <v>0</v>
      </c>
      <c r="G303" s="9"/>
      <c r="H303" s="10">
        <f t="shared" si="76"/>
        <v>0</v>
      </c>
      <c r="I303" s="8">
        <f>IFERROR(H303/H445, "NA")</f>
        <v>0</v>
      </c>
      <c r="J303" s="9"/>
      <c r="K303" s="7">
        <v>0</v>
      </c>
      <c r="L303" s="8">
        <f>IFERROR(K303/K445, "NA")</f>
        <v>0</v>
      </c>
      <c r="M303" s="9"/>
      <c r="N303" s="10">
        <f t="shared" si="77"/>
        <v>0</v>
      </c>
      <c r="O303" s="8">
        <f>IFERROR(N303/N445, "NA")</f>
        <v>0</v>
      </c>
      <c r="P303" s="9"/>
      <c r="Q303" s="7">
        <v>0</v>
      </c>
      <c r="R303" s="8">
        <f>IFERROR(Q303/Q445, "NA")</f>
        <v>0</v>
      </c>
      <c r="S303" s="9"/>
      <c r="T303" s="7">
        <v>0</v>
      </c>
      <c r="U303" s="8">
        <f>IFERROR(T303/T445, "NA")</f>
        <v>0</v>
      </c>
      <c r="V303" s="9"/>
      <c r="W303" s="10">
        <f t="shared" si="78"/>
        <v>0</v>
      </c>
      <c r="X303" s="8">
        <f>IFERROR(W303/W445, "NA")</f>
        <v>0</v>
      </c>
      <c r="Y303" s="9"/>
      <c r="Z303" s="7">
        <v>0</v>
      </c>
      <c r="AA303" s="8">
        <f>IFERROR(Z303/Z445, "NA")</f>
        <v>0</v>
      </c>
      <c r="AB303" s="9"/>
      <c r="AC303" s="10">
        <f t="shared" si="79"/>
        <v>0</v>
      </c>
      <c r="AD303" s="8">
        <f>IFERROR(AC303/AC445,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IFERROR(B304/B445, "NA")</f>
        <v>0</v>
      </c>
      <c r="D304" s="9"/>
      <c r="E304" s="7">
        <v>0</v>
      </c>
      <c r="F304" s="8">
        <f>IFERROR(E304/E445, "NA")</f>
        <v>0</v>
      </c>
      <c r="G304" s="9"/>
      <c r="H304" s="10">
        <f t="shared" si="76"/>
        <v>0</v>
      </c>
      <c r="I304" s="8">
        <f>IFERROR(H304/H445, "NA")</f>
        <v>0</v>
      </c>
      <c r="J304" s="9"/>
      <c r="K304" s="7">
        <v>0</v>
      </c>
      <c r="L304" s="8">
        <f>IFERROR(K304/K445, "NA")</f>
        <v>0</v>
      </c>
      <c r="M304" s="9"/>
      <c r="N304" s="10">
        <f t="shared" si="77"/>
        <v>0</v>
      </c>
      <c r="O304" s="8">
        <f>IFERROR(N304/N445, "NA")</f>
        <v>0</v>
      </c>
      <c r="P304" s="9"/>
      <c r="Q304" s="7">
        <v>0</v>
      </c>
      <c r="R304" s="8">
        <f>IFERROR(Q304/Q445, "NA")</f>
        <v>0</v>
      </c>
      <c r="S304" s="9"/>
      <c r="T304" s="7">
        <v>0</v>
      </c>
      <c r="U304" s="8">
        <f>IFERROR(T304/T445, "NA")</f>
        <v>0</v>
      </c>
      <c r="V304" s="9"/>
      <c r="W304" s="10">
        <f t="shared" si="78"/>
        <v>0</v>
      </c>
      <c r="X304" s="8">
        <f>IFERROR(W304/W445, "NA")</f>
        <v>0</v>
      </c>
      <c r="Y304" s="9"/>
      <c r="Z304" s="7">
        <v>0</v>
      </c>
      <c r="AA304" s="8">
        <f>IFERROR(Z304/Z445, "NA")</f>
        <v>0</v>
      </c>
      <c r="AB304" s="9"/>
      <c r="AC304" s="10">
        <f t="shared" si="79"/>
        <v>0</v>
      </c>
      <c r="AD304" s="8">
        <f>IFERROR(AC304/AC445, "NA")</f>
        <v>0</v>
      </c>
    </row>
    <row r="305" spans="1:30" ht="16.5" customHeight="1" x14ac:dyDescent="0.45">
      <c r="A305" s="6" t="s">
        <v>277</v>
      </c>
      <c r="B305" s="7">
        <v>25</v>
      </c>
      <c r="C305" s="8">
        <f>IFERROR(B305/B445, "NA")</f>
        <v>2.1528844173192491E-4</v>
      </c>
      <c r="D305" s="9"/>
      <c r="E305" s="7">
        <v>0</v>
      </c>
      <c r="F305" s="8">
        <f>IFERROR(E305/E445, "NA")</f>
        <v>0</v>
      </c>
      <c r="G305" s="9"/>
      <c r="H305" s="10">
        <f t="shared" si="76"/>
        <v>-25</v>
      </c>
      <c r="I305" s="8">
        <f>IFERROR(H305/H445, "NA")</f>
        <v>2.6877876604743619E-3</v>
      </c>
      <c r="J305" s="9"/>
      <c r="K305" s="7">
        <v>0</v>
      </c>
      <c r="L305" s="8">
        <f>IFERROR(K305/K445, "NA")</f>
        <v>0</v>
      </c>
      <c r="M305" s="9"/>
      <c r="N305" s="10">
        <f t="shared" si="77"/>
        <v>-25</v>
      </c>
      <c r="O305" s="8">
        <f>IFERROR(N305/N445, "NA")</f>
        <v>-2.2571732967370268E-2</v>
      </c>
      <c r="P305" s="9"/>
      <c r="Q305" s="7">
        <v>291.68</v>
      </c>
      <c r="R305" s="8">
        <f>IFERROR(Q305/Q445, "NA")</f>
        <v>5.5268487311848063E-4</v>
      </c>
      <c r="S305" s="9"/>
      <c r="T305" s="7">
        <v>0</v>
      </c>
      <c r="U305" s="8">
        <f>IFERROR(T305/T445, "NA")</f>
        <v>0</v>
      </c>
      <c r="V305" s="9"/>
      <c r="W305" s="10">
        <f t="shared" si="78"/>
        <v>-291.68</v>
      </c>
      <c r="X305" s="8">
        <f>IFERROR(W305/W445, "NA")</f>
        <v>4.3615563973556145E-3</v>
      </c>
      <c r="Y305" s="9"/>
      <c r="Z305" s="7">
        <v>0</v>
      </c>
      <c r="AA305" s="8">
        <f>IFERROR(Z305/Z445, "NA")</f>
        <v>0</v>
      </c>
      <c r="AB305" s="9"/>
      <c r="AC305" s="10">
        <f t="shared" si="79"/>
        <v>-291.68</v>
      </c>
      <c r="AD305" s="8">
        <f>IFERROR(AC305/AC445, "NA")</f>
        <v>1.0411074687896217E-2</v>
      </c>
    </row>
    <row r="306" spans="1:30" ht="16.5" customHeight="1" x14ac:dyDescent="0.45">
      <c r="A306" s="6" t="s">
        <v>278</v>
      </c>
      <c r="B306" s="7">
        <v>146.91</v>
      </c>
      <c r="C306" s="8">
        <f>IFERROR(B306/B445, "NA")</f>
        <v>1.2651209989934834E-3</v>
      </c>
      <c r="D306" s="9"/>
      <c r="E306" s="7">
        <v>0</v>
      </c>
      <c r="F306" s="8">
        <f>IFERROR(E306/E445, "NA")</f>
        <v>0</v>
      </c>
      <c r="G306" s="9"/>
      <c r="H306" s="10">
        <f t="shared" si="76"/>
        <v>-146.91</v>
      </c>
      <c r="I306" s="8">
        <f>IFERROR(H306/H445, "NA")</f>
        <v>1.579451540801154E-2</v>
      </c>
      <c r="J306" s="9"/>
      <c r="K306" s="7">
        <v>0</v>
      </c>
      <c r="L306" s="8">
        <f>IFERROR(K306/K445, "NA")</f>
        <v>0</v>
      </c>
      <c r="M306" s="9"/>
      <c r="N306" s="10">
        <f t="shared" si="77"/>
        <v>-146.91</v>
      </c>
      <c r="O306" s="8">
        <f>IFERROR(N306/N445, "NA")</f>
        <v>-0.13264053160945463</v>
      </c>
      <c r="P306" s="9"/>
      <c r="Q306" s="7">
        <v>307.10000000000002</v>
      </c>
      <c r="R306" s="8">
        <f>IFERROR(Q306/Q445, "NA")</f>
        <v>5.8190319711562465E-4</v>
      </c>
      <c r="S306" s="9"/>
      <c r="T306" s="7">
        <v>0</v>
      </c>
      <c r="U306" s="8">
        <f>IFERROR(T306/T445, "NA")</f>
        <v>0</v>
      </c>
      <c r="V306" s="9"/>
      <c r="W306" s="10">
        <f t="shared" si="78"/>
        <v>-307.10000000000002</v>
      </c>
      <c r="X306" s="8">
        <f>IFERROR(W306/W445, "NA")</f>
        <v>4.5921351125476871E-3</v>
      </c>
      <c r="Y306" s="9"/>
      <c r="Z306" s="7">
        <v>0</v>
      </c>
      <c r="AA306" s="8">
        <f>IFERROR(Z306/Z445, "NA")</f>
        <v>0</v>
      </c>
      <c r="AB306" s="9"/>
      <c r="AC306" s="10">
        <f t="shared" si="79"/>
        <v>-307.10000000000002</v>
      </c>
      <c r="AD306" s="8">
        <f>IFERROR(AC306/AC445, "NA")</f>
        <v>1.0961468172836424E-2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IFERROR(B307/B445, "NA")</f>
        <v>0</v>
      </c>
      <c r="D307" s="9"/>
      <c r="E307" s="7">
        <v>0</v>
      </c>
      <c r="F307" s="8">
        <f>IFERROR(E307/E445, "NA")</f>
        <v>0</v>
      </c>
      <c r="G307" s="9"/>
      <c r="H307" s="10">
        <f t="shared" si="76"/>
        <v>0</v>
      </c>
      <c r="I307" s="8">
        <f>IFERROR(H307/H445, "NA")</f>
        <v>0</v>
      </c>
      <c r="J307" s="9"/>
      <c r="K307" s="7">
        <v>0</v>
      </c>
      <c r="L307" s="8">
        <f>IFERROR(K307/K445, "NA")</f>
        <v>0</v>
      </c>
      <c r="M307" s="9"/>
      <c r="N307" s="10">
        <f t="shared" si="77"/>
        <v>0</v>
      </c>
      <c r="O307" s="8">
        <f>IFERROR(N307/N445, "NA")</f>
        <v>0</v>
      </c>
      <c r="P307" s="9"/>
      <c r="Q307" s="7">
        <v>0</v>
      </c>
      <c r="R307" s="8">
        <f>IFERROR(Q307/Q445, "NA")</f>
        <v>0</v>
      </c>
      <c r="S307" s="9"/>
      <c r="T307" s="7">
        <v>0</v>
      </c>
      <c r="U307" s="8">
        <f>IFERROR(T307/T445, "NA")</f>
        <v>0</v>
      </c>
      <c r="V307" s="9"/>
      <c r="W307" s="10">
        <f t="shared" si="78"/>
        <v>0</v>
      </c>
      <c r="X307" s="8">
        <f>IFERROR(W307/W445, "NA")</f>
        <v>0</v>
      </c>
      <c r="Y307" s="9"/>
      <c r="Z307" s="7">
        <v>0</v>
      </c>
      <c r="AA307" s="8">
        <f>IFERROR(Z307/Z445, "NA")</f>
        <v>0</v>
      </c>
      <c r="AB307" s="9"/>
      <c r="AC307" s="10">
        <f t="shared" si="79"/>
        <v>0</v>
      </c>
      <c r="AD307" s="8">
        <f>IFERROR(AC307/AC445,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IFERROR(B308/B445, "NA")</f>
        <v>0</v>
      </c>
      <c r="D308" s="9"/>
      <c r="E308" s="7">
        <v>0</v>
      </c>
      <c r="F308" s="8">
        <f>IFERROR(E308/E445, "NA")</f>
        <v>0</v>
      </c>
      <c r="G308" s="9"/>
      <c r="H308" s="10">
        <f t="shared" si="76"/>
        <v>0</v>
      </c>
      <c r="I308" s="8">
        <f>IFERROR(H308/H445, "NA")</f>
        <v>0</v>
      </c>
      <c r="J308" s="9"/>
      <c r="K308" s="7">
        <v>0</v>
      </c>
      <c r="L308" s="8">
        <f>IFERROR(K308/K445, "NA")</f>
        <v>0</v>
      </c>
      <c r="M308" s="9"/>
      <c r="N308" s="10">
        <f t="shared" si="77"/>
        <v>0</v>
      </c>
      <c r="O308" s="8">
        <f>IFERROR(N308/N445, "NA")</f>
        <v>0</v>
      </c>
      <c r="P308" s="9"/>
      <c r="Q308" s="7">
        <v>0</v>
      </c>
      <c r="R308" s="8">
        <f>IFERROR(Q308/Q445, "NA")</f>
        <v>0</v>
      </c>
      <c r="S308" s="9"/>
      <c r="T308" s="7">
        <v>0</v>
      </c>
      <c r="U308" s="8">
        <f>IFERROR(T308/T445, "NA")</f>
        <v>0</v>
      </c>
      <c r="V308" s="9"/>
      <c r="W308" s="10">
        <f t="shared" si="78"/>
        <v>0</v>
      </c>
      <c r="X308" s="8">
        <f>IFERROR(W308/W445, "NA")</f>
        <v>0</v>
      </c>
      <c r="Y308" s="9"/>
      <c r="Z308" s="7">
        <v>0</v>
      </c>
      <c r="AA308" s="8">
        <f>IFERROR(Z308/Z445, "NA")</f>
        <v>0</v>
      </c>
      <c r="AB308" s="9"/>
      <c r="AC308" s="10">
        <f t="shared" si="79"/>
        <v>0</v>
      </c>
      <c r="AD308" s="8">
        <f>IFERROR(AC308/AC445,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IFERROR(B309/B445, "NA")</f>
        <v>0</v>
      </c>
      <c r="D309" s="9"/>
      <c r="E309" s="7">
        <v>0</v>
      </c>
      <c r="F309" s="8">
        <f>IFERROR(E309/E445, "NA")</f>
        <v>0</v>
      </c>
      <c r="G309" s="9"/>
      <c r="H309" s="10">
        <f t="shared" si="76"/>
        <v>0</v>
      </c>
      <c r="I309" s="8">
        <f>IFERROR(H309/H445, "NA")</f>
        <v>0</v>
      </c>
      <c r="J309" s="9"/>
      <c r="K309" s="7">
        <v>0</v>
      </c>
      <c r="L309" s="8">
        <f>IFERROR(K309/K445, "NA")</f>
        <v>0</v>
      </c>
      <c r="M309" s="9"/>
      <c r="N309" s="10">
        <f t="shared" si="77"/>
        <v>0</v>
      </c>
      <c r="O309" s="8">
        <f>IFERROR(N309/N445, "NA")</f>
        <v>0</v>
      </c>
      <c r="P309" s="9"/>
      <c r="Q309" s="7">
        <v>0</v>
      </c>
      <c r="R309" s="8">
        <f>IFERROR(Q309/Q445, "NA")</f>
        <v>0</v>
      </c>
      <c r="S309" s="9"/>
      <c r="T309" s="7">
        <v>0</v>
      </c>
      <c r="U309" s="8">
        <f>IFERROR(T309/T445, "NA")</f>
        <v>0</v>
      </c>
      <c r="V309" s="9"/>
      <c r="W309" s="10">
        <f t="shared" si="78"/>
        <v>0</v>
      </c>
      <c r="X309" s="8">
        <f>IFERROR(W309/W445, "NA")</f>
        <v>0</v>
      </c>
      <c r="Y309" s="9"/>
      <c r="Z309" s="7">
        <v>0</v>
      </c>
      <c r="AA309" s="8">
        <f>IFERROR(Z309/Z445, "NA")</f>
        <v>0</v>
      </c>
      <c r="AB309" s="9"/>
      <c r="AC309" s="10">
        <f t="shared" si="79"/>
        <v>0</v>
      </c>
      <c r="AD309" s="8">
        <f>IFERROR(AC309/AC445, "NA")</f>
        <v>0</v>
      </c>
    </row>
    <row r="310" spans="1:30" ht="16.5" hidden="1" customHeight="1" x14ac:dyDescent="0.45">
      <c r="A310" s="6" t="s">
        <v>282</v>
      </c>
      <c r="B310" s="7">
        <v>0</v>
      </c>
      <c r="C310" s="8">
        <f>IFERROR(B310/B445, "NA")</f>
        <v>0</v>
      </c>
      <c r="D310" s="9"/>
      <c r="E310" s="7">
        <v>0</v>
      </c>
      <c r="F310" s="8">
        <f>IFERROR(E310/E445, "NA")</f>
        <v>0</v>
      </c>
      <c r="G310" s="9"/>
      <c r="H310" s="10">
        <f t="shared" si="76"/>
        <v>0</v>
      </c>
      <c r="I310" s="8">
        <f>IFERROR(H310/H445, "NA")</f>
        <v>0</v>
      </c>
      <c r="J310" s="9"/>
      <c r="K310" s="7">
        <v>0</v>
      </c>
      <c r="L310" s="8">
        <f>IFERROR(K310/K445, "NA")</f>
        <v>0</v>
      </c>
      <c r="M310" s="9"/>
      <c r="N310" s="10">
        <f t="shared" si="77"/>
        <v>0</v>
      </c>
      <c r="O310" s="8">
        <f>IFERROR(N310/N445, "NA")</f>
        <v>0</v>
      </c>
      <c r="P310" s="9"/>
      <c r="Q310" s="7">
        <v>0</v>
      </c>
      <c r="R310" s="8">
        <f>IFERROR(Q310/Q445, "NA")</f>
        <v>0</v>
      </c>
      <c r="S310" s="9"/>
      <c r="T310" s="7">
        <v>0</v>
      </c>
      <c r="U310" s="8">
        <f>IFERROR(T310/T445, "NA")</f>
        <v>0</v>
      </c>
      <c r="V310" s="9"/>
      <c r="W310" s="10">
        <f t="shared" si="78"/>
        <v>0</v>
      </c>
      <c r="X310" s="8">
        <f>IFERROR(W310/W445, "NA")</f>
        <v>0</v>
      </c>
      <c r="Y310" s="9"/>
      <c r="Z310" s="7">
        <v>0</v>
      </c>
      <c r="AA310" s="8">
        <f>IFERROR(Z310/Z445, "NA")</f>
        <v>0</v>
      </c>
      <c r="AB310" s="9"/>
      <c r="AC310" s="10">
        <f t="shared" si="79"/>
        <v>0</v>
      </c>
      <c r="AD310" s="8">
        <f>IFERROR(AC310/AC445, "NA")</f>
        <v>0</v>
      </c>
    </row>
    <row r="311" spans="1:30" ht="16.5" customHeight="1" x14ac:dyDescent="0.45">
      <c r="A311" s="6" t="s">
        <v>283</v>
      </c>
      <c r="B311" s="7">
        <v>64.510000000000005</v>
      </c>
      <c r="C311" s="8">
        <f>IFERROR(B311/B445, "NA")</f>
        <v>5.5553029504505907E-4</v>
      </c>
      <c r="D311" s="9"/>
      <c r="E311" s="7">
        <v>55</v>
      </c>
      <c r="F311" s="8">
        <f>IFERROR(E311/E445, "NA")</f>
        <v>4.3851043268143308E-4</v>
      </c>
      <c r="G311" s="9"/>
      <c r="H311" s="10">
        <f t="shared" si="76"/>
        <v>-9.5100000000000051</v>
      </c>
      <c r="I311" s="8">
        <f>IFERROR(H311/H445, "NA")</f>
        <v>1.0224344260444478E-3</v>
      </c>
      <c r="J311" s="9"/>
      <c r="K311" s="7">
        <v>0</v>
      </c>
      <c r="L311" s="8">
        <f>IFERROR(K311/K445, "NA")</f>
        <v>0</v>
      </c>
      <c r="M311" s="9"/>
      <c r="N311" s="10">
        <f t="shared" si="77"/>
        <v>-64.510000000000005</v>
      </c>
      <c r="O311" s="8">
        <f>IFERROR(N311/N445, "NA")</f>
        <v>-5.8244099749002243E-2</v>
      </c>
      <c r="P311" s="9"/>
      <c r="Q311" s="7">
        <v>177.95</v>
      </c>
      <c r="R311" s="8">
        <f>IFERROR(Q311/Q445, "NA")</f>
        <v>3.3718552239246305E-4</v>
      </c>
      <c r="S311" s="9"/>
      <c r="T311" s="7">
        <v>275</v>
      </c>
      <c r="U311" s="8">
        <f>IFERROR(T311/T445, "NA")</f>
        <v>4.6247540177424403E-4</v>
      </c>
      <c r="V311" s="9"/>
      <c r="W311" s="10">
        <f t="shared" si="78"/>
        <v>97.050000000000011</v>
      </c>
      <c r="X311" s="8">
        <f>IFERROR(W311/W445, "NA")</f>
        <v>-1.4512103961991307E-3</v>
      </c>
      <c r="Y311" s="9"/>
      <c r="Z311" s="7">
        <v>15.9</v>
      </c>
      <c r="AA311" s="8">
        <f>IFERROR(Z311/Z445, "NA")</f>
        <v>2.8609094384875055E-5</v>
      </c>
      <c r="AB311" s="9"/>
      <c r="AC311" s="10">
        <f t="shared" si="79"/>
        <v>-162.04999999999998</v>
      </c>
      <c r="AD311" s="8">
        <f>IFERROR(AC311/AC445, "NA")</f>
        <v>5.7841286792840842E-3</v>
      </c>
    </row>
    <row r="312" spans="1:30" ht="16.5" customHeight="1" x14ac:dyDescent="0.45">
      <c r="A312" s="6" t="s">
        <v>284</v>
      </c>
      <c r="B312" s="7">
        <v>0</v>
      </c>
      <c r="C312" s="8">
        <f>IFERROR(B312/B445, "NA")</f>
        <v>0</v>
      </c>
      <c r="D312" s="9"/>
      <c r="E312" s="7">
        <v>0</v>
      </c>
      <c r="F312" s="8">
        <f>IFERROR(E312/E445, "NA")</f>
        <v>0</v>
      </c>
      <c r="G312" s="9"/>
      <c r="H312" s="10">
        <f t="shared" si="76"/>
        <v>0</v>
      </c>
      <c r="I312" s="8">
        <f>IFERROR(H312/H445, "NA")</f>
        <v>0</v>
      </c>
      <c r="J312" s="9"/>
      <c r="K312" s="7">
        <v>0</v>
      </c>
      <c r="L312" s="8">
        <f>IFERROR(K312/K445, "NA")</f>
        <v>0</v>
      </c>
      <c r="M312" s="9"/>
      <c r="N312" s="10">
        <f t="shared" si="77"/>
        <v>0</v>
      </c>
      <c r="O312" s="8">
        <f>IFERROR(N312/N445, "NA")</f>
        <v>0</v>
      </c>
      <c r="P312" s="9"/>
      <c r="Q312" s="7">
        <v>0</v>
      </c>
      <c r="R312" s="8">
        <f>IFERROR(Q312/Q445, "NA")</f>
        <v>0</v>
      </c>
      <c r="S312" s="9"/>
      <c r="T312" s="7">
        <v>0</v>
      </c>
      <c r="U312" s="8">
        <f>IFERROR(T312/T445, "NA")</f>
        <v>0</v>
      </c>
      <c r="V312" s="9"/>
      <c r="W312" s="10">
        <f t="shared" si="78"/>
        <v>0</v>
      </c>
      <c r="X312" s="8">
        <f>IFERROR(W312/W445, "NA")</f>
        <v>0</v>
      </c>
      <c r="Y312" s="9"/>
      <c r="Z312" s="7">
        <v>26.7</v>
      </c>
      <c r="AA312" s="8">
        <f>IFERROR(Z312/Z445, "NA")</f>
        <v>4.8041686797243015E-5</v>
      </c>
      <c r="AB312" s="9"/>
      <c r="AC312" s="10">
        <f t="shared" si="79"/>
        <v>26.7</v>
      </c>
      <c r="AD312" s="8">
        <f>IFERROR(AC312/AC445, "NA")</f>
        <v>-9.5301595641397762E-4</v>
      </c>
    </row>
    <row r="313" spans="1:30" ht="16.5" customHeight="1" x14ac:dyDescent="0.45">
      <c r="A313" s="6" t="s">
        <v>285</v>
      </c>
      <c r="B313" s="7">
        <v>1058.8</v>
      </c>
      <c r="C313" s="8">
        <f>IFERROR(B313/B445, "NA")</f>
        <v>9.1178960842304823E-3</v>
      </c>
      <c r="D313" s="9"/>
      <c r="E313" s="7">
        <v>35</v>
      </c>
      <c r="F313" s="8">
        <f>IFERROR(E313/E445, "NA")</f>
        <v>2.7905209352454831E-4</v>
      </c>
      <c r="G313" s="9"/>
      <c r="H313" s="10">
        <f t="shared" si="76"/>
        <v>-1023.8</v>
      </c>
      <c r="I313" s="8">
        <f>IFERROR(H313/H445, "NA")</f>
        <v>0.11007028027174606</v>
      </c>
      <c r="J313" s="9"/>
      <c r="K313" s="7">
        <v>380.12</v>
      </c>
      <c r="L313" s="8">
        <f>IFERROR(K313/K445, "NA")</f>
        <v>3.304940108176536E-3</v>
      </c>
      <c r="M313" s="9"/>
      <c r="N313" s="10">
        <f t="shared" si="77"/>
        <v>-678.68</v>
      </c>
      <c r="O313" s="8">
        <f>IFERROR(N313/N445, "NA")</f>
        <v>-0.61275934921179409</v>
      </c>
      <c r="P313" s="9"/>
      <c r="Q313" s="7">
        <v>2456.48</v>
      </c>
      <c r="R313" s="8">
        <f>IFERROR(Q313/Q445, "NA")</f>
        <v>4.6546192303829033E-3</v>
      </c>
      <c r="S313" s="9"/>
      <c r="T313" s="7">
        <v>175</v>
      </c>
      <c r="U313" s="8">
        <f>IFERROR(T313/T445, "NA")</f>
        <v>2.9430252840179164E-4</v>
      </c>
      <c r="V313" s="9"/>
      <c r="W313" s="10">
        <f t="shared" si="78"/>
        <v>-2281.48</v>
      </c>
      <c r="X313" s="8">
        <f>IFERROR(W313/W445, "NA")</f>
        <v>3.4115481656057621E-2</v>
      </c>
      <c r="Y313" s="9"/>
      <c r="Z313" s="7">
        <v>1931.61</v>
      </c>
      <c r="AA313" s="8">
        <f>IFERROR(Z313/Z445, "NA")</f>
        <v>3.4755731323753772E-3</v>
      </c>
      <c r="AB313" s="9"/>
      <c r="AC313" s="10">
        <f t="shared" si="79"/>
        <v>-524.87000000000012</v>
      </c>
      <c r="AD313" s="8">
        <f>IFERROR(AC313/AC445, "NA")</f>
        <v>1.8734437642060096E-2</v>
      </c>
    </row>
    <row r="314" spans="1:30" ht="16.5" customHeight="1" x14ac:dyDescent="0.45">
      <c r="A314" s="6" t="s">
        <v>286</v>
      </c>
      <c r="B314" s="7">
        <v>0</v>
      </c>
      <c r="C314" s="8">
        <f>IFERROR(B314/B445, "NA")</f>
        <v>0</v>
      </c>
      <c r="D314" s="9"/>
      <c r="E314" s="7">
        <v>10</v>
      </c>
      <c r="F314" s="8">
        <f>IFERROR(E314/E445, "NA")</f>
        <v>7.9729169578442375E-5</v>
      </c>
      <c r="G314" s="9"/>
      <c r="H314" s="10">
        <f t="shared" si="76"/>
        <v>10</v>
      </c>
      <c r="I314" s="8">
        <f>IFERROR(H314/H445, "NA")</f>
        <v>-1.0751150641897446E-3</v>
      </c>
      <c r="J314" s="9"/>
      <c r="K314" s="7">
        <v>19</v>
      </c>
      <c r="L314" s="8">
        <f>IFERROR(K314/K445, "NA")</f>
        <v>1.6519483861768437E-4</v>
      </c>
      <c r="M314" s="9"/>
      <c r="N314" s="10">
        <f t="shared" si="77"/>
        <v>19</v>
      </c>
      <c r="O314" s="8">
        <f>IFERROR(N314/N445, "NA")</f>
        <v>1.7154517055201404E-2</v>
      </c>
      <c r="P314" s="9"/>
      <c r="Q314" s="7">
        <v>10</v>
      </c>
      <c r="R314" s="8">
        <f>IFERROR(Q314/Q445, "NA")</f>
        <v>1.8948329440430629E-5</v>
      </c>
      <c r="S314" s="9"/>
      <c r="T314" s="7">
        <v>55</v>
      </c>
      <c r="U314" s="8">
        <f>IFERROR(T314/T445, "NA")</f>
        <v>9.2495080354848807E-5</v>
      </c>
      <c r="V314" s="9"/>
      <c r="W314" s="10">
        <f t="shared" si="78"/>
        <v>45</v>
      </c>
      <c r="X314" s="8">
        <f>IFERROR(W314/W445, "NA")</f>
        <v>-6.7289508324534645E-4</v>
      </c>
      <c r="Y314" s="9"/>
      <c r="Z314" s="7">
        <v>33</v>
      </c>
      <c r="AA314" s="8">
        <f>IFERROR(Z314/Z445, "NA")</f>
        <v>5.9377365704457661E-5</v>
      </c>
      <c r="AB314" s="9"/>
      <c r="AC314" s="10">
        <f t="shared" si="79"/>
        <v>23</v>
      </c>
      <c r="AD314" s="8">
        <f>IFERROR(AC314/AC445, "NA")</f>
        <v>-8.2095007481353881E-4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IFERROR(B315/B445, "NA")</f>
        <v>0</v>
      </c>
      <c r="D315" s="9"/>
      <c r="E315" s="7">
        <v>0</v>
      </c>
      <c r="F315" s="8">
        <f>IFERROR(E315/E445, "NA")</f>
        <v>0</v>
      </c>
      <c r="G315" s="9"/>
      <c r="H315" s="10">
        <f t="shared" si="76"/>
        <v>0</v>
      </c>
      <c r="I315" s="8">
        <f>IFERROR(H315/H445, "NA")</f>
        <v>0</v>
      </c>
      <c r="J315" s="9"/>
      <c r="K315" s="7">
        <v>0</v>
      </c>
      <c r="L315" s="8">
        <f>IFERROR(K315/K445, "NA")</f>
        <v>0</v>
      </c>
      <c r="M315" s="9"/>
      <c r="N315" s="10">
        <f t="shared" si="77"/>
        <v>0</v>
      </c>
      <c r="O315" s="8">
        <f>IFERROR(N315/N445, "NA")</f>
        <v>0</v>
      </c>
      <c r="P315" s="9"/>
      <c r="Q315" s="7">
        <v>0</v>
      </c>
      <c r="R315" s="8">
        <f>IFERROR(Q315/Q445, "NA")</f>
        <v>0</v>
      </c>
      <c r="S315" s="9"/>
      <c r="T315" s="7">
        <v>0</v>
      </c>
      <c r="U315" s="8">
        <f>IFERROR(T315/T445, "NA")</f>
        <v>0</v>
      </c>
      <c r="V315" s="9"/>
      <c r="W315" s="10">
        <f t="shared" si="78"/>
        <v>0</v>
      </c>
      <c r="X315" s="8">
        <f>IFERROR(W315/W445, "NA")</f>
        <v>0</v>
      </c>
      <c r="Y315" s="9"/>
      <c r="Z315" s="7">
        <v>0</v>
      </c>
      <c r="AA315" s="8">
        <f>IFERROR(Z315/Z445, "NA")</f>
        <v>0</v>
      </c>
      <c r="AB315" s="9"/>
      <c r="AC315" s="10">
        <f t="shared" si="79"/>
        <v>0</v>
      </c>
      <c r="AD315" s="8">
        <f>IFERROR(AC315/AC445, "NA")</f>
        <v>0</v>
      </c>
    </row>
    <row r="316" spans="1:30" ht="16.5" customHeight="1" x14ac:dyDescent="0.45">
      <c r="A316" s="6" t="s">
        <v>288</v>
      </c>
      <c r="B316" s="7">
        <v>533.34</v>
      </c>
      <c r="C316" s="8">
        <f>IFERROR(B316/B445, "NA")</f>
        <v>4.5928775005321934E-3</v>
      </c>
      <c r="D316" s="9"/>
      <c r="E316" s="7">
        <v>501.7</v>
      </c>
      <c r="F316" s="8">
        <f>IFERROR(E316/E445, "NA")</f>
        <v>4.0000124377504538E-3</v>
      </c>
      <c r="G316" s="9"/>
      <c r="H316" s="10">
        <f t="shared" si="76"/>
        <v>-31.640000000000043</v>
      </c>
      <c r="I316" s="8">
        <f>IFERROR(H316/H445, "NA")</f>
        <v>3.4016640630963567E-3</v>
      </c>
      <c r="J316" s="9"/>
      <c r="K316" s="7">
        <v>533.34</v>
      </c>
      <c r="L316" s="8">
        <f>IFERROR(K316/K445, "NA")</f>
        <v>4.6371060646503044E-3</v>
      </c>
      <c r="M316" s="9"/>
      <c r="N316" s="10">
        <f t="shared" si="77"/>
        <v>0</v>
      </c>
      <c r="O316" s="8">
        <f>IFERROR(N316/N445, "NA")</f>
        <v>0</v>
      </c>
      <c r="P316" s="9"/>
      <c r="Q316" s="7">
        <v>2666.66</v>
      </c>
      <c r="R316" s="8">
        <f>IFERROR(Q316/Q445, "NA")</f>
        <v>5.0528752185618744E-3</v>
      </c>
      <c r="S316" s="9"/>
      <c r="T316" s="7">
        <v>2378.5100000000002</v>
      </c>
      <c r="U316" s="8">
        <f>IFERROR(T316/T445, "NA")</f>
        <v>4.0000086104511169E-3</v>
      </c>
      <c r="V316" s="9"/>
      <c r="W316" s="10">
        <f t="shared" si="78"/>
        <v>-288.14999999999964</v>
      </c>
      <c r="X316" s="8">
        <f>IFERROR(W316/W445, "NA")</f>
        <v>4.3087715163810294E-3</v>
      </c>
      <c r="Y316" s="9"/>
      <c r="Z316" s="7">
        <v>1066.68</v>
      </c>
      <c r="AA316" s="8">
        <f>IFERROR(Z316/Z445, "NA")</f>
        <v>1.9192923772615425E-3</v>
      </c>
      <c r="AB316" s="9"/>
      <c r="AC316" s="10">
        <f t="shared" si="79"/>
        <v>-1599.9799999999998</v>
      </c>
      <c r="AD316" s="8">
        <f>IFERROR(AC316/AC445, "NA")</f>
        <v>5.7108856552181113E-2</v>
      </c>
    </row>
    <row r="317" spans="1:30" ht="16.5" customHeight="1" x14ac:dyDescent="0.45">
      <c r="A317" s="6" t="s">
        <v>289</v>
      </c>
      <c r="B317" s="7">
        <v>-1.61</v>
      </c>
      <c r="C317" s="8">
        <f>IFERROR(B317/B445, "NA")</f>
        <v>-1.3864575647535964E-5</v>
      </c>
      <c r="D317" s="9"/>
      <c r="E317" s="7">
        <v>0</v>
      </c>
      <c r="F317" s="8">
        <f>IFERROR(E317/E445, "NA")</f>
        <v>0</v>
      </c>
      <c r="G317" s="9"/>
      <c r="H317" s="10">
        <f t="shared" si="76"/>
        <v>1.61</v>
      </c>
      <c r="I317" s="8">
        <f>IFERROR(H317/H445, "NA")</f>
        <v>-1.730935253345489E-4</v>
      </c>
      <c r="J317" s="9"/>
      <c r="K317" s="7">
        <v>0</v>
      </c>
      <c r="L317" s="8">
        <f>IFERROR(K317/K445, "NA")</f>
        <v>0</v>
      </c>
      <c r="M317" s="9"/>
      <c r="N317" s="10">
        <f t="shared" si="77"/>
        <v>1.61</v>
      </c>
      <c r="O317" s="8">
        <f>IFERROR(N317/N445, "NA")</f>
        <v>1.4536196030986452E-3</v>
      </c>
      <c r="P317" s="9"/>
      <c r="Q317" s="7">
        <v>292.39</v>
      </c>
      <c r="R317" s="8">
        <f>IFERROR(Q317/Q445, "NA")</f>
        <v>5.5403020450875114E-4</v>
      </c>
      <c r="S317" s="9"/>
      <c r="T317" s="7">
        <v>0</v>
      </c>
      <c r="U317" s="8">
        <f>IFERROR(T317/T445, "NA")</f>
        <v>0</v>
      </c>
      <c r="V317" s="9"/>
      <c r="W317" s="10">
        <f t="shared" si="78"/>
        <v>-292.39</v>
      </c>
      <c r="X317" s="8">
        <f>IFERROR(W317/W445, "NA")</f>
        <v>4.372173186446819E-3</v>
      </c>
      <c r="Y317" s="9"/>
      <c r="Z317" s="7">
        <v>0</v>
      </c>
      <c r="AA317" s="8">
        <f>IFERROR(Z317/Z445, "NA")</f>
        <v>0</v>
      </c>
      <c r="AB317" s="9"/>
      <c r="AC317" s="10">
        <f t="shared" si="79"/>
        <v>-292.39</v>
      </c>
      <c r="AD317" s="8">
        <f>IFERROR(AC317/AC445, "NA")</f>
        <v>1.0436417059770895E-2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IFERROR(B318/B445, "NA")</f>
        <v>0</v>
      </c>
      <c r="D318" s="9"/>
      <c r="E318" s="7">
        <v>0</v>
      </c>
      <c r="F318" s="8">
        <f>IFERROR(E318/E445, "NA")</f>
        <v>0</v>
      </c>
      <c r="G318" s="9"/>
      <c r="H318" s="10">
        <f t="shared" si="76"/>
        <v>0</v>
      </c>
      <c r="I318" s="8">
        <f>IFERROR(H318/H445, "NA")</f>
        <v>0</v>
      </c>
      <c r="J318" s="9"/>
      <c r="K318" s="7">
        <v>0</v>
      </c>
      <c r="L318" s="8">
        <f>IFERROR(K318/K445, "NA")</f>
        <v>0</v>
      </c>
      <c r="M318" s="9"/>
      <c r="N318" s="10">
        <f t="shared" si="77"/>
        <v>0</v>
      </c>
      <c r="O318" s="8">
        <f>IFERROR(N318/N445, "NA")</f>
        <v>0</v>
      </c>
      <c r="P318" s="9"/>
      <c r="Q318" s="7">
        <v>0</v>
      </c>
      <c r="R318" s="8">
        <f>IFERROR(Q318/Q445, "NA")</f>
        <v>0</v>
      </c>
      <c r="S318" s="9"/>
      <c r="T318" s="7">
        <v>0</v>
      </c>
      <c r="U318" s="8">
        <f>IFERROR(T318/T445, "NA")</f>
        <v>0</v>
      </c>
      <c r="V318" s="9"/>
      <c r="W318" s="10">
        <f t="shared" si="78"/>
        <v>0</v>
      </c>
      <c r="X318" s="8">
        <f>IFERROR(W318/W445, "NA")</f>
        <v>0</v>
      </c>
      <c r="Y318" s="9"/>
      <c r="Z318" s="7">
        <v>0</v>
      </c>
      <c r="AA318" s="8">
        <f>IFERROR(Z318/Z445, "NA")</f>
        <v>0</v>
      </c>
      <c r="AB318" s="9"/>
      <c r="AC318" s="10">
        <f t="shared" si="79"/>
        <v>0</v>
      </c>
      <c r="AD318" s="8">
        <f>IFERROR(AC318/AC445, "NA")</f>
        <v>0</v>
      </c>
    </row>
    <row r="319" spans="1:30" ht="16.5" hidden="1" customHeight="1" x14ac:dyDescent="0.45">
      <c r="A319" s="6" t="s">
        <v>291</v>
      </c>
      <c r="B319" s="7">
        <v>0</v>
      </c>
      <c r="C319" s="8">
        <f>IFERROR(B319/B445, "NA")</f>
        <v>0</v>
      </c>
      <c r="D319" s="9"/>
      <c r="E319" s="7">
        <v>0</v>
      </c>
      <c r="F319" s="8">
        <f>IFERROR(E319/E445, "NA")</f>
        <v>0</v>
      </c>
      <c r="G319" s="9"/>
      <c r="H319" s="10">
        <f t="shared" si="76"/>
        <v>0</v>
      </c>
      <c r="I319" s="8">
        <f>IFERROR(H319/H445, "NA")</f>
        <v>0</v>
      </c>
      <c r="J319" s="9"/>
      <c r="K319" s="7">
        <v>0</v>
      </c>
      <c r="L319" s="8">
        <f>IFERROR(K319/K445, "NA")</f>
        <v>0</v>
      </c>
      <c r="M319" s="9"/>
      <c r="N319" s="10">
        <f t="shared" si="77"/>
        <v>0</v>
      </c>
      <c r="O319" s="8">
        <f>IFERROR(N319/N445, "NA")</f>
        <v>0</v>
      </c>
      <c r="P319" s="9"/>
      <c r="Q319" s="7">
        <v>0</v>
      </c>
      <c r="R319" s="8">
        <f>IFERROR(Q319/Q445, "NA")</f>
        <v>0</v>
      </c>
      <c r="S319" s="9"/>
      <c r="T319" s="7">
        <v>0</v>
      </c>
      <c r="U319" s="8">
        <f>IFERROR(T319/T445, "NA")</f>
        <v>0</v>
      </c>
      <c r="V319" s="9"/>
      <c r="W319" s="10">
        <f t="shared" si="78"/>
        <v>0</v>
      </c>
      <c r="X319" s="8">
        <f>IFERROR(W319/W445, "NA")</f>
        <v>0</v>
      </c>
      <c r="Y319" s="9"/>
      <c r="Z319" s="7">
        <v>0</v>
      </c>
      <c r="AA319" s="8">
        <f>IFERROR(Z319/Z445, "NA")</f>
        <v>0</v>
      </c>
      <c r="AB319" s="9"/>
      <c r="AC319" s="10">
        <f t="shared" si="79"/>
        <v>0</v>
      </c>
      <c r="AD319" s="8">
        <f>IFERROR(AC319/AC445, "NA")</f>
        <v>0</v>
      </c>
    </row>
    <row r="320" spans="1:30" ht="16.5" customHeight="1" x14ac:dyDescent="0.45">
      <c r="A320" s="6" t="s">
        <v>292</v>
      </c>
      <c r="B320" s="7">
        <v>395.45</v>
      </c>
      <c r="C320" s="8">
        <f>IFERROR(B320/B445, "NA")</f>
        <v>3.4054325713155881E-3</v>
      </c>
      <c r="D320" s="9"/>
      <c r="E320" s="7">
        <v>308</v>
      </c>
      <c r="F320" s="8">
        <f>IFERROR(E320/E445, "NA")</f>
        <v>2.4556584230160253E-3</v>
      </c>
      <c r="G320" s="9"/>
      <c r="H320" s="10">
        <f t="shared" si="76"/>
        <v>-87.449999999999989</v>
      </c>
      <c r="I320" s="8">
        <f>IFERROR(H320/H445, "NA")</f>
        <v>9.401881236339317E-3</v>
      </c>
      <c r="J320" s="9"/>
      <c r="K320" s="7">
        <v>306.64</v>
      </c>
      <c r="L320" s="8">
        <f>IFERROR(K320/K445, "NA")</f>
        <v>2.6660708059856176E-3</v>
      </c>
      <c r="M320" s="9"/>
      <c r="N320" s="10">
        <f t="shared" si="77"/>
        <v>-88.81</v>
      </c>
      <c r="O320" s="8">
        <f>IFERROR(N320/N445, "NA")</f>
        <v>-8.0183824193286138E-2</v>
      </c>
      <c r="P320" s="9"/>
      <c r="Q320" s="7">
        <v>1816.85</v>
      </c>
      <c r="R320" s="8">
        <f>IFERROR(Q320/Q445, "NA")</f>
        <v>3.4426272343846391E-3</v>
      </c>
      <c r="S320" s="9"/>
      <c r="T320" s="7">
        <v>1540</v>
      </c>
      <c r="U320" s="8">
        <f>IFERROR(T320/T445, "NA")</f>
        <v>2.5898622499357666E-3</v>
      </c>
      <c r="V320" s="9"/>
      <c r="W320" s="10">
        <f t="shared" si="78"/>
        <v>-276.84999999999991</v>
      </c>
      <c r="X320" s="8">
        <f>IFERROR(W320/W445, "NA")</f>
        <v>4.1398000843660913E-3</v>
      </c>
      <c r="Y320" s="9"/>
      <c r="Z320" s="7">
        <v>1401.72</v>
      </c>
      <c r="AA320" s="8">
        <f>IFERROR(Z320/Z445, "NA")</f>
        <v>2.5221345774318906E-3</v>
      </c>
      <c r="AB320" s="9"/>
      <c r="AC320" s="10">
        <f t="shared" si="79"/>
        <v>-415.12999999999988</v>
      </c>
      <c r="AD320" s="8">
        <f>IFERROR(AC320/AC445, "NA")</f>
        <v>1.4817434980754097E-2</v>
      </c>
    </row>
    <row r="321" spans="1:30" ht="16.5" customHeight="1" x14ac:dyDescent="0.45">
      <c r="A321" s="6" t="s">
        <v>293</v>
      </c>
      <c r="B321" s="7">
        <v>1061.33</v>
      </c>
      <c r="C321" s="8">
        <f>IFERROR(B321/B445, "NA")</f>
        <v>9.1396832745337542E-3</v>
      </c>
      <c r="D321" s="9"/>
      <c r="E321" s="7">
        <v>1186</v>
      </c>
      <c r="F321" s="8">
        <f>IFERROR(E321/E445, "NA")</f>
        <v>9.4558795120032665E-3</v>
      </c>
      <c r="G321" s="9"/>
      <c r="H321" s="10">
        <f t="shared" si="76"/>
        <v>124.67000000000007</v>
      </c>
      <c r="I321" s="8">
        <f>IFERROR(H321/H445, "NA")</f>
        <v>-1.3403459505253556E-2</v>
      </c>
      <c r="J321" s="9"/>
      <c r="K321" s="7">
        <v>1163.71</v>
      </c>
      <c r="L321" s="8">
        <f>IFERROR(K321/K445, "NA")</f>
        <v>1.0117836086725552E-2</v>
      </c>
      <c r="M321" s="9"/>
      <c r="N321" s="10">
        <f t="shared" si="77"/>
        <v>102.38000000000011</v>
      </c>
      <c r="O321" s="8">
        <f>IFERROR(N321/N445, "NA")</f>
        <v>9.2435760847974821E-2</v>
      </c>
      <c r="P321" s="9"/>
      <c r="Q321" s="7">
        <v>5616.92</v>
      </c>
      <c r="R321" s="8">
        <f>IFERROR(Q321/Q445, "NA")</f>
        <v>1.0643125060054362E-2</v>
      </c>
      <c r="S321" s="9"/>
      <c r="T321" s="7">
        <v>5930</v>
      </c>
      <c r="U321" s="8">
        <f>IFERROR(T321/T445, "NA")</f>
        <v>9.9726513909864263E-3</v>
      </c>
      <c r="V321" s="9"/>
      <c r="W321" s="10">
        <f t="shared" si="78"/>
        <v>313.07999999999993</v>
      </c>
      <c r="X321" s="8">
        <f>IFERROR(W321/W445, "NA")</f>
        <v>-4.6815553924989557E-3</v>
      </c>
      <c r="Y321" s="9"/>
      <c r="Z321" s="7">
        <v>5711.56</v>
      </c>
      <c r="AA321" s="8">
        <f>IFERROR(Z321/Z445, "NA")</f>
        <v>1.0276890510998551E-2</v>
      </c>
      <c r="AB321" s="9"/>
      <c r="AC321" s="10">
        <f t="shared" si="79"/>
        <v>94.640000000000327</v>
      </c>
      <c r="AD321" s="8">
        <f>IFERROR(AC321/AC445, "NA")</f>
        <v>-3.3780310904501557E-3</v>
      </c>
    </row>
    <row r="322" spans="1:30" ht="16.5" customHeight="1" x14ac:dyDescent="0.45">
      <c r="A322" s="6" t="s">
        <v>294</v>
      </c>
      <c r="B322" s="7">
        <v>1028.6600000000001</v>
      </c>
      <c r="C322" s="8">
        <f>IFERROR(B322/B445, "NA")</f>
        <v>8.8583443388784763E-3</v>
      </c>
      <c r="D322" s="9"/>
      <c r="E322" s="7">
        <v>1881.37</v>
      </c>
      <c r="F322" s="8">
        <f>IFERROR(E322/E445, "NA")</f>
        <v>1.5000006776979413E-2</v>
      </c>
      <c r="G322" s="9"/>
      <c r="H322" s="10">
        <f t="shared" si="76"/>
        <v>852.70999999999981</v>
      </c>
      <c r="I322" s="8">
        <f>IFERROR(H322/H445, "NA")</f>
        <v>-9.1676136638523698E-2</v>
      </c>
      <c r="J322" s="9"/>
      <c r="K322" s="7">
        <v>1072.43</v>
      </c>
      <c r="L322" s="8">
        <f>IFERROR(K322/K445, "NA")</f>
        <v>9.3242053041454349E-3</v>
      </c>
      <c r="M322" s="9"/>
      <c r="N322" s="10">
        <f t="shared" si="77"/>
        <v>43.769999999999982</v>
      </c>
      <c r="O322" s="8">
        <f>IFERROR(N322/N445, "NA")</f>
        <v>3.9518590079271845E-2</v>
      </c>
      <c r="P322" s="9"/>
      <c r="Q322" s="7">
        <v>5058.82</v>
      </c>
      <c r="R322" s="8">
        <f>IFERROR(Q322/Q445, "NA")</f>
        <v>9.5856187939839278E-3</v>
      </c>
      <c r="S322" s="9"/>
      <c r="T322" s="7">
        <v>8822.2900000000009</v>
      </c>
      <c r="U322" s="8">
        <f>IFERROR(T322/T445, "NA")</f>
        <v>1.483669859025053E-2</v>
      </c>
      <c r="V322" s="9"/>
      <c r="W322" s="10">
        <f t="shared" si="78"/>
        <v>3763.4700000000012</v>
      </c>
      <c r="X322" s="8">
        <f>IFERROR(W322/W445, "NA")</f>
        <v>-5.6276010198696998E-2</v>
      </c>
      <c r="Y322" s="9"/>
      <c r="Z322" s="7">
        <v>12972.84</v>
      </c>
      <c r="AA322" s="8">
        <f>IFERROR(Z322/Z445, "NA")</f>
        <v>2.3342214088042924E-2</v>
      </c>
      <c r="AB322" s="9"/>
      <c r="AC322" s="10">
        <f t="shared" si="79"/>
        <v>7914.02</v>
      </c>
      <c r="AD322" s="8">
        <f>IFERROR(AC322/AC445, "NA")</f>
        <v>-0.28247892656851487</v>
      </c>
    </row>
    <row r="323" spans="1:30" ht="16.5" customHeight="1" x14ac:dyDescent="0.45">
      <c r="A323" s="6" t="s">
        <v>295</v>
      </c>
      <c r="B323" s="7">
        <v>385.68</v>
      </c>
      <c r="C323" s="8">
        <f>IFERROR(B323/B445, "NA")</f>
        <v>3.321297848286752E-3</v>
      </c>
      <c r="D323" s="9"/>
      <c r="E323" s="7">
        <v>252</v>
      </c>
      <c r="F323" s="8">
        <f>IFERROR(E323/E445, "NA")</f>
        <v>2.009175073376748E-3</v>
      </c>
      <c r="G323" s="9"/>
      <c r="H323" s="10">
        <f t="shared" si="76"/>
        <v>-133.68</v>
      </c>
      <c r="I323" s="8">
        <f>IFERROR(H323/H445, "NA")</f>
        <v>1.4372138178088509E-2</v>
      </c>
      <c r="J323" s="9"/>
      <c r="K323" s="7">
        <v>420.42</v>
      </c>
      <c r="L323" s="8">
        <f>IFERROR(K323/K445, "NA")</f>
        <v>3.6553270553498353E-3</v>
      </c>
      <c r="M323" s="9"/>
      <c r="N323" s="10">
        <f t="shared" si="77"/>
        <v>34.740000000000009</v>
      </c>
      <c r="O323" s="8">
        <f>IFERROR(N323/N445, "NA")</f>
        <v>3.1365680131457734E-2</v>
      </c>
      <c r="P323" s="9"/>
      <c r="Q323" s="7">
        <v>2357.7199999999998</v>
      </c>
      <c r="R323" s="8">
        <f>IFERROR(Q323/Q445, "NA")</f>
        <v>4.4674855288292098E-3</v>
      </c>
      <c r="S323" s="9"/>
      <c r="T323" s="7">
        <v>1260</v>
      </c>
      <c r="U323" s="8">
        <f>IFERROR(T323/T445, "NA")</f>
        <v>2.1189782044928997E-3</v>
      </c>
      <c r="V323" s="9"/>
      <c r="W323" s="10">
        <f t="shared" si="78"/>
        <v>-1097.7199999999998</v>
      </c>
      <c r="X323" s="8">
        <f>IFERROR(W323/W445, "NA")</f>
        <v>1.6414453128446256E-2</v>
      </c>
      <c r="Y323" s="9"/>
      <c r="Z323" s="7">
        <v>1997.3</v>
      </c>
      <c r="AA323" s="8">
        <f>IFERROR(Z323/Z445, "NA")</f>
        <v>3.5937700764094934E-3</v>
      </c>
      <c r="AB323" s="9"/>
      <c r="AC323" s="10">
        <f t="shared" si="79"/>
        <v>-360.41999999999985</v>
      </c>
      <c r="AD323" s="8">
        <f>IFERROR(AC323/AC445, "NA")</f>
        <v>1.2864644607143283E-2</v>
      </c>
    </row>
    <row r="324" spans="1:30" ht="16.5" hidden="1" customHeight="1" x14ac:dyDescent="0.45">
      <c r="A324" s="6" t="s">
        <v>296</v>
      </c>
      <c r="B324" s="7">
        <v>0</v>
      </c>
      <c r="C324" s="8">
        <f>IFERROR(B324/B445, "NA")</f>
        <v>0</v>
      </c>
      <c r="D324" s="9"/>
      <c r="E324" s="7">
        <v>0</v>
      </c>
      <c r="F324" s="8">
        <f>IFERROR(E324/E445, "NA")</f>
        <v>0</v>
      </c>
      <c r="G324" s="9"/>
      <c r="H324" s="10">
        <f t="shared" si="76"/>
        <v>0</v>
      </c>
      <c r="I324" s="8">
        <f>IFERROR(H324/H445, "NA")</f>
        <v>0</v>
      </c>
      <c r="J324" s="9"/>
      <c r="K324" s="7">
        <v>0</v>
      </c>
      <c r="L324" s="8">
        <f>IFERROR(K324/K445, "NA")</f>
        <v>0</v>
      </c>
      <c r="M324" s="9"/>
      <c r="N324" s="10">
        <f t="shared" si="77"/>
        <v>0</v>
      </c>
      <c r="O324" s="8">
        <f>IFERROR(N324/N445, "NA")</f>
        <v>0</v>
      </c>
      <c r="P324" s="9"/>
      <c r="Q324" s="7">
        <v>0</v>
      </c>
      <c r="R324" s="8">
        <f>IFERROR(Q324/Q445, "NA")</f>
        <v>0</v>
      </c>
      <c r="S324" s="9"/>
      <c r="T324" s="7">
        <v>0</v>
      </c>
      <c r="U324" s="8">
        <f>IFERROR(T324/T445, "NA")</f>
        <v>0</v>
      </c>
      <c r="V324" s="9"/>
      <c r="W324" s="10">
        <f t="shared" si="78"/>
        <v>0</v>
      </c>
      <c r="X324" s="8">
        <f>IFERROR(W324/W445, "NA")</f>
        <v>0</v>
      </c>
      <c r="Y324" s="9"/>
      <c r="Z324" s="7">
        <v>0</v>
      </c>
      <c r="AA324" s="8">
        <f>IFERROR(Z324/Z445, "NA")</f>
        <v>0</v>
      </c>
      <c r="AB324" s="9"/>
      <c r="AC324" s="10">
        <f t="shared" si="79"/>
        <v>0</v>
      </c>
      <c r="AD324" s="8">
        <f>IFERROR(AC324/AC445, "NA")</f>
        <v>0</v>
      </c>
    </row>
    <row r="325" spans="1:30" ht="16.5" customHeight="1" x14ac:dyDescent="0.45">
      <c r="A325" s="19" t="s">
        <v>297</v>
      </c>
      <c r="B325" s="14">
        <f>IFERROR(B298+B299+B300+B301+B302+B303+B304+B305+B306+B307+B308+B309+B310+B311+B312+B313+B314+B315+B316+B317+B318+B319+B320+B321+B322+B323+B324, "NA")</f>
        <v>5188.1099999999997</v>
      </c>
      <c r="C325" s="15">
        <f>IFERROR(B325/B445, "NA")</f>
        <v>4.4677604697352671E-2</v>
      </c>
      <c r="D325" s="2"/>
      <c r="E325" s="14">
        <f>IFERROR(E298+E299+E300+E301+E302+E303+E304+E305+E306+E307+E308+E309+E310+E311+E312+E313+E314+E315+E316+E317+E318+E319+E320+E321+E322+E323+E324, "NA")</f>
        <v>4698.07</v>
      </c>
      <c r="F325" s="15">
        <f>IFERROR(E325/E445, "NA")</f>
        <v>3.7457321972139274E-2</v>
      </c>
      <c r="G325" s="2"/>
      <c r="H325" s="14">
        <f t="shared" si="76"/>
        <v>-490.03999999999996</v>
      </c>
      <c r="I325" s="15">
        <f>IFERROR(H325/H445, "NA")</f>
        <v>5.2684938605554246E-2</v>
      </c>
      <c r="J325" s="2"/>
      <c r="K325" s="14">
        <f>IFERROR(K298+K299+K300+K301+K302+K303+K304+K305+K306+K307+K308+K309+K310+K311+K312+K313+K314+K315+K316+K317+K318+K319+K320+K321+K322+K323+K324, "NA")</f>
        <v>4167.55</v>
      </c>
      <c r="L325" s="15">
        <f>IFERROR(K325/K445, "NA")</f>
        <v>3.623461840427003E-2</v>
      </c>
      <c r="M325" s="2"/>
      <c r="N325" s="14">
        <f t="shared" si="77"/>
        <v>-1020.5599999999995</v>
      </c>
      <c r="O325" s="15">
        <f>IFERROR(N325/N445, "NA")</f>
        <v>-0.92143231188717556</v>
      </c>
      <c r="P325" s="2"/>
      <c r="Q325" s="14">
        <f>IFERROR(Q298+Q299+Q300+Q301+Q302+Q303+Q304+Q305+Q306+Q307+Q308+Q309+Q310+Q311+Q312+Q313+Q314+Q315+Q316+Q317+Q318+Q319+Q320+Q321+Q322+Q323+Q324, "NA")</f>
        <v>23462.239999999998</v>
      </c>
      <c r="R325" s="15">
        <f>IFERROR(Q325/Q445, "NA")</f>
        <v>4.4457025293044912E-2</v>
      </c>
      <c r="S325" s="2"/>
      <c r="T325" s="14">
        <f>IFERROR(T298+T299+T300+T301+T302+T303+T304+T305+T306+T307+T308+T309+T310+T311+T312+T313+T314+T315+T316+T317+T318+T319+T320+T321+T322+T323+T324, "NA")</f>
        <v>22780.800000000003</v>
      </c>
      <c r="U325" s="15">
        <f>IFERROR(T325/T445, "NA")</f>
        <v>3.8311125937231634E-2</v>
      </c>
      <c r="V325" s="2"/>
      <c r="W325" s="14">
        <f t="shared" si="78"/>
        <v>-681.43999999999505</v>
      </c>
      <c r="X325" s="15">
        <f>IFERROR(W325/W445, "NA")</f>
        <v>1.0189725011704568E-2</v>
      </c>
      <c r="Y325" s="2"/>
      <c r="Z325" s="14">
        <f>IFERROR(Z298+Z299+Z300+Z301+Z302+Z303+Z304+Z305+Z306+Z307+Z308+Z309+Z310+Z311+Z312+Z313+Z314+Z315+Z316+Z317+Z318+Z319+Z320+Z321+Z322+Z323+Z324, "NA")</f>
        <v>27294.43</v>
      </c>
      <c r="AA325" s="15">
        <f>IFERROR(Z325/Z445, "NA")</f>
        <v>4.9111253084991521E-2</v>
      </c>
      <c r="AB325" s="2"/>
      <c r="AC325" s="14">
        <f t="shared" si="79"/>
        <v>3832.1900000000023</v>
      </c>
      <c r="AD325" s="15">
        <f>IFERROR(AC325/AC445, "NA")</f>
        <v>-0.13678420292172597</v>
      </c>
    </row>
    <row r="326" spans="1:30" ht="16.5" customHeight="1" x14ac:dyDescent="0.45">
      <c r="A326" s="21" t="s">
        <v>298</v>
      </c>
      <c r="B326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25657.639999999996</v>
      </c>
      <c r="C326" s="15">
        <f>IFERROR(B326/B445, "NA")</f>
        <v>0.22095173336474819</v>
      </c>
      <c r="D326" s="2"/>
      <c r="E326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27540.379999999997</v>
      </c>
      <c r="F326" s="15">
        <f>IFERROR(E326/E445, "NA")</f>
        <v>0.21957716272747427</v>
      </c>
      <c r="G326" s="2"/>
      <c r="H326" s="14">
        <f t="shared" si="76"/>
        <v>1882.7400000000016</v>
      </c>
      <c r="I326" s="15">
        <f>IFERROR(H326/H445, "NA")</f>
        <v>-0.20241621359526016</v>
      </c>
      <c r="J326" s="2"/>
      <c r="K326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26012.53</v>
      </c>
      <c r="L326" s="15">
        <f>IFERROR(K326/K445, "NA")</f>
        <v>0.22616503659935122</v>
      </c>
      <c r="M326" s="2"/>
      <c r="N326" s="14">
        <f t="shared" si="77"/>
        <v>354.89000000000306</v>
      </c>
      <c r="O326" s="15">
        <f>IFERROR(N326/N445, "NA")</f>
        <v>0.32041929251160411</v>
      </c>
      <c r="P326" s="2"/>
      <c r="Q326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130902.34000000003</v>
      </c>
      <c r="R326" s="15">
        <f>IFERROR(Q326/Q445, "NA")</f>
        <v>0.24803806628432606</v>
      </c>
      <c r="S326" s="2"/>
      <c r="T326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131536.78999999998</v>
      </c>
      <c r="U326" s="15">
        <f>IFERROR(T326/T445, "NA")</f>
        <v>0.22120919928488855</v>
      </c>
      <c r="V326" s="2"/>
      <c r="W326" s="14">
        <f t="shared" si="78"/>
        <v>634.44999999995343</v>
      </c>
      <c r="X326" s="15">
        <f>IFERROR(W326/W445, "NA")</f>
        <v>-9.4870730125550824E-3</v>
      </c>
      <c r="Y326" s="2"/>
      <c r="Z326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132043.57999999999</v>
      </c>
      <c r="AA326" s="15">
        <f>IFERROR(Z326/Z445, "NA")</f>
        <v>0.23758787692684274</v>
      </c>
      <c r="AB326" s="2"/>
      <c r="AC326" s="14">
        <f t="shared" si="79"/>
        <v>1141.2399999999616</v>
      </c>
      <c r="AD326" s="15">
        <f>IFERROR(AC326/AC445, "NA")</f>
        <v>-4.0734828842616151E-2</v>
      </c>
    </row>
    <row r="327" spans="1:30" ht="16.5" customHeight="1" x14ac:dyDescent="0.45">
      <c r="A327" s="1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customHeight="1" x14ac:dyDescent="0.45">
      <c r="A328" s="5" t="s">
        <v>300</v>
      </c>
      <c r="B328" s="2"/>
      <c r="C328" s="3"/>
      <c r="D328" s="4"/>
      <c r="E328" s="2"/>
      <c r="F328" s="3"/>
      <c r="G328" s="4"/>
      <c r="H328" s="2"/>
      <c r="I328" s="3"/>
      <c r="J328" s="4"/>
      <c r="K328" s="2"/>
      <c r="L328" s="3"/>
      <c r="M328" s="4"/>
      <c r="N328" s="2"/>
      <c r="O328" s="3"/>
      <c r="P328" s="4"/>
      <c r="Q328" s="2"/>
      <c r="R328" s="3"/>
      <c r="S328" s="4"/>
      <c r="T328" s="2"/>
      <c r="U328" s="3"/>
      <c r="V328" s="4"/>
      <c r="W328" s="2"/>
      <c r="X328" s="3"/>
      <c r="Y328" s="4"/>
      <c r="Z328" s="2"/>
      <c r="AA328" s="3"/>
      <c r="AB328" s="4"/>
      <c r="AC328" s="2"/>
      <c r="AD328" s="3"/>
    </row>
    <row r="329" spans="1:30" ht="16.5" hidden="1" customHeight="1" x14ac:dyDescent="0.45">
      <c r="A329" s="6" t="s">
        <v>300</v>
      </c>
      <c r="B329" s="7">
        <v>0</v>
      </c>
      <c r="C329" s="8">
        <f>IFERROR(B329/B445, "NA")</f>
        <v>0</v>
      </c>
      <c r="D329" s="9"/>
      <c r="E329" s="7">
        <v>0</v>
      </c>
      <c r="F329" s="8">
        <f>IFERROR(E329/E445, "NA")</f>
        <v>0</v>
      </c>
      <c r="G329" s="9"/>
      <c r="H329" s="10">
        <f t="shared" ref="H329:H336" si="80">IFERROR(-(B329-E329), "NA")</f>
        <v>0</v>
      </c>
      <c r="I329" s="8">
        <f>IFERROR(H329/H445, "NA")</f>
        <v>0</v>
      </c>
      <c r="J329" s="9"/>
      <c r="K329" s="7">
        <v>0</v>
      </c>
      <c r="L329" s="8">
        <f>IFERROR(K329/K445, "NA")</f>
        <v>0</v>
      </c>
      <c r="M329" s="9"/>
      <c r="N329" s="10">
        <f t="shared" ref="N329:N336" si="81">IFERROR(-(B329-K329), "NA")</f>
        <v>0</v>
      </c>
      <c r="O329" s="8">
        <f>IFERROR(N329/N445, "NA")</f>
        <v>0</v>
      </c>
      <c r="P329" s="9"/>
      <c r="Q329" s="7">
        <v>0</v>
      </c>
      <c r="R329" s="8">
        <f>IFERROR(Q329/Q445, "NA")</f>
        <v>0</v>
      </c>
      <c r="S329" s="9"/>
      <c r="T329" s="7">
        <v>0</v>
      </c>
      <c r="U329" s="8">
        <f>IFERROR(T329/T445, "NA")</f>
        <v>0</v>
      </c>
      <c r="V329" s="9"/>
      <c r="W329" s="10">
        <f t="shared" ref="W329:W336" si="82">IFERROR(-(Q329-T329), "NA")</f>
        <v>0</v>
      </c>
      <c r="X329" s="8">
        <f>IFERROR(W329/W445, "NA")</f>
        <v>0</v>
      </c>
      <c r="Y329" s="9"/>
      <c r="Z329" s="7">
        <v>0</v>
      </c>
      <c r="AA329" s="8">
        <f>IFERROR(Z329/Z445, "NA")</f>
        <v>0</v>
      </c>
      <c r="AB329" s="9"/>
      <c r="AC329" s="10">
        <f t="shared" ref="AC329:AC336" si="83">IFERROR(-(Q329-Z329), "NA")</f>
        <v>0</v>
      </c>
      <c r="AD329" s="8">
        <f>IFERROR(AC329/AC445, "NA")</f>
        <v>0</v>
      </c>
    </row>
    <row r="330" spans="1:30" ht="16.5" customHeight="1" x14ac:dyDescent="0.45">
      <c r="A330" s="6" t="s">
        <v>301</v>
      </c>
      <c r="B330" s="7">
        <v>20059.04</v>
      </c>
      <c r="C330" s="8">
        <f>IFERROR(B330/B445, "NA")</f>
        <v>0.17273917856953405</v>
      </c>
      <c r="D330" s="9"/>
      <c r="E330" s="7">
        <v>20059.04</v>
      </c>
      <c r="F330" s="8">
        <f>IFERROR(E330/E445, "NA")</f>
        <v>0.1599290601740759</v>
      </c>
      <c r="G330" s="9"/>
      <c r="H330" s="10">
        <f t="shared" si="80"/>
        <v>0</v>
      </c>
      <c r="I330" s="8">
        <f>IFERROR(H330/H445, "NA")</f>
        <v>0</v>
      </c>
      <c r="J330" s="9"/>
      <c r="K330" s="7">
        <v>19569.79</v>
      </c>
      <c r="L330" s="8">
        <f>IFERROR(K330/K445, "NA")</f>
        <v>0.17014885793852494</v>
      </c>
      <c r="M330" s="9"/>
      <c r="N330" s="10">
        <f t="shared" si="81"/>
        <v>-489.25</v>
      </c>
      <c r="O330" s="8">
        <f>IFERROR(N330/N445, "NA")</f>
        <v>-0.44172881417143611</v>
      </c>
      <c r="P330" s="9"/>
      <c r="Q330" s="7">
        <v>100295.2</v>
      </c>
      <c r="R330" s="8">
        <f>IFERROR(Q330/Q445, "NA")</f>
        <v>0.19004264908938781</v>
      </c>
      <c r="S330" s="9"/>
      <c r="T330" s="7">
        <v>100295.2</v>
      </c>
      <c r="U330" s="8">
        <f>IFERROR(T330/T445, "NA")</f>
        <v>0.16866931969464785</v>
      </c>
      <c r="V330" s="9"/>
      <c r="W330" s="10">
        <f t="shared" si="82"/>
        <v>0</v>
      </c>
      <c r="X330" s="8">
        <f>IFERROR(W330/W445, "NA")</f>
        <v>0</v>
      </c>
      <c r="Y330" s="9"/>
      <c r="Z330" s="7">
        <v>97848.95</v>
      </c>
      <c r="AA330" s="8">
        <f>IFERROR(Z330/Z445, "NA")</f>
        <v>0.17606099660446037</v>
      </c>
      <c r="AB330" s="9"/>
      <c r="AC330" s="10">
        <f t="shared" si="83"/>
        <v>-2446.25</v>
      </c>
      <c r="AD330" s="8">
        <f>IFERROR(AC330/AC445, "NA")</f>
        <v>8.7315179152722577E-2</v>
      </c>
    </row>
    <row r="331" spans="1:30" ht="16.5" customHeight="1" x14ac:dyDescent="0.45">
      <c r="A331" s="6" t="s">
        <v>302</v>
      </c>
      <c r="B331" s="7">
        <v>525.28</v>
      </c>
      <c r="C331" s="8">
        <f>IFERROR(B331/B445, "NA")</f>
        <v>4.5234685069178203E-3</v>
      </c>
      <c r="D331" s="9"/>
      <c r="E331" s="7">
        <v>658.51</v>
      </c>
      <c r="F331" s="8">
        <f>IFERROR(E331/E445, "NA")</f>
        <v>5.2502455459100088E-3</v>
      </c>
      <c r="G331" s="9"/>
      <c r="H331" s="10">
        <f t="shared" si="80"/>
        <v>133.23000000000002</v>
      </c>
      <c r="I331" s="8">
        <f>IFERROR(H331/H445, "NA")</f>
        <v>-1.4323758000199971E-2</v>
      </c>
      <c r="J331" s="9"/>
      <c r="K331" s="7">
        <v>980.22</v>
      </c>
      <c r="L331" s="8">
        <f>IFERROR(K331/K445, "NA")</f>
        <v>8.5224886689382415E-3</v>
      </c>
      <c r="M331" s="9"/>
      <c r="N331" s="10">
        <f t="shared" si="81"/>
        <v>454.94000000000005</v>
      </c>
      <c r="O331" s="8">
        <f>IFERROR(N331/N445, "NA")</f>
        <v>0.41075136784701721</v>
      </c>
      <c r="P331" s="9"/>
      <c r="Q331" s="7">
        <v>3159.32</v>
      </c>
      <c r="R331" s="8">
        <f>IFERROR(Q331/Q445, "NA")</f>
        <v>5.9863836167741305E-3</v>
      </c>
      <c r="S331" s="9"/>
      <c r="T331" s="7">
        <v>3292.55</v>
      </c>
      <c r="U331" s="8">
        <f>IFERROR(T331/T445, "NA")</f>
        <v>5.5371759422246812E-3</v>
      </c>
      <c r="V331" s="9"/>
      <c r="W331" s="10">
        <f t="shared" si="82"/>
        <v>133.23000000000002</v>
      </c>
      <c r="X331" s="8">
        <f>IFERROR(W331/W445, "NA")</f>
        <v>-1.9922180431283893E-3</v>
      </c>
      <c r="Y331" s="9"/>
      <c r="Z331" s="7">
        <v>3614.26</v>
      </c>
      <c r="AA331" s="8">
        <f>IFERROR(Z331/Z445, "NA")</f>
        <v>6.5031890233634287E-3</v>
      </c>
      <c r="AB331" s="9"/>
      <c r="AC331" s="10">
        <f t="shared" si="83"/>
        <v>454.94000000000005</v>
      </c>
      <c r="AD331" s="8">
        <f>IFERROR(AC331/AC445, "NA")</f>
        <v>-1.6238392479811799E-2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IFERROR(B332/B445, "NA")</f>
        <v>0</v>
      </c>
      <c r="D332" s="9"/>
      <c r="E332" s="7">
        <v>0</v>
      </c>
      <c r="F332" s="8">
        <f>IFERROR(E332/E445, "NA")</f>
        <v>0</v>
      </c>
      <c r="G332" s="9"/>
      <c r="H332" s="10">
        <f t="shared" si="80"/>
        <v>0</v>
      </c>
      <c r="I332" s="8">
        <f>IFERROR(H332/H445, "NA")</f>
        <v>0</v>
      </c>
      <c r="J332" s="9"/>
      <c r="K332" s="7">
        <v>0</v>
      </c>
      <c r="L332" s="8">
        <f>IFERROR(K332/K445, "NA")</f>
        <v>0</v>
      </c>
      <c r="M332" s="9"/>
      <c r="N332" s="10">
        <f t="shared" si="81"/>
        <v>0</v>
      </c>
      <c r="O332" s="8">
        <f>IFERROR(N332/N445, "NA")</f>
        <v>0</v>
      </c>
      <c r="P332" s="9"/>
      <c r="Q332" s="7">
        <v>0</v>
      </c>
      <c r="R332" s="8">
        <f>IFERROR(Q332/Q445, "NA")</f>
        <v>0</v>
      </c>
      <c r="S332" s="9"/>
      <c r="T332" s="7">
        <v>0</v>
      </c>
      <c r="U332" s="8">
        <f>IFERROR(T332/T445, "NA")</f>
        <v>0</v>
      </c>
      <c r="V332" s="9"/>
      <c r="W332" s="10">
        <f t="shared" si="82"/>
        <v>0</v>
      </c>
      <c r="X332" s="8">
        <f>IFERROR(W332/W445, "NA")</f>
        <v>0</v>
      </c>
      <c r="Y332" s="9"/>
      <c r="Z332" s="7">
        <v>0</v>
      </c>
      <c r="AA332" s="8">
        <f>IFERROR(Z332/Z445, "NA")</f>
        <v>0</v>
      </c>
      <c r="AB332" s="9"/>
      <c r="AC332" s="10">
        <f t="shared" si="83"/>
        <v>0</v>
      </c>
      <c r="AD332" s="8">
        <f>IFERROR(AC332/AC445, "NA")</f>
        <v>0</v>
      </c>
    </row>
    <row r="333" spans="1:30" ht="16.5" hidden="1" customHeight="1" x14ac:dyDescent="0.45">
      <c r="A333" s="6" t="s">
        <v>304</v>
      </c>
      <c r="B333" s="7">
        <v>0</v>
      </c>
      <c r="C333" s="8">
        <f>IFERROR(B333/B445, "NA")</f>
        <v>0</v>
      </c>
      <c r="D333" s="9"/>
      <c r="E333" s="7">
        <v>0</v>
      </c>
      <c r="F333" s="8">
        <f>IFERROR(E333/E445, "NA")</f>
        <v>0</v>
      </c>
      <c r="G333" s="9"/>
      <c r="H333" s="10">
        <f t="shared" si="80"/>
        <v>0</v>
      </c>
      <c r="I333" s="8">
        <f>IFERROR(H333/H445, "NA")</f>
        <v>0</v>
      </c>
      <c r="J333" s="9"/>
      <c r="K333" s="7">
        <v>0</v>
      </c>
      <c r="L333" s="8">
        <f>IFERROR(K333/K445, "NA")</f>
        <v>0</v>
      </c>
      <c r="M333" s="9"/>
      <c r="N333" s="10">
        <f t="shared" si="81"/>
        <v>0</v>
      </c>
      <c r="O333" s="8">
        <f>IFERROR(N333/N445, "NA")</f>
        <v>0</v>
      </c>
      <c r="P333" s="9"/>
      <c r="Q333" s="7">
        <v>0</v>
      </c>
      <c r="R333" s="8">
        <f>IFERROR(Q333/Q445, "NA")</f>
        <v>0</v>
      </c>
      <c r="S333" s="9"/>
      <c r="T333" s="7">
        <v>0</v>
      </c>
      <c r="U333" s="8">
        <f>IFERROR(T333/T445, "NA")</f>
        <v>0</v>
      </c>
      <c r="V333" s="9"/>
      <c r="W333" s="10">
        <f t="shared" si="82"/>
        <v>0</v>
      </c>
      <c r="X333" s="8">
        <f>IFERROR(W333/W445, "NA")</f>
        <v>0</v>
      </c>
      <c r="Y333" s="9"/>
      <c r="Z333" s="7">
        <v>0</v>
      </c>
      <c r="AA333" s="8">
        <f>IFERROR(Z333/Z445, "NA")</f>
        <v>0</v>
      </c>
      <c r="AB333" s="9"/>
      <c r="AC333" s="10">
        <f t="shared" si="83"/>
        <v>0</v>
      </c>
      <c r="AD333" s="8">
        <f>IFERROR(AC333/AC445, "NA")</f>
        <v>0</v>
      </c>
    </row>
    <row r="334" spans="1:30" ht="16.5" customHeight="1" x14ac:dyDescent="0.45">
      <c r="A334" s="6" t="s">
        <v>305</v>
      </c>
      <c r="B334" s="7">
        <v>1757.95</v>
      </c>
      <c r="C334" s="8">
        <f>IFERROR(B334/B445, "NA")</f>
        <v>1.5138652645705495E-2</v>
      </c>
      <c r="D334" s="9"/>
      <c r="E334" s="7">
        <v>856</v>
      </c>
      <c r="F334" s="8">
        <f>IFERROR(E334/E445, "NA")</f>
        <v>6.8248169159146679E-3</v>
      </c>
      <c r="G334" s="9"/>
      <c r="H334" s="10">
        <f t="shared" si="80"/>
        <v>-901.95</v>
      </c>
      <c r="I334" s="8">
        <f>IFERROR(H334/H445, "NA")</f>
        <v>9.6970003214594022E-2</v>
      </c>
      <c r="J334" s="9"/>
      <c r="K334" s="7">
        <v>855.93</v>
      </c>
      <c r="L334" s="8">
        <f>IFERROR(K334/K445, "NA")</f>
        <v>7.4418535904228721E-3</v>
      </c>
      <c r="M334" s="9"/>
      <c r="N334" s="10">
        <f t="shared" si="81"/>
        <v>-902.0200000000001</v>
      </c>
      <c r="O334" s="8">
        <f>IFERROR(N334/N445, "NA")</f>
        <v>-0.81440618284909327</v>
      </c>
      <c r="P334" s="9"/>
      <c r="Q334" s="7">
        <v>5181.67</v>
      </c>
      <c r="R334" s="8">
        <f>IFERROR(Q334/Q445, "NA")</f>
        <v>9.8183990211596177E-3</v>
      </c>
      <c r="S334" s="9"/>
      <c r="T334" s="7">
        <v>4280</v>
      </c>
      <c r="U334" s="8">
        <f>IFERROR(T334/T445, "NA")</f>
        <v>7.1977989803409612E-3</v>
      </c>
      <c r="V334" s="9"/>
      <c r="W334" s="10">
        <f t="shared" si="82"/>
        <v>-901.67000000000007</v>
      </c>
      <c r="X334" s="8">
        <f>IFERROR(W334/W445, "NA")</f>
        <v>1.3482873549107368E-2</v>
      </c>
      <c r="Y334" s="9"/>
      <c r="Z334" s="7">
        <v>4184.3599999999997</v>
      </c>
      <c r="AA334" s="8">
        <f>IFERROR(Z334/Z445, "NA")</f>
        <v>7.52897799876074E-3</v>
      </c>
      <c r="AB334" s="9"/>
      <c r="AC334" s="10">
        <f t="shared" si="83"/>
        <v>-997.3100000000004</v>
      </c>
      <c r="AD334" s="8">
        <f>IFERROR(AC334/AC445, "NA")</f>
        <v>3.5597466048360463E-2</v>
      </c>
    </row>
    <row r="335" spans="1:30" ht="16.5" customHeight="1" x14ac:dyDescent="0.45">
      <c r="A335" s="6" t="s">
        <v>306</v>
      </c>
      <c r="B335" s="7">
        <v>-1544.55</v>
      </c>
      <c r="C335" s="8">
        <f>IFERROR(B335/B445, "NA")</f>
        <v>-1.3300950507081783E-2</v>
      </c>
      <c r="D335" s="9"/>
      <c r="E335" s="7">
        <v>-1544.55</v>
      </c>
      <c r="F335" s="8">
        <f>IFERROR(E335/E445, "NA")</f>
        <v>-1.2314568887238317E-2</v>
      </c>
      <c r="G335" s="9"/>
      <c r="H335" s="10">
        <f t="shared" si="80"/>
        <v>0</v>
      </c>
      <c r="I335" s="8">
        <f>IFERROR(H335/H445, "NA")</f>
        <v>0</v>
      </c>
      <c r="J335" s="9"/>
      <c r="K335" s="7">
        <v>-1506.87</v>
      </c>
      <c r="L335" s="8">
        <f>IFERROR(K335/K445, "NA")</f>
        <v>-1.3101428761464739E-2</v>
      </c>
      <c r="M335" s="9"/>
      <c r="N335" s="10">
        <f t="shared" si="81"/>
        <v>37.680000000000064</v>
      </c>
      <c r="O335" s="8">
        <f>IFERROR(N335/N445, "NA")</f>
        <v>3.4020115928420525E-2</v>
      </c>
      <c r="P335" s="9"/>
      <c r="Q335" s="7">
        <v>-3089.1</v>
      </c>
      <c r="R335" s="8">
        <f>IFERROR(Q335/Q445, "NA")</f>
        <v>-5.8533284474434257E-3</v>
      </c>
      <c r="S335" s="9"/>
      <c r="T335" s="7">
        <v>-3089.1</v>
      </c>
      <c r="U335" s="8">
        <f>IFERROR(T335/T445, "NA")</f>
        <v>-5.1950282313484256E-3</v>
      </c>
      <c r="V335" s="9"/>
      <c r="W335" s="10">
        <f t="shared" si="82"/>
        <v>0</v>
      </c>
      <c r="X335" s="8">
        <f>IFERROR(W335/W445, "NA")</f>
        <v>0</v>
      </c>
      <c r="Y335" s="9"/>
      <c r="Z335" s="7">
        <v>-3013.74</v>
      </c>
      <c r="AA335" s="8">
        <f>IFERROR(Z335/Z445, "NA")</f>
        <v>-5.4226649126712795E-3</v>
      </c>
      <c r="AB335" s="9"/>
      <c r="AC335" s="10">
        <f t="shared" si="83"/>
        <v>75.360000000000127</v>
      </c>
      <c r="AD335" s="8">
        <f>IFERROR(AC335/AC445, "NA")</f>
        <v>-2.689860766867321E-3</v>
      </c>
    </row>
    <row r="336" spans="1:30" ht="16.5" hidden="1" customHeight="1" x14ac:dyDescent="0.45">
      <c r="A336" s="6" t="s">
        <v>307</v>
      </c>
      <c r="B336" s="7">
        <v>0</v>
      </c>
      <c r="C336" s="8">
        <f>IFERROR(B336/B445, "NA")</f>
        <v>0</v>
      </c>
      <c r="D336" s="9"/>
      <c r="E336" s="7">
        <v>0</v>
      </c>
      <c r="F336" s="8">
        <f>IFERROR(E336/E445, "NA")</f>
        <v>0</v>
      </c>
      <c r="G336" s="9"/>
      <c r="H336" s="10">
        <f t="shared" si="80"/>
        <v>0</v>
      </c>
      <c r="I336" s="8">
        <f>IFERROR(H336/H445, "NA")</f>
        <v>0</v>
      </c>
      <c r="J336" s="9"/>
      <c r="K336" s="7">
        <v>0</v>
      </c>
      <c r="L336" s="8">
        <f>IFERROR(K336/K445, "NA")</f>
        <v>0</v>
      </c>
      <c r="M336" s="9"/>
      <c r="N336" s="10">
        <f t="shared" si="81"/>
        <v>0</v>
      </c>
      <c r="O336" s="8">
        <f>IFERROR(N336/N445, "NA")</f>
        <v>0</v>
      </c>
      <c r="P336" s="9"/>
      <c r="Q336" s="7">
        <v>0</v>
      </c>
      <c r="R336" s="8">
        <f>IFERROR(Q336/Q445, "NA")</f>
        <v>0</v>
      </c>
      <c r="S336" s="9"/>
      <c r="T336" s="7">
        <v>0</v>
      </c>
      <c r="U336" s="8">
        <f>IFERROR(T336/T445, "NA")</f>
        <v>0</v>
      </c>
      <c r="V336" s="9"/>
      <c r="W336" s="10">
        <f t="shared" si="82"/>
        <v>0</v>
      </c>
      <c r="X336" s="8">
        <f>IFERROR(W336/W445, "NA")</f>
        <v>0</v>
      </c>
      <c r="Y336" s="9"/>
      <c r="Z336" s="7">
        <v>0</v>
      </c>
      <c r="AA336" s="8">
        <f>IFERROR(Z336/Z445, "NA")</f>
        <v>0</v>
      </c>
      <c r="AB336" s="9"/>
      <c r="AC336" s="10">
        <f t="shared" si="83"/>
        <v>0</v>
      </c>
      <c r="AD336" s="8">
        <f>IFERROR(AC336/AC445, "NA")</f>
        <v>0</v>
      </c>
    </row>
    <row r="337" spans="1:30" ht="16.5" customHeight="1" x14ac:dyDescent="0.45">
      <c r="A337" s="11" t="s">
        <v>308</v>
      </c>
      <c r="B337" s="2"/>
      <c r="C337" s="3"/>
      <c r="D337" s="4"/>
      <c r="E337" s="2"/>
      <c r="F337" s="3"/>
      <c r="G337" s="4"/>
      <c r="H337" s="2"/>
      <c r="I337" s="3"/>
      <c r="J337" s="4"/>
      <c r="K337" s="2"/>
      <c r="L337" s="3"/>
      <c r="M337" s="4"/>
      <c r="N337" s="2"/>
      <c r="O337" s="3"/>
      <c r="P337" s="4"/>
      <c r="Q337" s="2"/>
      <c r="R337" s="3"/>
      <c r="S337" s="4"/>
      <c r="T337" s="2"/>
      <c r="U337" s="3"/>
      <c r="V337" s="4"/>
      <c r="W337" s="2"/>
      <c r="X337" s="3"/>
      <c r="Y337" s="4"/>
      <c r="Z337" s="2"/>
      <c r="AA337" s="3"/>
      <c r="AB337" s="4"/>
      <c r="AC337" s="2"/>
      <c r="AD337" s="3"/>
    </row>
    <row r="338" spans="1:30" ht="16.5" hidden="1" customHeight="1" x14ac:dyDescent="0.45">
      <c r="A338" s="12" t="s">
        <v>308</v>
      </c>
      <c r="B338" s="7">
        <v>0</v>
      </c>
      <c r="C338" s="8">
        <f>IFERROR(B338/B445, "NA")</f>
        <v>0</v>
      </c>
      <c r="D338" s="9"/>
      <c r="E338" s="7">
        <v>0</v>
      </c>
      <c r="F338" s="8">
        <f>IFERROR(E338/E445, "NA")</f>
        <v>0</v>
      </c>
      <c r="G338" s="9"/>
      <c r="H338" s="10">
        <f t="shared" ref="H338:H345" si="84">IFERROR(-(B338-E338), "NA")</f>
        <v>0</v>
      </c>
      <c r="I338" s="8">
        <f>IFERROR(H338/H445, "NA")</f>
        <v>0</v>
      </c>
      <c r="J338" s="9"/>
      <c r="K338" s="7">
        <v>0</v>
      </c>
      <c r="L338" s="8">
        <f>IFERROR(K338/K445, "NA")</f>
        <v>0</v>
      </c>
      <c r="M338" s="9"/>
      <c r="N338" s="10">
        <f t="shared" ref="N338:N345" si="85">IFERROR(-(B338-K338), "NA")</f>
        <v>0</v>
      </c>
      <c r="O338" s="8">
        <f>IFERROR(N338/N445, "NA")</f>
        <v>0</v>
      </c>
      <c r="P338" s="9"/>
      <c r="Q338" s="7">
        <v>0</v>
      </c>
      <c r="R338" s="8">
        <f>IFERROR(Q338/Q445, "NA")</f>
        <v>0</v>
      </c>
      <c r="S338" s="9"/>
      <c r="T338" s="7">
        <v>0</v>
      </c>
      <c r="U338" s="8">
        <f>IFERROR(T338/T445, "NA")</f>
        <v>0</v>
      </c>
      <c r="V338" s="9"/>
      <c r="W338" s="10">
        <f t="shared" ref="W338:W345" si="86">IFERROR(-(Q338-T338), "NA")</f>
        <v>0</v>
      </c>
      <c r="X338" s="8">
        <f>IFERROR(W338/W445, "NA")</f>
        <v>0</v>
      </c>
      <c r="Y338" s="9"/>
      <c r="Z338" s="7">
        <v>0</v>
      </c>
      <c r="AA338" s="8">
        <f>IFERROR(Z338/Z445, "NA")</f>
        <v>0</v>
      </c>
      <c r="AB338" s="9"/>
      <c r="AC338" s="10">
        <f t="shared" ref="AC338:AC345" si="87">IFERROR(-(Q338-Z338), "NA")</f>
        <v>0</v>
      </c>
      <c r="AD338" s="8">
        <f>IFERROR(AC338/AC445, "NA")</f>
        <v>0</v>
      </c>
    </row>
    <row r="339" spans="1:30" ht="16.5" customHeight="1" x14ac:dyDescent="0.45">
      <c r="A339" s="12" t="s">
        <v>309</v>
      </c>
      <c r="B339" s="7">
        <v>2055.65</v>
      </c>
      <c r="C339" s="8">
        <f>IFERROR(B339/B445, "NA")</f>
        <v>1.7702307409849259E-2</v>
      </c>
      <c r="D339" s="9"/>
      <c r="E339" s="7">
        <v>2633.92</v>
      </c>
      <c r="F339" s="8">
        <f>IFERROR(E339/E445, "NA")</f>
        <v>2.1000025433605095E-2</v>
      </c>
      <c r="G339" s="9"/>
      <c r="H339" s="10">
        <f t="shared" si="84"/>
        <v>578.27</v>
      </c>
      <c r="I339" s="8">
        <f>IFERROR(H339/H445, "NA")</f>
        <v>-6.2170678816900367E-2</v>
      </c>
      <c r="J339" s="9"/>
      <c r="K339" s="7">
        <v>2110.5</v>
      </c>
      <c r="L339" s="8">
        <f>IFERROR(K339/K445, "NA")</f>
        <v>1.8349668784348572E-2</v>
      </c>
      <c r="M339" s="9"/>
      <c r="N339" s="10">
        <f t="shared" si="85"/>
        <v>54.849999999999909</v>
      </c>
      <c r="O339" s="8">
        <f>IFERROR(N339/N445, "NA")</f>
        <v>4.9522382130410283E-2</v>
      </c>
      <c r="P339" s="9"/>
      <c r="Q339" s="7">
        <v>9994.73</v>
      </c>
      <c r="R339" s="8">
        <f>IFERROR(Q339/Q445, "NA")</f>
        <v>1.8938343670815521E-2</v>
      </c>
      <c r="S339" s="9"/>
      <c r="T339" s="7">
        <v>12487.15</v>
      </c>
      <c r="U339" s="8">
        <f>IFERROR(T339/T445, "NA")</f>
        <v>2.0999998957328184E-2</v>
      </c>
      <c r="V339" s="9"/>
      <c r="W339" s="10">
        <f t="shared" si="86"/>
        <v>2492.42</v>
      </c>
      <c r="X339" s="8">
        <f>IFERROR(W339/W445, "NA")</f>
        <v>-3.7269714741830363E-2</v>
      </c>
      <c r="Y339" s="9"/>
      <c r="Z339" s="7">
        <v>9562.92</v>
      </c>
      <c r="AA339" s="8">
        <f>IFERROR(Z339/Z445, "NA")</f>
        <v>1.7206696910377947E-2</v>
      </c>
      <c r="AB339" s="9"/>
      <c r="AC339" s="10">
        <f t="shared" si="87"/>
        <v>-431.80999999999949</v>
      </c>
      <c r="AD339" s="8">
        <f>IFERROR(AC339/AC445, "NA")</f>
        <v>1.5412802252401468E-2</v>
      </c>
    </row>
    <row r="340" spans="1:30" ht="16.5" customHeight="1" x14ac:dyDescent="0.45">
      <c r="A340" s="12" t="s">
        <v>310</v>
      </c>
      <c r="B340" s="7">
        <v>814.31</v>
      </c>
      <c r="C340" s="8">
        <f>IFERROR(B340/B445, "NA")</f>
        <v>7.0124612394689501E-3</v>
      </c>
      <c r="D340" s="9"/>
      <c r="E340" s="7">
        <v>877.97</v>
      </c>
      <c r="F340" s="8">
        <f>IFERROR(E340/E445, "NA")</f>
        <v>6.9999819014785062E-3</v>
      </c>
      <c r="G340" s="9"/>
      <c r="H340" s="10">
        <f t="shared" si="84"/>
        <v>63.660000000000082</v>
      </c>
      <c r="I340" s="8">
        <f>IFERROR(H340/H445, "NA")</f>
        <v>-6.8441824986319238E-3</v>
      </c>
      <c r="J340" s="9"/>
      <c r="K340" s="7">
        <v>699.76</v>
      </c>
      <c r="L340" s="8">
        <f>IFERROR(K340/K445, "NA")</f>
        <v>6.0840389616374111E-3</v>
      </c>
      <c r="M340" s="9"/>
      <c r="N340" s="10">
        <f t="shared" si="85"/>
        <v>-114.54999999999995</v>
      </c>
      <c r="O340" s="8">
        <f>IFERROR(N340/N445, "NA")</f>
        <v>-0.10342368045649053</v>
      </c>
      <c r="P340" s="9"/>
      <c r="Q340" s="7">
        <v>5320.93</v>
      </c>
      <c r="R340" s="8">
        <f>IFERROR(Q340/Q445, "NA")</f>
        <v>1.0082273456947056E-2</v>
      </c>
      <c r="S340" s="9"/>
      <c r="T340" s="7">
        <v>4162.38</v>
      </c>
      <c r="U340" s="8">
        <f>IFERROR(T340/T445, "NA")</f>
        <v>6.9999940466802827E-3</v>
      </c>
      <c r="V340" s="9"/>
      <c r="W340" s="10">
        <f t="shared" si="86"/>
        <v>-1158.5500000000002</v>
      </c>
      <c r="X340" s="8">
        <f>IFERROR(W340/W445, "NA")</f>
        <v>1.7324057748753251E-2</v>
      </c>
      <c r="Y340" s="9"/>
      <c r="Z340" s="7">
        <v>5387.93</v>
      </c>
      <c r="AA340" s="8">
        <f>IFERROR(Z340/Z445, "NA")</f>
        <v>9.6945784848490469E-3</v>
      </c>
      <c r="AB340" s="9"/>
      <c r="AC340" s="10">
        <f t="shared" si="87"/>
        <v>67</v>
      </c>
      <c r="AD340" s="8">
        <f>IFERROR(AC340/AC445, "NA")</f>
        <v>-2.3914632614133518E-3</v>
      </c>
    </row>
    <row r="341" spans="1:30" ht="16.5" customHeight="1" x14ac:dyDescent="0.45">
      <c r="A341" s="12" t="s">
        <v>311</v>
      </c>
      <c r="B341" s="7">
        <v>808.22</v>
      </c>
      <c r="C341" s="8">
        <f>IFERROR(B341/B445, "NA")</f>
        <v>6.960016975063054E-3</v>
      </c>
      <c r="D341" s="9"/>
      <c r="E341" s="7">
        <v>877.97</v>
      </c>
      <c r="F341" s="8">
        <f>IFERROR(E341/E445, "NA")</f>
        <v>6.9999819014785062E-3</v>
      </c>
      <c r="G341" s="9"/>
      <c r="H341" s="10">
        <f t="shared" si="84"/>
        <v>69.75</v>
      </c>
      <c r="I341" s="8">
        <f>IFERROR(H341/H445, "NA")</f>
        <v>-7.4989275727234692E-3</v>
      </c>
      <c r="J341" s="9"/>
      <c r="K341" s="7">
        <v>780.33</v>
      </c>
      <c r="L341" s="8">
        <f>IFERROR(K341/K445, "NA")</f>
        <v>6.7845520220282977E-3</v>
      </c>
      <c r="M341" s="9"/>
      <c r="N341" s="10">
        <f t="shared" si="85"/>
        <v>-27.889999999999986</v>
      </c>
      <c r="O341" s="8">
        <f>IFERROR(N341/N445, "NA")</f>
        <v>-2.5181025298398257E-2</v>
      </c>
      <c r="P341" s="9"/>
      <c r="Q341" s="7">
        <v>4126.8</v>
      </c>
      <c r="R341" s="8">
        <f>IFERROR(Q341/Q445, "NA")</f>
        <v>7.8195965934769133E-3</v>
      </c>
      <c r="S341" s="9"/>
      <c r="T341" s="7">
        <v>4162.38</v>
      </c>
      <c r="U341" s="8">
        <f>IFERROR(T341/T445, "NA")</f>
        <v>6.9999940466802827E-3</v>
      </c>
      <c r="V341" s="9"/>
      <c r="W341" s="10">
        <f t="shared" si="86"/>
        <v>35.579999999999927</v>
      </c>
      <c r="X341" s="8">
        <f>IFERROR(W341/W445, "NA")</f>
        <v>-5.3203571248598616E-4</v>
      </c>
      <c r="Y341" s="9"/>
      <c r="Z341" s="7">
        <v>4399.88</v>
      </c>
      <c r="AA341" s="8">
        <f>IFERROR(Z341/Z445, "NA")</f>
        <v>7.9167661762342169E-3</v>
      </c>
      <c r="AB341" s="9"/>
      <c r="AC341" s="10">
        <f t="shared" si="87"/>
        <v>273.07999999999993</v>
      </c>
      <c r="AD341" s="8">
        <f>IFERROR(AC341/AC445, "NA")</f>
        <v>-9.7471759317426573E-3</v>
      </c>
    </row>
    <row r="342" spans="1:30" ht="16.5" customHeight="1" x14ac:dyDescent="0.45">
      <c r="A342" s="12" t="s">
        <v>312</v>
      </c>
      <c r="B342" s="7">
        <v>1066.19</v>
      </c>
      <c r="C342" s="8">
        <f>IFERROR(B342/B445, "NA")</f>
        <v>9.1815353476064412E-3</v>
      </c>
      <c r="D342" s="9"/>
      <c r="E342" s="7">
        <v>1128.82</v>
      </c>
      <c r="F342" s="8">
        <f>IFERROR(E342/E445, "NA")</f>
        <v>8.9999881203537326E-3</v>
      </c>
      <c r="G342" s="9"/>
      <c r="H342" s="10">
        <f t="shared" si="84"/>
        <v>62.629999999999882</v>
      </c>
      <c r="I342" s="8">
        <f>IFERROR(H342/H445, "NA")</f>
        <v>-6.7334456470203585E-3</v>
      </c>
      <c r="J342" s="9"/>
      <c r="K342" s="7">
        <v>1031.99</v>
      </c>
      <c r="L342" s="8">
        <f>IFERROR(K342/K445, "NA")</f>
        <v>8.9726011318454792E-3</v>
      </c>
      <c r="M342" s="9"/>
      <c r="N342" s="10">
        <f t="shared" si="85"/>
        <v>-34.200000000000045</v>
      </c>
      <c r="O342" s="8">
        <f>IFERROR(N342/N445, "NA")</f>
        <v>-3.0878130699362568E-2</v>
      </c>
      <c r="P342" s="9"/>
      <c r="Q342" s="7">
        <v>5262.55</v>
      </c>
      <c r="R342" s="8">
        <f>IFERROR(Q342/Q445, "NA")</f>
        <v>9.9716531096738208E-3</v>
      </c>
      <c r="S342" s="9"/>
      <c r="T342" s="7">
        <v>5351.64</v>
      </c>
      <c r="U342" s="8">
        <f>IFERROR(T342/T445, "NA")</f>
        <v>9.0000067605495102E-3</v>
      </c>
      <c r="V342" s="9"/>
      <c r="W342" s="10">
        <f t="shared" si="86"/>
        <v>89.090000000000146</v>
      </c>
      <c r="X342" s="8">
        <f>IFERROR(W342/W445, "NA")</f>
        <v>-1.3321827325850669E-3</v>
      </c>
      <c r="Y342" s="9"/>
      <c r="Z342" s="7">
        <v>5122.2700000000004</v>
      </c>
      <c r="AA342" s="8">
        <f>IFERROR(Z342/Z445, "NA")</f>
        <v>9.216572697787041E-3</v>
      </c>
      <c r="AB342" s="9"/>
      <c r="AC342" s="10">
        <f t="shared" si="87"/>
        <v>-140.27999999999975</v>
      </c>
      <c r="AD342" s="8">
        <f>IFERROR(AC342/AC445, "NA")</f>
        <v>5.0070815867323043E-3</v>
      </c>
    </row>
    <row r="343" spans="1:30" ht="16.5" customHeight="1" x14ac:dyDescent="0.45">
      <c r="A343" s="13" t="s">
        <v>313</v>
      </c>
      <c r="B343" s="14">
        <f>IFERROR(B338+B339+B340+B341+B342, "NA")</f>
        <v>4744.3700000000008</v>
      </c>
      <c r="C343" s="15">
        <f>IFERROR(B343/B445, "NA")</f>
        <v>4.0856320971987707E-2</v>
      </c>
      <c r="D343" s="2"/>
      <c r="E343" s="14">
        <f>IFERROR(E338+E339+E340+E341+E342, "NA")</f>
        <v>5518.68</v>
      </c>
      <c r="F343" s="15">
        <f>IFERROR(E343/E445, "NA")</f>
        <v>4.399997735691584E-2</v>
      </c>
      <c r="G343" s="2"/>
      <c r="H343" s="14">
        <f t="shared" si="84"/>
        <v>774.30999999999949</v>
      </c>
      <c r="I343" s="15">
        <f>IFERROR(H343/H445, "NA")</f>
        <v>-8.3247234535276063E-2</v>
      </c>
      <c r="J343" s="2"/>
      <c r="K343" s="14">
        <f>IFERROR(K338+K339+K340+K341+K342, "NA")</f>
        <v>4622.58</v>
      </c>
      <c r="L343" s="15">
        <f>IFERROR(K343/K445, "NA")</f>
        <v>4.0190860899859758E-2</v>
      </c>
      <c r="M343" s="2"/>
      <c r="N343" s="14">
        <f t="shared" si="85"/>
        <v>-121.79000000000087</v>
      </c>
      <c r="O343" s="15">
        <f>IFERROR(N343/N445, "NA")</f>
        <v>-0.10996045432384179</v>
      </c>
      <c r="P343" s="2"/>
      <c r="Q343" s="14">
        <f>IFERROR(Q338+Q339+Q340+Q341+Q342, "NA")</f>
        <v>24705.01</v>
      </c>
      <c r="R343" s="15">
        <f>IFERROR(Q343/Q445, "NA")</f>
        <v>4.6811866830913311E-2</v>
      </c>
      <c r="S343" s="2"/>
      <c r="T343" s="14">
        <f>IFERROR(T338+T339+T340+T341+T342, "NA")</f>
        <v>26163.55</v>
      </c>
      <c r="U343" s="15">
        <f>IFERROR(T343/T445, "NA")</f>
        <v>4.3999993811238258E-2</v>
      </c>
      <c r="V343" s="2"/>
      <c r="W343" s="14">
        <f t="shared" si="86"/>
        <v>1458.5400000000009</v>
      </c>
      <c r="X343" s="15">
        <f>IFERROR(W343/W445, "NA")</f>
        <v>-2.180987543814818E-2</v>
      </c>
      <c r="Y343" s="2"/>
      <c r="Z343" s="14">
        <f>IFERROR(Z338+Z339+Z340+Z341+Z342, "NA")</f>
        <v>24473</v>
      </c>
      <c r="AA343" s="15">
        <f>IFERROR(Z343/Z445, "NA")</f>
        <v>4.4034614269248248E-2</v>
      </c>
      <c r="AB343" s="2"/>
      <c r="AC343" s="14">
        <f t="shared" si="87"/>
        <v>-232.0099999999984</v>
      </c>
      <c r="AD343" s="15">
        <f>IFERROR(AC343/AC445, "NA")</f>
        <v>8.2812446459777315E-3</v>
      </c>
    </row>
    <row r="344" spans="1:30" ht="16.5" customHeight="1" x14ac:dyDescent="0.45">
      <c r="A344" s="19" t="s">
        <v>314</v>
      </c>
      <c r="B344" s="14">
        <f>IFERROR(B329+B330+B331+B332+B333+B334+B335+B336+B338+B339+B340+B341+B342, "NA")</f>
        <v>25542.090000000004</v>
      </c>
      <c r="C344" s="15">
        <f>IFERROR(B344/B445, "NA")</f>
        <v>0.2199566701870633</v>
      </c>
      <c r="D344" s="2"/>
      <c r="E344" s="14">
        <f>IFERROR(E329+E330+E331+E332+E333+E334+E335+E336+E338+E339+E340+E341+E342, "NA")</f>
        <v>25547.68</v>
      </c>
      <c r="F344" s="15">
        <f>IFERROR(E344/E445, "NA")</f>
        <v>0.20368953110557808</v>
      </c>
      <c r="G344" s="2"/>
      <c r="H344" s="14">
        <f t="shared" si="84"/>
        <v>5.5899999999965075</v>
      </c>
      <c r="I344" s="15">
        <f>IFERROR(H344/H445, "NA")</f>
        <v>-6.0098932088169178E-4</v>
      </c>
      <c r="J344" s="2"/>
      <c r="K344" s="14">
        <f>IFERROR(K329+K330+K331+K332+K333+K334+K335+K336+K338+K339+K340+K341+K342, "NA")</f>
        <v>24521.650000000005</v>
      </c>
      <c r="L344" s="15">
        <f>IFERROR(K344/K445, "NA")</f>
        <v>0.21320263233628109</v>
      </c>
      <c r="M344" s="2"/>
      <c r="N344" s="14">
        <f t="shared" si="85"/>
        <v>-1020.4399999999987</v>
      </c>
      <c r="O344" s="15">
        <f>IFERROR(N344/N445, "NA")</f>
        <v>-0.92132396756893142</v>
      </c>
      <c r="P344" s="2"/>
      <c r="Q344" s="14">
        <f>IFERROR(Q329+Q330+Q331+Q332+Q333+Q334+Q335+Q336+Q338+Q339+Q340+Q341+Q342, "NA")</f>
        <v>130252.1</v>
      </c>
      <c r="R344" s="15">
        <f>IFERROR(Q344/Q445, "NA")</f>
        <v>0.24680597011079144</v>
      </c>
      <c r="S344" s="2"/>
      <c r="T344" s="14">
        <f>IFERROR(T329+T330+T331+T332+T333+T334+T335+T336+T338+T339+T340+T341+T342, "NA")</f>
        <v>130942.2</v>
      </c>
      <c r="U344" s="15">
        <f>IFERROR(T344/T445, "NA")</f>
        <v>0.22020926019710332</v>
      </c>
      <c r="V344" s="2"/>
      <c r="W344" s="14">
        <f t="shared" si="86"/>
        <v>690.09999999999127</v>
      </c>
      <c r="X344" s="15">
        <f>IFERROR(W344/W445, "NA")</f>
        <v>-1.031921993216906E-2</v>
      </c>
      <c r="Y344" s="2"/>
      <c r="Z344" s="14">
        <f>IFERROR(Z329+Z330+Z331+Z332+Z333+Z334+Z335+Z336+Z338+Z339+Z340+Z341+Z342, "NA")</f>
        <v>127106.83</v>
      </c>
      <c r="AA344" s="15">
        <f>IFERROR(Z344/Z445, "NA")</f>
        <v>0.22870511298316151</v>
      </c>
      <c r="AB344" s="2"/>
      <c r="AC344" s="14">
        <f t="shared" si="87"/>
        <v>-3145.2700000000041</v>
      </c>
      <c r="AD344" s="15">
        <f>IFERROR(AC344/AC445, "NA")</f>
        <v>0.11226563660038184</v>
      </c>
    </row>
    <row r="345" spans="1:30" ht="16.5" customHeight="1" x14ac:dyDescent="0.45">
      <c r="A345" s="21" t="s">
        <v>315</v>
      </c>
      <c r="B345" s="14">
        <f>IFERROR(B329+B330+B331+B332+B333+B334+B335+B336+B338+B339+B340+B341+B342, "NA")</f>
        <v>25542.090000000004</v>
      </c>
      <c r="C345" s="15">
        <f>IFERROR(B345/B445, "NA")</f>
        <v>0.2199566701870633</v>
      </c>
      <c r="D345" s="2"/>
      <c r="E345" s="14">
        <f>IFERROR(E329+E330+E331+E332+E333+E334+E335+E336+E338+E339+E340+E341+E342, "NA")</f>
        <v>25547.68</v>
      </c>
      <c r="F345" s="15">
        <f>IFERROR(E345/E445, "NA")</f>
        <v>0.20368953110557808</v>
      </c>
      <c r="G345" s="2"/>
      <c r="H345" s="14">
        <f t="shared" si="84"/>
        <v>5.5899999999965075</v>
      </c>
      <c r="I345" s="15">
        <f>IFERROR(H345/H445, "NA")</f>
        <v>-6.0098932088169178E-4</v>
      </c>
      <c r="J345" s="2"/>
      <c r="K345" s="14">
        <f>IFERROR(K329+K330+K331+K332+K333+K334+K335+K336+K338+K339+K340+K341+K342, "NA")</f>
        <v>24521.650000000005</v>
      </c>
      <c r="L345" s="15">
        <f>IFERROR(K345/K445, "NA")</f>
        <v>0.21320263233628109</v>
      </c>
      <c r="M345" s="2"/>
      <c r="N345" s="14">
        <f t="shared" si="85"/>
        <v>-1020.4399999999987</v>
      </c>
      <c r="O345" s="15">
        <f>IFERROR(N345/N445, "NA")</f>
        <v>-0.92132396756893142</v>
      </c>
      <c r="P345" s="2"/>
      <c r="Q345" s="14">
        <f>IFERROR(Q329+Q330+Q331+Q332+Q333+Q334+Q335+Q336+Q338+Q339+Q340+Q341+Q342, "NA")</f>
        <v>130252.1</v>
      </c>
      <c r="R345" s="15">
        <f>IFERROR(Q345/Q445, "NA")</f>
        <v>0.24680597011079144</v>
      </c>
      <c r="S345" s="2"/>
      <c r="T345" s="14">
        <f>IFERROR(T329+T330+T331+T332+T333+T334+T335+T336+T338+T339+T340+T341+T342, "NA")</f>
        <v>130942.2</v>
      </c>
      <c r="U345" s="15">
        <f>IFERROR(T345/T445, "NA")</f>
        <v>0.22020926019710332</v>
      </c>
      <c r="V345" s="2"/>
      <c r="W345" s="14">
        <f t="shared" si="86"/>
        <v>690.09999999999127</v>
      </c>
      <c r="X345" s="15">
        <f>IFERROR(W345/W445, "NA")</f>
        <v>-1.031921993216906E-2</v>
      </c>
      <c r="Y345" s="2"/>
      <c r="Z345" s="14">
        <f>IFERROR(Z329+Z330+Z331+Z332+Z333+Z334+Z335+Z336+Z338+Z339+Z340+Z341+Z342, "NA")</f>
        <v>127106.83</v>
      </c>
      <c r="AA345" s="15">
        <f>IFERROR(Z345/Z445, "NA")</f>
        <v>0.22870511298316151</v>
      </c>
      <c r="AB345" s="2"/>
      <c r="AC345" s="14">
        <f t="shared" si="87"/>
        <v>-3145.2700000000041</v>
      </c>
      <c r="AD345" s="15">
        <f>IFERROR(AC345/AC445, "NA")</f>
        <v>0.11226563660038184</v>
      </c>
    </row>
    <row r="346" spans="1:30" ht="16.5" customHeight="1" x14ac:dyDescent="0.45">
      <c r="A346" s="22" t="s">
        <v>316</v>
      </c>
      <c r="B346" s="23">
        <f>IFERROR(B198-B326-B345, "NA")</f>
        <v>2017.6800000000039</v>
      </c>
      <c r="C346" s="24">
        <f>IFERROR(B346/B445, "NA")</f>
        <v>1.7375327324546844E-2</v>
      </c>
      <c r="D346" s="25"/>
      <c r="E346" s="23">
        <f>IFERROR(E198-E326-E345, "NA")</f>
        <v>4515.9300000000076</v>
      </c>
      <c r="F346" s="24">
        <f>IFERROR(E346/E445, "NA")</f>
        <v>3.6005134877437589E-2</v>
      </c>
      <c r="G346" s="25"/>
      <c r="H346" s="23">
        <f>IFERROR(B346-E346, "NA")</f>
        <v>-2498.2500000000036</v>
      </c>
      <c r="I346" s="24">
        <f>IFERROR(H346/H445, "NA")</f>
        <v>0.26859062091120334</v>
      </c>
      <c r="J346" s="25"/>
      <c r="K346" s="23">
        <f>IFERROR(K198-K326-K345, "NA")</f>
        <v>-7524.270000000015</v>
      </c>
      <c r="L346" s="24">
        <f>IFERROR(K346/K445, "NA")</f>
        <v>-6.5419503598204545E-2</v>
      </c>
      <c r="M346" s="25"/>
      <c r="N346" s="23">
        <f>IFERROR(B346-K346, "NA")</f>
        <v>9541.9500000000189</v>
      </c>
      <c r="O346" s="24">
        <f>IFERROR(N346/N445, "NA")</f>
        <v>8.6151338955199659</v>
      </c>
      <c r="P346" s="25"/>
      <c r="Q346" s="23">
        <f>IFERROR(Q198-Q326-Q345, "NA")</f>
        <v>-33013.940000000061</v>
      </c>
      <c r="R346" s="24">
        <f>IFERROR(Q346/Q445, "NA")</f>
        <v>-6.2555901124661153E-2</v>
      </c>
      <c r="S346" s="25"/>
      <c r="T346" s="23">
        <f>IFERROR(T198-T326-T345, "NA")</f>
        <v>5806.9600000000937</v>
      </c>
      <c r="U346" s="24">
        <f>IFERROR(T346/T445, "NA")</f>
        <v>9.7657314875891181E-3</v>
      </c>
      <c r="V346" s="25"/>
      <c r="W346" s="23">
        <f>IFERROR(Q346-T346, "NA")</f>
        <v>-38820.900000000154</v>
      </c>
      <c r="X346" s="24">
        <f>IFERROR(W346/W445, "NA")</f>
        <v>0.58049761638131936</v>
      </c>
      <c r="Y346" s="25"/>
      <c r="Z346" s="23">
        <f>IFERROR(Z198-Z326-Z345, "NA")</f>
        <v>-33324.849999999904</v>
      </c>
      <c r="AA346" s="24">
        <f>IFERROR(Z346/Z445, "NA")</f>
        <v>-5.9961872893823945E-2</v>
      </c>
      <c r="AB346" s="25"/>
      <c r="AC346" s="23">
        <f>IFERROR(Q346-Z346, "NA")</f>
        <v>310.90999999984342</v>
      </c>
      <c r="AD346" s="24">
        <f>IFERROR(AC346/AC445, "NA")</f>
        <v>-1.1097460337397773E-2</v>
      </c>
    </row>
    <row r="347" spans="1:30" ht="16.5" customHeight="1" x14ac:dyDescent="0.45">
      <c r="A347" s="1" t="s">
        <v>317</v>
      </c>
      <c r="B347" s="2"/>
      <c r="C347" s="3"/>
      <c r="D347" s="4"/>
      <c r="E347" s="2"/>
      <c r="F347" s="3"/>
      <c r="G347" s="4"/>
      <c r="H347" s="2"/>
      <c r="I347" s="3"/>
      <c r="J347" s="4"/>
      <c r="K347" s="2"/>
      <c r="L347" s="3"/>
      <c r="M347" s="4"/>
      <c r="N347" s="2"/>
      <c r="O347" s="3"/>
      <c r="P347" s="4"/>
      <c r="Q347" s="2"/>
      <c r="R347" s="3"/>
      <c r="S347" s="4"/>
      <c r="T347" s="2"/>
      <c r="U347" s="3"/>
      <c r="V347" s="4"/>
      <c r="W347" s="2"/>
      <c r="X347" s="3"/>
      <c r="Y347" s="4"/>
      <c r="Z347" s="2"/>
      <c r="AA347" s="3"/>
      <c r="AB347" s="4"/>
      <c r="AC347" s="2"/>
      <c r="AD347" s="3"/>
    </row>
    <row r="348" spans="1:30" ht="16.5" hidden="1" customHeight="1" x14ac:dyDescent="0.45">
      <c r="A348" s="20" t="s">
        <v>318</v>
      </c>
      <c r="B348" s="7">
        <v>0</v>
      </c>
      <c r="C348" s="8">
        <f>IFERROR(B348/B445, "NA")</f>
        <v>0</v>
      </c>
      <c r="D348" s="9"/>
      <c r="E348" s="7">
        <v>0</v>
      </c>
      <c r="F348" s="8">
        <f>IFERROR(E348/E445, "NA")</f>
        <v>0</v>
      </c>
      <c r="G348" s="9"/>
      <c r="H348" s="10">
        <f>IFERROR(-(B348-E348), "NA")</f>
        <v>0</v>
      </c>
      <c r="I348" s="8">
        <f>IFERROR(H348/H445, "NA")</f>
        <v>0</v>
      </c>
      <c r="J348" s="9"/>
      <c r="K348" s="7">
        <v>0</v>
      </c>
      <c r="L348" s="8">
        <f>IFERROR(K348/K445, "NA")</f>
        <v>0</v>
      </c>
      <c r="M348" s="9"/>
      <c r="N348" s="10">
        <f>IFERROR(-(B348-K348), "NA")</f>
        <v>0</v>
      </c>
      <c r="O348" s="8">
        <f>IFERROR(N348/N445, "NA")</f>
        <v>0</v>
      </c>
      <c r="P348" s="9"/>
      <c r="Q348" s="7">
        <v>0</v>
      </c>
      <c r="R348" s="8">
        <f>IFERROR(Q348/Q445, "NA")</f>
        <v>0</v>
      </c>
      <c r="S348" s="9"/>
      <c r="T348" s="7">
        <v>0</v>
      </c>
      <c r="U348" s="8">
        <f>IFERROR(T348/T445, "NA")</f>
        <v>0</v>
      </c>
      <c r="V348" s="9"/>
      <c r="W348" s="10">
        <f>IFERROR(-(Q348-T348), "NA")</f>
        <v>0</v>
      </c>
      <c r="X348" s="8">
        <f>IFERROR(W348/W445, "NA")</f>
        <v>0</v>
      </c>
      <c r="Y348" s="9"/>
      <c r="Z348" s="7">
        <v>0</v>
      </c>
      <c r="AA348" s="8">
        <f>IFERROR(Z348/Z445, "NA")</f>
        <v>0</v>
      </c>
      <c r="AB348" s="9"/>
      <c r="AC348" s="10">
        <f>IFERROR(-(Q348-Z348), "NA")</f>
        <v>0</v>
      </c>
      <c r="AD348" s="8">
        <f>IFERROR(AC348/AC445, "NA")</f>
        <v>0</v>
      </c>
    </row>
    <row r="349" spans="1:30" ht="16.5" customHeight="1" x14ac:dyDescent="0.45">
      <c r="A349" s="5" t="s">
        <v>319</v>
      </c>
      <c r="B349" s="2"/>
      <c r="C349" s="3"/>
      <c r="D349" s="4"/>
      <c r="E349" s="2"/>
      <c r="F349" s="3"/>
      <c r="G349" s="4"/>
      <c r="H349" s="2"/>
      <c r="I349" s="3"/>
      <c r="J349" s="4"/>
      <c r="K349" s="2"/>
      <c r="L349" s="3"/>
      <c r="M349" s="4"/>
      <c r="N349" s="2"/>
      <c r="O349" s="3"/>
      <c r="P349" s="4"/>
      <c r="Q349" s="2"/>
      <c r="R349" s="3"/>
      <c r="S349" s="4"/>
      <c r="T349" s="2"/>
      <c r="U349" s="3"/>
      <c r="V349" s="4"/>
      <c r="W349" s="2"/>
      <c r="X349" s="3"/>
      <c r="Y349" s="4"/>
      <c r="Z349" s="2"/>
      <c r="AA349" s="3"/>
      <c r="AB349" s="4"/>
      <c r="AC349" s="2"/>
      <c r="AD349" s="3"/>
    </row>
    <row r="350" spans="1:30" ht="16.5" hidden="1" customHeight="1" x14ac:dyDescent="0.45">
      <c r="A350" s="6" t="s">
        <v>319</v>
      </c>
      <c r="B350" s="7">
        <v>0</v>
      </c>
      <c r="C350" s="8">
        <f>IFERROR(B350/B445, "NA")</f>
        <v>0</v>
      </c>
      <c r="D350" s="9"/>
      <c r="E350" s="7">
        <v>0</v>
      </c>
      <c r="F350" s="8">
        <f>IFERROR(E350/E445, "NA")</f>
        <v>0</v>
      </c>
      <c r="G350" s="9"/>
      <c r="H350" s="10">
        <f t="shared" ref="H350:H359" si="88">IFERROR(-(B350-E350), "NA")</f>
        <v>0</v>
      </c>
      <c r="I350" s="8">
        <f>IFERROR(H350/H445, "NA")</f>
        <v>0</v>
      </c>
      <c r="J350" s="9"/>
      <c r="K350" s="7">
        <v>0</v>
      </c>
      <c r="L350" s="8">
        <f>IFERROR(K350/K445, "NA")</f>
        <v>0</v>
      </c>
      <c r="M350" s="9"/>
      <c r="N350" s="10">
        <f t="shared" ref="N350:N359" si="89">IFERROR(-(B350-K350), "NA")</f>
        <v>0</v>
      </c>
      <c r="O350" s="8">
        <f>IFERROR(N350/N445, "NA")</f>
        <v>0</v>
      </c>
      <c r="P350" s="9"/>
      <c r="Q350" s="7">
        <v>0</v>
      </c>
      <c r="R350" s="8">
        <f>IFERROR(Q350/Q445, "NA")</f>
        <v>0</v>
      </c>
      <c r="S350" s="9"/>
      <c r="T350" s="7">
        <v>0</v>
      </c>
      <c r="U350" s="8">
        <f>IFERROR(T350/T445, "NA")</f>
        <v>0</v>
      </c>
      <c r="V350" s="9"/>
      <c r="W350" s="10">
        <f t="shared" ref="W350:W359" si="90">IFERROR(-(Q350-T350), "NA")</f>
        <v>0</v>
      </c>
      <c r="X350" s="8">
        <f>IFERROR(W350/W445, "NA")</f>
        <v>0</v>
      </c>
      <c r="Y350" s="9"/>
      <c r="Z350" s="7">
        <v>0</v>
      </c>
      <c r="AA350" s="8">
        <f>IFERROR(Z350/Z445, "NA")</f>
        <v>0</v>
      </c>
      <c r="AB350" s="9"/>
      <c r="AC350" s="10">
        <f t="shared" ref="AC350:AC359" si="91">IFERROR(-(Q350-Z350), "NA")</f>
        <v>0</v>
      </c>
      <c r="AD350" s="8">
        <f>IFERROR(AC350/AC445,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IFERROR(B351/B445, "NA")</f>
        <v>0</v>
      </c>
      <c r="D351" s="9"/>
      <c r="E351" s="7">
        <v>0</v>
      </c>
      <c r="F351" s="8">
        <f>IFERROR(E351/E445, "NA")</f>
        <v>0</v>
      </c>
      <c r="G351" s="9"/>
      <c r="H351" s="10">
        <f t="shared" si="88"/>
        <v>0</v>
      </c>
      <c r="I351" s="8">
        <f>IFERROR(H351/H445, "NA")</f>
        <v>0</v>
      </c>
      <c r="J351" s="9"/>
      <c r="K351" s="7">
        <v>0</v>
      </c>
      <c r="L351" s="8">
        <f>IFERROR(K351/K445, "NA")</f>
        <v>0</v>
      </c>
      <c r="M351" s="9"/>
      <c r="N351" s="10">
        <f t="shared" si="89"/>
        <v>0</v>
      </c>
      <c r="O351" s="8">
        <f>IFERROR(N351/N445, "NA")</f>
        <v>0</v>
      </c>
      <c r="P351" s="9"/>
      <c r="Q351" s="7">
        <v>0</v>
      </c>
      <c r="R351" s="8">
        <f>IFERROR(Q351/Q445, "NA")</f>
        <v>0</v>
      </c>
      <c r="S351" s="9"/>
      <c r="T351" s="7">
        <v>0</v>
      </c>
      <c r="U351" s="8">
        <f>IFERROR(T351/T445, "NA")</f>
        <v>0</v>
      </c>
      <c r="V351" s="9"/>
      <c r="W351" s="10">
        <f t="shared" si="90"/>
        <v>0</v>
      </c>
      <c r="X351" s="8">
        <f>IFERROR(W351/W445, "NA")</f>
        <v>0</v>
      </c>
      <c r="Y351" s="9"/>
      <c r="Z351" s="7">
        <v>0</v>
      </c>
      <c r="AA351" s="8">
        <f>IFERROR(Z351/Z445, "NA")</f>
        <v>0</v>
      </c>
      <c r="AB351" s="9"/>
      <c r="AC351" s="10">
        <f t="shared" si="91"/>
        <v>0</v>
      </c>
      <c r="AD351" s="8">
        <f>IFERROR(AC351/AC445,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IFERROR(B352/B445, "NA")</f>
        <v>0</v>
      </c>
      <c r="D352" s="9"/>
      <c r="E352" s="7">
        <v>0</v>
      </c>
      <c r="F352" s="8">
        <f>IFERROR(E352/E445, "NA")</f>
        <v>0</v>
      </c>
      <c r="G352" s="9"/>
      <c r="H352" s="10">
        <f t="shared" si="88"/>
        <v>0</v>
      </c>
      <c r="I352" s="8">
        <f>IFERROR(H352/H445, "NA")</f>
        <v>0</v>
      </c>
      <c r="J352" s="9"/>
      <c r="K352" s="7">
        <v>0</v>
      </c>
      <c r="L352" s="8">
        <f>IFERROR(K352/K445, "NA")</f>
        <v>0</v>
      </c>
      <c r="M352" s="9"/>
      <c r="N352" s="10">
        <f t="shared" si="89"/>
        <v>0</v>
      </c>
      <c r="O352" s="8">
        <f>IFERROR(N352/N445, "NA")</f>
        <v>0</v>
      </c>
      <c r="P352" s="9"/>
      <c r="Q352" s="7">
        <v>0</v>
      </c>
      <c r="R352" s="8">
        <f>IFERROR(Q352/Q445, "NA")</f>
        <v>0</v>
      </c>
      <c r="S352" s="9"/>
      <c r="T352" s="7">
        <v>0</v>
      </c>
      <c r="U352" s="8">
        <f>IFERROR(T352/T445, "NA")</f>
        <v>0</v>
      </c>
      <c r="V352" s="9"/>
      <c r="W352" s="10">
        <f t="shared" si="90"/>
        <v>0</v>
      </c>
      <c r="X352" s="8">
        <f>IFERROR(W352/W445, "NA")</f>
        <v>0</v>
      </c>
      <c r="Y352" s="9"/>
      <c r="Z352" s="7">
        <v>0</v>
      </c>
      <c r="AA352" s="8">
        <f>IFERROR(Z352/Z445, "NA")</f>
        <v>0</v>
      </c>
      <c r="AB352" s="9"/>
      <c r="AC352" s="10">
        <f t="shared" si="91"/>
        <v>0</v>
      </c>
      <c r="AD352" s="8">
        <f>IFERROR(AC352/AC445,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IFERROR(B353/B445, "NA")</f>
        <v>0</v>
      </c>
      <c r="D353" s="9"/>
      <c r="E353" s="7">
        <v>0</v>
      </c>
      <c r="F353" s="8">
        <f>IFERROR(E353/E445, "NA")</f>
        <v>0</v>
      </c>
      <c r="G353" s="9"/>
      <c r="H353" s="10">
        <f t="shared" si="88"/>
        <v>0</v>
      </c>
      <c r="I353" s="8">
        <f>IFERROR(H353/H445, "NA")</f>
        <v>0</v>
      </c>
      <c r="J353" s="9"/>
      <c r="K353" s="7">
        <v>0</v>
      </c>
      <c r="L353" s="8">
        <f>IFERROR(K353/K445, "NA")</f>
        <v>0</v>
      </c>
      <c r="M353" s="9"/>
      <c r="N353" s="10">
        <f t="shared" si="89"/>
        <v>0</v>
      </c>
      <c r="O353" s="8">
        <f>IFERROR(N353/N445, "NA")</f>
        <v>0</v>
      </c>
      <c r="P353" s="9"/>
      <c r="Q353" s="7">
        <v>0</v>
      </c>
      <c r="R353" s="8">
        <f>IFERROR(Q353/Q445, "NA")</f>
        <v>0</v>
      </c>
      <c r="S353" s="9"/>
      <c r="T353" s="7">
        <v>0</v>
      </c>
      <c r="U353" s="8">
        <f>IFERROR(T353/T445, "NA")</f>
        <v>0</v>
      </c>
      <c r="V353" s="9"/>
      <c r="W353" s="10">
        <f t="shared" si="90"/>
        <v>0</v>
      </c>
      <c r="X353" s="8">
        <f>IFERROR(W353/W445, "NA")</f>
        <v>0</v>
      </c>
      <c r="Y353" s="9"/>
      <c r="Z353" s="7">
        <v>0</v>
      </c>
      <c r="AA353" s="8">
        <f>IFERROR(Z353/Z445, "NA")</f>
        <v>0</v>
      </c>
      <c r="AB353" s="9"/>
      <c r="AC353" s="10">
        <f t="shared" si="91"/>
        <v>0</v>
      </c>
      <c r="AD353" s="8">
        <f>IFERROR(AC353/AC445,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IFERROR(B354/B445, "NA")</f>
        <v>0</v>
      </c>
      <c r="D354" s="9"/>
      <c r="E354" s="7">
        <v>0</v>
      </c>
      <c r="F354" s="8">
        <f>IFERROR(E354/E445, "NA")</f>
        <v>0</v>
      </c>
      <c r="G354" s="9"/>
      <c r="H354" s="10">
        <f t="shared" si="88"/>
        <v>0</v>
      </c>
      <c r="I354" s="8">
        <f>IFERROR(H354/H445, "NA")</f>
        <v>0</v>
      </c>
      <c r="J354" s="9"/>
      <c r="K354" s="7">
        <v>0</v>
      </c>
      <c r="L354" s="8">
        <f>IFERROR(K354/K445, "NA")</f>
        <v>0</v>
      </c>
      <c r="M354" s="9"/>
      <c r="N354" s="10">
        <f t="shared" si="89"/>
        <v>0</v>
      </c>
      <c r="O354" s="8">
        <f>IFERROR(N354/N445, "NA")</f>
        <v>0</v>
      </c>
      <c r="P354" s="9"/>
      <c r="Q354" s="7">
        <v>0</v>
      </c>
      <c r="R354" s="8">
        <f>IFERROR(Q354/Q445, "NA")</f>
        <v>0</v>
      </c>
      <c r="S354" s="9"/>
      <c r="T354" s="7">
        <v>0</v>
      </c>
      <c r="U354" s="8">
        <f>IFERROR(T354/T445, "NA")</f>
        <v>0</v>
      </c>
      <c r="V354" s="9"/>
      <c r="W354" s="10">
        <f t="shared" si="90"/>
        <v>0</v>
      </c>
      <c r="X354" s="8">
        <f>IFERROR(W354/W445, "NA")</f>
        <v>0</v>
      </c>
      <c r="Y354" s="9"/>
      <c r="Z354" s="7">
        <v>0</v>
      </c>
      <c r="AA354" s="8">
        <f>IFERROR(Z354/Z445, "NA")</f>
        <v>0</v>
      </c>
      <c r="AB354" s="9"/>
      <c r="AC354" s="10">
        <f t="shared" si="91"/>
        <v>0</v>
      </c>
      <c r="AD354" s="8">
        <f>IFERROR(AC354/AC445,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IFERROR(B355/B445, "NA")</f>
        <v>0</v>
      </c>
      <c r="D355" s="9"/>
      <c r="E355" s="7">
        <v>0</v>
      </c>
      <c r="F355" s="8">
        <f>IFERROR(E355/E445, "NA")</f>
        <v>0</v>
      </c>
      <c r="G355" s="9"/>
      <c r="H355" s="10">
        <f t="shared" si="88"/>
        <v>0</v>
      </c>
      <c r="I355" s="8">
        <f>IFERROR(H355/H445, "NA")</f>
        <v>0</v>
      </c>
      <c r="J355" s="9"/>
      <c r="K355" s="7">
        <v>0</v>
      </c>
      <c r="L355" s="8">
        <f>IFERROR(K355/K445, "NA")</f>
        <v>0</v>
      </c>
      <c r="M355" s="9"/>
      <c r="N355" s="10">
        <f t="shared" si="89"/>
        <v>0</v>
      </c>
      <c r="O355" s="8">
        <f>IFERROR(N355/N445, "NA")</f>
        <v>0</v>
      </c>
      <c r="P355" s="9"/>
      <c r="Q355" s="7">
        <v>0</v>
      </c>
      <c r="R355" s="8">
        <f>IFERROR(Q355/Q445, "NA")</f>
        <v>0</v>
      </c>
      <c r="S355" s="9"/>
      <c r="T355" s="7">
        <v>0</v>
      </c>
      <c r="U355" s="8">
        <f>IFERROR(T355/T445, "NA")</f>
        <v>0</v>
      </c>
      <c r="V355" s="9"/>
      <c r="W355" s="10">
        <f t="shared" si="90"/>
        <v>0</v>
      </c>
      <c r="X355" s="8">
        <f>IFERROR(W355/W445, "NA")</f>
        <v>0</v>
      </c>
      <c r="Y355" s="9"/>
      <c r="Z355" s="7">
        <v>0</v>
      </c>
      <c r="AA355" s="8">
        <f>IFERROR(Z355/Z445, "NA")</f>
        <v>0</v>
      </c>
      <c r="AB355" s="9"/>
      <c r="AC355" s="10">
        <f t="shared" si="91"/>
        <v>0</v>
      </c>
      <c r="AD355" s="8">
        <f>IFERROR(AC355/AC445,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IFERROR(B356/B445, "NA")</f>
        <v>0</v>
      </c>
      <c r="D356" s="9"/>
      <c r="E356" s="7">
        <v>0</v>
      </c>
      <c r="F356" s="8">
        <f>IFERROR(E356/E445, "NA")</f>
        <v>0</v>
      </c>
      <c r="G356" s="9"/>
      <c r="H356" s="10">
        <f t="shared" si="88"/>
        <v>0</v>
      </c>
      <c r="I356" s="8">
        <f>IFERROR(H356/H445, "NA")</f>
        <v>0</v>
      </c>
      <c r="J356" s="9"/>
      <c r="K356" s="7">
        <v>0</v>
      </c>
      <c r="L356" s="8">
        <f>IFERROR(K356/K445, "NA")</f>
        <v>0</v>
      </c>
      <c r="M356" s="9"/>
      <c r="N356" s="10">
        <f t="shared" si="89"/>
        <v>0</v>
      </c>
      <c r="O356" s="8">
        <f>IFERROR(N356/N445, "NA")</f>
        <v>0</v>
      </c>
      <c r="P356" s="9"/>
      <c r="Q356" s="7">
        <v>0</v>
      </c>
      <c r="R356" s="8">
        <f>IFERROR(Q356/Q445, "NA")</f>
        <v>0</v>
      </c>
      <c r="S356" s="9"/>
      <c r="T356" s="7">
        <v>0</v>
      </c>
      <c r="U356" s="8">
        <f>IFERROR(T356/T445, "NA")</f>
        <v>0</v>
      </c>
      <c r="V356" s="9"/>
      <c r="W356" s="10">
        <f t="shared" si="90"/>
        <v>0</v>
      </c>
      <c r="X356" s="8">
        <f>IFERROR(W356/W445, "NA")</f>
        <v>0</v>
      </c>
      <c r="Y356" s="9"/>
      <c r="Z356" s="7">
        <v>0</v>
      </c>
      <c r="AA356" s="8">
        <f>IFERROR(Z356/Z445, "NA")</f>
        <v>0</v>
      </c>
      <c r="AB356" s="9"/>
      <c r="AC356" s="10">
        <f t="shared" si="91"/>
        <v>0</v>
      </c>
      <c r="AD356" s="8">
        <f>IFERROR(AC356/AC445,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IFERROR(B357/B445, "NA")</f>
        <v>0</v>
      </c>
      <c r="D357" s="9"/>
      <c r="E357" s="7">
        <v>0</v>
      </c>
      <c r="F357" s="8">
        <f>IFERROR(E357/E445, "NA")</f>
        <v>0</v>
      </c>
      <c r="G357" s="9"/>
      <c r="H357" s="10">
        <f t="shared" si="88"/>
        <v>0</v>
      </c>
      <c r="I357" s="8">
        <f>IFERROR(H357/H445, "NA")</f>
        <v>0</v>
      </c>
      <c r="J357" s="9"/>
      <c r="K357" s="7">
        <v>0</v>
      </c>
      <c r="L357" s="8">
        <f>IFERROR(K357/K445, "NA")</f>
        <v>0</v>
      </c>
      <c r="M357" s="9"/>
      <c r="N357" s="10">
        <f t="shared" si="89"/>
        <v>0</v>
      </c>
      <c r="O357" s="8">
        <f>IFERROR(N357/N445, "NA")</f>
        <v>0</v>
      </c>
      <c r="P357" s="9"/>
      <c r="Q357" s="7">
        <v>0</v>
      </c>
      <c r="R357" s="8">
        <f>IFERROR(Q357/Q445, "NA")</f>
        <v>0</v>
      </c>
      <c r="S357" s="9"/>
      <c r="T357" s="7">
        <v>0</v>
      </c>
      <c r="U357" s="8">
        <f>IFERROR(T357/T445, "NA")</f>
        <v>0</v>
      </c>
      <c r="V357" s="9"/>
      <c r="W357" s="10">
        <f t="shared" si="90"/>
        <v>0</v>
      </c>
      <c r="X357" s="8">
        <f>IFERROR(W357/W445, "NA")</f>
        <v>0</v>
      </c>
      <c r="Y357" s="9"/>
      <c r="Z357" s="7">
        <v>0</v>
      </c>
      <c r="AA357" s="8">
        <f>IFERROR(Z357/Z445, "NA")</f>
        <v>0</v>
      </c>
      <c r="AB357" s="9"/>
      <c r="AC357" s="10">
        <f t="shared" si="91"/>
        <v>0</v>
      </c>
      <c r="AD357" s="8">
        <f>IFERROR(AC357/AC445, "NA")</f>
        <v>0</v>
      </c>
    </row>
    <row r="358" spans="1:30" ht="16.5" hidden="1" customHeight="1" x14ac:dyDescent="0.45">
      <c r="A358" s="6" t="s">
        <v>327</v>
      </c>
      <c r="B358" s="7">
        <v>0</v>
      </c>
      <c r="C358" s="8">
        <f>IFERROR(B358/B445, "NA")</f>
        <v>0</v>
      </c>
      <c r="D358" s="9"/>
      <c r="E358" s="7">
        <v>0</v>
      </c>
      <c r="F358" s="8">
        <f>IFERROR(E358/E445, "NA")</f>
        <v>0</v>
      </c>
      <c r="G358" s="9"/>
      <c r="H358" s="10">
        <f t="shared" si="88"/>
        <v>0</v>
      </c>
      <c r="I358" s="8">
        <f>IFERROR(H358/H445, "NA")</f>
        <v>0</v>
      </c>
      <c r="J358" s="9"/>
      <c r="K358" s="7">
        <v>0</v>
      </c>
      <c r="L358" s="8">
        <f>IFERROR(K358/K445, "NA")</f>
        <v>0</v>
      </c>
      <c r="M358" s="9"/>
      <c r="N358" s="10">
        <f t="shared" si="89"/>
        <v>0</v>
      </c>
      <c r="O358" s="8">
        <f>IFERROR(N358/N445, "NA")</f>
        <v>0</v>
      </c>
      <c r="P358" s="9"/>
      <c r="Q358" s="7">
        <v>0</v>
      </c>
      <c r="R358" s="8">
        <f>IFERROR(Q358/Q445, "NA")</f>
        <v>0</v>
      </c>
      <c r="S358" s="9"/>
      <c r="T358" s="7">
        <v>0</v>
      </c>
      <c r="U358" s="8">
        <f>IFERROR(T358/T445, "NA")</f>
        <v>0</v>
      </c>
      <c r="V358" s="9"/>
      <c r="W358" s="10">
        <f t="shared" si="90"/>
        <v>0</v>
      </c>
      <c r="X358" s="8">
        <f>IFERROR(W358/W445, "NA")</f>
        <v>0</v>
      </c>
      <c r="Y358" s="9"/>
      <c r="Z358" s="7">
        <v>0</v>
      </c>
      <c r="AA358" s="8">
        <f>IFERROR(Z358/Z445, "NA")</f>
        <v>0</v>
      </c>
      <c r="AB358" s="9"/>
      <c r="AC358" s="10">
        <f t="shared" si="91"/>
        <v>0</v>
      </c>
      <c r="AD358" s="8">
        <f>IFERROR(AC358/AC445, "NA")</f>
        <v>0</v>
      </c>
    </row>
    <row r="359" spans="1:30" ht="16.5" customHeight="1" x14ac:dyDescent="0.45">
      <c r="A359" s="19" t="s">
        <v>328</v>
      </c>
      <c r="B359" s="14">
        <f>IFERROR(B350+B351+B352+B353+B354+B355+B356+B357+B358, "NA")</f>
        <v>0</v>
      </c>
      <c r="C359" s="15">
        <f>IFERROR(B359/B445, "NA")</f>
        <v>0</v>
      </c>
      <c r="D359" s="2"/>
      <c r="E359" s="14">
        <f>IFERROR(E350+E351+E352+E353+E354+E355+E356+E357+E358, "NA")</f>
        <v>0</v>
      </c>
      <c r="F359" s="15">
        <f>IFERROR(E359/E445, "NA")</f>
        <v>0</v>
      </c>
      <c r="G359" s="2"/>
      <c r="H359" s="14">
        <f t="shared" si="88"/>
        <v>0</v>
      </c>
      <c r="I359" s="15">
        <f>IFERROR(H359/H445, "NA")</f>
        <v>0</v>
      </c>
      <c r="J359" s="2"/>
      <c r="K359" s="14">
        <f>IFERROR(K350+K351+K352+K353+K354+K355+K356+K357+K358, "NA")</f>
        <v>0</v>
      </c>
      <c r="L359" s="15">
        <f>IFERROR(K359/K445, "NA")</f>
        <v>0</v>
      </c>
      <c r="M359" s="2"/>
      <c r="N359" s="14">
        <f t="shared" si="89"/>
        <v>0</v>
      </c>
      <c r="O359" s="15">
        <f>IFERROR(N359/N445, "NA")</f>
        <v>0</v>
      </c>
      <c r="P359" s="2"/>
      <c r="Q359" s="14">
        <f>IFERROR(Q350+Q351+Q352+Q353+Q354+Q355+Q356+Q357+Q358, "NA")</f>
        <v>0</v>
      </c>
      <c r="R359" s="15">
        <f>IFERROR(Q359/Q445, "NA")</f>
        <v>0</v>
      </c>
      <c r="S359" s="2"/>
      <c r="T359" s="14">
        <f>IFERROR(T350+T351+T352+T353+T354+T355+T356+T357+T358, "NA")</f>
        <v>0</v>
      </c>
      <c r="U359" s="15">
        <f>IFERROR(T359/T445, "NA")</f>
        <v>0</v>
      </c>
      <c r="V359" s="2"/>
      <c r="W359" s="14">
        <f t="shared" si="90"/>
        <v>0</v>
      </c>
      <c r="X359" s="15">
        <f>IFERROR(W359/W445, "NA")</f>
        <v>0</v>
      </c>
      <c r="Y359" s="2"/>
      <c r="Z359" s="14">
        <f>IFERROR(Z350+Z351+Z352+Z353+Z354+Z355+Z356+Z357+Z358, "NA")</f>
        <v>0</v>
      </c>
      <c r="AA359" s="15">
        <f>IFERROR(Z359/Z445, "NA")</f>
        <v>0</v>
      </c>
      <c r="AB359" s="2"/>
      <c r="AC359" s="14">
        <f t="shared" si="91"/>
        <v>0</v>
      </c>
      <c r="AD359" s="15">
        <f>IFERROR(AC359/AC445, "NA")</f>
        <v>0</v>
      </c>
    </row>
    <row r="360" spans="1:30" ht="16.5" customHeight="1" x14ac:dyDescent="0.45">
      <c r="A360" s="5" t="s">
        <v>329</v>
      </c>
      <c r="B360" s="2"/>
      <c r="C360" s="3"/>
      <c r="D360" s="4"/>
      <c r="E360" s="2"/>
      <c r="F360" s="3"/>
      <c r="G360" s="4"/>
      <c r="H360" s="2"/>
      <c r="I360" s="3"/>
      <c r="J360" s="4"/>
      <c r="K360" s="2"/>
      <c r="L360" s="3"/>
      <c r="M360" s="4"/>
      <c r="N360" s="2"/>
      <c r="O360" s="3"/>
      <c r="P360" s="4"/>
      <c r="Q360" s="2"/>
      <c r="R360" s="3"/>
      <c r="S360" s="4"/>
      <c r="T360" s="2"/>
      <c r="U360" s="3"/>
      <c r="V360" s="4"/>
      <c r="W360" s="2"/>
      <c r="X360" s="3"/>
      <c r="Y360" s="4"/>
      <c r="Z360" s="2"/>
      <c r="AA360" s="3"/>
      <c r="AB360" s="4"/>
      <c r="AC360" s="2"/>
      <c r="AD360" s="3"/>
    </row>
    <row r="361" spans="1:30" ht="16.5" hidden="1" customHeight="1" x14ac:dyDescent="0.45">
      <c r="A361" s="6" t="s">
        <v>329</v>
      </c>
      <c r="B361" s="7">
        <v>0</v>
      </c>
      <c r="C361" s="8">
        <f>IFERROR(B361/B445, "NA")</f>
        <v>0</v>
      </c>
      <c r="D361" s="9"/>
      <c r="E361" s="7">
        <v>0</v>
      </c>
      <c r="F361" s="8">
        <f>IFERROR(E361/E445, "NA")</f>
        <v>0</v>
      </c>
      <c r="G361" s="9"/>
      <c r="H361" s="10">
        <f t="shared" ref="H361:H384" si="92">IFERROR(-(B361-E361), "NA")</f>
        <v>0</v>
      </c>
      <c r="I361" s="8">
        <f>IFERROR(H361/H445, "NA")</f>
        <v>0</v>
      </c>
      <c r="J361" s="9"/>
      <c r="K361" s="7">
        <v>0</v>
      </c>
      <c r="L361" s="8">
        <f>IFERROR(K361/K445, "NA")</f>
        <v>0</v>
      </c>
      <c r="M361" s="9"/>
      <c r="N361" s="10">
        <f t="shared" ref="N361:N384" si="93">IFERROR(-(B361-K361), "NA")</f>
        <v>0</v>
      </c>
      <c r="O361" s="8">
        <f>IFERROR(N361/N445, "NA")</f>
        <v>0</v>
      </c>
      <c r="P361" s="9"/>
      <c r="Q361" s="7">
        <v>0</v>
      </c>
      <c r="R361" s="8">
        <f>IFERROR(Q361/Q445, "NA")</f>
        <v>0</v>
      </c>
      <c r="S361" s="9"/>
      <c r="T361" s="7">
        <v>0</v>
      </c>
      <c r="U361" s="8">
        <f>IFERROR(T361/T445, "NA")</f>
        <v>0</v>
      </c>
      <c r="V361" s="9"/>
      <c r="W361" s="10">
        <f t="shared" ref="W361:W384" si="94">IFERROR(-(Q361-T361), "NA")</f>
        <v>0</v>
      </c>
      <c r="X361" s="8">
        <f>IFERROR(W361/W445, "NA")</f>
        <v>0</v>
      </c>
      <c r="Y361" s="9"/>
      <c r="Z361" s="7">
        <v>0</v>
      </c>
      <c r="AA361" s="8">
        <f>IFERROR(Z361/Z445, "NA")</f>
        <v>0</v>
      </c>
      <c r="AB361" s="9"/>
      <c r="AC361" s="10">
        <f t="shared" ref="AC361:AC384" si="95">IFERROR(-(Q361-Z361), "NA")</f>
        <v>0</v>
      </c>
      <c r="AD361" s="8">
        <f>IFERROR(AC361/AC445,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IFERROR(B362/B445, "NA")</f>
        <v>0</v>
      </c>
      <c r="D362" s="9"/>
      <c r="E362" s="7">
        <v>0</v>
      </c>
      <c r="F362" s="8">
        <f>IFERROR(E362/E445, "NA")</f>
        <v>0</v>
      </c>
      <c r="G362" s="9"/>
      <c r="H362" s="10">
        <f t="shared" si="92"/>
        <v>0</v>
      </c>
      <c r="I362" s="8">
        <f>IFERROR(H362/H445, "NA")</f>
        <v>0</v>
      </c>
      <c r="J362" s="9"/>
      <c r="K362" s="7">
        <v>0</v>
      </c>
      <c r="L362" s="8">
        <f>IFERROR(K362/K445, "NA")</f>
        <v>0</v>
      </c>
      <c r="M362" s="9"/>
      <c r="N362" s="10">
        <f t="shared" si="93"/>
        <v>0</v>
      </c>
      <c r="O362" s="8">
        <f>IFERROR(N362/N445, "NA")</f>
        <v>0</v>
      </c>
      <c r="P362" s="9"/>
      <c r="Q362" s="7">
        <v>0</v>
      </c>
      <c r="R362" s="8">
        <f>IFERROR(Q362/Q445, "NA")</f>
        <v>0</v>
      </c>
      <c r="S362" s="9"/>
      <c r="T362" s="7">
        <v>0</v>
      </c>
      <c r="U362" s="8">
        <f>IFERROR(T362/T445, "NA")</f>
        <v>0</v>
      </c>
      <c r="V362" s="9"/>
      <c r="W362" s="10">
        <f t="shared" si="94"/>
        <v>0</v>
      </c>
      <c r="X362" s="8">
        <f>IFERROR(W362/W445, "NA")</f>
        <v>0</v>
      </c>
      <c r="Y362" s="9"/>
      <c r="Z362" s="7">
        <v>0</v>
      </c>
      <c r="AA362" s="8">
        <f>IFERROR(Z362/Z445, "NA")</f>
        <v>0</v>
      </c>
      <c r="AB362" s="9"/>
      <c r="AC362" s="10">
        <f t="shared" si="95"/>
        <v>0</v>
      </c>
      <c r="AD362" s="8">
        <f>IFERROR(AC362/AC445,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IFERROR(B363/B445, "NA")</f>
        <v>0</v>
      </c>
      <c r="D363" s="9"/>
      <c r="E363" s="7">
        <v>0</v>
      </c>
      <c r="F363" s="8">
        <f>IFERROR(E363/E445, "NA")</f>
        <v>0</v>
      </c>
      <c r="G363" s="9"/>
      <c r="H363" s="10">
        <f t="shared" si="92"/>
        <v>0</v>
      </c>
      <c r="I363" s="8">
        <f>IFERROR(H363/H445, "NA")</f>
        <v>0</v>
      </c>
      <c r="J363" s="9"/>
      <c r="K363" s="7">
        <v>0</v>
      </c>
      <c r="L363" s="8">
        <f>IFERROR(K363/K445, "NA")</f>
        <v>0</v>
      </c>
      <c r="M363" s="9"/>
      <c r="N363" s="10">
        <f t="shared" si="93"/>
        <v>0</v>
      </c>
      <c r="O363" s="8">
        <f>IFERROR(N363/N445, "NA")</f>
        <v>0</v>
      </c>
      <c r="P363" s="9"/>
      <c r="Q363" s="7">
        <v>0</v>
      </c>
      <c r="R363" s="8">
        <f>IFERROR(Q363/Q445, "NA")</f>
        <v>0</v>
      </c>
      <c r="S363" s="9"/>
      <c r="T363" s="7">
        <v>0</v>
      </c>
      <c r="U363" s="8">
        <f>IFERROR(T363/T445, "NA")</f>
        <v>0</v>
      </c>
      <c r="V363" s="9"/>
      <c r="W363" s="10">
        <f t="shared" si="94"/>
        <v>0</v>
      </c>
      <c r="X363" s="8">
        <f>IFERROR(W363/W445, "NA")</f>
        <v>0</v>
      </c>
      <c r="Y363" s="9"/>
      <c r="Z363" s="7">
        <v>0</v>
      </c>
      <c r="AA363" s="8">
        <f>IFERROR(Z363/Z445, "NA")</f>
        <v>0</v>
      </c>
      <c r="AB363" s="9"/>
      <c r="AC363" s="10">
        <f t="shared" si="95"/>
        <v>0</v>
      </c>
      <c r="AD363" s="8">
        <f>IFERROR(AC363/AC445,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IFERROR(B364/B445, "NA")</f>
        <v>0</v>
      </c>
      <c r="D364" s="9"/>
      <c r="E364" s="7">
        <v>0</v>
      </c>
      <c r="F364" s="8">
        <f>IFERROR(E364/E445, "NA")</f>
        <v>0</v>
      </c>
      <c r="G364" s="9"/>
      <c r="H364" s="10">
        <f t="shared" si="92"/>
        <v>0</v>
      </c>
      <c r="I364" s="8">
        <f>IFERROR(H364/H445, "NA")</f>
        <v>0</v>
      </c>
      <c r="J364" s="9"/>
      <c r="K364" s="7">
        <v>0</v>
      </c>
      <c r="L364" s="8">
        <f>IFERROR(K364/K445, "NA")</f>
        <v>0</v>
      </c>
      <c r="M364" s="9"/>
      <c r="N364" s="10">
        <f t="shared" si="93"/>
        <v>0</v>
      </c>
      <c r="O364" s="8">
        <f>IFERROR(N364/N445, "NA")</f>
        <v>0</v>
      </c>
      <c r="P364" s="9"/>
      <c r="Q364" s="7">
        <v>0</v>
      </c>
      <c r="R364" s="8">
        <f>IFERROR(Q364/Q445, "NA")</f>
        <v>0</v>
      </c>
      <c r="S364" s="9"/>
      <c r="T364" s="7">
        <v>0</v>
      </c>
      <c r="U364" s="8">
        <f>IFERROR(T364/T445, "NA")</f>
        <v>0</v>
      </c>
      <c r="V364" s="9"/>
      <c r="W364" s="10">
        <f t="shared" si="94"/>
        <v>0</v>
      </c>
      <c r="X364" s="8">
        <f>IFERROR(W364/W445, "NA")</f>
        <v>0</v>
      </c>
      <c r="Y364" s="9"/>
      <c r="Z364" s="7">
        <v>0</v>
      </c>
      <c r="AA364" s="8">
        <f>IFERROR(Z364/Z445, "NA")</f>
        <v>0</v>
      </c>
      <c r="AB364" s="9"/>
      <c r="AC364" s="10">
        <f t="shared" si="95"/>
        <v>0</v>
      </c>
      <c r="AD364" s="8">
        <f>IFERROR(AC364/AC445,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IFERROR(B365/B445, "NA")</f>
        <v>0</v>
      </c>
      <c r="D365" s="9"/>
      <c r="E365" s="7">
        <v>0</v>
      </c>
      <c r="F365" s="8">
        <f>IFERROR(E365/E445, "NA")</f>
        <v>0</v>
      </c>
      <c r="G365" s="9"/>
      <c r="H365" s="10">
        <f t="shared" si="92"/>
        <v>0</v>
      </c>
      <c r="I365" s="8">
        <f>IFERROR(H365/H445, "NA")</f>
        <v>0</v>
      </c>
      <c r="J365" s="9"/>
      <c r="K365" s="7">
        <v>0</v>
      </c>
      <c r="L365" s="8">
        <f>IFERROR(K365/K445, "NA")</f>
        <v>0</v>
      </c>
      <c r="M365" s="9"/>
      <c r="N365" s="10">
        <f t="shared" si="93"/>
        <v>0</v>
      </c>
      <c r="O365" s="8">
        <f>IFERROR(N365/N445, "NA")</f>
        <v>0</v>
      </c>
      <c r="P365" s="9"/>
      <c r="Q365" s="7">
        <v>0</v>
      </c>
      <c r="R365" s="8">
        <f>IFERROR(Q365/Q445, "NA")</f>
        <v>0</v>
      </c>
      <c r="S365" s="9"/>
      <c r="T365" s="7">
        <v>0</v>
      </c>
      <c r="U365" s="8">
        <f>IFERROR(T365/T445, "NA")</f>
        <v>0</v>
      </c>
      <c r="V365" s="9"/>
      <c r="W365" s="10">
        <f t="shared" si="94"/>
        <v>0</v>
      </c>
      <c r="X365" s="8">
        <f>IFERROR(W365/W445, "NA")</f>
        <v>0</v>
      </c>
      <c r="Y365" s="9"/>
      <c r="Z365" s="7">
        <v>0</v>
      </c>
      <c r="AA365" s="8">
        <f>IFERROR(Z365/Z445, "NA")</f>
        <v>0</v>
      </c>
      <c r="AB365" s="9"/>
      <c r="AC365" s="10">
        <f t="shared" si="95"/>
        <v>0</v>
      </c>
      <c r="AD365" s="8">
        <f>IFERROR(AC365/AC445,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IFERROR(B366/B445, "NA")</f>
        <v>0</v>
      </c>
      <c r="D366" s="9"/>
      <c r="E366" s="7">
        <v>0</v>
      </c>
      <c r="F366" s="8">
        <f>IFERROR(E366/E445, "NA")</f>
        <v>0</v>
      </c>
      <c r="G366" s="9"/>
      <c r="H366" s="10">
        <f t="shared" si="92"/>
        <v>0</v>
      </c>
      <c r="I366" s="8">
        <f>IFERROR(H366/H445, "NA")</f>
        <v>0</v>
      </c>
      <c r="J366" s="9"/>
      <c r="K366" s="7">
        <v>0</v>
      </c>
      <c r="L366" s="8">
        <f>IFERROR(K366/K445, "NA")</f>
        <v>0</v>
      </c>
      <c r="M366" s="9"/>
      <c r="N366" s="10">
        <f t="shared" si="93"/>
        <v>0</v>
      </c>
      <c r="O366" s="8">
        <f>IFERROR(N366/N445, "NA")</f>
        <v>0</v>
      </c>
      <c r="P366" s="9"/>
      <c r="Q366" s="7">
        <v>0</v>
      </c>
      <c r="R366" s="8">
        <f>IFERROR(Q366/Q445, "NA")</f>
        <v>0</v>
      </c>
      <c r="S366" s="9"/>
      <c r="T366" s="7">
        <v>0</v>
      </c>
      <c r="U366" s="8">
        <f>IFERROR(T366/T445, "NA")</f>
        <v>0</v>
      </c>
      <c r="V366" s="9"/>
      <c r="W366" s="10">
        <f t="shared" si="94"/>
        <v>0</v>
      </c>
      <c r="X366" s="8">
        <f>IFERROR(W366/W445, "NA")</f>
        <v>0</v>
      </c>
      <c r="Y366" s="9"/>
      <c r="Z366" s="7">
        <v>0</v>
      </c>
      <c r="AA366" s="8">
        <f>IFERROR(Z366/Z445, "NA")</f>
        <v>0</v>
      </c>
      <c r="AB366" s="9"/>
      <c r="AC366" s="10">
        <f t="shared" si="95"/>
        <v>0</v>
      </c>
      <c r="AD366" s="8">
        <f>IFERROR(AC366/AC445,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IFERROR(B367/B445, "NA")</f>
        <v>0</v>
      </c>
      <c r="D367" s="9"/>
      <c r="E367" s="7">
        <v>0</v>
      </c>
      <c r="F367" s="8">
        <f>IFERROR(E367/E445, "NA")</f>
        <v>0</v>
      </c>
      <c r="G367" s="9"/>
      <c r="H367" s="10">
        <f t="shared" si="92"/>
        <v>0</v>
      </c>
      <c r="I367" s="8">
        <f>IFERROR(H367/H445, "NA")</f>
        <v>0</v>
      </c>
      <c r="J367" s="9"/>
      <c r="K367" s="7">
        <v>0</v>
      </c>
      <c r="L367" s="8">
        <f>IFERROR(K367/K445, "NA")</f>
        <v>0</v>
      </c>
      <c r="M367" s="9"/>
      <c r="N367" s="10">
        <f t="shared" si="93"/>
        <v>0</v>
      </c>
      <c r="O367" s="8">
        <f>IFERROR(N367/N445, "NA")</f>
        <v>0</v>
      </c>
      <c r="P367" s="9"/>
      <c r="Q367" s="7">
        <v>0</v>
      </c>
      <c r="R367" s="8">
        <f>IFERROR(Q367/Q445, "NA")</f>
        <v>0</v>
      </c>
      <c r="S367" s="9"/>
      <c r="T367" s="7">
        <v>0</v>
      </c>
      <c r="U367" s="8">
        <f>IFERROR(T367/T445, "NA")</f>
        <v>0</v>
      </c>
      <c r="V367" s="9"/>
      <c r="W367" s="10">
        <f t="shared" si="94"/>
        <v>0</v>
      </c>
      <c r="X367" s="8">
        <f>IFERROR(W367/W445, "NA")</f>
        <v>0</v>
      </c>
      <c r="Y367" s="9"/>
      <c r="Z367" s="7">
        <v>0</v>
      </c>
      <c r="AA367" s="8">
        <f>IFERROR(Z367/Z445, "NA")</f>
        <v>0</v>
      </c>
      <c r="AB367" s="9"/>
      <c r="AC367" s="10">
        <f t="shared" si="95"/>
        <v>0</v>
      </c>
      <c r="AD367" s="8">
        <f>IFERROR(AC367/AC445, "NA")</f>
        <v>0</v>
      </c>
    </row>
    <row r="368" spans="1:30" ht="16.5" hidden="1" customHeight="1" x14ac:dyDescent="0.45">
      <c r="A368" s="6" t="s">
        <v>336</v>
      </c>
      <c r="B368" s="7">
        <v>0</v>
      </c>
      <c r="C368" s="8">
        <f>IFERROR(B368/B445, "NA")</f>
        <v>0</v>
      </c>
      <c r="D368" s="9"/>
      <c r="E368" s="7">
        <v>0</v>
      </c>
      <c r="F368" s="8">
        <f>IFERROR(E368/E445, "NA")</f>
        <v>0</v>
      </c>
      <c r="G368" s="9"/>
      <c r="H368" s="10">
        <f t="shared" si="92"/>
        <v>0</v>
      </c>
      <c r="I368" s="8">
        <f>IFERROR(H368/H445, "NA")</f>
        <v>0</v>
      </c>
      <c r="J368" s="9"/>
      <c r="K368" s="7">
        <v>0</v>
      </c>
      <c r="L368" s="8">
        <f>IFERROR(K368/K445, "NA")</f>
        <v>0</v>
      </c>
      <c r="M368" s="9"/>
      <c r="N368" s="10">
        <f t="shared" si="93"/>
        <v>0</v>
      </c>
      <c r="O368" s="8">
        <f>IFERROR(N368/N445, "NA")</f>
        <v>0</v>
      </c>
      <c r="P368" s="9"/>
      <c r="Q368" s="7">
        <v>0</v>
      </c>
      <c r="R368" s="8">
        <f>IFERROR(Q368/Q445, "NA")</f>
        <v>0</v>
      </c>
      <c r="S368" s="9"/>
      <c r="T368" s="7">
        <v>0</v>
      </c>
      <c r="U368" s="8">
        <f>IFERROR(T368/T445, "NA")</f>
        <v>0</v>
      </c>
      <c r="V368" s="9"/>
      <c r="W368" s="10">
        <f t="shared" si="94"/>
        <v>0</v>
      </c>
      <c r="X368" s="8">
        <f>IFERROR(W368/W445, "NA")</f>
        <v>0</v>
      </c>
      <c r="Y368" s="9"/>
      <c r="Z368" s="7">
        <v>0</v>
      </c>
      <c r="AA368" s="8">
        <f>IFERROR(Z368/Z445, "NA")</f>
        <v>0</v>
      </c>
      <c r="AB368" s="9"/>
      <c r="AC368" s="10">
        <f t="shared" si="95"/>
        <v>0</v>
      </c>
      <c r="AD368" s="8">
        <f>IFERROR(AC368/AC445, "NA")</f>
        <v>0</v>
      </c>
    </row>
    <row r="369" spans="1:30" ht="16.5" customHeight="1" x14ac:dyDescent="0.45">
      <c r="A369" s="19" t="s">
        <v>337</v>
      </c>
      <c r="B369" s="14">
        <f>IFERROR(B361+B362+B363+B364+B365+B366+B367+B368, "NA")</f>
        <v>0</v>
      </c>
      <c r="C369" s="15">
        <f>IFERROR(B369/B445, "NA")</f>
        <v>0</v>
      </c>
      <c r="D369" s="2"/>
      <c r="E369" s="14">
        <f>IFERROR(E361+E362+E363+E364+E365+E366+E367+E368, "NA")</f>
        <v>0</v>
      </c>
      <c r="F369" s="15">
        <f>IFERROR(E369/E445, "NA")</f>
        <v>0</v>
      </c>
      <c r="G369" s="2"/>
      <c r="H369" s="14">
        <f t="shared" si="92"/>
        <v>0</v>
      </c>
      <c r="I369" s="15">
        <f>IFERROR(H369/H445, "NA")</f>
        <v>0</v>
      </c>
      <c r="J369" s="2"/>
      <c r="K369" s="14">
        <f>IFERROR(K361+K362+K363+K364+K365+K366+K367+K368, "NA")</f>
        <v>0</v>
      </c>
      <c r="L369" s="15">
        <f>IFERROR(K369/K445, "NA")</f>
        <v>0</v>
      </c>
      <c r="M369" s="2"/>
      <c r="N369" s="14">
        <f t="shared" si="93"/>
        <v>0</v>
      </c>
      <c r="O369" s="15">
        <f>IFERROR(N369/N445, "NA")</f>
        <v>0</v>
      </c>
      <c r="P369" s="2"/>
      <c r="Q369" s="14">
        <f>IFERROR(Q361+Q362+Q363+Q364+Q365+Q366+Q367+Q368, "NA")</f>
        <v>0</v>
      </c>
      <c r="R369" s="15">
        <f>IFERROR(Q369/Q445, "NA")</f>
        <v>0</v>
      </c>
      <c r="S369" s="2"/>
      <c r="T369" s="14">
        <f>IFERROR(T361+T362+T363+T364+T365+T366+T367+T368, "NA")</f>
        <v>0</v>
      </c>
      <c r="U369" s="15">
        <f>IFERROR(T369/T445, "NA")</f>
        <v>0</v>
      </c>
      <c r="V369" s="2"/>
      <c r="W369" s="14">
        <f t="shared" si="94"/>
        <v>0</v>
      </c>
      <c r="X369" s="15">
        <f>IFERROR(W369/W445, "NA")</f>
        <v>0</v>
      </c>
      <c r="Y369" s="2"/>
      <c r="Z369" s="14">
        <f>IFERROR(Z361+Z362+Z363+Z364+Z365+Z366+Z367+Z368, "NA")</f>
        <v>0</v>
      </c>
      <c r="AA369" s="15">
        <f>IFERROR(Z369/Z445, "NA")</f>
        <v>0</v>
      </c>
      <c r="AB369" s="2"/>
      <c r="AC369" s="14">
        <f t="shared" si="95"/>
        <v>0</v>
      </c>
      <c r="AD369" s="15">
        <f>IFERROR(AC369/AC445,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IFERROR(B370/B445, "NA")</f>
        <v>0</v>
      </c>
      <c r="D370" s="9"/>
      <c r="E370" s="7">
        <v>0</v>
      </c>
      <c r="F370" s="8">
        <f>IFERROR(E370/E445, "NA")</f>
        <v>0</v>
      </c>
      <c r="G370" s="9"/>
      <c r="H370" s="10">
        <f t="shared" si="92"/>
        <v>0</v>
      </c>
      <c r="I370" s="8">
        <f>IFERROR(H370/H445, "NA")</f>
        <v>0</v>
      </c>
      <c r="J370" s="9"/>
      <c r="K370" s="7">
        <v>0</v>
      </c>
      <c r="L370" s="8">
        <f>IFERROR(K370/K445, "NA")</f>
        <v>0</v>
      </c>
      <c r="M370" s="9"/>
      <c r="N370" s="10">
        <f t="shared" si="93"/>
        <v>0</v>
      </c>
      <c r="O370" s="8">
        <f>IFERROR(N370/N445, "NA")</f>
        <v>0</v>
      </c>
      <c r="P370" s="9"/>
      <c r="Q370" s="7">
        <v>0</v>
      </c>
      <c r="R370" s="8">
        <f>IFERROR(Q370/Q445, "NA")</f>
        <v>0</v>
      </c>
      <c r="S370" s="9"/>
      <c r="T370" s="7">
        <v>0</v>
      </c>
      <c r="U370" s="8">
        <f>IFERROR(T370/T445, "NA")</f>
        <v>0</v>
      </c>
      <c r="V370" s="9"/>
      <c r="W370" s="10">
        <f t="shared" si="94"/>
        <v>0</v>
      </c>
      <c r="X370" s="8">
        <f>IFERROR(W370/W445, "NA")</f>
        <v>0</v>
      </c>
      <c r="Y370" s="9"/>
      <c r="Z370" s="7">
        <v>0</v>
      </c>
      <c r="AA370" s="8">
        <f>IFERROR(Z370/Z445, "NA")</f>
        <v>0</v>
      </c>
      <c r="AB370" s="9"/>
      <c r="AC370" s="10">
        <f t="shared" si="95"/>
        <v>0</v>
      </c>
      <c r="AD370" s="8">
        <f>IFERROR(AC370/AC445,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IFERROR(B371/B445, "NA")</f>
        <v>0</v>
      </c>
      <c r="D371" s="9"/>
      <c r="E371" s="7">
        <v>0</v>
      </c>
      <c r="F371" s="8">
        <f>IFERROR(E371/E445, "NA")</f>
        <v>0</v>
      </c>
      <c r="G371" s="9"/>
      <c r="H371" s="10">
        <f t="shared" si="92"/>
        <v>0</v>
      </c>
      <c r="I371" s="8">
        <f>IFERROR(H371/H445, "NA")</f>
        <v>0</v>
      </c>
      <c r="J371" s="9"/>
      <c r="K371" s="7">
        <v>0</v>
      </c>
      <c r="L371" s="8">
        <f>IFERROR(K371/K445, "NA")</f>
        <v>0</v>
      </c>
      <c r="M371" s="9"/>
      <c r="N371" s="10">
        <f t="shared" si="93"/>
        <v>0</v>
      </c>
      <c r="O371" s="8">
        <f>IFERROR(N371/N445, "NA")</f>
        <v>0</v>
      </c>
      <c r="P371" s="9"/>
      <c r="Q371" s="7">
        <v>0</v>
      </c>
      <c r="R371" s="8">
        <f>IFERROR(Q371/Q445, "NA")</f>
        <v>0</v>
      </c>
      <c r="S371" s="9"/>
      <c r="T371" s="7">
        <v>0</v>
      </c>
      <c r="U371" s="8">
        <f>IFERROR(T371/T445, "NA")</f>
        <v>0</v>
      </c>
      <c r="V371" s="9"/>
      <c r="W371" s="10">
        <f t="shared" si="94"/>
        <v>0</v>
      </c>
      <c r="X371" s="8">
        <f>IFERROR(W371/W445, "NA")</f>
        <v>0</v>
      </c>
      <c r="Y371" s="9"/>
      <c r="Z371" s="7">
        <v>0</v>
      </c>
      <c r="AA371" s="8">
        <f>IFERROR(Z371/Z445, "NA")</f>
        <v>0</v>
      </c>
      <c r="AB371" s="9"/>
      <c r="AC371" s="10">
        <f t="shared" si="95"/>
        <v>0</v>
      </c>
      <c r="AD371" s="8">
        <f>IFERROR(AC371/AC445,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IFERROR(B372/B445, "NA")</f>
        <v>0</v>
      </c>
      <c r="D372" s="9"/>
      <c r="E372" s="7">
        <v>0</v>
      </c>
      <c r="F372" s="8">
        <f>IFERROR(E372/E445, "NA")</f>
        <v>0</v>
      </c>
      <c r="G372" s="9"/>
      <c r="H372" s="10">
        <f t="shared" si="92"/>
        <v>0</v>
      </c>
      <c r="I372" s="8">
        <f>IFERROR(H372/H445, "NA")</f>
        <v>0</v>
      </c>
      <c r="J372" s="9"/>
      <c r="K372" s="7">
        <v>0</v>
      </c>
      <c r="L372" s="8">
        <f>IFERROR(K372/K445, "NA")</f>
        <v>0</v>
      </c>
      <c r="M372" s="9"/>
      <c r="N372" s="10">
        <f t="shared" si="93"/>
        <v>0</v>
      </c>
      <c r="O372" s="8">
        <f>IFERROR(N372/N445, "NA")</f>
        <v>0</v>
      </c>
      <c r="P372" s="9"/>
      <c r="Q372" s="7">
        <v>0</v>
      </c>
      <c r="R372" s="8">
        <f>IFERROR(Q372/Q445, "NA")</f>
        <v>0</v>
      </c>
      <c r="S372" s="9"/>
      <c r="T372" s="7">
        <v>0</v>
      </c>
      <c r="U372" s="8">
        <f>IFERROR(T372/T445, "NA")</f>
        <v>0</v>
      </c>
      <c r="V372" s="9"/>
      <c r="W372" s="10">
        <f t="shared" si="94"/>
        <v>0</v>
      </c>
      <c r="X372" s="8">
        <f>IFERROR(W372/W445, "NA")</f>
        <v>0</v>
      </c>
      <c r="Y372" s="9"/>
      <c r="Z372" s="7">
        <v>0</v>
      </c>
      <c r="AA372" s="8">
        <f>IFERROR(Z372/Z445, "NA")</f>
        <v>0</v>
      </c>
      <c r="AB372" s="9"/>
      <c r="AC372" s="10">
        <f t="shared" si="95"/>
        <v>0</v>
      </c>
      <c r="AD372" s="8">
        <f>IFERROR(AC372/AC445,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IFERROR(B373/B445, "NA")</f>
        <v>0</v>
      </c>
      <c r="D373" s="9"/>
      <c r="E373" s="7">
        <v>0</v>
      </c>
      <c r="F373" s="8">
        <f>IFERROR(E373/E445, "NA")</f>
        <v>0</v>
      </c>
      <c r="G373" s="9"/>
      <c r="H373" s="10">
        <f t="shared" si="92"/>
        <v>0</v>
      </c>
      <c r="I373" s="8">
        <f>IFERROR(H373/H445, "NA")</f>
        <v>0</v>
      </c>
      <c r="J373" s="9"/>
      <c r="K373" s="7">
        <v>0</v>
      </c>
      <c r="L373" s="8">
        <f>IFERROR(K373/K445, "NA")</f>
        <v>0</v>
      </c>
      <c r="M373" s="9"/>
      <c r="N373" s="10">
        <f t="shared" si="93"/>
        <v>0</v>
      </c>
      <c r="O373" s="8">
        <f>IFERROR(N373/N445, "NA")</f>
        <v>0</v>
      </c>
      <c r="P373" s="9"/>
      <c r="Q373" s="7">
        <v>0</v>
      </c>
      <c r="R373" s="8">
        <f>IFERROR(Q373/Q445, "NA")</f>
        <v>0</v>
      </c>
      <c r="S373" s="9"/>
      <c r="T373" s="7">
        <v>0</v>
      </c>
      <c r="U373" s="8">
        <f>IFERROR(T373/T445, "NA")</f>
        <v>0</v>
      </c>
      <c r="V373" s="9"/>
      <c r="W373" s="10">
        <f t="shared" si="94"/>
        <v>0</v>
      </c>
      <c r="X373" s="8">
        <f>IFERROR(W373/W445, "NA")</f>
        <v>0</v>
      </c>
      <c r="Y373" s="9"/>
      <c r="Z373" s="7">
        <v>0</v>
      </c>
      <c r="AA373" s="8">
        <f>IFERROR(Z373/Z445, "NA")</f>
        <v>0</v>
      </c>
      <c r="AB373" s="9"/>
      <c r="AC373" s="10">
        <f t="shared" si="95"/>
        <v>0</v>
      </c>
      <c r="AD373" s="8">
        <f>IFERROR(AC373/AC445,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IFERROR(B374/B445, "NA")</f>
        <v>0</v>
      </c>
      <c r="D374" s="9"/>
      <c r="E374" s="7">
        <v>0</v>
      </c>
      <c r="F374" s="8">
        <f>IFERROR(E374/E445, "NA")</f>
        <v>0</v>
      </c>
      <c r="G374" s="9"/>
      <c r="H374" s="10">
        <f t="shared" si="92"/>
        <v>0</v>
      </c>
      <c r="I374" s="8">
        <f>IFERROR(H374/H445, "NA")</f>
        <v>0</v>
      </c>
      <c r="J374" s="9"/>
      <c r="K374" s="7">
        <v>0</v>
      </c>
      <c r="L374" s="8">
        <f>IFERROR(K374/K445, "NA")</f>
        <v>0</v>
      </c>
      <c r="M374" s="9"/>
      <c r="N374" s="10">
        <f t="shared" si="93"/>
        <v>0</v>
      </c>
      <c r="O374" s="8">
        <f>IFERROR(N374/N445, "NA")</f>
        <v>0</v>
      </c>
      <c r="P374" s="9"/>
      <c r="Q374" s="7">
        <v>0</v>
      </c>
      <c r="R374" s="8">
        <f>IFERROR(Q374/Q445, "NA")</f>
        <v>0</v>
      </c>
      <c r="S374" s="9"/>
      <c r="T374" s="7">
        <v>0</v>
      </c>
      <c r="U374" s="8">
        <f>IFERROR(T374/T445, "NA")</f>
        <v>0</v>
      </c>
      <c r="V374" s="9"/>
      <c r="W374" s="10">
        <f t="shared" si="94"/>
        <v>0</v>
      </c>
      <c r="X374" s="8">
        <f>IFERROR(W374/W445, "NA")</f>
        <v>0</v>
      </c>
      <c r="Y374" s="9"/>
      <c r="Z374" s="7">
        <v>0</v>
      </c>
      <c r="AA374" s="8">
        <f>IFERROR(Z374/Z445, "NA")</f>
        <v>0</v>
      </c>
      <c r="AB374" s="9"/>
      <c r="AC374" s="10">
        <f t="shared" si="95"/>
        <v>0</v>
      </c>
      <c r="AD374" s="8">
        <f>IFERROR(AC374/AC445,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IFERROR(B375/B445, "NA")</f>
        <v>0</v>
      </c>
      <c r="D375" s="9"/>
      <c r="E375" s="7">
        <v>0</v>
      </c>
      <c r="F375" s="8">
        <f>IFERROR(E375/E445, "NA")</f>
        <v>0</v>
      </c>
      <c r="G375" s="9"/>
      <c r="H375" s="10">
        <f t="shared" si="92"/>
        <v>0</v>
      </c>
      <c r="I375" s="8">
        <f>IFERROR(H375/H445, "NA")</f>
        <v>0</v>
      </c>
      <c r="J375" s="9"/>
      <c r="K375" s="7">
        <v>0</v>
      </c>
      <c r="L375" s="8">
        <f>IFERROR(K375/K445, "NA")</f>
        <v>0</v>
      </c>
      <c r="M375" s="9"/>
      <c r="N375" s="10">
        <f t="shared" si="93"/>
        <v>0</v>
      </c>
      <c r="O375" s="8">
        <f>IFERROR(N375/N445, "NA")</f>
        <v>0</v>
      </c>
      <c r="P375" s="9"/>
      <c r="Q375" s="7">
        <v>0</v>
      </c>
      <c r="R375" s="8">
        <f>IFERROR(Q375/Q445, "NA")</f>
        <v>0</v>
      </c>
      <c r="S375" s="9"/>
      <c r="T375" s="7">
        <v>0</v>
      </c>
      <c r="U375" s="8">
        <f>IFERROR(T375/T445, "NA")</f>
        <v>0</v>
      </c>
      <c r="V375" s="9"/>
      <c r="W375" s="10">
        <f t="shared" si="94"/>
        <v>0</v>
      </c>
      <c r="X375" s="8">
        <f>IFERROR(W375/W445, "NA")</f>
        <v>0</v>
      </c>
      <c r="Y375" s="9"/>
      <c r="Z375" s="7">
        <v>0</v>
      </c>
      <c r="AA375" s="8">
        <f>IFERROR(Z375/Z445, "NA")</f>
        <v>0</v>
      </c>
      <c r="AB375" s="9"/>
      <c r="AC375" s="10">
        <f t="shared" si="95"/>
        <v>0</v>
      </c>
      <c r="AD375" s="8">
        <f>IFERROR(AC375/AC445,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IFERROR(B376/B445, "NA")</f>
        <v>0</v>
      </c>
      <c r="D376" s="9"/>
      <c r="E376" s="7">
        <v>0</v>
      </c>
      <c r="F376" s="8">
        <f>IFERROR(E376/E445, "NA")</f>
        <v>0</v>
      </c>
      <c r="G376" s="9"/>
      <c r="H376" s="10">
        <f t="shared" si="92"/>
        <v>0</v>
      </c>
      <c r="I376" s="8">
        <f>IFERROR(H376/H445, "NA")</f>
        <v>0</v>
      </c>
      <c r="J376" s="9"/>
      <c r="K376" s="7">
        <v>0</v>
      </c>
      <c r="L376" s="8">
        <f>IFERROR(K376/K445, "NA")</f>
        <v>0</v>
      </c>
      <c r="M376" s="9"/>
      <c r="N376" s="10">
        <f t="shared" si="93"/>
        <v>0</v>
      </c>
      <c r="O376" s="8">
        <f>IFERROR(N376/N445, "NA")</f>
        <v>0</v>
      </c>
      <c r="P376" s="9"/>
      <c r="Q376" s="7">
        <v>0</v>
      </c>
      <c r="R376" s="8">
        <f>IFERROR(Q376/Q445, "NA")</f>
        <v>0</v>
      </c>
      <c r="S376" s="9"/>
      <c r="T376" s="7">
        <v>0</v>
      </c>
      <c r="U376" s="8">
        <f>IFERROR(T376/T445, "NA")</f>
        <v>0</v>
      </c>
      <c r="V376" s="9"/>
      <c r="W376" s="10">
        <f t="shared" si="94"/>
        <v>0</v>
      </c>
      <c r="X376" s="8">
        <f>IFERROR(W376/W445, "NA")</f>
        <v>0</v>
      </c>
      <c r="Y376" s="9"/>
      <c r="Z376" s="7">
        <v>0</v>
      </c>
      <c r="AA376" s="8">
        <f>IFERROR(Z376/Z445, "NA")</f>
        <v>0</v>
      </c>
      <c r="AB376" s="9"/>
      <c r="AC376" s="10">
        <f t="shared" si="95"/>
        <v>0</v>
      </c>
      <c r="AD376" s="8">
        <f>IFERROR(AC376/AC445,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IFERROR(B377/B445, "NA")</f>
        <v>0</v>
      </c>
      <c r="D377" s="9"/>
      <c r="E377" s="7">
        <v>0</v>
      </c>
      <c r="F377" s="8">
        <f>IFERROR(E377/E445, "NA")</f>
        <v>0</v>
      </c>
      <c r="G377" s="9"/>
      <c r="H377" s="10">
        <f t="shared" si="92"/>
        <v>0</v>
      </c>
      <c r="I377" s="8">
        <f>IFERROR(H377/H445, "NA")</f>
        <v>0</v>
      </c>
      <c r="J377" s="9"/>
      <c r="K377" s="7">
        <v>0</v>
      </c>
      <c r="L377" s="8">
        <f>IFERROR(K377/K445, "NA")</f>
        <v>0</v>
      </c>
      <c r="M377" s="9"/>
      <c r="N377" s="10">
        <f t="shared" si="93"/>
        <v>0</v>
      </c>
      <c r="O377" s="8">
        <f>IFERROR(N377/N445, "NA")</f>
        <v>0</v>
      </c>
      <c r="P377" s="9"/>
      <c r="Q377" s="7">
        <v>0</v>
      </c>
      <c r="R377" s="8">
        <f>IFERROR(Q377/Q445, "NA")</f>
        <v>0</v>
      </c>
      <c r="S377" s="9"/>
      <c r="T377" s="7">
        <v>0</v>
      </c>
      <c r="U377" s="8">
        <f>IFERROR(T377/T445, "NA")</f>
        <v>0</v>
      </c>
      <c r="V377" s="9"/>
      <c r="W377" s="10">
        <f t="shared" si="94"/>
        <v>0</v>
      </c>
      <c r="X377" s="8">
        <f>IFERROR(W377/W445, "NA")</f>
        <v>0</v>
      </c>
      <c r="Y377" s="9"/>
      <c r="Z377" s="7">
        <v>0</v>
      </c>
      <c r="AA377" s="8">
        <f>IFERROR(Z377/Z445, "NA")</f>
        <v>0</v>
      </c>
      <c r="AB377" s="9"/>
      <c r="AC377" s="10">
        <f t="shared" si="95"/>
        <v>0</v>
      </c>
      <c r="AD377" s="8">
        <f>IFERROR(AC377/AC445,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IFERROR(B378/B445, "NA")</f>
        <v>0</v>
      </c>
      <c r="D378" s="9"/>
      <c r="E378" s="7">
        <v>0</v>
      </c>
      <c r="F378" s="8">
        <f>IFERROR(E378/E445, "NA")</f>
        <v>0</v>
      </c>
      <c r="G378" s="9"/>
      <c r="H378" s="10">
        <f t="shared" si="92"/>
        <v>0</v>
      </c>
      <c r="I378" s="8">
        <f>IFERROR(H378/H445, "NA")</f>
        <v>0</v>
      </c>
      <c r="J378" s="9"/>
      <c r="K378" s="7">
        <v>0</v>
      </c>
      <c r="L378" s="8">
        <f>IFERROR(K378/K445, "NA")</f>
        <v>0</v>
      </c>
      <c r="M378" s="9"/>
      <c r="N378" s="10">
        <f t="shared" si="93"/>
        <v>0</v>
      </c>
      <c r="O378" s="8">
        <f>IFERROR(N378/N445, "NA")</f>
        <v>0</v>
      </c>
      <c r="P378" s="9"/>
      <c r="Q378" s="7">
        <v>0</v>
      </c>
      <c r="R378" s="8">
        <f>IFERROR(Q378/Q445, "NA")</f>
        <v>0</v>
      </c>
      <c r="S378" s="9"/>
      <c r="T378" s="7">
        <v>0</v>
      </c>
      <c r="U378" s="8">
        <f>IFERROR(T378/T445, "NA")</f>
        <v>0</v>
      </c>
      <c r="V378" s="9"/>
      <c r="W378" s="10">
        <f t="shared" si="94"/>
        <v>0</v>
      </c>
      <c r="X378" s="8">
        <f>IFERROR(W378/W445, "NA")</f>
        <v>0</v>
      </c>
      <c r="Y378" s="9"/>
      <c r="Z378" s="7">
        <v>0</v>
      </c>
      <c r="AA378" s="8">
        <f>IFERROR(Z378/Z445, "NA")</f>
        <v>0</v>
      </c>
      <c r="AB378" s="9"/>
      <c r="AC378" s="10">
        <f t="shared" si="95"/>
        <v>0</v>
      </c>
      <c r="AD378" s="8">
        <f>IFERROR(AC378/AC445,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IFERROR(B379/B445, "NA")</f>
        <v>0</v>
      </c>
      <c r="D379" s="9"/>
      <c r="E379" s="7">
        <v>0</v>
      </c>
      <c r="F379" s="8">
        <f>IFERROR(E379/E445, "NA")</f>
        <v>0</v>
      </c>
      <c r="G379" s="9"/>
      <c r="H379" s="10">
        <f t="shared" si="92"/>
        <v>0</v>
      </c>
      <c r="I379" s="8">
        <f>IFERROR(H379/H445, "NA")</f>
        <v>0</v>
      </c>
      <c r="J379" s="9"/>
      <c r="K379" s="7">
        <v>0</v>
      </c>
      <c r="L379" s="8">
        <f>IFERROR(K379/K445, "NA")</f>
        <v>0</v>
      </c>
      <c r="M379" s="9"/>
      <c r="N379" s="10">
        <f t="shared" si="93"/>
        <v>0</v>
      </c>
      <c r="O379" s="8">
        <f>IFERROR(N379/N445, "NA")</f>
        <v>0</v>
      </c>
      <c r="P379" s="9"/>
      <c r="Q379" s="7">
        <v>0</v>
      </c>
      <c r="R379" s="8">
        <f>IFERROR(Q379/Q445, "NA")</f>
        <v>0</v>
      </c>
      <c r="S379" s="9"/>
      <c r="T379" s="7">
        <v>0</v>
      </c>
      <c r="U379" s="8">
        <f>IFERROR(T379/T445, "NA")</f>
        <v>0</v>
      </c>
      <c r="V379" s="9"/>
      <c r="W379" s="10">
        <f t="shared" si="94"/>
        <v>0</v>
      </c>
      <c r="X379" s="8">
        <f>IFERROR(W379/W445, "NA")</f>
        <v>0</v>
      </c>
      <c r="Y379" s="9"/>
      <c r="Z379" s="7">
        <v>0</v>
      </c>
      <c r="AA379" s="8">
        <f>IFERROR(Z379/Z445, "NA")</f>
        <v>0</v>
      </c>
      <c r="AB379" s="9"/>
      <c r="AC379" s="10">
        <f t="shared" si="95"/>
        <v>0</v>
      </c>
      <c r="AD379" s="8">
        <f>IFERROR(AC379/AC445,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IFERROR(B380/B445, "NA")</f>
        <v>0</v>
      </c>
      <c r="D380" s="9"/>
      <c r="E380" s="7">
        <v>0</v>
      </c>
      <c r="F380" s="8">
        <f>IFERROR(E380/E445, "NA")</f>
        <v>0</v>
      </c>
      <c r="G380" s="9"/>
      <c r="H380" s="10">
        <f t="shared" si="92"/>
        <v>0</v>
      </c>
      <c r="I380" s="8">
        <f>IFERROR(H380/H445, "NA")</f>
        <v>0</v>
      </c>
      <c r="J380" s="9"/>
      <c r="K380" s="7">
        <v>0</v>
      </c>
      <c r="L380" s="8">
        <f>IFERROR(K380/K445, "NA")</f>
        <v>0</v>
      </c>
      <c r="M380" s="9"/>
      <c r="N380" s="10">
        <f t="shared" si="93"/>
        <v>0</v>
      </c>
      <c r="O380" s="8">
        <f>IFERROR(N380/N445, "NA")</f>
        <v>0</v>
      </c>
      <c r="P380" s="9"/>
      <c r="Q380" s="7">
        <v>0</v>
      </c>
      <c r="R380" s="8">
        <f>IFERROR(Q380/Q445, "NA")</f>
        <v>0</v>
      </c>
      <c r="S380" s="9"/>
      <c r="T380" s="7">
        <v>0</v>
      </c>
      <c r="U380" s="8">
        <f>IFERROR(T380/T445, "NA")</f>
        <v>0</v>
      </c>
      <c r="V380" s="9"/>
      <c r="W380" s="10">
        <f t="shared" si="94"/>
        <v>0</v>
      </c>
      <c r="X380" s="8">
        <f>IFERROR(W380/W445, "NA")</f>
        <v>0</v>
      </c>
      <c r="Y380" s="9"/>
      <c r="Z380" s="7">
        <v>0</v>
      </c>
      <c r="AA380" s="8">
        <f>IFERROR(Z380/Z445, "NA")</f>
        <v>0</v>
      </c>
      <c r="AB380" s="9"/>
      <c r="AC380" s="10">
        <f t="shared" si="95"/>
        <v>0</v>
      </c>
      <c r="AD380" s="8">
        <f>IFERROR(AC380/AC445,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IFERROR(B381/B445, "NA")</f>
        <v>0</v>
      </c>
      <c r="D381" s="9"/>
      <c r="E381" s="7">
        <v>0</v>
      </c>
      <c r="F381" s="8">
        <f>IFERROR(E381/E445, "NA")</f>
        <v>0</v>
      </c>
      <c r="G381" s="9"/>
      <c r="H381" s="10">
        <f t="shared" si="92"/>
        <v>0</v>
      </c>
      <c r="I381" s="8">
        <f>IFERROR(H381/H445, "NA")</f>
        <v>0</v>
      </c>
      <c r="J381" s="9"/>
      <c r="K381" s="7">
        <v>0</v>
      </c>
      <c r="L381" s="8">
        <f>IFERROR(K381/K445, "NA")</f>
        <v>0</v>
      </c>
      <c r="M381" s="9"/>
      <c r="N381" s="10">
        <f t="shared" si="93"/>
        <v>0</v>
      </c>
      <c r="O381" s="8">
        <f>IFERROR(N381/N445, "NA")</f>
        <v>0</v>
      </c>
      <c r="P381" s="9"/>
      <c r="Q381" s="7">
        <v>0</v>
      </c>
      <c r="R381" s="8">
        <f>IFERROR(Q381/Q445, "NA")</f>
        <v>0</v>
      </c>
      <c r="S381" s="9"/>
      <c r="T381" s="7">
        <v>0</v>
      </c>
      <c r="U381" s="8">
        <f>IFERROR(T381/T445, "NA")</f>
        <v>0</v>
      </c>
      <c r="V381" s="9"/>
      <c r="W381" s="10">
        <f t="shared" si="94"/>
        <v>0</v>
      </c>
      <c r="X381" s="8">
        <f>IFERROR(W381/W445, "NA")</f>
        <v>0</v>
      </c>
      <c r="Y381" s="9"/>
      <c r="Z381" s="7">
        <v>0</v>
      </c>
      <c r="AA381" s="8">
        <f>IFERROR(Z381/Z445, "NA")</f>
        <v>0</v>
      </c>
      <c r="AB381" s="9"/>
      <c r="AC381" s="10">
        <f t="shared" si="95"/>
        <v>0</v>
      </c>
      <c r="AD381" s="8">
        <f>IFERROR(AC381/AC445,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IFERROR(B382/B445, "NA")</f>
        <v>0</v>
      </c>
      <c r="D382" s="9"/>
      <c r="E382" s="7">
        <v>0</v>
      </c>
      <c r="F382" s="8">
        <f>IFERROR(E382/E445, "NA")</f>
        <v>0</v>
      </c>
      <c r="G382" s="9"/>
      <c r="H382" s="10">
        <f t="shared" si="92"/>
        <v>0</v>
      </c>
      <c r="I382" s="8">
        <f>IFERROR(H382/H445, "NA")</f>
        <v>0</v>
      </c>
      <c r="J382" s="9"/>
      <c r="K382" s="7">
        <v>0</v>
      </c>
      <c r="L382" s="8">
        <f>IFERROR(K382/K445, "NA")</f>
        <v>0</v>
      </c>
      <c r="M382" s="9"/>
      <c r="N382" s="10">
        <f t="shared" si="93"/>
        <v>0</v>
      </c>
      <c r="O382" s="8">
        <f>IFERROR(N382/N445, "NA")</f>
        <v>0</v>
      </c>
      <c r="P382" s="9"/>
      <c r="Q382" s="7">
        <v>0</v>
      </c>
      <c r="R382" s="8">
        <f>IFERROR(Q382/Q445, "NA")</f>
        <v>0</v>
      </c>
      <c r="S382" s="9"/>
      <c r="T382" s="7">
        <v>0</v>
      </c>
      <c r="U382" s="8">
        <f>IFERROR(T382/T445, "NA")</f>
        <v>0</v>
      </c>
      <c r="V382" s="9"/>
      <c r="W382" s="10">
        <f t="shared" si="94"/>
        <v>0</v>
      </c>
      <c r="X382" s="8">
        <f>IFERROR(W382/W445, "NA")</f>
        <v>0</v>
      </c>
      <c r="Y382" s="9"/>
      <c r="Z382" s="7">
        <v>0</v>
      </c>
      <c r="AA382" s="8">
        <f>IFERROR(Z382/Z445, "NA")</f>
        <v>0</v>
      </c>
      <c r="AB382" s="9"/>
      <c r="AC382" s="10">
        <f t="shared" si="95"/>
        <v>0</v>
      </c>
      <c r="AD382" s="8">
        <f>IFERROR(AC382/AC445,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IFERROR(B383/B445, "NA")</f>
        <v>0</v>
      </c>
      <c r="D383" s="9"/>
      <c r="E383" s="7">
        <v>0</v>
      </c>
      <c r="F383" s="8">
        <f>IFERROR(E383/E445, "NA")</f>
        <v>0</v>
      </c>
      <c r="G383" s="9"/>
      <c r="H383" s="10">
        <f t="shared" si="92"/>
        <v>0</v>
      </c>
      <c r="I383" s="8">
        <f>IFERROR(H383/H445, "NA")</f>
        <v>0</v>
      </c>
      <c r="J383" s="9"/>
      <c r="K383" s="7">
        <v>0</v>
      </c>
      <c r="L383" s="8">
        <f>IFERROR(K383/K445, "NA")</f>
        <v>0</v>
      </c>
      <c r="M383" s="9"/>
      <c r="N383" s="10">
        <f t="shared" si="93"/>
        <v>0</v>
      </c>
      <c r="O383" s="8">
        <f>IFERROR(N383/N445, "NA")</f>
        <v>0</v>
      </c>
      <c r="P383" s="9"/>
      <c r="Q383" s="7">
        <v>0</v>
      </c>
      <c r="R383" s="8">
        <f>IFERROR(Q383/Q445, "NA")</f>
        <v>0</v>
      </c>
      <c r="S383" s="9"/>
      <c r="T383" s="7">
        <v>0</v>
      </c>
      <c r="U383" s="8">
        <f>IFERROR(T383/T445, "NA")</f>
        <v>0</v>
      </c>
      <c r="V383" s="9"/>
      <c r="W383" s="10">
        <f t="shared" si="94"/>
        <v>0</v>
      </c>
      <c r="X383" s="8">
        <f>IFERROR(W383/W445, "NA")</f>
        <v>0</v>
      </c>
      <c r="Y383" s="9"/>
      <c r="Z383" s="7">
        <v>0</v>
      </c>
      <c r="AA383" s="8">
        <f>IFERROR(Z383/Z445, "NA")</f>
        <v>0</v>
      </c>
      <c r="AB383" s="9"/>
      <c r="AC383" s="10">
        <f t="shared" si="95"/>
        <v>0</v>
      </c>
      <c r="AD383" s="8">
        <f>IFERROR(AC383/AC445, "NA")</f>
        <v>0</v>
      </c>
    </row>
    <row r="384" spans="1:30" ht="16.5" hidden="1" customHeight="1" x14ac:dyDescent="0.45">
      <c r="A384" s="20" t="s">
        <v>352</v>
      </c>
      <c r="B384" s="7">
        <v>0</v>
      </c>
      <c r="C384" s="8">
        <f>IFERROR(B384/B445, "NA")</f>
        <v>0</v>
      </c>
      <c r="D384" s="9"/>
      <c r="E384" s="7">
        <v>0</v>
      </c>
      <c r="F384" s="8">
        <f>IFERROR(E384/E445, "NA")</f>
        <v>0</v>
      </c>
      <c r="G384" s="9"/>
      <c r="H384" s="10">
        <f t="shared" si="92"/>
        <v>0</v>
      </c>
      <c r="I384" s="8">
        <f>IFERROR(H384/H445, "NA")</f>
        <v>0</v>
      </c>
      <c r="J384" s="9"/>
      <c r="K384" s="7">
        <v>0</v>
      </c>
      <c r="L384" s="8">
        <f>IFERROR(K384/K445, "NA")</f>
        <v>0</v>
      </c>
      <c r="M384" s="9"/>
      <c r="N384" s="10">
        <f t="shared" si="93"/>
        <v>0</v>
      </c>
      <c r="O384" s="8">
        <f>IFERROR(N384/N445, "NA")</f>
        <v>0</v>
      </c>
      <c r="P384" s="9"/>
      <c r="Q384" s="7">
        <v>0</v>
      </c>
      <c r="R384" s="8">
        <f>IFERROR(Q384/Q445, "NA")</f>
        <v>0</v>
      </c>
      <c r="S384" s="9"/>
      <c r="T384" s="7">
        <v>0</v>
      </c>
      <c r="U384" s="8">
        <f>IFERROR(T384/T445, "NA")</f>
        <v>0</v>
      </c>
      <c r="V384" s="9"/>
      <c r="W384" s="10">
        <f t="shared" si="94"/>
        <v>0</v>
      </c>
      <c r="X384" s="8">
        <f>IFERROR(W384/W445, "NA")</f>
        <v>0</v>
      </c>
      <c r="Y384" s="9"/>
      <c r="Z384" s="7">
        <v>0</v>
      </c>
      <c r="AA384" s="8">
        <f>IFERROR(Z384/Z445, "NA")</f>
        <v>0</v>
      </c>
      <c r="AB384" s="9"/>
      <c r="AC384" s="10">
        <f t="shared" si="95"/>
        <v>0</v>
      </c>
      <c r="AD384" s="8">
        <f>IFERROR(AC384/AC445, "NA")</f>
        <v>0</v>
      </c>
    </row>
    <row r="385" spans="1:30" ht="16.5" customHeight="1" x14ac:dyDescent="0.45">
      <c r="A385" s="5" t="s">
        <v>353</v>
      </c>
      <c r="B385" s="2"/>
      <c r="C385" s="3"/>
      <c r="D385" s="4"/>
      <c r="E385" s="2"/>
      <c r="F385" s="3"/>
      <c r="G385" s="4"/>
      <c r="H385" s="2"/>
      <c r="I385" s="3"/>
      <c r="J385" s="4"/>
      <c r="K385" s="2"/>
      <c r="L385" s="3"/>
      <c r="M385" s="4"/>
      <c r="N385" s="2"/>
      <c r="O385" s="3"/>
      <c r="P385" s="4"/>
      <c r="Q385" s="2"/>
      <c r="R385" s="3"/>
      <c r="S385" s="4"/>
      <c r="T385" s="2"/>
      <c r="U385" s="3"/>
      <c r="V385" s="4"/>
      <c r="W385" s="2"/>
      <c r="X385" s="3"/>
      <c r="Y385" s="4"/>
      <c r="Z385" s="2"/>
      <c r="AA385" s="3"/>
      <c r="AB385" s="4"/>
      <c r="AC385" s="2"/>
      <c r="AD385" s="3"/>
    </row>
    <row r="386" spans="1:30" ht="16.5" hidden="1" customHeight="1" x14ac:dyDescent="0.45">
      <c r="A386" s="6" t="s">
        <v>353</v>
      </c>
      <c r="B386" s="7">
        <v>0</v>
      </c>
      <c r="C386" s="8">
        <f>IFERROR(B386/B445, "NA")</f>
        <v>0</v>
      </c>
      <c r="D386" s="9"/>
      <c r="E386" s="7">
        <v>0</v>
      </c>
      <c r="F386" s="8">
        <f>IFERROR(E386/E445, "NA")</f>
        <v>0</v>
      </c>
      <c r="G386" s="9"/>
      <c r="H386" s="10">
        <f>IFERROR(-(B386-E386), "NA")</f>
        <v>0</v>
      </c>
      <c r="I386" s="8">
        <f>IFERROR(H386/H445, "NA")</f>
        <v>0</v>
      </c>
      <c r="J386" s="9"/>
      <c r="K386" s="7">
        <v>0</v>
      </c>
      <c r="L386" s="8">
        <f>IFERROR(K386/K445, "NA")</f>
        <v>0</v>
      </c>
      <c r="M386" s="9"/>
      <c r="N386" s="10">
        <f>IFERROR(-(B386-K386), "NA")</f>
        <v>0</v>
      </c>
      <c r="O386" s="8">
        <f>IFERROR(N386/N445, "NA")</f>
        <v>0</v>
      </c>
      <c r="P386" s="9"/>
      <c r="Q386" s="7">
        <v>0</v>
      </c>
      <c r="R386" s="8">
        <f>IFERROR(Q386/Q445, "NA")</f>
        <v>0</v>
      </c>
      <c r="S386" s="9"/>
      <c r="T386" s="7">
        <v>0</v>
      </c>
      <c r="U386" s="8">
        <f>IFERROR(T386/T445, "NA")</f>
        <v>0</v>
      </c>
      <c r="V386" s="9"/>
      <c r="W386" s="10">
        <f>IFERROR(-(Q386-T386), "NA")</f>
        <v>0</v>
      </c>
      <c r="X386" s="8">
        <f>IFERROR(W386/W445, "NA")</f>
        <v>0</v>
      </c>
      <c r="Y386" s="9"/>
      <c r="Z386" s="7">
        <v>0</v>
      </c>
      <c r="AA386" s="8">
        <f>IFERROR(Z386/Z445, "NA")</f>
        <v>0</v>
      </c>
      <c r="AB386" s="9"/>
      <c r="AC386" s="10">
        <f>IFERROR(-(Q386-Z386), "NA")</f>
        <v>0</v>
      </c>
      <c r="AD386" s="8">
        <f>IFERROR(AC386/AC445, "NA")</f>
        <v>0</v>
      </c>
    </row>
    <row r="387" spans="1:30" ht="16.5" hidden="1" customHeight="1" x14ac:dyDescent="0.45">
      <c r="A387" s="6" t="s">
        <v>354</v>
      </c>
      <c r="B387" s="7">
        <v>0</v>
      </c>
      <c r="C387" s="8">
        <f>IFERROR(B387/B445, "NA")</f>
        <v>0</v>
      </c>
      <c r="D387" s="9"/>
      <c r="E387" s="7">
        <v>0</v>
      </c>
      <c r="F387" s="8">
        <f>IFERROR(E387/E445, "NA")</f>
        <v>0</v>
      </c>
      <c r="G387" s="9"/>
      <c r="H387" s="10">
        <f>IFERROR(-(B387-E387), "NA")</f>
        <v>0</v>
      </c>
      <c r="I387" s="8">
        <f>IFERROR(H387/H445, "NA")</f>
        <v>0</v>
      </c>
      <c r="J387" s="9"/>
      <c r="K387" s="7">
        <v>0</v>
      </c>
      <c r="L387" s="8">
        <f>IFERROR(K387/K445, "NA")</f>
        <v>0</v>
      </c>
      <c r="M387" s="9"/>
      <c r="N387" s="10">
        <f>IFERROR(-(B387-K387), "NA")</f>
        <v>0</v>
      </c>
      <c r="O387" s="8">
        <f>IFERROR(N387/N445, "NA")</f>
        <v>0</v>
      </c>
      <c r="P387" s="9"/>
      <c r="Q387" s="7">
        <v>0</v>
      </c>
      <c r="R387" s="8">
        <f>IFERROR(Q387/Q445, "NA")</f>
        <v>0</v>
      </c>
      <c r="S387" s="9"/>
      <c r="T387" s="7">
        <v>0</v>
      </c>
      <c r="U387" s="8">
        <f>IFERROR(T387/T445, "NA")</f>
        <v>0</v>
      </c>
      <c r="V387" s="9"/>
      <c r="W387" s="10">
        <f>IFERROR(-(Q387-T387), "NA")</f>
        <v>0</v>
      </c>
      <c r="X387" s="8">
        <f>IFERROR(W387/W445, "NA")</f>
        <v>0</v>
      </c>
      <c r="Y387" s="9"/>
      <c r="Z387" s="7">
        <v>0</v>
      </c>
      <c r="AA387" s="8">
        <f>IFERROR(Z387/Z445, "NA")</f>
        <v>0</v>
      </c>
      <c r="AB387" s="9"/>
      <c r="AC387" s="10">
        <f>IFERROR(-(Q387-Z387), "NA")</f>
        <v>0</v>
      </c>
      <c r="AD387" s="8">
        <f>IFERROR(AC387/AC445, "NA")</f>
        <v>0</v>
      </c>
    </row>
    <row r="388" spans="1:30" ht="16.5" customHeight="1" x14ac:dyDescent="0.45">
      <c r="A388" s="11" t="s">
        <v>355</v>
      </c>
      <c r="B388" s="2"/>
      <c r="C388" s="3"/>
      <c r="D388" s="4"/>
      <c r="E388" s="2"/>
      <c r="F388" s="3"/>
      <c r="G388" s="4"/>
      <c r="H388" s="2"/>
      <c r="I388" s="3"/>
      <c r="J388" s="4"/>
      <c r="K388" s="2"/>
      <c r="L388" s="3"/>
      <c r="M388" s="4"/>
      <c r="N388" s="2"/>
      <c r="O388" s="3"/>
      <c r="P388" s="4"/>
      <c r="Q388" s="2"/>
      <c r="R388" s="3"/>
      <c r="S388" s="4"/>
      <c r="T388" s="2"/>
      <c r="U388" s="3"/>
      <c r="V388" s="4"/>
      <c r="W388" s="2"/>
      <c r="X388" s="3"/>
      <c r="Y388" s="4"/>
      <c r="Z388" s="2"/>
      <c r="AA388" s="3"/>
      <c r="AB388" s="4"/>
      <c r="AC388" s="2"/>
      <c r="AD388" s="3"/>
    </row>
    <row r="389" spans="1:30" ht="16.5" hidden="1" customHeight="1" x14ac:dyDescent="0.45">
      <c r="A389" s="12" t="s">
        <v>355</v>
      </c>
      <c r="B389" s="7">
        <v>0</v>
      </c>
      <c r="C389" s="8">
        <f>IFERROR(B389/B445, "NA")</f>
        <v>0</v>
      </c>
      <c r="D389" s="9"/>
      <c r="E389" s="7">
        <v>0</v>
      </c>
      <c r="F389" s="8">
        <f>IFERROR(E389/E445, "NA")</f>
        <v>0</v>
      </c>
      <c r="G389" s="9"/>
      <c r="H389" s="10">
        <f t="shared" ref="H389:H404" si="96">IFERROR(-(B389-E389), "NA")</f>
        <v>0</v>
      </c>
      <c r="I389" s="8">
        <f>IFERROR(H389/H445, "NA")</f>
        <v>0</v>
      </c>
      <c r="J389" s="9"/>
      <c r="K389" s="7">
        <v>0</v>
      </c>
      <c r="L389" s="8">
        <f>IFERROR(K389/K445, "NA")</f>
        <v>0</v>
      </c>
      <c r="M389" s="9"/>
      <c r="N389" s="10">
        <f t="shared" ref="N389:N404" si="97">IFERROR(-(B389-K389), "NA")</f>
        <v>0</v>
      </c>
      <c r="O389" s="8">
        <f>IFERROR(N389/N445, "NA")</f>
        <v>0</v>
      </c>
      <c r="P389" s="9"/>
      <c r="Q389" s="7">
        <v>0</v>
      </c>
      <c r="R389" s="8">
        <f>IFERROR(Q389/Q445, "NA")</f>
        <v>0</v>
      </c>
      <c r="S389" s="9"/>
      <c r="T389" s="7">
        <v>0</v>
      </c>
      <c r="U389" s="8">
        <f>IFERROR(T389/T445, "NA")</f>
        <v>0</v>
      </c>
      <c r="V389" s="9"/>
      <c r="W389" s="10">
        <f t="shared" ref="W389:W404" si="98">IFERROR(-(Q389-T389), "NA")</f>
        <v>0</v>
      </c>
      <c r="X389" s="8">
        <f>IFERROR(W389/W445, "NA")</f>
        <v>0</v>
      </c>
      <c r="Y389" s="9"/>
      <c r="Z389" s="7">
        <v>0</v>
      </c>
      <c r="AA389" s="8">
        <f>IFERROR(Z389/Z445, "NA")</f>
        <v>0</v>
      </c>
      <c r="AB389" s="9"/>
      <c r="AC389" s="10">
        <f t="shared" ref="AC389:AC404" si="99">IFERROR(-(Q389-Z389), "NA")</f>
        <v>0</v>
      </c>
      <c r="AD389" s="8">
        <f>IFERROR(AC389/AC445,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IFERROR(B390/B445, "NA")</f>
        <v>0</v>
      </c>
      <c r="D390" s="9"/>
      <c r="E390" s="7">
        <v>0</v>
      </c>
      <c r="F390" s="8">
        <f>IFERROR(E390/E445, "NA")</f>
        <v>0</v>
      </c>
      <c r="G390" s="9"/>
      <c r="H390" s="10">
        <f t="shared" si="96"/>
        <v>0</v>
      </c>
      <c r="I390" s="8">
        <f>IFERROR(H390/H445, "NA")</f>
        <v>0</v>
      </c>
      <c r="J390" s="9"/>
      <c r="K390" s="7">
        <v>0</v>
      </c>
      <c r="L390" s="8">
        <f>IFERROR(K390/K445, "NA")</f>
        <v>0</v>
      </c>
      <c r="M390" s="9"/>
      <c r="N390" s="10">
        <f t="shared" si="97"/>
        <v>0</v>
      </c>
      <c r="O390" s="8">
        <f>IFERROR(N390/N445, "NA")</f>
        <v>0</v>
      </c>
      <c r="P390" s="9"/>
      <c r="Q390" s="7">
        <v>0</v>
      </c>
      <c r="R390" s="8">
        <f>IFERROR(Q390/Q445, "NA")</f>
        <v>0</v>
      </c>
      <c r="S390" s="9"/>
      <c r="T390" s="7">
        <v>0</v>
      </c>
      <c r="U390" s="8">
        <f>IFERROR(T390/T445, "NA")</f>
        <v>0</v>
      </c>
      <c r="V390" s="9"/>
      <c r="W390" s="10">
        <f t="shared" si="98"/>
        <v>0</v>
      </c>
      <c r="X390" s="8">
        <f>IFERROR(W390/W445, "NA")</f>
        <v>0</v>
      </c>
      <c r="Y390" s="9"/>
      <c r="Z390" s="7">
        <v>0</v>
      </c>
      <c r="AA390" s="8">
        <f>IFERROR(Z390/Z445, "NA")</f>
        <v>0</v>
      </c>
      <c r="AB390" s="9"/>
      <c r="AC390" s="10">
        <f t="shared" si="99"/>
        <v>0</v>
      </c>
      <c r="AD390" s="8">
        <f>IFERROR(AC390/AC445,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IFERROR(B391/B445, "NA")</f>
        <v>0</v>
      </c>
      <c r="D391" s="9"/>
      <c r="E391" s="7">
        <v>0</v>
      </c>
      <c r="F391" s="8">
        <f>IFERROR(E391/E445, "NA")</f>
        <v>0</v>
      </c>
      <c r="G391" s="9"/>
      <c r="H391" s="10">
        <f t="shared" si="96"/>
        <v>0</v>
      </c>
      <c r="I391" s="8">
        <f>IFERROR(H391/H445, "NA")</f>
        <v>0</v>
      </c>
      <c r="J391" s="9"/>
      <c r="K391" s="7">
        <v>0</v>
      </c>
      <c r="L391" s="8">
        <f>IFERROR(K391/K445, "NA")</f>
        <v>0</v>
      </c>
      <c r="M391" s="9"/>
      <c r="N391" s="10">
        <f t="shared" si="97"/>
        <v>0</v>
      </c>
      <c r="O391" s="8">
        <f>IFERROR(N391/N445, "NA")</f>
        <v>0</v>
      </c>
      <c r="P391" s="9"/>
      <c r="Q391" s="7">
        <v>0</v>
      </c>
      <c r="R391" s="8">
        <f>IFERROR(Q391/Q445, "NA")</f>
        <v>0</v>
      </c>
      <c r="S391" s="9"/>
      <c r="T391" s="7">
        <v>0</v>
      </c>
      <c r="U391" s="8">
        <f>IFERROR(T391/T445, "NA")</f>
        <v>0</v>
      </c>
      <c r="V391" s="9"/>
      <c r="W391" s="10">
        <f t="shared" si="98"/>
        <v>0</v>
      </c>
      <c r="X391" s="8">
        <f>IFERROR(W391/W445, "NA")</f>
        <v>0</v>
      </c>
      <c r="Y391" s="9"/>
      <c r="Z391" s="7">
        <v>0</v>
      </c>
      <c r="AA391" s="8">
        <f>IFERROR(Z391/Z445, "NA")</f>
        <v>0</v>
      </c>
      <c r="AB391" s="9"/>
      <c r="AC391" s="10">
        <f t="shared" si="99"/>
        <v>0</v>
      </c>
      <c r="AD391" s="8">
        <f>IFERROR(AC391/AC445,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IFERROR(B392/B445, "NA")</f>
        <v>0</v>
      </c>
      <c r="D392" s="9"/>
      <c r="E392" s="7">
        <v>0</v>
      </c>
      <c r="F392" s="8">
        <f>IFERROR(E392/E445, "NA")</f>
        <v>0</v>
      </c>
      <c r="G392" s="9"/>
      <c r="H392" s="10">
        <f t="shared" si="96"/>
        <v>0</v>
      </c>
      <c r="I392" s="8">
        <f>IFERROR(H392/H445, "NA")</f>
        <v>0</v>
      </c>
      <c r="J392" s="9"/>
      <c r="K392" s="7">
        <v>0</v>
      </c>
      <c r="L392" s="8">
        <f>IFERROR(K392/K445, "NA")</f>
        <v>0</v>
      </c>
      <c r="M392" s="9"/>
      <c r="N392" s="10">
        <f t="shared" si="97"/>
        <v>0</v>
      </c>
      <c r="O392" s="8">
        <f>IFERROR(N392/N445, "NA")</f>
        <v>0</v>
      </c>
      <c r="P392" s="9"/>
      <c r="Q392" s="7">
        <v>0</v>
      </c>
      <c r="R392" s="8">
        <f>IFERROR(Q392/Q445, "NA")</f>
        <v>0</v>
      </c>
      <c r="S392" s="9"/>
      <c r="T392" s="7">
        <v>0</v>
      </c>
      <c r="U392" s="8">
        <f>IFERROR(T392/T445, "NA")</f>
        <v>0</v>
      </c>
      <c r="V392" s="9"/>
      <c r="W392" s="10">
        <f t="shared" si="98"/>
        <v>0</v>
      </c>
      <c r="X392" s="8">
        <f>IFERROR(W392/W445, "NA")</f>
        <v>0</v>
      </c>
      <c r="Y392" s="9"/>
      <c r="Z392" s="7">
        <v>0</v>
      </c>
      <c r="AA392" s="8">
        <f>IFERROR(Z392/Z445, "NA")</f>
        <v>0</v>
      </c>
      <c r="AB392" s="9"/>
      <c r="AC392" s="10">
        <f t="shared" si="99"/>
        <v>0</v>
      </c>
      <c r="AD392" s="8">
        <f>IFERROR(AC392/AC445, "NA")</f>
        <v>0</v>
      </c>
    </row>
    <row r="393" spans="1:30" ht="16.5" hidden="1" customHeight="1" x14ac:dyDescent="0.45">
      <c r="A393" s="12" t="s">
        <v>359</v>
      </c>
      <c r="B393" s="7">
        <v>0</v>
      </c>
      <c r="C393" s="8">
        <f>IFERROR(B393/B445, "NA")</f>
        <v>0</v>
      </c>
      <c r="D393" s="9"/>
      <c r="E393" s="7">
        <v>0</v>
      </c>
      <c r="F393" s="8">
        <f>IFERROR(E393/E445, "NA")</f>
        <v>0</v>
      </c>
      <c r="G393" s="9"/>
      <c r="H393" s="10">
        <f t="shared" si="96"/>
        <v>0</v>
      </c>
      <c r="I393" s="8">
        <f>IFERROR(H393/H445, "NA")</f>
        <v>0</v>
      </c>
      <c r="J393" s="9"/>
      <c r="K393" s="7">
        <v>0</v>
      </c>
      <c r="L393" s="8">
        <f>IFERROR(K393/K445, "NA")</f>
        <v>0</v>
      </c>
      <c r="M393" s="9"/>
      <c r="N393" s="10">
        <f t="shared" si="97"/>
        <v>0</v>
      </c>
      <c r="O393" s="8">
        <f>IFERROR(N393/N445, "NA")</f>
        <v>0</v>
      </c>
      <c r="P393" s="9"/>
      <c r="Q393" s="7">
        <v>0</v>
      </c>
      <c r="R393" s="8">
        <f>IFERROR(Q393/Q445, "NA")</f>
        <v>0</v>
      </c>
      <c r="S393" s="9"/>
      <c r="T393" s="7">
        <v>0</v>
      </c>
      <c r="U393" s="8">
        <f>IFERROR(T393/T445, "NA")</f>
        <v>0</v>
      </c>
      <c r="V393" s="9"/>
      <c r="W393" s="10">
        <f t="shared" si="98"/>
        <v>0</v>
      </c>
      <c r="X393" s="8">
        <f>IFERROR(W393/W445, "NA")</f>
        <v>0</v>
      </c>
      <c r="Y393" s="9"/>
      <c r="Z393" s="7">
        <v>0</v>
      </c>
      <c r="AA393" s="8">
        <f>IFERROR(Z393/Z445, "NA")</f>
        <v>0</v>
      </c>
      <c r="AB393" s="9"/>
      <c r="AC393" s="10">
        <f t="shared" si="99"/>
        <v>0</v>
      </c>
      <c r="AD393" s="8">
        <f>IFERROR(AC393/AC445, "NA")</f>
        <v>0</v>
      </c>
    </row>
    <row r="394" spans="1:30" ht="16.5" customHeight="1" x14ac:dyDescent="0.45">
      <c r="A394" s="13" t="s">
        <v>360</v>
      </c>
      <c r="B394" s="14">
        <f>IFERROR(B389+B390+B391+B392+B393, "NA")</f>
        <v>0</v>
      </c>
      <c r="C394" s="15">
        <f>IFERROR(B394/B445, "NA")</f>
        <v>0</v>
      </c>
      <c r="D394" s="2"/>
      <c r="E394" s="14">
        <f>IFERROR(E389+E390+E391+E392+E393, "NA")</f>
        <v>0</v>
      </c>
      <c r="F394" s="15">
        <f>IFERROR(E394/E445, "NA")</f>
        <v>0</v>
      </c>
      <c r="G394" s="2"/>
      <c r="H394" s="14">
        <f t="shared" si="96"/>
        <v>0</v>
      </c>
      <c r="I394" s="15">
        <f>IFERROR(H394/H445, "NA")</f>
        <v>0</v>
      </c>
      <c r="J394" s="2"/>
      <c r="K394" s="14">
        <f>IFERROR(K389+K390+K391+K392+K393, "NA")</f>
        <v>0</v>
      </c>
      <c r="L394" s="15">
        <f>IFERROR(K394/K445, "NA")</f>
        <v>0</v>
      </c>
      <c r="M394" s="2"/>
      <c r="N394" s="14">
        <f t="shared" si="97"/>
        <v>0</v>
      </c>
      <c r="O394" s="15">
        <f>IFERROR(N394/N445, "NA")</f>
        <v>0</v>
      </c>
      <c r="P394" s="2"/>
      <c r="Q394" s="14">
        <f>IFERROR(Q389+Q390+Q391+Q392+Q393, "NA")</f>
        <v>0</v>
      </c>
      <c r="R394" s="15">
        <f>IFERROR(Q394/Q445, "NA")</f>
        <v>0</v>
      </c>
      <c r="S394" s="2"/>
      <c r="T394" s="14">
        <f>IFERROR(T389+T390+T391+T392+T393, "NA")</f>
        <v>0</v>
      </c>
      <c r="U394" s="15">
        <f>IFERROR(T394/T445, "NA")</f>
        <v>0</v>
      </c>
      <c r="V394" s="2"/>
      <c r="W394" s="14">
        <f t="shared" si="98"/>
        <v>0</v>
      </c>
      <c r="X394" s="15">
        <f>IFERROR(W394/W445, "NA")</f>
        <v>0</v>
      </c>
      <c r="Y394" s="2"/>
      <c r="Z394" s="14">
        <f>IFERROR(Z389+Z390+Z391+Z392+Z393, "NA")</f>
        <v>0</v>
      </c>
      <c r="AA394" s="15">
        <f>IFERROR(Z394/Z445, "NA")</f>
        <v>0</v>
      </c>
      <c r="AB394" s="2"/>
      <c r="AC394" s="14">
        <f t="shared" si="99"/>
        <v>0</v>
      </c>
      <c r="AD394" s="15">
        <f>IFERROR(AC394/AC445,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IFERROR(B395/B445, "NA")</f>
        <v>0</v>
      </c>
      <c r="D395" s="9"/>
      <c r="E395" s="7">
        <v>0</v>
      </c>
      <c r="F395" s="8">
        <f>IFERROR(E395/E445, "NA")</f>
        <v>0</v>
      </c>
      <c r="G395" s="9"/>
      <c r="H395" s="10">
        <f t="shared" si="96"/>
        <v>0</v>
      </c>
      <c r="I395" s="8">
        <f>IFERROR(H395/H445, "NA")</f>
        <v>0</v>
      </c>
      <c r="J395" s="9"/>
      <c r="K395" s="7">
        <v>0</v>
      </c>
      <c r="L395" s="8">
        <f>IFERROR(K395/K445, "NA")</f>
        <v>0</v>
      </c>
      <c r="M395" s="9"/>
      <c r="N395" s="10">
        <f t="shared" si="97"/>
        <v>0</v>
      </c>
      <c r="O395" s="8">
        <f>IFERROR(N395/N445, "NA")</f>
        <v>0</v>
      </c>
      <c r="P395" s="9"/>
      <c r="Q395" s="7">
        <v>0</v>
      </c>
      <c r="R395" s="8">
        <f>IFERROR(Q395/Q445, "NA")</f>
        <v>0</v>
      </c>
      <c r="S395" s="9"/>
      <c r="T395" s="7">
        <v>0</v>
      </c>
      <c r="U395" s="8">
        <f>IFERROR(T395/T445, "NA")</f>
        <v>0</v>
      </c>
      <c r="V395" s="9"/>
      <c r="W395" s="10">
        <f t="shared" si="98"/>
        <v>0</v>
      </c>
      <c r="X395" s="8">
        <f>IFERROR(W395/W445, "NA")</f>
        <v>0</v>
      </c>
      <c r="Y395" s="9"/>
      <c r="Z395" s="7">
        <v>0</v>
      </c>
      <c r="AA395" s="8">
        <f>IFERROR(Z395/Z445, "NA")</f>
        <v>0</v>
      </c>
      <c r="AB395" s="9"/>
      <c r="AC395" s="10">
        <f t="shared" si="99"/>
        <v>0</v>
      </c>
      <c r="AD395" s="8">
        <f>IFERROR(AC395/AC445, "NA")</f>
        <v>0</v>
      </c>
    </row>
    <row r="396" spans="1:30" ht="16.5" hidden="1" customHeight="1" x14ac:dyDescent="0.45">
      <c r="A396" s="6" t="s">
        <v>362</v>
      </c>
      <c r="B396" s="7">
        <v>0</v>
      </c>
      <c r="C396" s="8">
        <f>IFERROR(B396/B445, "NA")</f>
        <v>0</v>
      </c>
      <c r="D396" s="9"/>
      <c r="E396" s="7">
        <v>0</v>
      </c>
      <c r="F396" s="8">
        <f>IFERROR(E396/E445, "NA")</f>
        <v>0</v>
      </c>
      <c r="G396" s="9"/>
      <c r="H396" s="10">
        <f t="shared" si="96"/>
        <v>0</v>
      </c>
      <c r="I396" s="8">
        <f>IFERROR(H396/H445, "NA")</f>
        <v>0</v>
      </c>
      <c r="J396" s="9"/>
      <c r="K396" s="7">
        <v>0</v>
      </c>
      <c r="L396" s="8">
        <f>IFERROR(K396/K445, "NA")</f>
        <v>0</v>
      </c>
      <c r="M396" s="9"/>
      <c r="N396" s="10">
        <f t="shared" si="97"/>
        <v>0</v>
      </c>
      <c r="O396" s="8">
        <f>IFERROR(N396/N445, "NA")</f>
        <v>0</v>
      </c>
      <c r="P396" s="9"/>
      <c r="Q396" s="7">
        <v>0</v>
      </c>
      <c r="R396" s="8">
        <f>IFERROR(Q396/Q445, "NA")</f>
        <v>0</v>
      </c>
      <c r="S396" s="9"/>
      <c r="T396" s="7">
        <v>0</v>
      </c>
      <c r="U396" s="8">
        <f>IFERROR(T396/T445, "NA")</f>
        <v>0</v>
      </c>
      <c r="V396" s="9"/>
      <c r="W396" s="10">
        <f t="shared" si="98"/>
        <v>0</v>
      </c>
      <c r="X396" s="8">
        <f>IFERROR(W396/W445, "NA")</f>
        <v>0</v>
      </c>
      <c r="Y396" s="9"/>
      <c r="Z396" s="7">
        <v>0</v>
      </c>
      <c r="AA396" s="8">
        <f>IFERROR(Z396/Z445, "NA")</f>
        <v>0</v>
      </c>
      <c r="AB396" s="9"/>
      <c r="AC396" s="10">
        <f t="shared" si="99"/>
        <v>0</v>
      </c>
      <c r="AD396" s="8">
        <f>IFERROR(AC396/AC445, "NA")</f>
        <v>0</v>
      </c>
    </row>
    <row r="397" spans="1:30" ht="16.5" customHeight="1" x14ac:dyDescent="0.45">
      <c r="A397" s="19" t="s">
        <v>363</v>
      </c>
      <c r="B397" s="14">
        <f>IFERROR(B386+B387+B389+B390+B391+B392+B393+B395+B396, "NA")</f>
        <v>0</v>
      </c>
      <c r="C397" s="15">
        <f>IFERROR(B397/B445, "NA")</f>
        <v>0</v>
      </c>
      <c r="D397" s="2"/>
      <c r="E397" s="14">
        <f>IFERROR(E386+E387+E389+E390+E391+E392+E393+E395+E396, "NA")</f>
        <v>0</v>
      </c>
      <c r="F397" s="15">
        <f>IFERROR(E397/E445, "NA")</f>
        <v>0</v>
      </c>
      <c r="G397" s="2"/>
      <c r="H397" s="14">
        <f t="shared" si="96"/>
        <v>0</v>
      </c>
      <c r="I397" s="15">
        <f>IFERROR(H397/H445, "NA")</f>
        <v>0</v>
      </c>
      <c r="J397" s="2"/>
      <c r="K397" s="14">
        <f>IFERROR(K386+K387+K389+K390+K391+K392+K393+K395+K396, "NA")</f>
        <v>0</v>
      </c>
      <c r="L397" s="15">
        <f>IFERROR(K397/K445, "NA")</f>
        <v>0</v>
      </c>
      <c r="M397" s="2"/>
      <c r="N397" s="14">
        <f t="shared" si="97"/>
        <v>0</v>
      </c>
      <c r="O397" s="15">
        <f>IFERROR(N397/N445, "NA")</f>
        <v>0</v>
      </c>
      <c r="P397" s="2"/>
      <c r="Q397" s="14">
        <f>IFERROR(Q386+Q387+Q389+Q390+Q391+Q392+Q393+Q395+Q396, "NA")</f>
        <v>0</v>
      </c>
      <c r="R397" s="15">
        <f>IFERROR(Q397/Q445, "NA")</f>
        <v>0</v>
      </c>
      <c r="S397" s="2"/>
      <c r="T397" s="14">
        <f>IFERROR(T386+T387+T389+T390+T391+T392+T393+T395+T396, "NA")</f>
        <v>0</v>
      </c>
      <c r="U397" s="15">
        <f>IFERROR(T397/T445, "NA")</f>
        <v>0</v>
      </c>
      <c r="V397" s="2"/>
      <c r="W397" s="14">
        <f t="shared" si="98"/>
        <v>0</v>
      </c>
      <c r="X397" s="15">
        <f>IFERROR(W397/W445, "NA")</f>
        <v>0</v>
      </c>
      <c r="Y397" s="2"/>
      <c r="Z397" s="14">
        <f>IFERROR(Z386+Z387+Z389+Z390+Z391+Z392+Z393+Z395+Z396, "NA")</f>
        <v>0</v>
      </c>
      <c r="AA397" s="15">
        <f>IFERROR(Z397/Z445, "NA")</f>
        <v>0</v>
      </c>
      <c r="AB397" s="2"/>
      <c r="AC397" s="14">
        <f t="shared" si="99"/>
        <v>0</v>
      </c>
      <c r="AD397" s="15">
        <f>IFERROR(AC397/AC445,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IFERROR(B398/B445, "NA")</f>
        <v>0</v>
      </c>
      <c r="D398" s="9"/>
      <c r="E398" s="7">
        <v>0</v>
      </c>
      <c r="F398" s="8">
        <f>IFERROR(E398/E445, "NA")</f>
        <v>0</v>
      </c>
      <c r="G398" s="9"/>
      <c r="H398" s="10">
        <f t="shared" si="96"/>
        <v>0</v>
      </c>
      <c r="I398" s="8">
        <f>IFERROR(H398/H445, "NA")</f>
        <v>0</v>
      </c>
      <c r="J398" s="9"/>
      <c r="K398" s="7">
        <v>0</v>
      </c>
      <c r="L398" s="8">
        <f>IFERROR(K398/K445, "NA")</f>
        <v>0</v>
      </c>
      <c r="M398" s="9"/>
      <c r="N398" s="10">
        <f t="shared" si="97"/>
        <v>0</v>
      </c>
      <c r="O398" s="8">
        <f>IFERROR(N398/N445, "NA")</f>
        <v>0</v>
      </c>
      <c r="P398" s="9"/>
      <c r="Q398" s="7">
        <v>0</v>
      </c>
      <c r="R398" s="8">
        <f>IFERROR(Q398/Q445, "NA")</f>
        <v>0</v>
      </c>
      <c r="S398" s="9"/>
      <c r="T398" s="7">
        <v>0</v>
      </c>
      <c r="U398" s="8">
        <f>IFERROR(T398/T445, "NA")</f>
        <v>0</v>
      </c>
      <c r="V398" s="9"/>
      <c r="W398" s="10">
        <f t="shared" si="98"/>
        <v>0</v>
      </c>
      <c r="X398" s="8">
        <f>IFERROR(W398/W445, "NA")</f>
        <v>0</v>
      </c>
      <c r="Y398" s="9"/>
      <c r="Z398" s="7">
        <v>0</v>
      </c>
      <c r="AA398" s="8">
        <f>IFERROR(Z398/Z445, "NA")</f>
        <v>0</v>
      </c>
      <c r="AB398" s="9"/>
      <c r="AC398" s="10">
        <f t="shared" si="99"/>
        <v>0</v>
      </c>
      <c r="AD398" s="8">
        <f>IFERROR(AC398/AC445,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IFERROR(B399/B445, "NA")</f>
        <v>0</v>
      </c>
      <c r="D399" s="9"/>
      <c r="E399" s="7">
        <v>0</v>
      </c>
      <c r="F399" s="8">
        <f>IFERROR(E399/E445, "NA")</f>
        <v>0</v>
      </c>
      <c r="G399" s="9"/>
      <c r="H399" s="10">
        <f t="shared" si="96"/>
        <v>0</v>
      </c>
      <c r="I399" s="8">
        <f>IFERROR(H399/H445, "NA")</f>
        <v>0</v>
      </c>
      <c r="J399" s="9"/>
      <c r="K399" s="7">
        <v>0</v>
      </c>
      <c r="L399" s="8">
        <f>IFERROR(K399/K445, "NA")</f>
        <v>0</v>
      </c>
      <c r="M399" s="9"/>
      <c r="N399" s="10">
        <f t="shared" si="97"/>
        <v>0</v>
      </c>
      <c r="O399" s="8">
        <f>IFERROR(N399/N445, "NA")</f>
        <v>0</v>
      </c>
      <c r="P399" s="9"/>
      <c r="Q399" s="7">
        <v>0</v>
      </c>
      <c r="R399" s="8">
        <f>IFERROR(Q399/Q445, "NA")</f>
        <v>0</v>
      </c>
      <c r="S399" s="9"/>
      <c r="T399" s="7">
        <v>0</v>
      </c>
      <c r="U399" s="8">
        <f>IFERROR(T399/T445, "NA")</f>
        <v>0</v>
      </c>
      <c r="V399" s="9"/>
      <c r="W399" s="10">
        <f t="shared" si="98"/>
        <v>0</v>
      </c>
      <c r="X399" s="8">
        <f>IFERROR(W399/W445, "NA")</f>
        <v>0</v>
      </c>
      <c r="Y399" s="9"/>
      <c r="Z399" s="7">
        <v>0</v>
      </c>
      <c r="AA399" s="8">
        <f>IFERROR(Z399/Z445, "NA")</f>
        <v>0</v>
      </c>
      <c r="AB399" s="9"/>
      <c r="AC399" s="10">
        <f t="shared" si="99"/>
        <v>0</v>
      </c>
      <c r="AD399" s="8">
        <f>IFERROR(AC399/AC445,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IFERROR(B400/B445, "NA")</f>
        <v>0</v>
      </c>
      <c r="D400" s="9"/>
      <c r="E400" s="7">
        <v>0</v>
      </c>
      <c r="F400" s="8">
        <f>IFERROR(E400/E445, "NA")</f>
        <v>0</v>
      </c>
      <c r="G400" s="9"/>
      <c r="H400" s="10">
        <f t="shared" si="96"/>
        <v>0</v>
      </c>
      <c r="I400" s="8">
        <f>IFERROR(H400/H445, "NA")</f>
        <v>0</v>
      </c>
      <c r="J400" s="9"/>
      <c r="K400" s="7">
        <v>0</v>
      </c>
      <c r="L400" s="8">
        <f>IFERROR(K400/K445, "NA")</f>
        <v>0</v>
      </c>
      <c r="M400" s="9"/>
      <c r="N400" s="10">
        <f t="shared" si="97"/>
        <v>0</v>
      </c>
      <c r="O400" s="8">
        <f>IFERROR(N400/N445, "NA")</f>
        <v>0</v>
      </c>
      <c r="P400" s="9"/>
      <c r="Q400" s="7">
        <v>0</v>
      </c>
      <c r="R400" s="8">
        <f>IFERROR(Q400/Q445, "NA")</f>
        <v>0</v>
      </c>
      <c r="S400" s="9"/>
      <c r="T400" s="7">
        <v>0</v>
      </c>
      <c r="U400" s="8">
        <f>IFERROR(T400/T445, "NA")</f>
        <v>0</v>
      </c>
      <c r="V400" s="9"/>
      <c r="W400" s="10">
        <f t="shared" si="98"/>
        <v>0</v>
      </c>
      <c r="X400" s="8">
        <f>IFERROR(W400/W445, "NA")</f>
        <v>0</v>
      </c>
      <c r="Y400" s="9"/>
      <c r="Z400" s="7">
        <v>0</v>
      </c>
      <c r="AA400" s="8">
        <f>IFERROR(Z400/Z445, "NA")</f>
        <v>0</v>
      </c>
      <c r="AB400" s="9"/>
      <c r="AC400" s="10">
        <f t="shared" si="99"/>
        <v>0</v>
      </c>
      <c r="AD400" s="8">
        <f>IFERROR(AC400/AC445,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IFERROR(B401/B445, "NA")</f>
        <v>0</v>
      </c>
      <c r="D401" s="9"/>
      <c r="E401" s="7">
        <v>0</v>
      </c>
      <c r="F401" s="8">
        <f>IFERROR(E401/E445, "NA")</f>
        <v>0</v>
      </c>
      <c r="G401" s="9"/>
      <c r="H401" s="10">
        <f t="shared" si="96"/>
        <v>0</v>
      </c>
      <c r="I401" s="8">
        <f>IFERROR(H401/H445, "NA")</f>
        <v>0</v>
      </c>
      <c r="J401" s="9"/>
      <c r="K401" s="7">
        <v>0</v>
      </c>
      <c r="L401" s="8">
        <f>IFERROR(K401/K445, "NA")</f>
        <v>0</v>
      </c>
      <c r="M401" s="9"/>
      <c r="N401" s="10">
        <f t="shared" si="97"/>
        <v>0</v>
      </c>
      <c r="O401" s="8">
        <f>IFERROR(N401/N445, "NA")</f>
        <v>0</v>
      </c>
      <c r="P401" s="9"/>
      <c r="Q401" s="7">
        <v>0</v>
      </c>
      <c r="R401" s="8">
        <f>IFERROR(Q401/Q445, "NA")</f>
        <v>0</v>
      </c>
      <c r="S401" s="9"/>
      <c r="T401" s="7">
        <v>0</v>
      </c>
      <c r="U401" s="8">
        <f>IFERROR(T401/T445, "NA")</f>
        <v>0</v>
      </c>
      <c r="V401" s="9"/>
      <c r="W401" s="10">
        <f t="shared" si="98"/>
        <v>0</v>
      </c>
      <c r="X401" s="8">
        <f>IFERROR(W401/W445, "NA")</f>
        <v>0</v>
      </c>
      <c r="Y401" s="9"/>
      <c r="Z401" s="7">
        <v>0</v>
      </c>
      <c r="AA401" s="8">
        <f>IFERROR(Z401/Z445, "NA")</f>
        <v>0</v>
      </c>
      <c r="AB401" s="9"/>
      <c r="AC401" s="10">
        <f t="shared" si="99"/>
        <v>0</v>
      </c>
      <c r="AD401" s="8">
        <f>IFERROR(AC401/AC445,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IFERROR(B402/B445, "NA")</f>
        <v>0</v>
      </c>
      <c r="D402" s="9"/>
      <c r="E402" s="7">
        <v>0</v>
      </c>
      <c r="F402" s="8">
        <f>IFERROR(E402/E445, "NA")</f>
        <v>0</v>
      </c>
      <c r="G402" s="9"/>
      <c r="H402" s="10">
        <f t="shared" si="96"/>
        <v>0</v>
      </c>
      <c r="I402" s="8">
        <f>IFERROR(H402/H445, "NA")</f>
        <v>0</v>
      </c>
      <c r="J402" s="9"/>
      <c r="K402" s="7">
        <v>0</v>
      </c>
      <c r="L402" s="8">
        <f>IFERROR(K402/K445, "NA")</f>
        <v>0</v>
      </c>
      <c r="M402" s="9"/>
      <c r="N402" s="10">
        <f t="shared" si="97"/>
        <v>0</v>
      </c>
      <c r="O402" s="8">
        <f>IFERROR(N402/N445, "NA")</f>
        <v>0</v>
      </c>
      <c r="P402" s="9"/>
      <c r="Q402" s="7">
        <v>0</v>
      </c>
      <c r="R402" s="8">
        <f>IFERROR(Q402/Q445, "NA")</f>
        <v>0</v>
      </c>
      <c r="S402" s="9"/>
      <c r="T402" s="7">
        <v>0</v>
      </c>
      <c r="U402" s="8">
        <f>IFERROR(T402/T445, "NA")</f>
        <v>0</v>
      </c>
      <c r="V402" s="9"/>
      <c r="W402" s="10">
        <f t="shared" si="98"/>
        <v>0</v>
      </c>
      <c r="X402" s="8">
        <f>IFERROR(W402/W445, "NA")</f>
        <v>0</v>
      </c>
      <c r="Y402" s="9"/>
      <c r="Z402" s="7">
        <v>0</v>
      </c>
      <c r="AA402" s="8">
        <f>IFERROR(Z402/Z445, "NA")</f>
        <v>0</v>
      </c>
      <c r="AB402" s="9"/>
      <c r="AC402" s="10">
        <f t="shared" si="99"/>
        <v>0</v>
      </c>
      <c r="AD402" s="8">
        <f>IFERROR(AC402/AC445, "NA")</f>
        <v>0</v>
      </c>
    </row>
    <row r="403" spans="1:30" ht="16.5" hidden="1" customHeight="1" x14ac:dyDescent="0.45">
      <c r="A403" s="20" t="s">
        <v>369</v>
      </c>
      <c r="B403" s="7">
        <v>0</v>
      </c>
      <c r="C403" s="8">
        <f>IFERROR(B403/B445, "NA")</f>
        <v>0</v>
      </c>
      <c r="D403" s="9"/>
      <c r="E403" s="7">
        <v>0</v>
      </c>
      <c r="F403" s="8">
        <f>IFERROR(E403/E445, "NA")</f>
        <v>0</v>
      </c>
      <c r="G403" s="9"/>
      <c r="H403" s="10">
        <f t="shared" si="96"/>
        <v>0</v>
      </c>
      <c r="I403" s="8">
        <f>IFERROR(H403/H445, "NA")</f>
        <v>0</v>
      </c>
      <c r="J403" s="9"/>
      <c r="K403" s="7">
        <v>0</v>
      </c>
      <c r="L403" s="8">
        <f>IFERROR(K403/K445, "NA")</f>
        <v>0</v>
      </c>
      <c r="M403" s="9"/>
      <c r="N403" s="10">
        <f t="shared" si="97"/>
        <v>0</v>
      </c>
      <c r="O403" s="8">
        <f>IFERROR(N403/N445, "NA")</f>
        <v>0</v>
      </c>
      <c r="P403" s="9"/>
      <c r="Q403" s="7">
        <v>0</v>
      </c>
      <c r="R403" s="8">
        <f>IFERROR(Q403/Q445, "NA")</f>
        <v>0</v>
      </c>
      <c r="S403" s="9"/>
      <c r="T403" s="7">
        <v>0</v>
      </c>
      <c r="U403" s="8">
        <f>IFERROR(T403/T445, "NA")</f>
        <v>0</v>
      </c>
      <c r="V403" s="9"/>
      <c r="W403" s="10">
        <f t="shared" si="98"/>
        <v>0</v>
      </c>
      <c r="X403" s="8">
        <f>IFERROR(W403/W445, "NA")</f>
        <v>0</v>
      </c>
      <c r="Y403" s="9"/>
      <c r="Z403" s="7">
        <v>0</v>
      </c>
      <c r="AA403" s="8">
        <f>IFERROR(Z403/Z445, "NA")</f>
        <v>0</v>
      </c>
      <c r="AB403" s="9"/>
      <c r="AC403" s="10">
        <f t="shared" si="99"/>
        <v>0</v>
      </c>
      <c r="AD403" s="8">
        <f>IFERROR(AC403/AC445, "NA")</f>
        <v>0</v>
      </c>
    </row>
    <row r="404" spans="1:30" ht="16.5" customHeight="1" x14ac:dyDescent="0.45">
      <c r="A404" s="21" t="s">
        <v>370</v>
      </c>
      <c r="B404" s="14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5">
        <f>IFERROR(B404/B445, "NA")</f>
        <v>0</v>
      </c>
      <c r="D404" s="2"/>
      <c r="E404" s="14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5">
        <f>IFERROR(E404/E445, "NA")</f>
        <v>0</v>
      </c>
      <c r="G404" s="2"/>
      <c r="H404" s="14">
        <f t="shared" si="96"/>
        <v>0</v>
      </c>
      <c r="I404" s="15">
        <f>IFERROR(H404/H445, "NA")</f>
        <v>0</v>
      </c>
      <c r="J404" s="2"/>
      <c r="K404" s="14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5">
        <f>IFERROR(K404/K445, "NA")</f>
        <v>0</v>
      </c>
      <c r="M404" s="2"/>
      <c r="N404" s="14">
        <f t="shared" si="97"/>
        <v>0</v>
      </c>
      <c r="O404" s="15">
        <f>IFERROR(N404/N445, "NA")</f>
        <v>0</v>
      </c>
      <c r="P404" s="2"/>
      <c r="Q404" s="14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5">
        <f>IFERROR(Q404/Q445, "NA")</f>
        <v>0</v>
      </c>
      <c r="S404" s="2"/>
      <c r="T404" s="14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5">
        <f>IFERROR(T404/T445, "NA")</f>
        <v>0</v>
      </c>
      <c r="V404" s="2"/>
      <c r="W404" s="14">
        <f t="shared" si="98"/>
        <v>0</v>
      </c>
      <c r="X404" s="15">
        <f>IFERROR(W404/W445, "NA")</f>
        <v>0</v>
      </c>
      <c r="Y404" s="2"/>
      <c r="Z404" s="14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5">
        <f>IFERROR(Z404/Z445, "NA")</f>
        <v>0</v>
      </c>
      <c r="AB404" s="2"/>
      <c r="AC404" s="14">
        <f t="shared" si="99"/>
        <v>0</v>
      </c>
      <c r="AD404" s="15">
        <f>IFERROR(AC404/AC445, "NA")</f>
        <v>0</v>
      </c>
    </row>
    <row r="405" spans="1:30" ht="16.5" customHeight="1" x14ac:dyDescent="0.45">
      <c r="A405" s="22" t="s">
        <v>371</v>
      </c>
      <c r="B405" s="23">
        <f>IFERROR(B346-B404, "NA")</f>
        <v>2017.6800000000039</v>
      </c>
      <c r="C405" s="24">
        <f>IFERROR(B405/B445, "NA")</f>
        <v>1.7375327324546844E-2</v>
      </c>
      <c r="D405" s="25"/>
      <c r="E405" s="23">
        <f>IFERROR(E346-E404, "NA")</f>
        <v>4515.9300000000076</v>
      </c>
      <c r="F405" s="24">
        <f>IFERROR(E405/E445, "NA")</f>
        <v>3.6005134877437589E-2</v>
      </c>
      <c r="G405" s="25"/>
      <c r="H405" s="23">
        <f>IFERROR(B405-E405, "NA")</f>
        <v>-2498.2500000000036</v>
      </c>
      <c r="I405" s="24">
        <f>IFERROR(H405/H445, "NA")</f>
        <v>0.26859062091120334</v>
      </c>
      <c r="J405" s="25"/>
      <c r="K405" s="23">
        <f>IFERROR(K346-K404, "NA")</f>
        <v>-7524.270000000015</v>
      </c>
      <c r="L405" s="24">
        <f>IFERROR(K405/K445, "NA")</f>
        <v>-6.5419503598204545E-2</v>
      </c>
      <c r="M405" s="25"/>
      <c r="N405" s="23">
        <f>IFERROR(B405-K405, "NA")</f>
        <v>9541.9500000000189</v>
      </c>
      <c r="O405" s="24">
        <f>IFERROR(N405/N445, "NA")</f>
        <v>8.6151338955199659</v>
      </c>
      <c r="P405" s="25"/>
      <c r="Q405" s="23">
        <f>IFERROR(Q346-Q404, "NA")</f>
        <v>-33013.940000000061</v>
      </c>
      <c r="R405" s="24">
        <f>IFERROR(Q405/Q445, "NA")</f>
        <v>-6.2555901124661153E-2</v>
      </c>
      <c r="S405" s="25"/>
      <c r="T405" s="23">
        <f>IFERROR(T346-T404, "NA")</f>
        <v>5806.9600000000937</v>
      </c>
      <c r="U405" s="24">
        <f>IFERROR(T405/T445, "NA")</f>
        <v>9.7657314875891181E-3</v>
      </c>
      <c r="V405" s="25"/>
      <c r="W405" s="23">
        <f>IFERROR(Q405-T405, "NA")</f>
        <v>-38820.900000000154</v>
      </c>
      <c r="X405" s="24">
        <f>IFERROR(W405/W445, "NA")</f>
        <v>0.58049761638131936</v>
      </c>
      <c r="Y405" s="25"/>
      <c r="Z405" s="23">
        <f>IFERROR(Z346-Z404, "NA")</f>
        <v>-33324.849999999904</v>
      </c>
      <c r="AA405" s="24">
        <f>IFERROR(Z405/Z445, "NA")</f>
        <v>-5.9961872893823945E-2</v>
      </c>
      <c r="AB405" s="25"/>
      <c r="AC405" s="23">
        <f>IFERROR(Q405-Z405, "NA")</f>
        <v>310.90999999984342</v>
      </c>
      <c r="AD405" s="24">
        <f>IFERROR(AC405/AC445, "NA")</f>
        <v>-1.1097460337397773E-2</v>
      </c>
    </row>
    <row r="406" spans="1:30" ht="16.5" customHeight="1" x14ac:dyDescent="0.45">
      <c r="A406" s="1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5" t="s">
        <v>373</v>
      </c>
      <c r="B407" s="2"/>
      <c r="C407" s="3"/>
      <c r="D407" s="4"/>
      <c r="E407" s="2"/>
      <c r="F407" s="3"/>
      <c r="G407" s="4"/>
      <c r="H407" s="2"/>
      <c r="I407" s="3"/>
      <c r="J407" s="4"/>
      <c r="K407" s="2"/>
      <c r="L407" s="3"/>
      <c r="M407" s="4"/>
      <c r="N407" s="2"/>
      <c r="O407" s="3"/>
      <c r="P407" s="4"/>
      <c r="Q407" s="2"/>
      <c r="R407" s="3"/>
      <c r="S407" s="4"/>
      <c r="T407" s="2"/>
      <c r="U407" s="3"/>
      <c r="V407" s="4"/>
      <c r="W407" s="2"/>
      <c r="X407" s="3"/>
      <c r="Y407" s="4"/>
      <c r="Z407" s="2"/>
      <c r="AA407" s="3"/>
      <c r="AB407" s="4"/>
      <c r="AC407" s="2"/>
      <c r="AD407" s="3"/>
    </row>
    <row r="408" spans="1:30" ht="16.5" customHeight="1" x14ac:dyDescent="0.45">
      <c r="A408" s="6" t="s">
        <v>373</v>
      </c>
      <c r="B408" s="7">
        <v>0</v>
      </c>
      <c r="C408" s="8">
        <f>IFERROR(B408/B445, "NA")</f>
        <v>0</v>
      </c>
      <c r="D408" s="9"/>
      <c r="E408" s="7">
        <v>10538.65</v>
      </c>
      <c r="F408" s="8">
        <f>IFERROR(E408/E445, "NA")</f>
        <v>8.4023781297785177E-2</v>
      </c>
      <c r="G408" s="9"/>
      <c r="H408" s="10">
        <f t="shared" ref="H408:H430" si="100">IFERROR(-(B408-E408), "NA")</f>
        <v>10538.65</v>
      </c>
      <c r="I408" s="8">
        <f>IFERROR(H408/H445, "NA")</f>
        <v>-1.1330261371223254</v>
      </c>
      <c r="J408" s="9"/>
      <c r="K408" s="7">
        <v>0</v>
      </c>
      <c r="L408" s="8">
        <f>IFERROR(K408/K445, "NA")</f>
        <v>0</v>
      </c>
      <c r="M408" s="9"/>
      <c r="N408" s="10">
        <f t="shared" ref="N408:N430" si="101">IFERROR(-(B408-K408), "NA")</f>
        <v>0</v>
      </c>
      <c r="O408" s="8">
        <f>IFERROR(N408/N445, "NA")</f>
        <v>0</v>
      </c>
      <c r="P408" s="9"/>
      <c r="Q408" s="7">
        <v>0</v>
      </c>
      <c r="R408" s="8">
        <f>IFERROR(Q408/Q445, "NA")</f>
        <v>0</v>
      </c>
      <c r="S408" s="9"/>
      <c r="T408" s="7">
        <v>52230.87</v>
      </c>
      <c r="U408" s="8">
        <f>IFERROR(T408/T445, "NA")</f>
        <v>8.7838154866430221E-2</v>
      </c>
      <c r="V408" s="9"/>
      <c r="W408" s="10">
        <f t="shared" ref="W408:W430" si="102">IFERROR(-(Q408-T408), "NA")</f>
        <v>52230.87</v>
      </c>
      <c r="X408" s="8">
        <f>IFERROR(W408/W445, "NA")</f>
        <v>-0.78101990259170817</v>
      </c>
      <c r="Y408" s="9"/>
      <c r="Z408" s="7">
        <v>0</v>
      </c>
      <c r="AA408" s="8">
        <f>IFERROR(Z408/Z445, "NA")</f>
        <v>0</v>
      </c>
      <c r="AB408" s="9"/>
      <c r="AC408" s="10">
        <f t="shared" ref="AC408:AC430" si="103">IFERROR(-(Q408-Z408), "NA")</f>
        <v>0</v>
      </c>
      <c r="AD408" s="8">
        <f>IFERROR(AC408/AC445,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IFERROR(B409/B445, "NA")</f>
        <v>0</v>
      </c>
      <c r="D409" s="9"/>
      <c r="E409" s="7">
        <v>0</v>
      </c>
      <c r="F409" s="8">
        <f>IFERROR(E409/E445, "NA")</f>
        <v>0</v>
      </c>
      <c r="G409" s="9"/>
      <c r="H409" s="10">
        <f t="shared" si="100"/>
        <v>0</v>
      </c>
      <c r="I409" s="8">
        <f>IFERROR(H409/H445, "NA")</f>
        <v>0</v>
      </c>
      <c r="J409" s="9"/>
      <c r="K409" s="7">
        <v>0</v>
      </c>
      <c r="L409" s="8">
        <f>IFERROR(K409/K445, "NA")</f>
        <v>0</v>
      </c>
      <c r="M409" s="9"/>
      <c r="N409" s="10">
        <f t="shared" si="101"/>
        <v>0</v>
      </c>
      <c r="O409" s="8">
        <f>IFERROR(N409/N445, "NA")</f>
        <v>0</v>
      </c>
      <c r="P409" s="9"/>
      <c r="Q409" s="7">
        <v>0</v>
      </c>
      <c r="R409" s="8">
        <f>IFERROR(Q409/Q445, "NA")</f>
        <v>0</v>
      </c>
      <c r="S409" s="9"/>
      <c r="T409" s="7">
        <v>0</v>
      </c>
      <c r="U409" s="8">
        <f>IFERROR(T409/T445, "NA")</f>
        <v>0</v>
      </c>
      <c r="V409" s="9"/>
      <c r="W409" s="10">
        <f t="shared" si="102"/>
        <v>0</v>
      </c>
      <c r="X409" s="8">
        <f>IFERROR(W409/W445, "NA")</f>
        <v>0</v>
      </c>
      <c r="Y409" s="9"/>
      <c r="Z409" s="7">
        <v>0</v>
      </c>
      <c r="AA409" s="8">
        <f>IFERROR(Z409/Z445, "NA")</f>
        <v>0</v>
      </c>
      <c r="AB409" s="9"/>
      <c r="AC409" s="10">
        <f t="shared" si="103"/>
        <v>0</v>
      </c>
      <c r="AD409" s="8">
        <f>IFERROR(AC409/AC445, "NA")</f>
        <v>0</v>
      </c>
    </row>
    <row r="410" spans="1:30" ht="16.5" hidden="1" customHeight="1" x14ac:dyDescent="0.45">
      <c r="A410" s="6" t="s">
        <v>375</v>
      </c>
      <c r="B410" s="7">
        <v>0</v>
      </c>
      <c r="C410" s="8">
        <f>IFERROR(B410/B445, "NA")</f>
        <v>0</v>
      </c>
      <c r="D410" s="9"/>
      <c r="E410" s="7">
        <v>0</v>
      </c>
      <c r="F410" s="8">
        <f>IFERROR(E410/E445, "NA")</f>
        <v>0</v>
      </c>
      <c r="G410" s="9"/>
      <c r="H410" s="10">
        <f t="shared" si="100"/>
        <v>0</v>
      </c>
      <c r="I410" s="8">
        <f>IFERROR(H410/H445, "NA")</f>
        <v>0</v>
      </c>
      <c r="J410" s="9"/>
      <c r="K410" s="7">
        <v>0</v>
      </c>
      <c r="L410" s="8">
        <f>IFERROR(K410/K445, "NA")</f>
        <v>0</v>
      </c>
      <c r="M410" s="9"/>
      <c r="N410" s="10">
        <f t="shared" si="101"/>
        <v>0</v>
      </c>
      <c r="O410" s="8">
        <f>IFERROR(N410/N445, "NA")</f>
        <v>0</v>
      </c>
      <c r="P410" s="9"/>
      <c r="Q410" s="7">
        <v>0</v>
      </c>
      <c r="R410" s="8">
        <f>IFERROR(Q410/Q445, "NA")</f>
        <v>0</v>
      </c>
      <c r="S410" s="9"/>
      <c r="T410" s="7">
        <v>0</v>
      </c>
      <c r="U410" s="8">
        <f>IFERROR(T410/T445, "NA")</f>
        <v>0</v>
      </c>
      <c r="V410" s="9"/>
      <c r="W410" s="10">
        <f t="shared" si="102"/>
        <v>0</v>
      </c>
      <c r="X410" s="8">
        <f>IFERROR(W410/W445, "NA")</f>
        <v>0</v>
      </c>
      <c r="Y410" s="9"/>
      <c r="Z410" s="7">
        <v>0</v>
      </c>
      <c r="AA410" s="8">
        <f>IFERROR(Z410/Z445, "NA")</f>
        <v>0</v>
      </c>
      <c r="AB410" s="9"/>
      <c r="AC410" s="10">
        <f t="shared" si="103"/>
        <v>0</v>
      </c>
      <c r="AD410" s="8">
        <f>IFERROR(AC410/AC445, "NA")</f>
        <v>0</v>
      </c>
    </row>
    <row r="411" spans="1:30" ht="16.5" customHeight="1" x14ac:dyDescent="0.45">
      <c r="A411" s="6" t="s">
        <v>376</v>
      </c>
      <c r="B411" s="7">
        <v>10648.86</v>
      </c>
      <c r="C411" s="8">
        <f>IFERROR(B411/B445, "NA")</f>
        <v>9.1703059024857037E-2</v>
      </c>
      <c r="D411" s="9"/>
      <c r="E411" s="7">
        <v>0</v>
      </c>
      <c r="F411" s="8">
        <f>IFERROR(E411/E445, "NA")</f>
        <v>0</v>
      </c>
      <c r="G411" s="9"/>
      <c r="H411" s="10">
        <f t="shared" si="100"/>
        <v>-10648.86</v>
      </c>
      <c r="I411" s="8">
        <f>IFERROR(H411/H445, "NA")</f>
        <v>1.1448749802447606</v>
      </c>
      <c r="J411" s="9"/>
      <c r="K411" s="7">
        <v>9780.9</v>
      </c>
      <c r="L411" s="8">
        <f>IFERROR(K411/K445, "NA")</f>
        <v>8.5039694580826788E-2</v>
      </c>
      <c r="M411" s="9"/>
      <c r="N411" s="10">
        <f t="shared" si="101"/>
        <v>-867.96000000000095</v>
      </c>
      <c r="O411" s="8">
        <f>IFERROR(N411/N445, "NA")</f>
        <v>-0.78365445385434873</v>
      </c>
      <c r="P411" s="9"/>
      <c r="Q411" s="7">
        <v>53243.67</v>
      </c>
      <c r="R411" s="8">
        <f>IFERROR(Q411/Q445, "NA")</f>
        <v>0.1008878599777573</v>
      </c>
      <c r="S411" s="9"/>
      <c r="T411" s="7">
        <v>0</v>
      </c>
      <c r="U411" s="8">
        <f>IFERROR(T411/T445, "NA")</f>
        <v>0</v>
      </c>
      <c r="V411" s="9"/>
      <c r="W411" s="10">
        <f t="shared" si="102"/>
        <v>-53243.67</v>
      </c>
      <c r="X411" s="8">
        <f>IFERROR(W411/W445, "NA")</f>
        <v>0.79616452793195014</v>
      </c>
      <c r="Y411" s="9"/>
      <c r="Z411" s="7">
        <v>48904.49</v>
      </c>
      <c r="AA411" s="8">
        <f>IFERROR(Z411/Z445, "NA")</f>
        <v>8.799453900969674E-2</v>
      </c>
      <c r="AB411" s="9"/>
      <c r="AC411" s="10">
        <f t="shared" si="103"/>
        <v>-4339.18</v>
      </c>
      <c r="AD411" s="8">
        <f>IFERROR(AC411/AC445, "NA")</f>
        <v>0.15488044111432223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IFERROR(B412/B445, "NA")</f>
        <v>0</v>
      </c>
      <c r="D412" s="9"/>
      <c r="E412" s="7">
        <v>0</v>
      </c>
      <c r="F412" s="8">
        <f>IFERROR(E412/E445, "NA")</f>
        <v>0</v>
      </c>
      <c r="G412" s="9"/>
      <c r="H412" s="10">
        <f t="shared" si="100"/>
        <v>0</v>
      </c>
      <c r="I412" s="8">
        <f>IFERROR(H412/H445, "NA")</f>
        <v>0</v>
      </c>
      <c r="J412" s="9"/>
      <c r="K412" s="7">
        <v>0</v>
      </c>
      <c r="L412" s="8">
        <f>IFERROR(K412/K445, "NA")</f>
        <v>0</v>
      </c>
      <c r="M412" s="9"/>
      <c r="N412" s="10">
        <f t="shared" si="101"/>
        <v>0</v>
      </c>
      <c r="O412" s="8">
        <f>IFERROR(N412/N445, "NA")</f>
        <v>0</v>
      </c>
      <c r="P412" s="9"/>
      <c r="Q412" s="7">
        <v>0</v>
      </c>
      <c r="R412" s="8">
        <f>IFERROR(Q412/Q445, "NA")</f>
        <v>0</v>
      </c>
      <c r="S412" s="9"/>
      <c r="T412" s="7">
        <v>0</v>
      </c>
      <c r="U412" s="8">
        <f>IFERROR(T412/T445, "NA")</f>
        <v>0</v>
      </c>
      <c r="V412" s="9"/>
      <c r="W412" s="10">
        <f t="shared" si="102"/>
        <v>0</v>
      </c>
      <c r="X412" s="8">
        <f>IFERROR(W412/W445, "NA")</f>
        <v>0</v>
      </c>
      <c r="Y412" s="9"/>
      <c r="Z412" s="7">
        <v>0</v>
      </c>
      <c r="AA412" s="8">
        <f>IFERROR(Z412/Z445, "NA")</f>
        <v>0</v>
      </c>
      <c r="AB412" s="9"/>
      <c r="AC412" s="10">
        <f t="shared" si="103"/>
        <v>0</v>
      </c>
      <c r="AD412" s="8">
        <f>IFERROR(AC412/AC445,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IFERROR(B413/B445, "NA")</f>
        <v>0</v>
      </c>
      <c r="D413" s="9"/>
      <c r="E413" s="7">
        <v>0</v>
      </c>
      <c r="F413" s="8">
        <f>IFERROR(E413/E445, "NA")</f>
        <v>0</v>
      </c>
      <c r="G413" s="9"/>
      <c r="H413" s="10">
        <f t="shared" si="100"/>
        <v>0</v>
      </c>
      <c r="I413" s="8">
        <f>IFERROR(H413/H445, "NA")</f>
        <v>0</v>
      </c>
      <c r="J413" s="9"/>
      <c r="K413" s="7">
        <v>0</v>
      </c>
      <c r="L413" s="8">
        <f>IFERROR(K413/K445, "NA")</f>
        <v>0</v>
      </c>
      <c r="M413" s="9"/>
      <c r="N413" s="10">
        <f t="shared" si="101"/>
        <v>0</v>
      </c>
      <c r="O413" s="8">
        <f>IFERROR(N413/N445, "NA")</f>
        <v>0</v>
      </c>
      <c r="P413" s="9"/>
      <c r="Q413" s="7">
        <v>0</v>
      </c>
      <c r="R413" s="8">
        <f>IFERROR(Q413/Q445, "NA")</f>
        <v>0</v>
      </c>
      <c r="S413" s="9"/>
      <c r="T413" s="7">
        <v>0</v>
      </c>
      <c r="U413" s="8">
        <f>IFERROR(T413/T445, "NA")</f>
        <v>0</v>
      </c>
      <c r="V413" s="9"/>
      <c r="W413" s="10">
        <f t="shared" si="102"/>
        <v>0</v>
      </c>
      <c r="X413" s="8">
        <f>IFERROR(W413/W445, "NA")</f>
        <v>0</v>
      </c>
      <c r="Y413" s="9"/>
      <c r="Z413" s="7">
        <v>0</v>
      </c>
      <c r="AA413" s="8">
        <f>IFERROR(Z413/Z445, "NA")</f>
        <v>0</v>
      </c>
      <c r="AB413" s="9"/>
      <c r="AC413" s="10">
        <f t="shared" si="103"/>
        <v>0</v>
      </c>
      <c r="AD413" s="8">
        <f>IFERROR(AC413/AC445,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IFERROR(B414/B445, "NA")</f>
        <v>0</v>
      </c>
      <c r="D414" s="9"/>
      <c r="E414" s="7">
        <v>0</v>
      </c>
      <c r="F414" s="8">
        <f>IFERROR(E414/E445, "NA")</f>
        <v>0</v>
      </c>
      <c r="G414" s="9"/>
      <c r="H414" s="10">
        <f t="shared" si="100"/>
        <v>0</v>
      </c>
      <c r="I414" s="8">
        <f>IFERROR(H414/H445, "NA")</f>
        <v>0</v>
      </c>
      <c r="J414" s="9"/>
      <c r="K414" s="7">
        <v>0</v>
      </c>
      <c r="L414" s="8">
        <f>IFERROR(K414/K445, "NA")</f>
        <v>0</v>
      </c>
      <c r="M414" s="9"/>
      <c r="N414" s="10">
        <f t="shared" si="101"/>
        <v>0</v>
      </c>
      <c r="O414" s="8">
        <f>IFERROR(N414/N445, "NA")</f>
        <v>0</v>
      </c>
      <c r="P414" s="9"/>
      <c r="Q414" s="7">
        <v>0</v>
      </c>
      <c r="R414" s="8">
        <f>IFERROR(Q414/Q445, "NA")</f>
        <v>0</v>
      </c>
      <c r="S414" s="9"/>
      <c r="T414" s="7">
        <v>0</v>
      </c>
      <c r="U414" s="8">
        <f>IFERROR(T414/T445, "NA")</f>
        <v>0</v>
      </c>
      <c r="V414" s="9"/>
      <c r="W414" s="10">
        <f t="shared" si="102"/>
        <v>0</v>
      </c>
      <c r="X414" s="8">
        <f>IFERROR(W414/W445, "NA")</f>
        <v>0</v>
      </c>
      <c r="Y414" s="9"/>
      <c r="Z414" s="7">
        <v>0</v>
      </c>
      <c r="AA414" s="8">
        <f>IFERROR(Z414/Z445, "NA")</f>
        <v>0</v>
      </c>
      <c r="AB414" s="9"/>
      <c r="AC414" s="10">
        <f t="shared" si="103"/>
        <v>0</v>
      </c>
      <c r="AD414" s="8">
        <f>IFERROR(AC414/AC445,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IFERROR(B415/B445, "NA")</f>
        <v>0</v>
      </c>
      <c r="D415" s="9"/>
      <c r="E415" s="7">
        <v>0</v>
      </c>
      <c r="F415" s="8">
        <f>IFERROR(E415/E445, "NA")</f>
        <v>0</v>
      </c>
      <c r="G415" s="9"/>
      <c r="H415" s="10">
        <f t="shared" si="100"/>
        <v>0</v>
      </c>
      <c r="I415" s="8">
        <f>IFERROR(H415/H445, "NA")</f>
        <v>0</v>
      </c>
      <c r="J415" s="9"/>
      <c r="K415" s="7">
        <v>0</v>
      </c>
      <c r="L415" s="8">
        <f>IFERROR(K415/K445, "NA")</f>
        <v>0</v>
      </c>
      <c r="M415" s="9"/>
      <c r="N415" s="10">
        <f t="shared" si="101"/>
        <v>0</v>
      </c>
      <c r="O415" s="8">
        <f>IFERROR(N415/N445, "NA")</f>
        <v>0</v>
      </c>
      <c r="P415" s="9"/>
      <c r="Q415" s="7">
        <v>0</v>
      </c>
      <c r="R415" s="8">
        <f>IFERROR(Q415/Q445, "NA")</f>
        <v>0</v>
      </c>
      <c r="S415" s="9"/>
      <c r="T415" s="7">
        <v>0</v>
      </c>
      <c r="U415" s="8">
        <f>IFERROR(T415/T445, "NA")</f>
        <v>0</v>
      </c>
      <c r="V415" s="9"/>
      <c r="W415" s="10">
        <f t="shared" si="102"/>
        <v>0</v>
      </c>
      <c r="X415" s="8">
        <f>IFERROR(W415/W445, "NA")</f>
        <v>0</v>
      </c>
      <c r="Y415" s="9"/>
      <c r="Z415" s="7">
        <v>0</v>
      </c>
      <c r="AA415" s="8">
        <f>IFERROR(Z415/Z445, "NA")</f>
        <v>0</v>
      </c>
      <c r="AB415" s="9"/>
      <c r="AC415" s="10">
        <f t="shared" si="103"/>
        <v>0</v>
      </c>
      <c r="AD415" s="8">
        <f>IFERROR(AC415/AC445,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IFERROR(B416/B445, "NA")</f>
        <v>0</v>
      </c>
      <c r="D416" s="9"/>
      <c r="E416" s="7">
        <v>0</v>
      </c>
      <c r="F416" s="8">
        <f>IFERROR(E416/E445, "NA")</f>
        <v>0</v>
      </c>
      <c r="G416" s="9"/>
      <c r="H416" s="10">
        <f t="shared" si="100"/>
        <v>0</v>
      </c>
      <c r="I416" s="8">
        <f>IFERROR(H416/H445, "NA")</f>
        <v>0</v>
      </c>
      <c r="J416" s="9"/>
      <c r="K416" s="7">
        <v>0</v>
      </c>
      <c r="L416" s="8">
        <f>IFERROR(K416/K445, "NA")</f>
        <v>0</v>
      </c>
      <c r="M416" s="9"/>
      <c r="N416" s="10">
        <f t="shared" si="101"/>
        <v>0</v>
      </c>
      <c r="O416" s="8">
        <f>IFERROR(N416/N445, "NA")</f>
        <v>0</v>
      </c>
      <c r="P416" s="9"/>
      <c r="Q416" s="7">
        <v>0</v>
      </c>
      <c r="R416" s="8">
        <f>IFERROR(Q416/Q445, "NA")</f>
        <v>0</v>
      </c>
      <c r="S416" s="9"/>
      <c r="T416" s="7">
        <v>0</v>
      </c>
      <c r="U416" s="8">
        <f>IFERROR(T416/T445, "NA")</f>
        <v>0</v>
      </c>
      <c r="V416" s="9"/>
      <c r="W416" s="10">
        <f t="shared" si="102"/>
        <v>0</v>
      </c>
      <c r="X416" s="8">
        <f>IFERROR(W416/W445, "NA")</f>
        <v>0</v>
      </c>
      <c r="Y416" s="9"/>
      <c r="Z416" s="7">
        <v>0</v>
      </c>
      <c r="AA416" s="8">
        <f>IFERROR(Z416/Z445, "NA")</f>
        <v>0</v>
      </c>
      <c r="AB416" s="9"/>
      <c r="AC416" s="10">
        <f t="shared" si="103"/>
        <v>0</v>
      </c>
      <c r="AD416" s="8">
        <f>IFERROR(AC416/AC445, "NA")</f>
        <v>0</v>
      </c>
    </row>
    <row r="417" spans="1:30" ht="16.5" customHeight="1" x14ac:dyDescent="0.45">
      <c r="A417" s="6" t="s">
        <v>382</v>
      </c>
      <c r="B417" s="7">
        <v>-54.72</v>
      </c>
      <c r="C417" s="8">
        <f>IFERROR(B417/B445, "NA")</f>
        <v>-4.7122334126283721E-4</v>
      </c>
      <c r="D417" s="9"/>
      <c r="E417" s="7">
        <v>0</v>
      </c>
      <c r="F417" s="8">
        <f>IFERROR(E417/E445, "NA")</f>
        <v>0</v>
      </c>
      <c r="G417" s="9"/>
      <c r="H417" s="10">
        <f t="shared" si="100"/>
        <v>54.72</v>
      </c>
      <c r="I417" s="8">
        <f>IFERROR(H417/H445, "NA")</f>
        <v>-5.8830296312462832E-3</v>
      </c>
      <c r="J417" s="9"/>
      <c r="K417" s="7">
        <v>-56.53</v>
      </c>
      <c r="L417" s="8">
        <f>IFERROR(K417/K445, "NA")</f>
        <v>-4.9149811721356301E-4</v>
      </c>
      <c r="M417" s="9"/>
      <c r="N417" s="10">
        <f t="shared" si="101"/>
        <v>-1.8100000000000023</v>
      </c>
      <c r="O417" s="8">
        <f>IFERROR(N417/N445, "NA")</f>
        <v>-1.6341934668376093E-3</v>
      </c>
      <c r="P417" s="9"/>
      <c r="Q417" s="7">
        <v>-157.5</v>
      </c>
      <c r="R417" s="8">
        <f>IFERROR(Q417/Q445, "NA")</f>
        <v>-2.9843618868678241E-4</v>
      </c>
      <c r="S417" s="9"/>
      <c r="T417" s="7">
        <v>0</v>
      </c>
      <c r="U417" s="8">
        <f>IFERROR(T417/T445, "NA")</f>
        <v>0</v>
      </c>
      <c r="V417" s="9"/>
      <c r="W417" s="10">
        <f t="shared" si="102"/>
        <v>157.5</v>
      </c>
      <c r="X417" s="8">
        <f>IFERROR(W417/W445, "NA")</f>
        <v>-2.3551327913587127E-3</v>
      </c>
      <c r="Y417" s="9"/>
      <c r="Z417" s="7">
        <v>168.33</v>
      </c>
      <c r="AA417" s="8">
        <f>IFERROR(Z417/Z445, "NA")</f>
        <v>3.0287854451610177E-4</v>
      </c>
      <c r="AB417" s="9"/>
      <c r="AC417" s="10">
        <f t="shared" si="103"/>
        <v>325.83000000000004</v>
      </c>
      <c r="AD417" s="8">
        <f>IFERROR(AC417/AC445, "NA")</f>
        <v>-1.1630007081586754E-2</v>
      </c>
    </row>
    <row r="418" spans="1:30" ht="16.5" customHeight="1" x14ac:dyDescent="0.45">
      <c r="A418" s="6" t="s">
        <v>383</v>
      </c>
      <c r="B418" s="7">
        <v>-14.94</v>
      </c>
      <c r="C418" s="8">
        <f>IFERROR(B418/B445, "NA")</f>
        <v>-1.2865637277899831E-4</v>
      </c>
      <c r="D418" s="9"/>
      <c r="E418" s="7">
        <v>0</v>
      </c>
      <c r="F418" s="8">
        <f>IFERROR(E418/E445, "NA")</f>
        <v>0</v>
      </c>
      <c r="G418" s="9"/>
      <c r="H418" s="10">
        <f t="shared" si="100"/>
        <v>14.94</v>
      </c>
      <c r="I418" s="8">
        <f>IFERROR(H418/H445, "NA")</f>
        <v>-1.6062219058994786E-3</v>
      </c>
      <c r="J418" s="9"/>
      <c r="K418" s="7">
        <v>-60.32</v>
      </c>
      <c r="L418" s="8">
        <f>IFERROR(K418/K445, "NA")</f>
        <v>-5.2445014028519588E-4</v>
      </c>
      <c r="M418" s="9"/>
      <c r="N418" s="10">
        <f t="shared" si="101"/>
        <v>-45.38</v>
      </c>
      <c r="O418" s="8">
        <f>IFERROR(N418/N445, "NA")</f>
        <v>-4.097220968237051E-2</v>
      </c>
      <c r="P418" s="9"/>
      <c r="Q418" s="7">
        <v>-123.08</v>
      </c>
      <c r="R418" s="8">
        <f>IFERROR(Q418/Q445, "NA")</f>
        <v>-2.3321603875282019E-4</v>
      </c>
      <c r="S418" s="9"/>
      <c r="T418" s="7">
        <v>0</v>
      </c>
      <c r="U418" s="8">
        <f>IFERROR(T418/T445, "NA")</f>
        <v>0</v>
      </c>
      <c r="V418" s="9"/>
      <c r="W418" s="10">
        <f t="shared" si="102"/>
        <v>123.08</v>
      </c>
      <c r="X418" s="8">
        <f>IFERROR(W418/W445, "NA")</f>
        <v>-1.8404428187963832E-3</v>
      </c>
      <c r="Y418" s="9"/>
      <c r="Z418" s="7">
        <v>-137.44</v>
      </c>
      <c r="AA418" s="8">
        <f>IFERROR(Z418/Z445, "NA")</f>
        <v>-2.4729773158850489E-4</v>
      </c>
      <c r="AB418" s="9"/>
      <c r="AC418" s="10">
        <f t="shared" si="103"/>
        <v>-14.36</v>
      </c>
      <c r="AD418" s="8">
        <f>IFERROR(AC418/AC445, "NA")</f>
        <v>5.1255839453575724E-4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IFERROR(B419/B445, "NA")</f>
        <v>0</v>
      </c>
      <c r="D419" s="9"/>
      <c r="E419" s="7">
        <v>0</v>
      </c>
      <c r="F419" s="8">
        <f>IFERROR(E419/E445, "NA")</f>
        <v>0</v>
      </c>
      <c r="G419" s="9"/>
      <c r="H419" s="10">
        <f t="shared" si="100"/>
        <v>0</v>
      </c>
      <c r="I419" s="8">
        <f>IFERROR(H419/H445, "NA")</f>
        <v>0</v>
      </c>
      <c r="J419" s="9"/>
      <c r="K419" s="7">
        <v>0</v>
      </c>
      <c r="L419" s="8">
        <f>IFERROR(K419/K445, "NA")</f>
        <v>0</v>
      </c>
      <c r="M419" s="9"/>
      <c r="N419" s="10">
        <f t="shared" si="101"/>
        <v>0</v>
      </c>
      <c r="O419" s="8">
        <f>IFERROR(N419/N445, "NA")</f>
        <v>0</v>
      </c>
      <c r="P419" s="9"/>
      <c r="Q419" s="7">
        <v>0</v>
      </c>
      <c r="R419" s="8">
        <f>IFERROR(Q419/Q445, "NA")</f>
        <v>0</v>
      </c>
      <c r="S419" s="9"/>
      <c r="T419" s="7">
        <v>0</v>
      </c>
      <c r="U419" s="8">
        <f>IFERROR(T419/T445, "NA")</f>
        <v>0</v>
      </c>
      <c r="V419" s="9"/>
      <c r="W419" s="10">
        <f t="shared" si="102"/>
        <v>0</v>
      </c>
      <c r="X419" s="8">
        <f>IFERROR(W419/W445, "NA")</f>
        <v>0</v>
      </c>
      <c r="Y419" s="9"/>
      <c r="Z419" s="7">
        <v>0</v>
      </c>
      <c r="AA419" s="8">
        <f>IFERROR(Z419/Z445, "NA")</f>
        <v>0</v>
      </c>
      <c r="AB419" s="9"/>
      <c r="AC419" s="10">
        <f t="shared" si="103"/>
        <v>0</v>
      </c>
      <c r="AD419" s="8">
        <f>IFERROR(AC419/AC445,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IFERROR(B420/B445, "NA")</f>
        <v>0</v>
      </c>
      <c r="D420" s="9"/>
      <c r="E420" s="7">
        <v>0</v>
      </c>
      <c r="F420" s="8">
        <f>IFERROR(E420/E445, "NA")</f>
        <v>0</v>
      </c>
      <c r="G420" s="9"/>
      <c r="H420" s="10">
        <f t="shared" si="100"/>
        <v>0</v>
      </c>
      <c r="I420" s="8">
        <f>IFERROR(H420/H445, "NA")</f>
        <v>0</v>
      </c>
      <c r="J420" s="9"/>
      <c r="K420" s="7">
        <v>0</v>
      </c>
      <c r="L420" s="8">
        <f>IFERROR(K420/K445, "NA")</f>
        <v>0</v>
      </c>
      <c r="M420" s="9"/>
      <c r="N420" s="10">
        <f t="shared" si="101"/>
        <v>0</v>
      </c>
      <c r="O420" s="8">
        <f>IFERROR(N420/N445, "NA")</f>
        <v>0</v>
      </c>
      <c r="P420" s="9"/>
      <c r="Q420" s="7">
        <v>0</v>
      </c>
      <c r="R420" s="8">
        <f>IFERROR(Q420/Q445, "NA")</f>
        <v>0</v>
      </c>
      <c r="S420" s="9"/>
      <c r="T420" s="7">
        <v>0</v>
      </c>
      <c r="U420" s="8">
        <f>IFERROR(T420/T445, "NA")</f>
        <v>0</v>
      </c>
      <c r="V420" s="9"/>
      <c r="W420" s="10">
        <f t="shared" si="102"/>
        <v>0</v>
      </c>
      <c r="X420" s="8">
        <f>IFERROR(W420/W445, "NA")</f>
        <v>0</v>
      </c>
      <c r="Y420" s="9"/>
      <c r="Z420" s="7">
        <v>0</v>
      </c>
      <c r="AA420" s="8">
        <f>IFERROR(Z420/Z445, "NA")</f>
        <v>0</v>
      </c>
      <c r="AB420" s="9"/>
      <c r="AC420" s="10">
        <f t="shared" si="103"/>
        <v>0</v>
      </c>
      <c r="AD420" s="8">
        <f>IFERROR(AC420/AC445,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IFERROR(B421/B445, "NA")</f>
        <v>0</v>
      </c>
      <c r="D421" s="9"/>
      <c r="E421" s="7">
        <v>0</v>
      </c>
      <c r="F421" s="8">
        <f>IFERROR(E421/E445, "NA")</f>
        <v>0</v>
      </c>
      <c r="G421" s="9"/>
      <c r="H421" s="10">
        <f t="shared" si="100"/>
        <v>0</v>
      </c>
      <c r="I421" s="8">
        <f>IFERROR(H421/H445, "NA")</f>
        <v>0</v>
      </c>
      <c r="J421" s="9"/>
      <c r="K421" s="7">
        <v>0</v>
      </c>
      <c r="L421" s="8">
        <f>IFERROR(K421/K445, "NA")</f>
        <v>0</v>
      </c>
      <c r="M421" s="9"/>
      <c r="N421" s="10">
        <f t="shared" si="101"/>
        <v>0</v>
      </c>
      <c r="O421" s="8">
        <f>IFERROR(N421/N445, "NA")</f>
        <v>0</v>
      </c>
      <c r="P421" s="9"/>
      <c r="Q421" s="7">
        <v>0</v>
      </c>
      <c r="R421" s="8">
        <f>IFERROR(Q421/Q445, "NA")</f>
        <v>0</v>
      </c>
      <c r="S421" s="9"/>
      <c r="T421" s="7">
        <v>0</v>
      </c>
      <c r="U421" s="8">
        <f>IFERROR(T421/T445, "NA")</f>
        <v>0</v>
      </c>
      <c r="V421" s="9"/>
      <c r="W421" s="10">
        <f t="shared" si="102"/>
        <v>0</v>
      </c>
      <c r="X421" s="8">
        <f>IFERROR(W421/W445, "NA")</f>
        <v>0</v>
      </c>
      <c r="Y421" s="9"/>
      <c r="Z421" s="7">
        <v>0</v>
      </c>
      <c r="AA421" s="8">
        <f>IFERROR(Z421/Z445, "NA")</f>
        <v>0</v>
      </c>
      <c r="AB421" s="9"/>
      <c r="AC421" s="10">
        <f t="shared" si="103"/>
        <v>0</v>
      </c>
      <c r="AD421" s="8">
        <f>IFERROR(AC421/AC445,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IFERROR(B422/B445, "NA")</f>
        <v>0</v>
      </c>
      <c r="D422" s="9"/>
      <c r="E422" s="7">
        <v>0</v>
      </c>
      <c r="F422" s="8">
        <f>IFERROR(E422/E445, "NA")</f>
        <v>0</v>
      </c>
      <c r="G422" s="9"/>
      <c r="H422" s="10">
        <f t="shared" si="100"/>
        <v>0</v>
      </c>
      <c r="I422" s="8">
        <f>IFERROR(H422/H445, "NA")</f>
        <v>0</v>
      </c>
      <c r="J422" s="9"/>
      <c r="K422" s="7">
        <v>0</v>
      </c>
      <c r="L422" s="8">
        <f>IFERROR(K422/K445, "NA")</f>
        <v>0</v>
      </c>
      <c r="M422" s="9"/>
      <c r="N422" s="10">
        <f t="shared" si="101"/>
        <v>0</v>
      </c>
      <c r="O422" s="8">
        <f>IFERROR(N422/N445, "NA")</f>
        <v>0</v>
      </c>
      <c r="P422" s="9"/>
      <c r="Q422" s="7">
        <v>0</v>
      </c>
      <c r="R422" s="8">
        <f>IFERROR(Q422/Q445, "NA")</f>
        <v>0</v>
      </c>
      <c r="S422" s="9"/>
      <c r="T422" s="7">
        <v>0</v>
      </c>
      <c r="U422" s="8">
        <f>IFERROR(T422/T445, "NA")</f>
        <v>0</v>
      </c>
      <c r="V422" s="9"/>
      <c r="W422" s="10">
        <f t="shared" si="102"/>
        <v>0</v>
      </c>
      <c r="X422" s="8">
        <f>IFERROR(W422/W445, "NA")</f>
        <v>0</v>
      </c>
      <c r="Y422" s="9"/>
      <c r="Z422" s="7">
        <v>0</v>
      </c>
      <c r="AA422" s="8">
        <f>IFERROR(Z422/Z445, "NA")</f>
        <v>0</v>
      </c>
      <c r="AB422" s="9"/>
      <c r="AC422" s="10">
        <f t="shared" si="103"/>
        <v>0</v>
      </c>
      <c r="AD422" s="8">
        <f>IFERROR(AC422/AC445,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IFERROR(B423/B445, "NA")</f>
        <v>0</v>
      </c>
      <c r="D423" s="9"/>
      <c r="E423" s="7">
        <v>0</v>
      </c>
      <c r="F423" s="8">
        <f>IFERROR(E423/E445, "NA")</f>
        <v>0</v>
      </c>
      <c r="G423" s="9"/>
      <c r="H423" s="10">
        <f t="shared" si="100"/>
        <v>0</v>
      </c>
      <c r="I423" s="8">
        <f>IFERROR(H423/H445, "NA")</f>
        <v>0</v>
      </c>
      <c r="J423" s="9"/>
      <c r="K423" s="7">
        <v>0</v>
      </c>
      <c r="L423" s="8">
        <f>IFERROR(K423/K445, "NA")</f>
        <v>0</v>
      </c>
      <c r="M423" s="9"/>
      <c r="N423" s="10">
        <f t="shared" si="101"/>
        <v>0</v>
      </c>
      <c r="O423" s="8">
        <f>IFERROR(N423/N445, "NA")</f>
        <v>0</v>
      </c>
      <c r="P423" s="9"/>
      <c r="Q423" s="7">
        <v>0</v>
      </c>
      <c r="R423" s="8">
        <f>IFERROR(Q423/Q445, "NA")</f>
        <v>0</v>
      </c>
      <c r="S423" s="9"/>
      <c r="T423" s="7">
        <v>0</v>
      </c>
      <c r="U423" s="8">
        <f>IFERROR(T423/T445, "NA")</f>
        <v>0</v>
      </c>
      <c r="V423" s="9"/>
      <c r="W423" s="10">
        <f t="shared" si="102"/>
        <v>0</v>
      </c>
      <c r="X423" s="8">
        <f>IFERROR(W423/W445, "NA")</f>
        <v>0</v>
      </c>
      <c r="Y423" s="9"/>
      <c r="Z423" s="7">
        <v>0</v>
      </c>
      <c r="AA423" s="8">
        <f>IFERROR(Z423/Z445, "NA")</f>
        <v>0</v>
      </c>
      <c r="AB423" s="9"/>
      <c r="AC423" s="10">
        <f t="shared" si="103"/>
        <v>0</v>
      </c>
      <c r="AD423" s="8">
        <f>IFERROR(AC423/AC445,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IFERROR(B424/B445, "NA")</f>
        <v>0</v>
      </c>
      <c r="D424" s="9"/>
      <c r="E424" s="7">
        <v>0</v>
      </c>
      <c r="F424" s="8">
        <f>IFERROR(E424/E445, "NA")</f>
        <v>0</v>
      </c>
      <c r="G424" s="9"/>
      <c r="H424" s="10">
        <f t="shared" si="100"/>
        <v>0</v>
      </c>
      <c r="I424" s="8">
        <f>IFERROR(H424/H445, "NA")</f>
        <v>0</v>
      </c>
      <c r="J424" s="9"/>
      <c r="K424" s="7">
        <v>0</v>
      </c>
      <c r="L424" s="8">
        <f>IFERROR(K424/K445, "NA")</f>
        <v>0</v>
      </c>
      <c r="M424" s="9"/>
      <c r="N424" s="10">
        <f t="shared" si="101"/>
        <v>0</v>
      </c>
      <c r="O424" s="8">
        <f>IFERROR(N424/N445, "NA")</f>
        <v>0</v>
      </c>
      <c r="P424" s="9"/>
      <c r="Q424" s="7">
        <v>0</v>
      </c>
      <c r="R424" s="8">
        <f>IFERROR(Q424/Q445, "NA")</f>
        <v>0</v>
      </c>
      <c r="S424" s="9"/>
      <c r="T424" s="7">
        <v>0</v>
      </c>
      <c r="U424" s="8">
        <f>IFERROR(T424/T445, "NA")</f>
        <v>0</v>
      </c>
      <c r="V424" s="9"/>
      <c r="W424" s="10">
        <f t="shared" si="102"/>
        <v>0</v>
      </c>
      <c r="X424" s="8">
        <f>IFERROR(W424/W445, "NA")</f>
        <v>0</v>
      </c>
      <c r="Y424" s="9"/>
      <c r="Z424" s="7">
        <v>0</v>
      </c>
      <c r="AA424" s="8">
        <f>IFERROR(Z424/Z445, "NA")</f>
        <v>0</v>
      </c>
      <c r="AB424" s="9"/>
      <c r="AC424" s="10">
        <f t="shared" si="103"/>
        <v>0</v>
      </c>
      <c r="AD424" s="8">
        <f>IFERROR(AC424/AC445,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IFERROR(B425/B445, "NA")</f>
        <v>0</v>
      </c>
      <c r="D425" s="9"/>
      <c r="E425" s="7">
        <v>0</v>
      </c>
      <c r="F425" s="8">
        <f>IFERROR(E425/E445, "NA")</f>
        <v>0</v>
      </c>
      <c r="G425" s="9"/>
      <c r="H425" s="10">
        <f t="shared" si="100"/>
        <v>0</v>
      </c>
      <c r="I425" s="8">
        <f>IFERROR(H425/H445, "NA")</f>
        <v>0</v>
      </c>
      <c r="J425" s="9"/>
      <c r="K425" s="7">
        <v>0</v>
      </c>
      <c r="L425" s="8">
        <f>IFERROR(K425/K445, "NA")</f>
        <v>0</v>
      </c>
      <c r="M425" s="9"/>
      <c r="N425" s="10">
        <f t="shared" si="101"/>
        <v>0</v>
      </c>
      <c r="O425" s="8">
        <f>IFERROR(N425/N445, "NA")</f>
        <v>0</v>
      </c>
      <c r="P425" s="9"/>
      <c r="Q425" s="7">
        <v>0</v>
      </c>
      <c r="R425" s="8">
        <f>IFERROR(Q425/Q445, "NA")</f>
        <v>0</v>
      </c>
      <c r="S425" s="9"/>
      <c r="T425" s="7">
        <v>0</v>
      </c>
      <c r="U425" s="8">
        <f>IFERROR(T425/T445, "NA")</f>
        <v>0</v>
      </c>
      <c r="V425" s="9"/>
      <c r="W425" s="10">
        <f t="shared" si="102"/>
        <v>0</v>
      </c>
      <c r="X425" s="8">
        <f>IFERROR(W425/W445, "NA")</f>
        <v>0</v>
      </c>
      <c r="Y425" s="9"/>
      <c r="Z425" s="7">
        <v>0</v>
      </c>
      <c r="AA425" s="8">
        <f>IFERROR(Z425/Z445, "NA")</f>
        <v>0</v>
      </c>
      <c r="AB425" s="9"/>
      <c r="AC425" s="10">
        <f t="shared" si="103"/>
        <v>0</v>
      </c>
      <c r="AD425" s="8">
        <f>IFERROR(AC425/AC445,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IFERROR(B426/B445, "NA")</f>
        <v>0</v>
      </c>
      <c r="D426" s="9"/>
      <c r="E426" s="7">
        <v>0</v>
      </c>
      <c r="F426" s="8">
        <f>IFERROR(E426/E445, "NA")</f>
        <v>0</v>
      </c>
      <c r="G426" s="9"/>
      <c r="H426" s="10">
        <f t="shared" si="100"/>
        <v>0</v>
      </c>
      <c r="I426" s="8">
        <f>IFERROR(H426/H445, "NA")</f>
        <v>0</v>
      </c>
      <c r="J426" s="9"/>
      <c r="K426" s="7">
        <v>0</v>
      </c>
      <c r="L426" s="8">
        <f>IFERROR(K426/K445, "NA")</f>
        <v>0</v>
      </c>
      <c r="M426" s="9"/>
      <c r="N426" s="10">
        <f t="shared" si="101"/>
        <v>0</v>
      </c>
      <c r="O426" s="8">
        <f>IFERROR(N426/N445, "NA")</f>
        <v>0</v>
      </c>
      <c r="P426" s="9"/>
      <c r="Q426" s="7">
        <v>0</v>
      </c>
      <c r="R426" s="8">
        <f>IFERROR(Q426/Q445, "NA")</f>
        <v>0</v>
      </c>
      <c r="S426" s="9"/>
      <c r="T426" s="7">
        <v>0</v>
      </c>
      <c r="U426" s="8">
        <f>IFERROR(T426/T445, "NA")</f>
        <v>0</v>
      </c>
      <c r="V426" s="9"/>
      <c r="W426" s="10">
        <f t="shared" si="102"/>
        <v>0</v>
      </c>
      <c r="X426" s="8">
        <f>IFERROR(W426/W445, "NA")</f>
        <v>0</v>
      </c>
      <c r="Y426" s="9"/>
      <c r="Z426" s="7">
        <v>0</v>
      </c>
      <c r="AA426" s="8">
        <f>IFERROR(Z426/Z445, "NA")</f>
        <v>0</v>
      </c>
      <c r="AB426" s="9"/>
      <c r="AC426" s="10">
        <f t="shared" si="103"/>
        <v>0</v>
      </c>
      <c r="AD426" s="8">
        <f>IFERROR(AC426/AC445,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IFERROR(B427/B445, "NA")</f>
        <v>0</v>
      </c>
      <c r="D427" s="9"/>
      <c r="E427" s="7">
        <v>0</v>
      </c>
      <c r="F427" s="8">
        <f>IFERROR(E427/E445, "NA")</f>
        <v>0</v>
      </c>
      <c r="G427" s="9"/>
      <c r="H427" s="10">
        <f t="shared" si="100"/>
        <v>0</v>
      </c>
      <c r="I427" s="8">
        <f>IFERROR(H427/H445, "NA")</f>
        <v>0</v>
      </c>
      <c r="J427" s="9"/>
      <c r="K427" s="7">
        <v>0</v>
      </c>
      <c r="L427" s="8">
        <f>IFERROR(K427/K445, "NA")</f>
        <v>0</v>
      </c>
      <c r="M427" s="9"/>
      <c r="N427" s="10">
        <f t="shared" si="101"/>
        <v>0</v>
      </c>
      <c r="O427" s="8">
        <f>IFERROR(N427/N445, "NA")</f>
        <v>0</v>
      </c>
      <c r="P427" s="9"/>
      <c r="Q427" s="7">
        <v>0</v>
      </c>
      <c r="R427" s="8">
        <f>IFERROR(Q427/Q445, "NA")</f>
        <v>0</v>
      </c>
      <c r="S427" s="9"/>
      <c r="T427" s="7">
        <v>0</v>
      </c>
      <c r="U427" s="8">
        <f>IFERROR(T427/T445, "NA")</f>
        <v>0</v>
      </c>
      <c r="V427" s="9"/>
      <c r="W427" s="10">
        <f t="shared" si="102"/>
        <v>0</v>
      </c>
      <c r="X427" s="8">
        <f>IFERROR(W427/W445, "NA")</f>
        <v>0</v>
      </c>
      <c r="Y427" s="9"/>
      <c r="Z427" s="7">
        <v>0</v>
      </c>
      <c r="AA427" s="8">
        <f>IFERROR(Z427/Z445, "NA")</f>
        <v>0</v>
      </c>
      <c r="AB427" s="9"/>
      <c r="AC427" s="10">
        <f t="shared" si="103"/>
        <v>0</v>
      </c>
      <c r="AD427" s="8">
        <f>IFERROR(AC427/AC445, "NA")</f>
        <v>0</v>
      </c>
    </row>
    <row r="428" spans="1:30" ht="16.5" hidden="1" customHeight="1" x14ac:dyDescent="0.45">
      <c r="A428" s="6" t="s">
        <v>393</v>
      </c>
      <c r="B428" s="7">
        <v>0</v>
      </c>
      <c r="C428" s="8">
        <f>IFERROR(B428/B445, "NA")</f>
        <v>0</v>
      </c>
      <c r="D428" s="9"/>
      <c r="E428" s="7">
        <v>0</v>
      </c>
      <c r="F428" s="8">
        <f>IFERROR(E428/E445, "NA")</f>
        <v>0</v>
      </c>
      <c r="G428" s="9"/>
      <c r="H428" s="10">
        <f t="shared" si="100"/>
        <v>0</v>
      </c>
      <c r="I428" s="8">
        <f>IFERROR(H428/H445, "NA")</f>
        <v>0</v>
      </c>
      <c r="J428" s="9"/>
      <c r="K428" s="7">
        <v>0</v>
      </c>
      <c r="L428" s="8">
        <f>IFERROR(K428/K445, "NA")</f>
        <v>0</v>
      </c>
      <c r="M428" s="9"/>
      <c r="N428" s="10">
        <f t="shared" si="101"/>
        <v>0</v>
      </c>
      <c r="O428" s="8">
        <f>IFERROR(N428/N445, "NA")</f>
        <v>0</v>
      </c>
      <c r="P428" s="9"/>
      <c r="Q428" s="7">
        <v>0</v>
      </c>
      <c r="R428" s="8">
        <f>IFERROR(Q428/Q445, "NA")</f>
        <v>0</v>
      </c>
      <c r="S428" s="9"/>
      <c r="T428" s="7">
        <v>0</v>
      </c>
      <c r="U428" s="8">
        <f>IFERROR(T428/T445, "NA")</f>
        <v>0</v>
      </c>
      <c r="V428" s="9"/>
      <c r="W428" s="10">
        <f t="shared" si="102"/>
        <v>0</v>
      </c>
      <c r="X428" s="8">
        <f>IFERROR(W428/W445, "NA")</f>
        <v>0</v>
      </c>
      <c r="Y428" s="9"/>
      <c r="Z428" s="7">
        <v>0</v>
      </c>
      <c r="AA428" s="8">
        <f>IFERROR(Z428/Z445, "NA")</f>
        <v>0</v>
      </c>
      <c r="AB428" s="9"/>
      <c r="AC428" s="10">
        <f t="shared" si="103"/>
        <v>0</v>
      </c>
      <c r="AD428" s="8">
        <f>IFERROR(AC428/AC445, "NA")</f>
        <v>0</v>
      </c>
    </row>
    <row r="429" spans="1:30" ht="16.5" customHeight="1" x14ac:dyDescent="0.45">
      <c r="A429" s="19" t="s">
        <v>394</v>
      </c>
      <c r="B429" s="14">
        <f>IFERROR(B408+B409+B410+B411+B412+B413+B414+B415+B416+B417+B418+B419+B420+B421+B422+B423+B424+B425+B426+B427+B428, "NA")</f>
        <v>10579.2</v>
      </c>
      <c r="C429" s="15">
        <f>IFERROR(B429/B445, "NA")</f>
        <v>9.1103179310815199E-2</v>
      </c>
      <c r="D429" s="2"/>
      <c r="E429" s="14">
        <f>IFERROR(E408+E409+E410+E411+E412+E413+E414+E415+E416+E417+E418+E419+E420+E421+E422+E423+E424+E425+E426+E427+E428, "NA")</f>
        <v>10538.65</v>
      </c>
      <c r="F429" s="15">
        <f>IFERROR(E429/E445, "NA")</f>
        <v>8.4023781297785177E-2</v>
      </c>
      <c r="G429" s="2"/>
      <c r="H429" s="14">
        <f t="shared" si="100"/>
        <v>-40.550000000001091</v>
      </c>
      <c r="I429" s="15">
        <f>IFERROR(H429/H445, "NA")</f>
        <v>4.3595915852895325E-3</v>
      </c>
      <c r="J429" s="2"/>
      <c r="K429" s="14">
        <f>IFERROR(K408+K409+K410+K411+K412+K413+K414+K415+K416+K417+K418+K419+K420+K421+K422+K423+K424+K425+K426+K427+K428, "NA")</f>
        <v>9664.0499999999993</v>
      </c>
      <c r="L429" s="15">
        <f>IFERROR(K429/K445, "NA")</f>
        <v>8.4023746323328027E-2</v>
      </c>
      <c r="M429" s="2"/>
      <c r="N429" s="14">
        <f t="shared" si="101"/>
        <v>-915.15000000000146</v>
      </c>
      <c r="O429" s="15">
        <f>IFERROR(N429/N445, "NA")</f>
        <v>-0.82626085700355734</v>
      </c>
      <c r="P429" s="2"/>
      <c r="Q429" s="14">
        <f>IFERROR(Q408+Q409+Q410+Q411+Q412+Q413+Q414+Q415+Q416+Q417+Q418+Q419+Q420+Q421+Q422+Q423+Q424+Q425+Q426+Q427+Q428, "NA")</f>
        <v>52963.09</v>
      </c>
      <c r="R429" s="15">
        <f>IFERROR(Q429/Q445, "NA")</f>
        <v>0.1003562077503177</v>
      </c>
      <c r="S429" s="2"/>
      <c r="T429" s="14">
        <f>IFERROR(T408+T409+T410+T411+T412+T413+T414+T415+T416+T417+T418+T419+T420+T421+T422+T423+T424+T425+T426+T427+T428, "NA")</f>
        <v>52230.87</v>
      </c>
      <c r="U429" s="15">
        <f>IFERROR(T429/T445, "NA")</f>
        <v>8.7838154866430221E-2</v>
      </c>
      <c r="V429" s="2"/>
      <c r="W429" s="14">
        <f t="shared" si="102"/>
        <v>-732.21999999999389</v>
      </c>
      <c r="X429" s="15">
        <f>IFERROR(W429/W445, "NA")</f>
        <v>1.0949049730086743E-2</v>
      </c>
      <c r="Y429" s="2"/>
      <c r="Z429" s="14">
        <f>IFERROR(Z408+Z409+Z410+Z411+Z412+Z413+Z414+Z415+Z416+Z417+Z418+Z419+Z420+Z421+Z422+Z423+Z424+Z425+Z426+Z427+Z428, "NA")</f>
        <v>48935.38</v>
      </c>
      <c r="AA429" s="15">
        <f>IFERROR(Z429/Z445, "NA")</f>
        <v>8.805011982262434E-2</v>
      </c>
      <c r="AB429" s="2"/>
      <c r="AC429" s="14">
        <f t="shared" si="103"/>
        <v>-4027.7099999999991</v>
      </c>
      <c r="AD429" s="15">
        <f>IFERROR(AC429/AC445, "NA")</f>
        <v>0.1437629924272712</v>
      </c>
    </row>
    <row r="430" spans="1:30" ht="16.5" customHeight="1" x14ac:dyDescent="0.45">
      <c r="A430" s="21" t="s">
        <v>395</v>
      </c>
      <c r="B430" s="14">
        <f>IFERROR(B408+B409+B410+B411+B412+B413+B414+B415+B416+B417+B418+B419+B420+B421+B422+B423+B424+B425+B426+B427+B428, "NA")</f>
        <v>10579.2</v>
      </c>
      <c r="C430" s="15">
        <f>IFERROR(B430/B445, "NA")</f>
        <v>9.1103179310815199E-2</v>
      </c>
      <c r="D430" s="2"/>
      <c r="E430" s="14">
        <f>IFERROR(E408+E409+E410+E411+E412+E413+E414+E415+E416+E417+E418+E419+E420+E421+E422+E423+E424+E425+E426+E427+E428, "NA")</f>
        <v>10538.65</v>
      </c>
      <c r="F430" s="15">
        <f>IFERROR(E430/E445, "NA")</f>
        <v>8.4023781297785177E-2</v>
      </c>
      <c r="G430" s="2"/>
      <c r="H430" s="14">
        <f t="shared" si="100"/>
        <v>-40.550000000001091</v>
      </c>
      <c r="I430" s="15">
        <f>IFERROR(H430/H445, "NA")</f>
        <v>4.3595915852895325E-3</v>
      </c>
      <c r="J430" s="2"/>
      <c r="K430" s="14">
        <f>IFERROR(K408+K409+K410+K411+K412+K413+K414+K415+K416+K417+K418+K419+K420+K421+K422+K423+K424+K425+K426+K427+K428, "NA")</f>
        <v>9664.0499999999993</v>
      </c>
      <c r="L430" s="15">
        <f>IFERROR(K430/K445, "NA")</f>
        <v>8.4023746323328027E-2</v>
      </c>
      <c r="M430" s="2"/>
      <c r="N430" s="14">
        <f t="shared" si="101"/>
        <v>-915.15000000000146</v>
      </c>
      <c r="O430" s="15">
        <f>IFERROR(N430/N445, "NA")</f>
        <v>-0.82626085700355734</v>
      </c>
      <c r="P430" s="2"/>
      <c r="Q430" s="14">
        <f>IFERROR(Q408+Q409+Q410+Q411+Q412+Q413+Q414+Q415+Q416+Q417+Q418+Q419+Q420+Q421+Q422+Q423+Q424+Q425+Q426+Q427+Q428, "NA")</f>
        <v>52963.09</v>
      </c>
      <c r="R430" s="15">
        <f>IFERROR(Q430/Q445, "NA")</f>
        <v>0.1003562077503177</v>
      </c>
      <c r="S430" s="2"/>
      <c r="T430" s="14">
        <f>IFERROR(T408+T409+T410+T411+T412+T413+T414+T415+T416+T417+T418+T419+T420+T421+T422+T423+T424+T425+T426+T427+T428, "NA")</f>
        <v>52230.87</v>
      </c>
      <c r="U430" s="15">
        <f>IFERROR(T430/T445, "NA")</f>
        <v>8.7838154866430221E-2</v>
      </c>
      <c r="V430" s="2"/>
      <c r="W430" s="14">
        <f t="shared" si="102"/>
        <v>-732.21999999999389</v>
      </c>
      <c r="X430" s="15">
        <f>IFERROR(W430/W445, "NA")</f>
        <v>1.0949049730086743E-2</v>
      </c>
      <c r="Y430" s="2"/>
      <c r="Z430" s="14">
        <f>IFERROR(Z408+Z409+Z410+Z411+Z412+Z413+Z414+Z415+Z416+Z417+Z418+Z419+Z420+Z421+Z422+Z423+Z424+Z425+Z426+Z427+Z428, "NA")</f>
        <v>48935.38</v>
      </c>
      <c r="AA430" s="15">
        <f>IFERROR(Z430/Z445, "NA")</f>
        <v>8.805011982262434E-2</v>
      </c>
      <c r="AB430" s="2"/>
      <c r="AC430" s="14">
        <f t="shared" si="103"/>
        <v>-4027.7099999999991</v>
      </c>
      <c r="AD430" s="15">
        <f>IFERROR(AC430/AC445, "NA")</f>
        <v>0.1437629924272712</v>
      </c>
    </row>
    <row r="431" spans="1:30" ht="16.5" customHeight="1" x14ac:dyDescent="0.45">
      <c r="A431" s="1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customHeight="1" x14ac:dyDescent="0.45">
      <c r="A432" s="5" t="s">
        <v>397</v>
      </c>
      <c r="B432" s="2"/>
      <c r="C432" s="3"/>
      <c r="D432" s="4"/>
      <c r="E432" s="2"/>
      <c r="F432" s="3"/>
      <c r="G432" s="4"/>
      <c r="H432" s="2"/>
      <c r="I432" s="3"/>
      <c r="J432" s="4"/>
      <c r="K432" s="2"/>
      <c r="L432" s="3"/>
      <c r="M432" s="4"/>
      <c r="N432" s="2"/>
      <c r="O432" s="3"/>
      <c r="P432" s="4"/>
      <c r="Q432" s="2"/>
      <c r="R432" s="3"/>
      <c r="S432" s="4"/>
      <c r="T432" s="2"/>
      <c r="U432" s="3"/>
      <c r="V432" s="4"/>
      <c r="W432" s="2"/>
      <c r="X432" s="3"/>
      <c r="Y432" s="4"/>
      <c r="Z432" s="2"/>
      <c r="AA432" s="3"/>
      <c r="AB432" s="4"/>
      <c r="AC432" s="2"/>
      <c r="AD432" s="3"/>
    </row>
    <row r="433" spans="1:30" ht="16.5" hidden="1" customHeight="1" x14ac:dyDescent="0.45">
      <c r="A433" s="6" t="s">
        <v>397</v>
      </c>
      <c r="B433" s="7">
        <v>0</v>
      </c>
      <c r="C433" s="8">
        <f>IFERROR(B433/B445, "NA")</f>
        <v>0</v>
      </c>
      <c r="D433" s="9"/>
      <c r="E433" s="7">
        <v>0</v>
      </c>
      <c r="F433" s="8">
        <f>IFERROR(E433/E445, "NA")</f>
        <v>0</v>
      </c>
      <c r="G433" s="9"/>
      <c r="H433" s="10">
        <f t="shared" ref="H433:H443" si="104">IFERROR(-(B433-E433), "NA")</f>
        <v>0</v>
      </c>
      <c r="I433" s="8">
        <f>IFERROR(H433/H445, "NA")</f>
        <v>0</v>
      </c>
      <c r="J433" s="9"/>
      <c r="K433" s="7">
        <v>0</v>
      </c>
      <c r="L433" s="8">
        <f>IFERROR(K433/K445, "NA")</f>
        <v>0</v>
      </c>
      <c r="M433" s="9"/>
      <c r="N433" s="10">
        <f t="shared" ref="N433:N443" si="105">IFERROR(-(B433-K433), "NA")</f>
        <v>0</v>
      </c>
      <c r="O433" s="8">
        <f>IFERROR(N433/N445, "NA")</f>
        <v>0</v>
      </c>
      <c r="P433" s="9"/>
      <c r="Q433" s="7">
        <v>0</v>
      </c>
      <c r="R433" s="8">
        <f>IFERROR(Q433/Q445, "NA")</f>
        <v>0</v>
      </c>
      <c r="S433" s="9"/>
      <c r="T433" s="7">
        <v>0</v>
      </c>
      <c r="U433" s="8">
        <f>IFERROR(T433/T445, "NA")</f>
        <v>0</v>
      </c>
      <c r="V433" s="9"/>
      <c r="W433" s="10">
        <f t="shared" ref="W433:W443" si="106">IFERROR(-(Q433-T433), "NA")</f>
        <v>0</v>
      </c>
      <c r="X433" s="8">
        <f>IFERROR(W433/W445, "NA")</f>
        <v>0</v>
      </c>
      <c r="Y433" s="9"/>
      <c r="Z433" s="7">
        <v>0</v>
      </c>
      <c r="AA433" s="8">
        <f>IFERROR(Z433/Z445, "NA")</f>
        <v>0</v>
      </c>
      <c r="AB433" s="9"/>
      <c r="AC433" s="10">
        <f t="shared" ref="AC433:AC443" si="107">IFERROR(-(Q433-Z433), "NA")</f>
        <v>0</v>
      </c>
      <c r="AD433" s="8">
        <f>IFERROR(AC433/AC445,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IFERROR(B434/B445, "NA")</f>
        <v>0</v>
      </c>
      <c r="D434" s="9"/>
      <c r="E434" s="7">
        <v>0</v>
      </c>
      <c r="F434" s="8">
        <f>IFERROR(E434/E445, "NA")</f>
        <v>0</v>
      </c>
      <c r="G434" s="9"/>
      <c r="H434" s="10">
        <f t="shared" si="104"/>
        <v>0</v>
      </c>
      <c r="I434" s="8">
        <f>IFERROR(H434/H445, "NA")</f>
        <v>0</v>
      </c>
      <c r="J434" s="9"/>
      <c r="K434" s="7">
        <v>0</v>
      </c>
      <c r="L434" s="8">
        <f>IFERROR(K434/K445, "NA")</f>
        <v>0</v>
      </c>
      <c r="M434" s="9"/>
      <c r="N434" s="10">
        <f t="shared" si="105"/>
        <v>0</v>
      </c>
      <c r="O434" s="8">
        <f>IFERROR(N434/N445, "NA")</f>
        <v>0</v>
      </c>
      <c r="P434" s="9"/>
      <c r="Q434" s="7">
        <v>0</v>
      </c>
      <c r="R434" s="8">
        <f>IFERROR(Q434/Q445, "NA")</f>
        <v>0</v>
      </c>
      <c r="S434" s="9"/>
      <c r="T434" s="7">
        <v>0</v>
      </c>
      <c r="U434" s="8">
        <f>IFERROR(T434/T445, "NA")</f>
        <v>0</v>
      </c>
      <c r="V434" s="9"/>
      <c r="W434" s="10">
        <f t="shared" si="106"/>
        <v>0</v>
      </c>
      <c r="X434" s="8">
        <f>IFERROR(W434/W445, "NA")</f>
        <v>0</v>
      </c>
      <c r="Y434" s="9"/>
      <c r="Z434" s="7">
        <v>0</v>
      </c>
      <c r="AA434" s="8">
        <f>IFERROR(Z434/Z445, "NA")</f>
        <v>0</v>
      </c>
      <c r="AB434" s="9"/>
      <c r="AC434" s="10">
        <f t="shared" si="107"/>
        <v>0</v>
      </c>
      <c r="AD434" s="8">
        <f>IFERROR(AC434/AC445,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IFERROR(B435/B445, "NA")</f>
        <v>0</v>
      </c>
      <c r="D435" s="9"/>
      <c r="E435" s="7">
        <v>0</v>
      </c>
      <c r="F435" s="8">
        <f>IFERROR(E435/E445, "NA")</f>
        <v>0</v>
      </c>
      <c r="G435" s="9"/>
      <c r="H435" s="10">
        <f t="shared" si="104"/>
        <v>0</v>
      </c>
      <c r="I435" s="8">
        <f>IFERROR(H435/H445, "NA")</f>
        <v>0</v>
      </c>
      <c r="J435" s="9"/>
      <c r="K435" s="7">
        <v>0</v>
      </c>
      <c r="L435" s="8">
        <f>IFERROR(K435/K445, "NA")</f>
        <v>0</v>
      </c>
      <c r="M435" s="9"/>
      <c r="N435" s="10">
        <f t="shared" si="105"/>
        <v>0</v>
      </c>
      <c r="O435" s="8">
        <f>IFERROR(N435/N445, "NA")</f>
        <v>0</v>
      </c>
      <c r="P435" s="9"/>
      <c r="Q435" s="7">
        <v>0</v>
      </c>
      <c r="R435" s="8">
        <f>IFERROR(Q435/Q445, "NA")</f>
        <v>0</v>
      </c>
      <c r="S435" s="9"/>
      <c r="T435" s="7">
        <v>0</v>
      </c>
      <c r="U435" s="8">
        <f>IFERROR(T435/T445, "NA")</f>
        <v>0</v>
      </c>
      <c r="V435" s="9"/>
      <c r="W435" s="10">
        <f t="shared" si="106"/>
        <v>0</v>
      </c>
      <c r="X435" s="8">
        <f>IFERROR(W435/W445, "NA")</f>
        <v>0</v>
      </c>
      <c r="Y435" s="9"/>
      <c r="Z435" s="7">
        <v>0</v>
      </c>
      <c r="AA435" s="8">
        <f>IFERROR(Z435/Z445, "NA")</f>
        <v>0</v>
      </c>
      <c r="AB435" s="9"/>
      <c r="AC435" s="10">
        <f t="shared" si="107"/>
        <v>0</v>
      </c>
      <c r="AD435" s="8">
        <f>IFERROR(AC435/AC445,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IFERROR(B436/B445, "NA")</f>
        <v>0</v>
      </c>
      <c r="D436" s="9"/>
      <c r="E436" s="7">
        <v>0</v>
      </c>
      <c r="F436" s="8">
        <f>IFERROR(E436/E445, "NA")</f>
        <v>0</v>
      </c>
      <c r="G436" s="9"/>
      <c r="H436" s="10">
        <f t="shared" si="104"/>
        <v>0</v>
      </c>
      <c r="I436" s="8">
        <f>IFERROR(H436/H445, "NA")</f>
        <v>0</v>
      </c>
      <c r="J436" s="9"/>
      <c r="K436" s="7">
        <v>0</v>
      </c>
      <c r="L436" s="8">
        <f>IFERROR(K436/K445, "NA")</f>
        <v>0</v>
      </c>
      <c r="M436" s="9"/>
      <c r="N436" s="10">
        <f t="shared" si="105"/>
        <v>0</v>
      </c>
      <c r="O436" s="8">
        <f>IFERROR(N436/N445, "NA")</f>
        <v>0</v>
      </c>
      <c r="P436" s="9"/>
      <c r="Q436" s="7">
        <v>0</v>
      </c>
      <c r="R436" s="8">
        <f>IFERROR(Q436/Q445, "NA")</f>
        <v>0</v>
      </c>
      <c r="S436" s="9"/>
      <c r="T436" s="7">
        <v>0</v>
      </c>
      <c r="U436" s="8">
        <f>IFERROR(T436/T445, "NA")</f>
        <v>0</v>
      </c>
      <c r="V436" s="9"/>
      <c r="W436" s="10">
        <f t="shared" si="106"/>
        <v>0</v>
      </c>
      <c r="X436" s="8">
        <f>IFERROR(W436/W445, "NA")</f>
        <v>0</v>
      </c>
      <c r="Y436" s="9"/>
      <c r="Z436" s="7">
        <v>0</v>
      </c>
      <c r="AA436" s="8">
        <f>IFERROR(Z436/Z445, "NA")</f>
        <v>0</v>
      </c>
      <c r="AB436" s="9"/>
      <c r="AC436" s="10">
        <f t="shared" si="107"/>
        <v>0</v>
      </c>
      <c r="AD436" s="8">
        <f>IFERROR(AC436/AC445,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IFERROR(B437/B445, "NA")</f>
        <v>0</v>
      </c>
      <c r="D437" s="9"/>
      <c r="E437" s="7">
        <v>0</v>
      </c>
      <c r="F437" s="8">
        <f>IFERROR(E437/E445, "NA")</f>
        <v>0</v>
      </c>
      <c r="G437" s="9"/>
      <c r="H437" s="10">
        <f t="shared" si="104"/>
        <v>0</v>
      </c>
      <c r="I437" s="8">
        <f>IFERROR(H437/H445, "NA")</f>
        <v>0</v>
      </c>
      <c r="J437" s="9"/>
      <c r="K437" s="7">
        <v>0</v>
      </c>
      <c r="L437" s="8">
        <f>IFERROR(K437/K445, "NA")</f>
        <v>0</v>
      </c>
      <c r="M437" s="9"/>
      <c r="N437" s="10">
        <f t="shared" si="105"/>
        <v>0</v>
      </c>
      <c r="O437" s="8">
        <f>IFERROR(N437/N445, "NA")</f>
        <v>0</v>
      </c>
      <c r="P437" s="9"/>
      <c r="Q437" s="7">
        <v>0</v>
      </c>
      <c r="R437" s="8">
        <f>IFERROR(Q437/Q445, "NA")</f>
        <v>0</v>
      </c>
      <c r="S437" s="9"/>
      <c r="T437" s="7">
        <v>0</v>
      </c>
      <c r="U437" s="8">
        <f>IFERROR(T437/T445, "NA")</f>
        <v>0</v>
      </c>
      <c r="V437" s="9"/>
      <c r="W437" s="10">
        <f t="shared" si="106"/>
        <v>0</v>
      </c>
      <c r="X437" s="8">
        <f>IFERROR(W437/W445, "NA")</f>
        <v>0</v>
      </c>
      <c r="Y437" s="9"/>
      <c r="Z437" s="7">
        <v>0</v>
      </c>
      <c r="AA437" s="8">
        <f>IFERROR(Z437/Z445, "NA")</f>
        <v>0</v>
      </c>
      <c r="AB437" s="9"/>
      <c r="AC437" s="10">
        <f t="shared" si="107"/>
        <v>0</v>
      </c>
      <c r="AD437" s="8">
        <f>IFERROR(AC437/AC445, "NA")</f>
        <v>0</v>
      </c>
    </row>
    <row r="438" spans="1:30" ht="16.5" hidden="1" customHeight="1" x14ac:dyDescent="0.45">
      <c r="A438" s="6" t="s">
        <v>402</v>
      </c>
      <c r="B438" s="7">
        <v>0</v>
      </c>
      <c r="C438" s="8">
        <f>IFERROR(B438/B445, "NA")</f>
        <v>0</v>
      </c>
      <c r="D438" s="9"/>
      <c r="E438" s="7">
        <v>0</v>
      </c>
      <c r="F438" s="8">
        <f>IFERROR(E438/E445, "NA")</f>
        <v>0</v>
      </c>
      <c r="G438" s="9"/>
      <c r="H438" s="10">
        <f t="shared" si="104"/>
        <v>0</v>
      </c>
      <c r="I438" s="8">
        <f>IFERROR(H438/H445, "NA")</f>
        <v>0</v>
      </c>
      <c r="J438" s="9"/>
      <c r="K438" s="7">
        <v>0</v>
      </c>
      <c r="L438" s="8">
        <f>IFERROR(K438/K445, "NA")</f>
        <v>0</v>
      </c>
      <c r="M438" s="9"/>
      <c r="N438" s="10">
        <f t="shared" si="105"/>
        <v>0</v>
      </c>
      <c r="O438" s="8">
        <f>IFERROR(N438/N445, "NA")</f>
        <v>0</v>
      </c>
      <c r="P438" s="9"/>
      <c r="Q438" s="7">
        <v>0</v>
      </c>
      <c r="R438" s="8">
        <f>IFERROR(Q438/Q445, "NA")</f>
        <v>0</v>
      </c>
      <c r="S438" s="9"/>
      <c r="T438" s="7">
        <v>0</v>
      </c>
      <c r="U438" s="8">
        <f>IFERROR(T438/T445, "NA")</f>
        <v>0</v>
      </c>
      <c r="V438" s="9"/>
      <c r="W438" s="10">
        <f t="shared" si="106"/>
        <v>0</v>
      </c>
      <c r="X438" s="8">
        <f>IFERROR(W438/W445, "NA")</f>
        <v>0</v>
      </c>
      <c r="Y438" s="9"/>
      <c r="Z438" s="7">
        <v>0</v>
      </c>
      <c r="AA438" s="8">
        <f>IFERROR(Z438/Z445, "NA")</f>
        <v>0</v>
      </c>
      <c r="AB438" s="9"/>
      <c r="AC438" s="10">
        <f t="shared" si="107"/>
        <v>0</v>
      </c>
      <c r="AD438" s="8">
        <f>IFERROR(AC438/AC445, "NA")</f>
        <v>0</v>
      </c>
    </row>
    <row r="439" spans="1:30" ht="30.75" hidden="1" customHeight="1" x14ac:dyDescent="0.45">
      <c r="A439" s="6" t="s">
        <v>403</v>
      </c>
      <c r="B439" s="7">
        <v>0</v>
      </c>
      <c r="C439" s="8">
        <f>IFERROR(B439/B445, "NA")</f>
        <v>0</v>
      </c>
      <c r="D439" s="9"/>
      <c r="E439" s="7">
        <v>0</v>
      </c>
      <c r="F439" s="8">
        <f>IFERROR(E439/E445, "NA")</f>
        <v>0</v>
      </c>
      <c r="G439" s="9"/>
      <c r="H439" s="10">
        <f t="shared" si="104"/>
        <v>0</v>
      </c>
      <c r="I439" s="8">
        <f>IFERROR(H439/H445, "NA")</f>
        <v>0</v>
      </c>
      <c r="J439" s="9"/>
      <c r="K439" s="7">
        <v>0</v>
      </c>
      <c r="L439" s="8">
        <f>IFERROR(K439/K445, "NA")</f>
        <v>0</v>
      </c>
      <c r="M439" s="9"/>
      <c r="N439" s="10">
        <f t="shared" si="105"/>
        <v>0</v>
      </c>
      <c r="O439" s="8">
        <f>IFERROR(N439/N445, "NA")</f>
        <v>0</v>
      </c>
      <c r="P439" s="9"/>
      <c r="Q439" s="7">
        <v>0</v>
      </c>
      <c r="R439" s="8">
        <f>IFERROR(Q439/Q445, "NA")</f>
        <v>0</v>
      </c>
      <c r="S439" s="9"/>
      <c r="T439" s="7">
        <v>0</v>
      </c>
      <c r="U439" s="8">
        <f>IFERROR(T439/T445, "NA")</f>
        <v>0</v>
      </c>
      <c r="V439" s="9"/>
      <c r="W439" s="10">
        <f t="shared" si="106"/>
        <v>0</v>
      </c>
      <c r="X439" s="8">
        <f>IFERROR(W439/W445, "NA")</f>
        <v>0</v>
      </c>
      <c r="Y439" s="9"/>
      <c r="Z439" s="7">
        <v>0</v>
      </c>
      <c r="AA439" s="8">
        <f>IFERROR(Z439/Z445, "NA")</f>
        <v>0</v>
      </c>
      <c r="AB439" s="9"/>
      <c r="AC439" s="10">
        <f t="shared" si="107"/>
        <v>0</v>
      </c>
      <c r="AD439" s="8">
        <f>IFERROR(AC439/AC445, "NA")</f>
        <v>0</v>
      </c>
    </row>
    <row r="440" spans="1:30" ht="16.5" hidden="1" customHeight="1" x14ac:dyDescent="0.45">
      <c r="A440" s="6" t="s">
        <v>404</v>
      </c>
      <c r="B440" s="7">
        <v>0</v>
      </c>
      <c r="C440" s="8">
        <f>IFERROR(B440/B445, "NA")</f>
        <v>0</v>
      </c>
      <c r="D440" s="9"/>
      <c r="E440" s="7">
        <v>0</v>
      </c>
      <c r="F440" s="8">
        <f>IFERROR(E440/E445, "NA")</f>
        <v>0</v>
      </c>
      <c r="G440" s="9"/>
      <c r="H440" s="10">
        <f t="shared" si="104"/>
        <v>0</v>
      </c>
      <c r="I440" s="8">
        <f>IFERROR(H440/H445, "NA")</f>
        <v>0</v>
      </c>
      <c r="J440" s="9"/>
      <c r="K440" s="7">
        <v>0</v>
      </c>
      <c r="L440" s="8">
        <f>IFERROR(K440/K445, "NA")</f>
        <v>0</v>
      </c>
      <c r="M440" s="9"/>
      <c r="N440" s="10">
        <f t="shared" si="105"/>
        <v>0</v>
      </c>
      <c r="O440" s="8">
        <f>IFERROR(N440/N445, "NA")</f>
        <v>0</v>
      </c>
      <c r="P440" s="9"/>
      <c r="Q440" s="7">
        <v>0</v>
      </c>
      <c r="R440" s="8">
        <f>IFERROR(Q440/Q445, "NA")</f>
        <v>0</v>
      </c>
      <c r="S440" s="9"/>
      <c r="T440" s="7">
        <v>0</v>
      </c>
      <c r="U440" s="8">
        <f>IFERROR(T440/T445, "NA")</f>
        <v>0</v>
      </c>
      <c r="V440" s="9"/>
      <c r="W440" s="10">
        <f t="shared" si="106"/>
        <v>0</v>
      </c>
      <c r="X440" s="8">
        <f>IFERROR(W440/W445, "NA")</f>
        <v>0</v>
      </c>
      <c r="Y440" s="9"/>
      <c r="Z440" s="7">
        <v>0</v>
      </c>
      <c r="AA440" s="8">
        <f>IFERROR(Z440/Z445, "NA")</f>
        <v>0</v>
      </c>
      <c r="AB440" s="9"/>
      <c r="AC440" s="10">
        <f t="shared" si="107"/>
        <v>0</v>
      </c>
      <c r="AD440" s="8">
        <f>IFERROR(AC440/AC445, "NA")</f>
        <v>0</v>
      </c>
    </row>
    <row r="441" spans="1:30" ht="30.75" hidden="1" customHeight="1" x14ac:dyDescent="0.45">
      <c r="A441" s="6" t="s">
        <v>405</v>
      </c>
      <c r="B441" s="7">
        <v>0</v>
      </c>
      <c r="C441" s="8">
        <f>IFERROR(B441/B445, "NA")</f>
        <v>0</v>
      </c>
      <c r="D441" s="9"/>
      <c r="E441" s="7">
        <v>0</v>
      </c>
      <c r="F441" s="8">
        <f>IFERROR(E441/E445, "NA")</f>
        <v>0</v>
      </c>
      <c r="G441" s="9"/>
      <c r="H441" s="10">
        <f t="shared" si="104"/>
        <v>0</v>
      </c>
      <c r="I441" s="8">
        <f>IFERROR(H441/H445, "NA")</f>
        <v>0</v>
      </c>
      <c r="J441" s="9"/>
      <c r="K441" s="7">
        <v>0</v>
      </c>
      <c r="L441" s="8">
        <f>IFERROR(K441/K445, "NA")</f>
        <v>0</v>
      </c>
      <c r="M441" s="9"/>
      <c r="N441" s="10">
        <f t="shared" si="105"/>
        <v>0</v>
      </c>
      <c r="O441" s="8">
        <f>IFERROR(N441/N445, "NA")</f>
        <v>0</v>
      </c>
      <c r="P441" s="9"/>
      <c r="Q441" s="7">
        <v>0</v>
      </c>
      <c r="R441" s="8">
        <f>IFERROR(Q441/Q445, "NA")</f>
        <v>0</v>
      </c>
      <c r="S441" s="9"/>
      <c r="T441" s="7">
        <v>0</v>
      </c>
      <c r="U441" s="8">
        <f>IFERROR(T441/T445, "NA")</f>
        <v>0</v>
      </c>
      <c r="V441" s="9"/>
      <c r="W441" s="10">
        <f t="shared" si="106"/>
        <v>0</v>
      </c>
      <c r="X441" s="8">
        <f>IFERROR(W441/W445, "NA")</f>
        <v>0</v>
      </c>
      <c r="Y441" s="9"/>
      <c r="Z441" s="7">
        <v>0</v>
      </c>
      <c r="AA441" s="8">
        <f>IFERROR(Z441/Z445, "NA")</f>
        <v>0</v>
      </c>
      <c r="AB441" s="9"/>
      <c r="AC441" s="10">
        <f t="shared" si="107"/>
        <v>0</v>
      </c>
      <c r="AD441" s="8">
        <f>IFERROR(AC441/AC445, "NA")</f>
        <v>0</v>
      </c>
    </row>
    <row r="442" spans="1:30" ht="16.5" customHeight="1" x14ac:dyDescent="0.45">
      <c r="A442" s="19" t="s">
        <v>406</v>
      </c>
      <c r="B442" s="14">
        <f>IFERROR(B433+B434+B435+B436+B437+B438+B439+B440+B441, "NA")</f>
        <v>0</v>
      </c>
      <c r="C442" s="15">
        <f>IFERROR(B442/B445, "NA")</f>
        <v>0</v>
      </c>
      <c r="D442" s="2"/>
      <c r="E442" s="14">
        <f>IFERROR(E433+E434+E435+E436+E437+E438+E439+E440+E441, "NA")</f>
        <v>0</v>
      </c>
      <c r="F442" s="15">
        <f>IFERROR(E442/E445, "NA")</f>
        <v>0</v>
      </c>
      <c r="G442" s="2"/>
      <c r="H442" s="14">
        <f t="shared" si="104"/>
        <v>0</v>
      </c>
      <c r="I442" s="15">
        <f>IFERROR(H442/H445, "NA")</f>
        <v>0</v>
      </c>
      <c r="J442" s="2"/>
      <c r="K442" s="14">
        <f>IFERROR(K433+K434+K435+K436+K437+K438+K439+K440+K441, "NA")</f>
        <v>0</v>
      </c>
      <c r="L442" s="15">
        <f>IFERROR(K442/K445, "NA")</f>
        <v>0</v>
      </c>
      <c r="M442" s="2"/>
      <c r="N442" s="14">
        <f t="shared" si="105"/>
        <v>0</v>
      </c>
      <c r="O442" s="15">
        <f>IFERROR(N442/N445, "NA")</f>
        <v>0</v>
      </c>
      <c r="P442" s="2"/>
      <c r="Q442" s="14">
        <f>IFERROR(Q433+Q434+Q435+Q436+Q437+Q438+Q439+Q440+Q441, "NA")</f>
        <v>0</v>
      </c>
      <c r="R442" s="15">
        <f>IFERROR(Q442/Q445, "NA")</f>
        <v>0</v>
      </c>
      <c r="S442" s="2"/>
      <c r="T442" s="14">
        <f>IFERROR(T433+T434+T435+T436+T437+T438+T439+T440+T441, "NA")</f>
        <v>0</v>
      </c>
      <c r="U442" s="15">
        <f>IFERROR(T442/T445, "NA")</f>
        <v>0</v>
      </c>
      <c r="V442" s="2"/>
      <c r="W442" s="14">
        <f t="shared" si="106"/>
        <v>0</v>
      </c>
      <c r="X442" s="15">
        <f>IFERROR(W442/W445, "NA")</f>
        <v>0</v>
      </c>
      <c r="Y442" s="2"/>
      <c r="Z442" s="14">
        <f>IFERROR(Z433+Z434+Z435+Z436+Z437+Z438+Z439+Z440+Z441, "NA")</f>
        <v>0</v>
      </c>
      <c r="AA442" s="15">
        <f>IFERROR(Z442/Z445, "NA")</f>
        <v>0</v>
      </c>
      <c r="AB442" s="2"/>
      <c r="AC442" s="14">
        <f t="shared" si="107"/>
        <v>0</v>
      </c>
      <c r="AD442" s="15">
        <f>IFERROR(AC442/AC445, "NA")</f>
        <v>0</v>
      </c>
    </row>
    <row r="443" spans="1:30" ht="16.5" customHeight="1" x14ac:dyDescent="0.45">
      <c r="A443" s="21" t="s">
        <v>407</v>
      </c>
      <c r="B443" s="14">
        <f>IFERROR(B433+B434+B435+B436+B437+B438+B439+B440+B441, "NA")</f>
        <v>0</v>
      </c>
      <c r="C443" s="15">
        <f>IFERROR(B443/B445, "NA")</f>
        <v>0</v>
      </c>
      <c r="D443" s="2"/>
      <c r="E443" s="14">
        <f>IFERROR(E433+E434+E435+E436+E437+E438+E439+E440+E441, "NA")</f>
        <v>0</v>
      </c>
      <c r="F443" s="15">
        <f>IFERROR(E443/E445, "NA")</f>
        <v>0</v>
      </c>
      <c r="G443" s="2"/>
      <c r="H443" s="14">
        <f t="shared" si="104"/>
        <v>0</v>
      </c>
      <c r="I443" s="15">
        <f>IFERROR(H443/H445, "NA")</f>
        <v>0</v>
      </c>
      <c r="J443" s="2"/>
      <c r="K443" s="14">
        <f>IFERROR(K433+K434+K435+K436+K437+K438+K439+K440+K441, "NA")</f>
        <v>0</v>
      </c>
      <c r="L443" s="15">
        <f>IFERROR(K443/K445, "NA")</f>
        <v>0</v>
      </c>
      <c r="M443" s="2"/>
      <c r="N443" s="14">
        <f t="shared" si="105"/>
        <v>0</v>
      </c>
      <c r="O443" s="15">
        <f>IFERROR(N443/N445, "NA")</f>
        <v>0</v>
      </c>
      <c r="P443" s="2"/>
      <c r="Q443" s="14">
        <f>IFERROR(Q433+Q434+Q435+Q436+Q437+Q438+Q439+Q440+Q441, "NA")</f>
        <v>0</v>
      </c>
      <c r="R443" s="15">
        <f>IFERROR(Q443/Q445, "NA")</f>
        <v>0</v>
      </c>
      <c r="S443" s="2"/>
      <c r="T443" s="14">
        <f>IFERROR(T433+T434+T435+T436+T437+T438+T439+T440+T441, "NA")</f>
        <v>0</v>
      </c>
      <c r="U443" s="15">
        <f>IFERROR(T443/T445, "NA")</f>
        <v>0</v>
      </c>
      <c r="V443" s="2"/>
      <c r="W443" s="14">
        <f t="shared" si="106"/>
        <v>0</v>
      </c>
      <c r="X443" s="15">
        <f>IFERROR(W443/W445, "NA")</f>
        <v>0</v>
      </c>
      <c r="Y443" s="2"/>
      <c r="Z443" s="14">
        <f>IFERROR(Z433+Z434+Z435+Z436+Z437+Z438+Z439+Z440+Z441, "NA")</f>
        <v>0</v>
      </c>
      <c r="AA443" s="15">
        <f>IFERROR(Z443/Z445, "NA")</f>
        <v>0</v>
      </c>
      <c r="AB443" s="2"/>
      <c r="AC443" s="14">
        <f t="shared" si="107"/>
        <v>0</v>
      </c>
      <c r="AD443" s="15">
        <f>IFERROR(AC443/AC445, "NA")</f>
        <v>0</v>
      </c>
    </row>
    <row r="444" spans="1:30" ht="16.5" customHeight="1" x14ac:dyDescent="0.45">
      <c r="A444" s="22" t="s">
        <v>408</v>
      </c>
      <c r="B444" s="23">
        <f>IFERROR(B405-B430-B443, "NA")</f>
        <v>-8561.5199999999968</v>
      </c>
      <c r="C444" s="24">
        <f>IFERROR(B444/B445, "NA")</f>
        <v>-7.3727851986268356E-2</v>
      </c>
      <c r="D444" s="25"/>
      <c r="E444" s="23">
        <f>IFERROR(E405-E430-E443, "NA")</f>
        <v>-6022.7199999999921</v>
      </c>
      <c r="F444" s="24">
        <f>IFERROR(E444/E445, "NA")</f>
        <v>-4.8018646420347588E-2</v>
      </c>
      <c r="G444" s="25"/>
      <c r="H444" s="23">
        <f>IFERROR(B444-E444, "NA")</f>
        <v>-2538.8000000000047</v>
      </c>
      <c r="I444" s="24">
        <f>IFERROR(H444/H445, "NA")</f>
        <v>0.27295021249649287</v>
      </c>
      <c r="J444" s="25"/>
      <c r="K444" s="23">
        <f>IFERROR(K405-K430-K443, "NA")</f>
        <v>-17188.320000000014</v>
      </c>
      <c r="L444" s="24">
        <f>IFERROR(K444/K445, "NA")</f>
        <v>-0.14944324992153257</v>
      </c>
      <c r="M444" s="25"/>
      <c r="N444" s="23">
        <f>IFERROR(B444-K444, "NA")</f>
        <v>8626.8000000000175</v>
      </c>
      <c r="O444" s="24">
        <f>IFERROR(N444/N445, "NA")</f>
        <v>7.7888730385164084</v>
      </c>
      <c r="P444" s="25"/>
      <c r="Q444" s="23">
        <f>IFERROR(Q405-Q430-Q443, "NA")</f>
        <v>-85977.030000000057</v>
      </c>
      <c r="R444" s="24">
        <f>IFERROR(Q444/Q445, "NA")</f>
        <v>-0.16291210887497887</v>
      </c>
      <c r="S444" s="25"/>
      <c r="T444" s="23">
        <f>IFERROR(T405-T430-T443, "NA")</f>
        <v>-46423.909999999909</v>
      </c>
      <c r="U444" s="24">
        <f>IFERROR(T444/T445, "NA")</f>
        <v>-7.8072423378841099E-2</v>
      </c>
      <c r="V444" s="25"/>
      <c r="W444" s="23">
        <f>IFERROR(Q444-T444, "NA")</f>
        <v>-39553.120000000148</v>
      </c>
      <c r="X444" s="24">
        <f>IFERROR(W444/W445, "NA")</f>
        <v>0.59144666611140617</v>
      </c>
      <c r="Y444" s="25"/>
      <c r="Z444" s="23">
        <f>IFERROR(Z405-Z430-Z443, "NA")</f>
        <v>-82260.229999999894</v>
      </c>
      <c r="AA444" s="24">
        <f>IFERROR(Z444/Z445, "NA")</f>
        <v>-0.14801199271644827</v>
      </c>
      <c r="AB444" s="25"/>
      <c r="AC444" s="23">
        <f>IFERROR(Q444-Z444, "NA")</f>
        <v>-3716.800000000163</v>
      </c>
      <c r="AD444" s="24">
        <f>IFERROR(AC444/AC445, "NA")</f>
        <v>0.13266553208987367</v>
      </c>
    </row>
    <row r="445" spans="1:30" ht="15.75" hidden="1" x14ac:dyDescent="0.45">
      <c r="A445" s="26" t="s">
        <v>117</v>
      </c>
      <c r="B445" s="7">
        <v>116123.28</v>
      </c>
      <c r="C445" s="27"/>
      <c r="D445" s="9"/>
      <c r="E445" s="7">
        <v>125424.61</v>
      </c>
      <c r="F445" s="27"/>
      <c r="G445" s="9"/>
      <c r="H445" s="10">
        <f>IFERROR(B445-E445, "NA")</f>
        <v>-9301.3300000000017</v>
      </c>
      <c r="I445" s="27"/>
      <c r="J445" s="9"/>
      <c r="K445" s="7">
        <v>115015.7</v>
      </c>
      <c r="L445" s="27"/>
      <c r="M445" s="9"/>
      <c r="N445" s="10">
        <f>IFERROR(B445-K445, "NA")</f>
        <v>1107.5800000000017</v>
      </c>
      <c r="O445" s="27"/>
      <c r="P445" s="9"/>
      <c r="Q445" s="7">
        <v>527751.01</v>
      </c>
      <c r="R445" s="27"/>
      <c r="S445" s="9"/>
      <c r="T445" s="7">
        <v>594626.22</v>
      </c>
      <c r="U445" s="27"/>
      <c r="V445" s="9"/>
      <c r="W445" s="10">
        <f>IFERROR(Q445-T445, "NA")</f>
        <v>-66875.209999999963</v>
      </c>
      <c r="X445" s="27"/>
      <c r="Y445" s="9"/>
      <c r="Z445" s="7">
        <v>555767.32999999996</v>
      </c>
      <c r="AA445" s="27"/>
      <c r="AB445" s="9"/>
      <c r="AC445" s="10">
        <f>IFERROR(Q445-Z445, "NA")</f>
        <v>-28016.319999999949</v>
      </c>
      <c r="AD445" s="27"/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  <row r="450" spans="1:1" ht="15.75" x14ac:dyDescent="0.5">
      <c r="A450" s="28" t="s">
        <v>411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2026-06-11T17:12:33Z</dcterms:created>
  <dcterms:modified xsi:type="dcterms:W3CDTF">2026-06-11T17:13:39Z</dcterms:modified>
</cp:coreProperties>
</file>