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0">Consolidated!$1:$5</definedName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</definedNames>
  <calcPr fullCalcOnLoad="1"/>
</workbook>
</file>

<file path=xl/sharedStrings.xml><?xml version="1.0" encoding="utf-8"?>
<sst xmlns="http://schemas.openxmlformats.org/spreadsheetml/2006/main">
  <si>
    <t>P&amp;L - Per. &amp; YTD vs Budget and PY</t>
  </si>
  <si>
    <t>01/25/2026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</si>
  <si>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</si>
  <si>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</si>
  <si>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</si>
  <si>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</si>
  <si>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</si>
  <si>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</si>
  <si>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</si>
  <si>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</si>
  <si>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</si>
  <si>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</si>
  <si>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</si>
  <si>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</si>
  <si>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</si>
  <si>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</si>
  <si>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</si>
  <si>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</si>
  <si>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</si>
  <si>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</si>
  <si>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</si>
  <si>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</si>
  <si>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</si>
  <si>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</si>
  <si>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</si>
  <si>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</si>
  <si>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</si>
  <si>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</si>
  <si>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</si>
  <si>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</si>
  <si>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</si>
  <si>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</si>
  <si>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</si>
  <si>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</si>
  <si>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</si>
  <si>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</si>
  <si>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</si>
  <si>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</si>
  <si>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</si>
  <si>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</si>
  <si>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</si>
  <si>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</si>
  <si>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</si>
  <si>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</si>
  <si>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</si>
  <si>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</si>
  <si>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</si>
  <si>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</si>
  <si>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</si>
  <si>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</si>
  <si>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</si>
  <si>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</si>
  <si>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</si>
  <si>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</si>
  <si>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</si>
  <si>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</si>
  <si>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</si>
  <si>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</si>
  <si>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</si>
  <si>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</si>
  <si>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</si>
  <si>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</si>
  <si>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</si>
  <si>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</si>
  <si>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</si>
  <si>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</si>
  <si>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</si>
  <si>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</si>
  <si>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</si>
  <si>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</si>
  <si>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</si>
  <si>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</si>
  <si>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</si>
  <si>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</si>
  <si>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</si>
  <si>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</si>
  <si>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</si>
  <si>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</si>
  <si>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</si>
  <si>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</si>
  <si>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</si>
  <si>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</si>
  <si>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</si>
  <si>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</si>
  <si>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</si>
  <si>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</si>
  <si>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</si>
  <si>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</si>
  <si>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</si>
  <si>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</si>
  <si>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</si>
  <si>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</si>
  <si>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</si>
  <si>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</si>
  <si>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</si>
  <si>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</si>
  <si>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</si>
  <si>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</si>
  <si>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</si>
  <si>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</si>
  <si>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</si>
  <si>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</si>
  <si>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</si>
  <si>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</si>
  <si>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</si>
  <si>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</si>
  <si>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</si>
  <si>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</si>
  <si>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</si>
  <si>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</si>
  <si>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</si>
  <si>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</si>
  <si>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</si>
  <si>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</si>
  <si>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</si>
  <si>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</si>
  <si>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</si>
  <si>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</si>
  <si>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</si>
  <si>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</si>
  <si>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</si>
  <si>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</si>
  <si>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</si>
  <si>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</si>
  <si>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</si>
  <si>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</si>
  <si>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</si>
  <si>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</si>
  <si>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</si>
  <si>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</si>
  <si>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</si>
  <si>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</si>
  <si>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</si>
  <si>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</si>
  <si>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</si>
  <si>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</si>
  <si>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</si>
  <si>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</si>
  <si>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</si>
  <si>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</si>
  <si>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</si>
  <si>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</si>
  <si>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</si>
  <si>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</si>
  <si>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</si>
  <si>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</si>
  <si>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</si>
  <si>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</si>
  <si>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</si>
  <si>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</si>
  <si>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</si>
  <si>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</si>
  <si>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</si>
  <si>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</si>
  <si>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</si>
  <si>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</si>
  <si>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</si>
  <si>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</si>
  <si>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</si>
  <si>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</si>
  <si>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</si>
  <si>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</si>
  <si>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</si>
  <si>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</si>
  <si>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</si>
  <si>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</si>
  <si>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</si>
  <si>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</si>
  <si>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</si>
  <si>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</si>
  <si>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</si>
  <si>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</si>
  <si>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</si>
  <si>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</si>
  <si>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</si>
  <si>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</si>
  <si>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</si>
  <si>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</si>
  <si>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</si>
  <si>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</si>
  <si>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</si>
  <si>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</si>
  <si>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</si>
  <si>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</si>
  <si>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</si>
  <si>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</si>
  <si>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</si>
  <si>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</si>
  <si>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</si>
  <si>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</si>
  <si>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</si>
  <si>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</si>
  <si>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</si>
  <si>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</si>
  <si>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</si>
  <si>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</si>
  <si>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</si>
  <si>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</si>
  <si>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</si>
  <si>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</si>
  <si>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</si>
  <si>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</si>
  <si>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</si>
  <si>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</si>
  <si>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</si>
  <si>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</si>
  <si>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</si>
  <si>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</si>
  <si>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</si>
  <si>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</si>
  <si>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</si>
  <si>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</si>
  <si>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First Delivery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</si>
  <si>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</si>
  <si>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</si>
  <si>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</si>
  <si>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</si>
  <si>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</si>
  <si>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</si>
  <si>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</si>
  <si>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</si>
  <si>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</si>
  <si>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</si>
  <si>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</si>
  <si>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</si>
  <si>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</si>
  <si>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</si>
  <si>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</si>
  <si>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</si>
  <si>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</si>
  <si>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</si>
  <si>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</si>
  <si>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</si>
  <si>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</si>
  <si>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</si>
  <si>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</si>
  <si>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</si>
  <si>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</si>
  <si>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</si>
  <si>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Foodworks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</si>
  <si>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</si>
  <si>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</si>
  <si>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</si>
  <si>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</si>
  <si>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</si>
  <si>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</si>
  <si>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</si>
  <si>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</si>
  <si>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</si>
  <si>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</si>
  <si>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</si>
  <si>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</si>
  <si>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</si>
  <si>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</si>
  <si>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</si>
  <si>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</si>
  <si>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</si>
  <si>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</si>
  <si>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</si>
  <si>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</si>
  <si>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</si>
  <si>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</si>
  <si>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</si>
  <si>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</si>
  <si>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</si>
  <si>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</si>
  <si>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</si>
  <si>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</si>
  <si>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</si>
  <si>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</si>
  <si>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</si>
  <si>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</si>
  <si>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</si>
  <si>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</si>
  <si>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</si>
  <si>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</si>
  <si>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</si>
  <si>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</si>
  <si>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</si>
  <si>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</si>
  <si>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</si>
  <si>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</si>
  <si>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</si>
  <si>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</si>
  <si>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</si>
  <si>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</si>
  <si>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</si>
  <si>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</si>
  <si>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</si>
  <si>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</si>
  <si>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</si>
  <si>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</si>
  <si>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</si>
  <si>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</si>
  <si>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</si>
  <si>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</si>
  <si>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</si>
  <si>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</si>
  <si>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</si>
  <si>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</si>
  <si>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</si>
  <si>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</si>
  <si>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</si>
  <si>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</si>
  <si>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</si>
  <si>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</si>
  <si>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</si>
  <si>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</si>
  <si>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</si>
  <si>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</si>
  <si>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</si>
  <si>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</si>
  <si>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</si>
  <si>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</si>
  <si>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</si>
  <si>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</si>
  <si>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</si>
  <si>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</si>
  <si>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</si>
  <si>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</si>
  <si>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</si>
  <si>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</si>
  <si>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</si>
  <si>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</si>
  <si>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</si>
  <si>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</si>
  <si>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</si>
  <si>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</si>
  <si>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</si>
  <si>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</si>
  <si>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</si>
  <si>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</si>
  <si>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</si>
  <si>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</si>
  <si>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</si>
  <si>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</si>
  <si>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</si>
  <si>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</si>
  <si>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</si>
  <si>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</si>
  <si>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</si>
  <si>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</si>
  <si>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</si>
  <si>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</si>
  <si>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</si>
  <si>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</si>
  <si>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</si>
  <si>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</si>
  <si>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</si>
  <si>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</si>
  <si>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</si>
  <si>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</si>
  <si>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</si>
  <si>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</si>
  <si>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</si>
  <si>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</si>
  <si>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</si>
  <si>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</si>
  <si>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</si>
  <si>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</si>
  <si>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</si>
  <si>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</si>
  <si>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</si>
  <si>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</si>
  <si>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</si>
  <si>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</si>
  <si>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</si>
  <si>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</si>
  <si>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</si>
  <si>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</si>
  <si>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</si>
  <si>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</si>
  <si>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</si>
  <si>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</si>
  <si>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</si>
  <si>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</si>
  <si>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</si>
  <si>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</si>
  <si>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</si>
  <si>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</si>
  <si>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</si>
  <si>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</si>
  <si>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</si>
  <si>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</si>
  <si>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</si>
  <si>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</si>
  <si>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</si>
  <si>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</si>
  <si>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</si>
  <si>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</si>
  <si>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Store Closing Expense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</si>
  <si>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</si>
  <si>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</si>
  <si>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</si>
  <si>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</si>
  <si>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</si>
  <si>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</si>
  <si>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</si>
  <si>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</si>
  <si>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</si>
  <si>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</si>
  <si>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</si>
  <si>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</si>
  <si>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</si>
  <si>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</si>
  <si>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</si>
  <si>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</si>
  <si>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</si>
  <si>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</si>
  <si>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</si>
  <si>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</si>
  <si>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</si>
  <si>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07/18/2026 12:49 AM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</si>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</sst>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>
  <numFmts count="3">
    <numFmt numFmtId="164" formatCode="#,##0.0%"/>
    <numFmt numFmtId="165" formatCode="#,##0.0%;(#,##0.0%)"/>
    <numFmt numFmtId="166" formatCode="#,##0.0;(#,##0.0)"/>
  </numFmts>
  <fonts count="1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NumberFormat="1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2"/>
    </xf>
    <xf numFmtId="0" fontId="4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3"/>
    </xf>
    <xf numFmtId="0" fontId="4" fillId="0" borderId="0" xfId="0" applyNumberFormat="1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2</v>
      </c>
      <c t="s" r="B3" s="3">
        <v>2</v>
      </c>
      <c t="s" r="C3" s="3">
        <v>2</v>
      </c>
      <c t="s" r="D3" s="3">
        <v>2</v>
      </c>
      <c t="s" r="E3" s="3">
        <v>2</v>
      </c>
      <c t="s" r="F3" s="3">
        <v>2</v>
      </c>
      <c t="s" r="G3" s="3">
        <v>2</v>
      </c>
      <c t="s" r="H3" s="3">
        <v>2</v>
      </c>
      <c t="s" r="I3" s="3">
        <v>2</v>
      </c>
      <c t="s" r="J3" s="3">
        <v>2</v>
      </c>
      <c t="s" r="K3" s="3">
        <v>2</v>
      </c>
      <c t="s" r="L3" s="3">
        <v>2</v>
      </c>
      <c t="s" r="M3" s="3">
        <v>2</v>
      </c>
      <c t="s" r="N3" s="3">
        <v>2</v>
      </c>
      <c t="s" r="O3" s="3">
        <v>2</v>
      </c>
      <c t="s" r="P3" s="3">
        <v>2</v>
      </c>
      <c t="s" r="Q3" s="3">
        <v>2</v>
      </c>
      <c t="s" r="R3" s="3">
        <v>2</v>
      </c>
      <c t="s" r="S3" s="3">
        <v>2</v>
      </c>
      <c t="s" r="T3" s="3">
        <v>2</v>
      </c>
      <c t="s" r="U3" s="3">
        <v>2</v>
      </c>
      <c t="s" r="V3" s="3">
        <v>2</v>
      </c>
      <c t="s" r="W3" s="3">
        <v>2</v>
      </c>
      <c t="s" r="X3" s="3">
        <v>2</v>
      </c>
      <c t="s" r="Y3" s="3">
        <v>2</v>
      </c>
      <c t="s" r="Z3" s="3">
        <v>2</v>
      </c>
      <c t="s" r="AA3" s="3">
        <v>2</v>
      </c>
      <c t="s" r="AB3" s="3">
        <v>2</v>
      </c>
      <c t="s" r="AC3" s="3">
        <v>2</v>
      </c>
      <c t="s" r="AD3" s="3">
        <v>2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187139.57000000001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187139.57000000001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174637.37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157993.03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174637.37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157993.03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17034.150000000001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15303.549999999999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17034.150000000001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15303.549999999999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470.5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430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470.5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430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90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1050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90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1050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172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147.5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172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147.5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1.3700000000000001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1.1000000000000001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1.3700000000000001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1.1000000000000001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41982.970000000001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41982.970000000001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16260.110000000001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27940.099999999999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16260.110000000001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27940.099999999999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13102.200000000001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13102.200000000001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4221.6800000000003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3795.5799999999999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4221.6800000000003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3795.5799999999999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611.11000000000001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611.11000000000001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3708.5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2055.46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3708.5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2055.46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4115.1299999999992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4151.0700000000006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4115.1299999999992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4151.0700000000006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91287.050000000003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91287.050000000003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52469.110000000001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46014.040000000001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52469.110000000001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46014.040000000001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3784.0299999999997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4257.7199999999993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3784.0299999999997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4257.7199999999993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43685.979999999996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53487.720000000001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43685.979999999996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53487.720000000001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2627.4400000000001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2627.4400000000001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1657.3899999999999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4101.3500000000004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1657.3899999999999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4101.3500000000004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107369.5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107369.5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11178.740000000002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17587.049999999999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11178.740000000002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17587.049999999999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516.70000000000005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516.70000000000005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56641.070000000007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82076.25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56641.070000000007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82076.25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547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137.13999999999999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547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137.13999999999999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2158.5100000000002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3542.9899999999998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2158.5100000000002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3542.9899999999998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2551.6999999999998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2551.6999999999998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2077.6999999999998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2077.6999999999998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35452.190000000002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35452.190000000002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14517.640000000001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2110.1999999999998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14517.640000000001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2110.1999999999998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13148.34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13489.66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13148.34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13489.66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9882.75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705.40999999999997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705.40999999999997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3367.1500000000001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3367.1500000000001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5452.5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5452.5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8044.1099999999997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8044.1099999999997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1120.72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1470.6500000000001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1120.72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1470.6500000000001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25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25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5295.4699999999993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7987.380000000001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5295.4699999999993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7987.380000000001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121.45999999999999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121.45999999999999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25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25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988.27999999999997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-12.949999999999999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-19.260000000000002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-12.949999999999999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-19.260000000000002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-673.99000000000001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-673.99000000000001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-22567.190000000002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-22567.190000000002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-5625.04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-6974.0200000000004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-5625.04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-6974.0200000000004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-9843.7700000000004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-8172.2099999999991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-9843.7700000000004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-8172.2099999999991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-129.75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-1527.1099999999999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-129.75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-1527.1099999999999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-4046.5900000000001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-4521.2300000000005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-4046.5900000000001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-4521.2300000000005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-146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-146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-1952.3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-2687.4000000000001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-1952.3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-2687.4000000000001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-73.990000000000009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-1085.6100000000001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-73.990000000000009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-1085.6100000000001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99149.800000000003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99149.800000000003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21690.389999999999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24234.709999999999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21690.389999999999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24234.709999999999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13053.6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13433.780000000001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13053.6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13433.780000000001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12892.84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16481.650000000001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12892.84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16481.650000000001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10177.23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10044.059999999999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10177.23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10044.059999999999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5107.0799999999999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3525.0300000000002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5107.0799999999999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3525.0300000000002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3840.6199999999999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3941.5699999999997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3840.6199999999999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3941.5699999999997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3222.3299999999999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3222.3299999999999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2364.9700000000003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2445.21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2364.9700000000003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2445.21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32085.840000000004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23136.489999999998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32085.840000000004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23136.489999999998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20.079999999999998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20.079999999999998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4785.2200000000003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4785.2200000000003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5303.6599999999999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5312.9199999999992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5303.6599999999999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5312.9199999999992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188.83999999999997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144.79999999999998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188.83999999999997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144.79999999999998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96.879999999999995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937.03999999999996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96.879999999999995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937.03999999999996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47.430000000000007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70.719999999999999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47.430000000000007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70.719999999999999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18407.120000000003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18407.120000000003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13973.880000000001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12635.68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13973.880000000001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12635.68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5306.6000000000004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5224.1899999999996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5306.6000000000004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5224.1899999999996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74.200000000000003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74.200000000000003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1124.9200000000001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1136.6099999999999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1124.9200000000001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1136.6099999999999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3.5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3.5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724.73000000000002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673.38999999999999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724.73000000000002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673.38999999999999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151.55000000000001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194.60000000000002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151.55000000000001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194.60000000000002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-5308.0299999999997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-12423.76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-5308.0299999999997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-12423.76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31832.32</v>
      </c>
      <c r="C178" s="14">
        <f>IFERROR(B178/B446, "NA")</f>
      </c>
      <c r="D178" s="15"/>
      <c r="E178" s="13">
        <v>31370.799999999999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31370.799999999999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31832.32</v>
      </c>
      <c r="R178" s="14">
        <f>IFERROR(Q178/Q446, "NA")</f>
      </c>
      <c r="S178" s="15"/>
      <c r="T178" s="13">
        <v>31370.799999999999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31370.799999999999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84997.820000000007</v>
      </c>
      <c r="C180" s="14">
        <f>IFERROR(B180/B446, "NA")</f>
      </c>
      <c r="D180" s="15"/>
      <c r="E180" s="13">
        <v>85254.440000000002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84105.660000000003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84997.820000000007</v>
      </c>
      <c r="R180" s="14">
        <f>IFERROR(Q180/Q446, "NA")</f>
      </c>
      <c r="S180" s="15"/>
      <c r="T180" s="13">
        <v>85254.440000000002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84105.660000000003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211.09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29.850000000000001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211.09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29.850000000000001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1996</v>
      </c>
      <c r="C184" s="14">
        <f>IFERROR(B184/B446, "NA")</f>
      </c>
      <c r="D184" s="15"/>
      <c r="E184" s="13">
        <v>1995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2950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1996</v>
      </c>
      <c r="R184" s="14">
        <f>IFERROR(Q184/Q446, "NA")</f>
      </c>
      <c r="S184" s="15"/>
      <c r="T184" s="13">
        <v>1995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2950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12444.029999999999</v>
      </c>
      <c r="C186" s="14">
        <f>IFERROR(B186/B446, "NA")</f>
      </c>
      <c r="D186" s="15"/>
      <c r="E186" s="13">
        <v>13485.469999999999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13090.740000000002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12444.029999999999</v>
      </c>
      <c r="R186" s="14">
        <f>IFERROR(Q186/Q446, "NA")</f>
      </c>
      <c r="S186" s="15"/>
      <c r="T186" s="13">
        <v>13485.469999999999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13090.740000000002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1286.8000000000002</v>
      </c>
      <c r="C194" s="14">
        <f>IFERROR(B194/B446, "NA")</f>
      </c>
      <c r="D194" s="15"/>
      <c r="E194" s="13">
        <v>948.97000000000003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1210.48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1286.8000000000002</v>
      </c>
      <c r="R194" s="14">
        <f>IFERROR(Q194/Q446, "NA")</f>
      </c>
      <c r="S194" s="15"/>
      <c r="T194" s="13">
        <v>948.97000000000003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1210.48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1844.5700000000002</v>
      </c>
      <c r="C195" s="14">
        <f>IFERROR(B195/B446, "NA")</f>
      </c>
      <c r="D195" s="15"/>
      <c r="E195" s="13">
        <v>1527.49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1315.6500000000001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1844.5700000000002</v>
      </c>
      <c r="R195" s="14">
        <f>IFERROR(Q195/Q446, "NA")</f>
      </c>
      <c r="S195" s="15"/>
      <c r="T195" s="13">
        <v>1527.49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1315.6500000000001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5143.2099999999991</v>
      </c>
      <c r="C202" s="14">
        <f>IFERROR(B202/B446, "NA")</f>
      </c>
      <c r="D202" s="15"/>
      <c r="E202" s="13">
        <v>4167.0200000000004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4589.2299999999996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5143.2099999999991</v>
      </c>
      <c r="R202" s="14">
        <f>IFERROR(Q202/Q446, "NA")</f>
      </c>
      <c r="S202" s="15"/>
      <c r="T202" s="13">
        <v>4167.0200000000004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4589.2299999999996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2975</v>
      </c>
      <c r="C203" s="14">
        <f>IFERROR(B203/B446, "NA")</f>
      </c>
      <c r="D203" s="15"/>
      <c r="E203" s="13">
        <v>2986.1000000000004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2947.5999999999999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2975</v>
      </c>
      <c r="R203" s="14">
        <f>IFERROR(Q203/Q446, "NA")</f>
      </c>
      <c r="S203" s="15"/>
      <c r="T203" s="13">
        <v>2986.1000000000004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2947.5999999999999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117.34999999999999</v>
      </c>
      <c r="C204" s="14">
        <f>IFERROR(B204/B446, "NA")</f>
      </c>
      <c r="D204" s="15"/>
      <c r="E204" s="13">
        <v>897.42000000000007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143.70000000000002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117.34999999999999</v>
      </c>
      <c r="R204" s="14">
        <f>IFERROR(Q204/Q446, "NA")</f>
      </c>
      <c r="S204" s="15"/>
      <c r="T204" s="13">
        <v>897.42000000000007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143.70000000000002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2091.1100000000001</v>
      </c>
      <c r="C205" s="14">
        <f>IFERROR(B205/B446, "NA")</f>
      </c>
      <c r="D205" s="15"/>
      <c r="E205" s="13">
        <v>1346.1199999999999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1905.0600000000002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2091.1100000000001</v>
      </c>
      <c r="R205" s="14">
        <f>IFERROR(Q205/Q446, "NA")</f>
      </c>
      <c r="S205" s="15"/>
      <c r="T205" s="13">
        <v>1346.1199999999999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1905.0600000000002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288.48000000000002</v>
      </c>
      <c r="C206" s="14">
        <f>IFERROR(B206/B446, "NA")</f>
      </c>
      <c r="D206" s="15"/>
      <c r="E206" s="13">
        <v>448.71000000000004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288.48000000000002</v>
      </c>
      <c r="R206" s="14">
        <f>IFERROR(Q206/Q446, "NA")</f>
      </c>
      <c r="S206" s="15"/>
      <c r="T206" s="13">
        <v>448.71000000000004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388.19999999999999</v>
      </c>
      <c r="C207" s="14">
        <f>IFERROR(B207/B446, "NA")</f>
      </c>
      <c r="D207" s="15"/>
      <c r="E207" s="13">
        <v>500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497.99000000000001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388.19999999999999</v>
      </c>
      <c r="R207" s="14">
        <f>IFERROR(Q207/Q446, "NA")</f>
      </c>
      <c r="S207" s="15"/>
      <c r="T207" s="13">
        <v>500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497.99000000000001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281.90999999999997</v>
      </c>
      <c r="C208" s="14">
        <f>IFERROR(B208/B446, "NA")</f>
      </c>
      <c r="D208" s="15"/>
      <c r="E208" s="13">
        <v>500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728.68999999999994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281.90999999999997</v>
      </c>
      <c r="R208" s="14">
        <f>IFERROR(Q208/Q446, "NA")</f>
      </c>
      <c r="S208" s="15"/>
      <c r="T208" s="13">
        <v>500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728.68999999999994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15110.41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15110.41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7341.5100000000002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12513.740000000002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7341.5100000000002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12513.740000000002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1591.4100000000003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1591.4100000000003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100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100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4260.8699999999999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11015.51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4260.8699999999999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11015.51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308.34000000000003</v>
      </c>
      <c r="C222" s="14">
        <f>IFERROR(B222/B446, "NA")</f>
      </c>
      <c r="D222" s="15"/>
      <c r="E222" s="13">
        <v>500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623.29999999999995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308.34000000000003</v>
      </c>
      <c r="R222" s="14">
        <f>IFERROR(Q222/Q446, "NA")</f>
      </c>
      <c r="S222" s="15"/>
      <c r="T222" s="13">
        <v>500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623.29999999999995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6921.2299999999996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6921.2299999999996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574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1094.27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574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1094.27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217.78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217.78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6433.5699999999997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7369.1199999999999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6433.5699999999997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7369.1199999999999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44.700000000000003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44.700000000000003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29991.739999999998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29991.739999999998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78.709999999999994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78.709999999999994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7629.6700000000001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5756.0999999999995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7629.6700000000001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5756.0999999999995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9700.1299999999992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14325.519999999999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9700.1299999999992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14325.519999999999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3240.21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396.63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3240.21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396.63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661.81000000000006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1209.8800000000001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661.81000000000006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1209.8800000000001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1117.73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1131.6700000000001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1117.73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1131.6700000000001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7808.1500000000005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7358.6499999999996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7808.1500000000005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7358.6499999999996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147.31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36.969999999999999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147.31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36.969999999999999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519.42999999999995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519.42999999999995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2625.2600000000002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2698.27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2625.2600000000002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2698.27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1090.5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1090.5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11223.220000000001</v>
      </c>
      <c r="C266" s="14">
        <f>IFERROR(B266/B446, "NA")</f>
      </c>
      <c r="D266" s="15"/>
      <c r="E266" s="13">
        <v>11635.34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10578.02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11223.220000000001</v>
      </c>
      <c r="R266" s="14">
        <f>IFERROR(Q266/Q446, "NA")</f>
      </c>
      <c r="S266" s="15"/>
      <c r="T266" s="13">
        <v>11635.34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10578.02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1104.02</v>
      </c>
      <c r="C271" s="14">
        <f>IFERROR(B271/B446, "NA")</f>
      </c>
      <c r="D271" s="15"/>
      <c r="E271" s="13">
        <v>1139.0599999999999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1207.1199999999999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1104.02</v>
      </c>
      <c r="R271" s="14">
        <f>IFERROR(Q271/Q446, "NA")</f>
      </c>
      <c r="S271" s="15"/>
      <c r="T271" s="13">
        <v>1139.0599999999999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1207.1199999999999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5084.8199999999997</v>
      </c>
      <c r="C272" s="14">
        <f>IFERROR(B272/B446, "NA")</f>
      </c>
      <c r="D272" s="15"/>
      <c r="E272" s="13">
        <v>5130.2199999999993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4608.8599999999997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5084.8199999999997</v>
      </c>
      <c r="R272" s="14">
        <f>IFERROR(Q272/Q446, "NA")</f>
      </c>
      <c r="S272" s="15"/>
      <c r="T272" s="13">
        <v>5130.2199999999993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4608.8599999999997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199.27000000000001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1067.5899999999999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1067.5899999999999</v>
      </c>
      <c r="R288" s="14">
        <f>IFERROR(Q288/Q446, "NA")</f>
      </c>
      <c r="S288" s="15"/>
      <c r="T288" s="13">
        <v>971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970.52999999999997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839.23000000000002</v>
      </c>
      <c r="C289" s="14">
        <f>IFERROR(B289/B446, "NA")</f>
      </c>
      <c r="D289" s="15"/>
      <c r="E289" s="13">
        <v>843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949.93000000000006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839.23000000000002</v>
      </c>
      <c r="R289" s="14">
        <f>IFERROR(Q289/Q446, "NA")</f>
      </c>
      <c r="S289" s="15"/>
      <c r="T289" s="13">
        <v>843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949.93000000000006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1136.28</v>
      </c>
      <c r="C290" s="14">
        <f>IFERROR(B290/B446, "NA")</f>
      </c>
      <c r="D290" s="15"/>
      <c r="E290" s="13">
        <v>1149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990.90999999999997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1136.28</v>
      </c>
      <c r="R290" s="14">
        <f>IFERROR(Q290/Q446, "NA")</f>
      </c>
      <c r="S290" s="15"/>
      <c r="T290" s="13">
        <v>1149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990.90999999999997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4477.6700000000001</v>
      </c>
      <c r="C291" s="14">
        <f>IFERROR(B291/B446, "NA")</f>
      </c>
      <c r="D291" s="15"/>
      <c r="E291" s="13">
        <v>2337.96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2785.6000000000004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4477.6700000000001</v>
      </c>
      <c r="R291" s="14">
        <f>IFERROR(Q291/Q446, "NA")</f>
      </c>
      <c r="S291" s="15"/>
      <c r="T291" s="13">
        <v>2337.96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2785.6000000000004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7409.0599999999995</v>
      </c>
      <c r="C292" s="14">
        <f>IFERROR(B292/B446, "NA")</f>
      </c>
      <c r="D292" s="15"/>
      <c r="E292" s="13">
        <v>2346.1800000000003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5669.0599999999995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7409.0599999999995</v>
      </c>
      <c r="R292" s="14">
        <f>IFERROR(Q292/Q446, "NA")</f>
      </c>
      <c r="S292" s="15"/>
      <c r="T292" s="13">
        <v>2346.1800000000003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5669.0599999999995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394.79000000000002</v>
      </c>
      <c r="C293" s="14">
        <f>IFERROR(B293/B446, "NA")</f>
      </c>
      <c r="D293" s="15"/>
      <c r="E293" s="13">
        <v>648.04999999999995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394.79000000000002</v>
      </c>
      <c r="R293" s="14">
        <f>IFERROR(Q293/Q446, "NA")</f>
      </c>
      <c r="S293" s="15"/>
      <c r="T293" s="13">
        <v>648.04999999999995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620.75999999999999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369.93000000000001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620.75999999999999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369.93000000000001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1590.4400000000001</v>
      </c>
      <c r="C295" s="14">
        <f>IFERROR(B295/B446, "NA")</f>
      </c>
      <c r="D295" s="15"/>
      <c r="E295" s="13">
        <v>1784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1703.28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1590.4400000000001</v>
      </c>
      <c r="R295" s="14">
        <f>IFERROR(Q295/Q446, "NA")</f>
      </c>
      <c r="S295" s="15"/>
      <c r="T295" s="13">
        <v>1784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1703.28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2225.0200000000004</v>
      </c>
      <c r="C300" s="14">
        <f>IFERROR(B300/B446, "NA")</f>
      </c>
      <c r="D300" s="15"/>
      <c r="E300" s="13">
        <v>2209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2086.7199999999998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2225.0200000000004</v>
      </c>
      <c r="R300" s="14">
        <f>IFERROR(Q300/Q446, "NA")</f>
      </c>
      <c r="S300" s="15"/>
      <c r="T300" s="13">
        <v>2209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2086.7199999999998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24.07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15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24.07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15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268.53999999999996</v>
      </c>
      <c r="C311" s="14">
        <f>IFERROR(B311/B446, "NA")</f>
      </c>
      <c r="D311" s="15"/>
      <c r="E311" s="13">
        <v>275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31.57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268.53999999999996</v>
      </c>
      <c r="R311" s="14">
        <f>IFERROR(Q311/Q446, "NA")</f>
      </c>
      <c r="S311" s="15"/>
      <c r="T311" s="13">
        <v>275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31.57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1296.5</v>
      </c>
      <c r="C313" s="14">
        <f>IFERROR(B313/B446, "NA")</f>
      </c>
      <c r="D313" s="15"/>
      <c r="E313" s="13">
        <v>175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376.99000000000001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1296.5</v>
      </c>
      <c r="R313" s="14">
        <f>IFERROR(Q313/Q446, "NA")</f>
      </c>
      <c r="S313" s="15"/>
      <c r="T313" s="13">
        <v>175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376.99000000000001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246.59999999999999</v>
      </c>
      <c r="C314" s="14">
        <f>IFERROR(B314/B446, "NA")</f>
      </c>
      <c r="D314" s="15"/>
      <c r="E314" s="13">
        <v>310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295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246.59999999999999</v>
      </c>
      <c r="R314" s="14">
        <f>IFERROR(Q314/Q446, "NA")</f>
      </c>
      <c r="S314" s="15"/>
      <c r="T314" s="13">
        <v>310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295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1690.3699999999999</v>
      </c>
      <c r="C316" s="14">
        <f>IFERROR(B316/B446, "NA")</f>
      </c>
      <c r="D316" s="15"/>
      <c r="E316" s="13">
        <v>1190.8199999999999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1249.6300000000001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1690.3699999999999</v>
      </c>
      <c r="R316" s="14">
        <f>IFERROR(Q316/Q446, "NA")</f>
      </c>
      <c r="S316" s="15"/>
      <c r="T316" s="13">
        <v>1190.8199999999999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1249.6300000000001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1319.75</v>
      </c>
      <c r="C319" s="14">
        <f>IFERROR(B319/B446, "NA")</f>
      </c>
      <c r="D319" s="15"/>
      <c r="E319" s="13">
        <v>1321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1319.75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1319.75</v>
      </c>
      <c r="R319" s="14">
        <f>IFERROR(Q319/Q446, "NA")</f>
      </c>
      <c r="S319" s="15"/>
      <c r="T319" s="13">
        <v>1321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1319.75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1269.8600000000001</v>
      </c>
      <c r="C320" s="14">
        <f>IFERROR(B320/B446, "NA")</f>
      </c>
      <c r="D320" s="15"/>
      <c r="E320" s="13">
        <v>1241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1120.46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1269.8600000000001</v>
      </c>
      <c r="R320" s="14">
        <f>IFERROR(Q320/Q446, "NA")</f>
      </c>
      <c r="S320" s="15"/>
      <c r="T320" s="13">
        <v>1241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1120.46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6956.7199999999993</v>
      </c>
      <c r="C321" s="14">
        <f>IFERROR(B321/B446, "NA")</f>
      </c>
      <c r="D321" s="15"/>
      <c r="E321" s="13">
        <v>5783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5142.4099999999999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6956.7199999999993</v>
      </c>
      <c r="R321" s="14">
        <f>IFERROR(Q321/Q446, "NA")</f>
      </c>
      <c r="S321" s="15"/>
      <c r="T321" s="13">
        <v>5783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5142.4099999999999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5308.0299999999997</v>
      </c>
      <c r="C322" s="14">
        <f>IFERROR(B322/B446, "NA")</f>
      </c>
      <c r="D322" s="15"/>
      <c r="E322" s="13">
        <v>5366.4899999999998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12423.76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5308.0299999999997</v>
      </c>
      <c r="R322" s="14">
        <f>IFERROR(Q322/Q446, "NA")</f>
      </c>
      <c r="S322" s="15"/>
      <c r="T322" s="13">
        <v>5366.4899999999998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12423.76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1694.8300000000002</v>
      </c>
      <c r="C323" s="14">
        <f>IFERROR(B323/B446, "NA")</f>
      </c>
      <c r="D323" s="15"/>
      <c r="E323" s="13">
        <v>1413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1076.0999999999999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1694.8300000000002</v>
      </c>
      <c r="R323" s="14">
        <f>IFERROR(Q323/Q446, "NA")</f>
      </c>
      <c r="S323" s="15"/>
      <c r="T323" s="13">
        <v>1413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1076.0999999999999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0.01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0.01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60203.629999999997</v>
      </c>
      <c r="C330" s="14">
        <f>IFERROR(B330/B446, "NA")</f>
      </c>
      <c r="D330" s="15"/>
      <c r="E330" s="13">
        <v>60203.629999999997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52829.580000000002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60203.629999999997</v>
      </c>
      <c r="R330" s="14">
        <f>IFERROR(Q330/Q446, "NA")</f>
      </c>
      <c r="S330" s="15"/>
      <c r="T330" s="13">
        <v>60203.629999999997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52829.580000000002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6433.1300000000001</v>
      </c>
      <c r="C331" s="14">
        <f>IFERROR(B331/B446, "NA")</f>
      </c>
      <c r="D331" s="15"/>
      <c r="E331" s="13">
        <v>6433.1300000000001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6225.6100000000006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6433.1300000000001</v>
      </c>
      <c r="R331" s="14">
        <f>IFERROR(Q331/Q446, "NA")</f>
      </c>
      <c r="S331" s="15"/>
      <c r="T331" s="13">
        <v>6433.1300000000001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6225.6100000000006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195.16</v>
      </c>
      <c r="C333" s="14">
        <f>IFERROR(B333/B446, "NA")</f>
      </c>
      <c r="D333" s="15"/>
      <c r="E333" s="13">
        <v>313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195.16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195.16</v>
      </c>
      <c r="R333" s="14">
        <f>IFERROR(Q333/Q446, "NA")</f>
      </c>
      <c r="S333" s="15"/>
      <c r="T333" s="13">
        <v>313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195.16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5737.8100000000004</v>
      </c>
      <c r="C334" s="14">
        <f>IFERROR(B334/B446, "NA")</f>
      </c>
      <c r="D334" s="15"/>
      <c r="E334" s="13">
        <v>5619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5523.6000000000004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5737.8100000000004</v>
      </c>
      <c r="R334" s="14">
        <f>IFERROR(Q334/Q446, "NA")</f>
      </c>
      <c r="S334" s="15"/>
      <c r="T334" s="13">
        <v>5619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5523.6000000000004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-4635.6899999999996</v>
      </c>
      <c r="C335" s="14">
        <f>IFERROR(B335/B446, "NA")</f>
      </c>
      <c r="D335" s="15"/>
      <c r="E335" s="13">
        <v>-4635.6899999999996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-4067.8699999999999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-4635.6899999999996</v>
      </c>
      <c r="R335" s="14">
        <f>IFERROR(Q335/Q446, "NA")</f>
      </c>
      <c r="S335" s="15"/>
      <c r="T335" s="13">
        <v>-4635.6899999999996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-4067.8699999999999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213.25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1654.8099999999999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213.25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1654.8099999999999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9755.5100000000002</v>
      </c>
      <c r="C339" s="14">
        <f>IFERROR(B339/B446, "NA")</f>
      </c>
      <c r="D339" s="15"/>
      <c r="E339" s="13">
        <v>7905.4300000000003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10556.450000000001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9755.5100000000002</v>
      </c>
      <c r="R339" s="14">
        <f>IFERROR(Q339/Q446, "NA")</f>
      </c>
      <c r="S339" s="15"/>
      <c r="T339" s="13">
        <v>7905.4300000000003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10556.450000000001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2912.2199999999998</v>
      </c>
      <c r="C340" s="14">
        <f>IFERROR(B340/B446, "NA")</f>
      </c>
      <c r="D340" s="15"/>
      <c r="E340" s="13">
        <v>1794.3899999999999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2922.23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2912.2199999999998</v>
      </c>
      <c r="R340" s="14">
        <f>IFERROR(Q340/Q446, "NA")</f>
      </c>
      <c r="S340" s="15"/>
      <c r="T340" s="13">
        <v>1794.3899999999999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2922.23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3318.4500000000003</v>
      </c>
      <c r="C341" s="14">
        <f>IFERROR(B341/B446, "NA")</f>
      </c>
      <c r="D341" s="15"/>
      <c r="E341" s="13">
        <v>2010.52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2909.5599999999999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3318.4500000000003</v>
      </c>
      <c r="R341" s="14">
        <f>IFERROR(Q341/Q446, "NA")</f>
      </c>
      <c r="S341" s="15"/>
      <c r="T341" s="13">
        <v>2010.52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2909.5599999999999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1884.5900000000001</v>
      </c>
      <c r="C342" s="14">
        <f>IFERROR(B342/B446, "NA")</f>
      </c>
      <c r="D342" s="15"/>
      <c r="E342" s="13">
        <v>1460.99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1902.8200000000002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1884.5900000000001</v>
      </c>
      <c r="R342" s="14">
        <f>IFERROR(Q342/Q446, "NA")</f>
      </c>
      <c r="S342" s="15"/>
      <c r="T342" s="13">
        <v>1460.99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1902.8200000000002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35403.839999999997</v>
      </c>
      <c r="C351" s="14">
        <f>IFERROR(B351/B446, "NA")</f>
      </c>
      <c r="D351" s="15"/>
      <c r="E351" s="13">
        <v>36000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60610.540000000001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35403.839999999997</v>
      </c>
      <c r="R351" s="14">
        <f>IFERROR(Q351/Q446, "NA")</f>
      </c>
      <c r="S351" s="15"/>
      <c r="T351" s="13">
        <v>36000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60610.540000000001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4192.9499999999998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4192.9499999999998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3301.1999999999998</v>
      </c>
      <c r="C355" s="14">
        <f>IFERROR(B355/B446, "NA")</f>
      </c>
      <c r="D355" s="15"/>
      <c r="E355" s="13">
        <v>2988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6790.2399999999998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3301.1999999999998</v>
      </c>
      <c r="R355" s="14">
        <f>IFERROR(Q355/Q446, "NA")</f>
      </c>
      <c r="S355" s="15"/>
      <c r="T355" s="13">
        <v>2988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6790.2399999999998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169.59999999999999</v>
      </c>
      <c r="C356" s="14">
        <f>IFERROR(B356/B446, "NA")</f>
      </c>
      <c r="D356" s="15"/>
      <c r="E356" s="13">
        <v>212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233.19999999999999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169.59999999999999</v>
      </c>
      <c r="R356" s="14">
        <f>IFERROR(Q356/Q446, "NA")</f>
      </c>
      <c r="S356" s="15"/>
      <c r="T356" s="13">
        <v>212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233.19999999999999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4500</v>
      </c>
      <c r="C357" s="14">
        <f>IFERROR(B357/B446, "NA")</f>
      </c>
      <c r="D357" s="15"/>
      <c r="E357" s="13">
        <v>4500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6187.5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4500</v>
      </c>
      <c r="R357" s="14">
        <f>IFERROR(Q357/Q446, "NA")</f>
      </c>
      <c r="S357" s="15"/>
      <c r="T357" s="13">
        <v>4500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6187.5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3319.2399999999998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3469.3499999999999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3319.2399999999998</v>
      </c>
      <c r="R358" s="14">
        <f>IFERROR(Q358/Q446, "NA")</f>
      </c>
      <c r="S358" s="15"/>
      <c r="T358" s="13">
        <v>3680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3469.3499999999999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250.94999999999999</v>
      </c>
      <c r="C363" s="14">
        <f>IFERROR(B363/B446, "NA")</f>
      </c>
      <c r="D363" s="15"/>
      <c r="E363" s="13">
        <v>864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726.27999999999997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250.94999999999999</v>
      </c>
      <c r="R363" s="14">
        <f>IFERROR(Q363/Q446, "NA")</f>
      </c>
      <c r="S363" s="15"/>
      <c r="T363" s="13">
        <v>864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726.27999999999997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811.94000000000005</v>
      </c>
      <c r="C364" s="14">
        <f>IFERROR(B364/B446, "NA")</f>
      </c>
      <c r="D364" s="15"/>
      <c r="E364" s="13">
        <v>150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326.55000000000001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811.94000000000005</v>
      </c>
      <c r="R364" s="14">
        <f>IFERROR(Q364/Q446, "NA")</f>
      </c>
      <c r="S364" s="15"/>
      <c r="T364" s="13">
        <v>150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326.55000000000001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54.630000000000003</v>
      </c>
      <c r="C365" s="14">
        <f>IFERROR(B365/B446, "NA")</f>
      </c>
      <c r="D365" s="15"/>
      <c r="E365" s="13">
        <v>400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45.259999999999998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54.630000000000003</v>
      </c>
      <c r="R365" s="14">
        <f>IFERROR(Q365/Q446, "NA")</f>
      </c>
      <c r="S365" s="15"/>
      <c r="T365" s="13">
        <v>400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45.259999999999998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900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900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450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450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1667.6099999999999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1667.6099999999999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98</v>
      </c>
      <c r="C371" s="14">
        <f>IFERROR(B371/B446, "NA")</f>
      </c>
      <c r="D371" s="15"/>
      <c r="E371" s="13">
        <v>100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103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98</v>
      </c>
      <c r="R371" s="14">
        <f>IFERROR(Q371/Q446, "NA")</f>
      </c>
      <c r="S371" s="15"/>
      <c r="T371" s="13">
        <v>100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103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89.599999999999994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110.06999999999999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89.599999999999994</v>
      </c>
      <c r="R372" s="14">
        <f>IFERROR(Q372/Q446, "NA")</f>
      </c>
      <c r="S372" s="15"/>
      <c r="T372" s="13">
        <v>125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110.06999999999999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254.08000000000001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254.08000000000001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667.13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454.88999999999999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667.13</v>
      </c>
      <c r="R374" s="14">
        <f>IFERROR(Q374/Q446, "NA")</f>
      </c>
      <c r="S374" s="15"/>
      <c r="T374" s="13">
        <v>629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454.88999999999999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2114.0999999999999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1897.01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2114.0999999999999</v>
      </c>
      <c r="R375" s="14">
        <f>IFERROR(Q375/Q446, "NA")</f>
      </c>
      <c r="S375" s="15"/>
      <c r="T375" s="13">
        <v>2150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1897.01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205.25999999999999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205.25999999999999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-2413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7324.1800000000003</v>
      </c>
      <c r="C379" s="14">
        <f>IFERROR(B379/B446, "NA")</f>
      </c>
      <c r="D379" s="15"/>
      <c r="E379" s="13">
        <v>9484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7928.96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7324.1800000000003</v>
      </c>
      <c r="R379" s="14">
        <f>IFERROR(Q379/Q446, "NA")</f>
      </c>
      <c r="S379" s="15"/>
      <c r="T379" s="13">
        <v>9484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7928.96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740.51999999999998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18.41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740.51999999999998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18.41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11800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11500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11800</v>
      </c>
      <c r="R381" s="14">
        <f>IFERROR(Q381/Q446, "NA")</f>
      </c>
      <c r="S381" s="15"/>
      <c r="T381" s="13">
        <v>11800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11500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3547.5</v>
      </c>
      <c r="C382" s="14">
        <f>IFERROR(B382/B446, "NA")</f>
      </c>
      <c r="D382" s="15"/>
      <c r="E382" s="13">
        <v>2500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4000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3547.5</v>
      </c>
      <c r="R382" s="14">
        <f>IFERROR(Q382/Q446, "NA")</f>
      </c>
      <c r="S382" s="15"/>
      <c r="T382" s="13">
        <v>2500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4000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674.15999999999997</v>
      </c>
      <c r="C383" s="14">
        <f>IFERROR(B383/B446, "NA")</f>
      </c>
      <c r="D383" s="15"/>
      <c r="E383" s="13">
        <v>506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505.62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674.15999999999997</v>
      </c>
      <c r="R383" s="14">
        <f>IFERROR(Q383/Q446, "NA")</f>
      </c>
      <c r="S383" s="15"/>
      <c r="T383" s="13">
        <v>506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505.62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2222.3000000000002</v>
      </c>
      <c r="C386" s="14">
        <f>IFERROR(B386/B446, "NA")</f>
      </c>
      <c r="D386" s="15"/>
      <c r="E386" s="13">
        <v>750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2197.23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2222.3000000000002</v>
      </c>
      <c r="R386" s="14">
        <f>IFERROR(Q386/Q446, "NA")</f>
      </c>
      <c r="S386" s="15"/>
      <c r="T386" s="13">
        <v>750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2197.23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9422.8700000000008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9422.8700000000008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6900.4200000000001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3194.75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6900.4200000000001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3194.75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3202.3600000000001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12806.200000000001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3202.3600000000001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12806.200000000001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4837.5500000000002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4344.7200000000003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4837.5500000000002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4344.7200000000003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3900.27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3900.27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36.380000000000003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36.380000000000003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10506.25</v>
      </c>
      <c r="C398" s="14">
        <f>IFERROR(B398/B446, "NA")</f>
      </c>
      <c r="D398" s="15"/>
      <c r="E398" s="13">
        <v>7200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1771.4300000000001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10506.25</v>
      </c>
      <c r="R398" s="14">
        <f>IFERROR(Q398/Q446, "NA")</f>
      </c>
      <c r="S398" s="15"/>
      <c r="T398" s="13">
        <v>7200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1771.4300000000001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390.64999999999998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120.16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390.64999999999998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120.16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815.84000000000003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815.84000000000003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14875.330000000002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14875.330000000002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31404.970000000001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27763.239999999998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31404.970000000001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27763.239999999998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268.37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268.37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-103.39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-109.72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-103.39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-109.72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24.630000000000003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238.49000000000001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24.630000000000003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238.49000000000001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-20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-20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-505.22000000000003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-505.22000000000003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-16101.01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-0.98999999999999999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-16101.01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-0.98999999999999999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67.079999999999998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47.920000000000002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67.079999999999998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47.920000000000002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-2432.9299999999998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-375.5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-2432.9299999999998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-375.5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435052.09999999998</v>
      </c>
      <c r="C446" s="33"/>
      <c r="D446" s="15"/>
      <c r="E446" s="13">
        <v>448708.20000000001</v>
      </c>
      <c r="F446" s="33"/>
      <c r="G446" s="15"/>
      <c r="H446" s="16">
        <f>IFERROR(B446-E446, "NA")</f>
      </c>
      <c r="I446" s="33"/>
      <c r="J446" s="15"/>
      <c r="K446" s="13">
        <v>435555.42999999999</v>
      </c>
      <c r="L446" s="33"/>
      <c r="M446" s="15"/>
      <c r="N446" s="16">
        <f>IFERROR(B446-K446, "NA")</f>
      </c>
      <c r="O446" s="33"/>
      <c r="P446" s="15"/>
      <c r="Q446" s="13">
        <v>435052.09999999998</v>
      </c>
      <c r="R446" s="33"/>
      <c r="S446" s="15"/>
      <c r="T446" s="13">
        <v>448708.20000000001</v>
      </c>
      <c r="U446" s="33"/>
      <c r="V446" s="15"/>
      <c r="W446" s="16">
        <f>IFERROR(Q446-T446, "NA")</f>
      </c>
      <c r="X446" s="33"/>
      <c r="Y446" s="15"/>
      <c r="Z446" s="13">
        <v>435555.42999999999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413</v>
      </c>
      <c t="s" r="B3" s="3">
        <v>413</v>
      </c>
      <c t="s" r="C3" s="3">
        <v>413</v>
      </c>
      <c t="s" r="D3" s="3">
        <v>413</v>
      </c>
      <c t="s" r="E3" s="3">
        <v>413</v>
      </c>
      <c t="s" r="F3" s="3">
        <v>413</v>
      </c>
      <c t="s" r="G3" s="3">
        <v>413</v>
      </c>
      <c t="s" r="H3" s="3">
        <v>413</v>
      </c>
      <c t="s" r="I3" s="3">
        <v>413</v>
      </c>
      <c t="s" r="J3" s="3">
        <v>413</v>
      </c>
      <c t="s" r="K3" s="3">
        <v>413</v>
      </c>
      <c t="s" r="L3" s="3">
        <v>413</v>
      </c>
      <c t="s" r="M3" s="3">
        <v>413</v>
      </c>
      <c t="s" r="N3" s="3">
        <v>413</v>
      </c>
      <c t="s" r="O3" s="3">
        <v>413</v>
      </c>
      <c t="s" r="P3" s="3">
        <v>413</v>
      </c>
      <c t="s" r="Q3" s="3">
        <v>413</v>
      </c>
      <c t="s" r="R3" s="3">
        <v>413</v>
      </c>
      <c t="s" r="S3" s="3">
        <v>413</v>
      </c>
      <c t="s" r="T3" s="3">
        <v>413</v>
      </c>
      <c t="s" r="U3" s="3">
        <v>413</v>
      </c>
      <c t="s" r="V3" s="3">
        <v>413</v>
      </c>
      <c t="s" r="W3" s="3">
        <v>413</v>
      </c>
      <c t="s" r="X3" s="3">
        <v>413</v>
      </c>
      <c t="s" r="Y3" s="3">
        <v>413</v>
      </c>
      <c t="s" r="Z3" s="3">
        <v>413</v>
      </c>
      <c t="s" r="AA3" s="3">
        <v>413</v>
      </c>
      <c t="s" r="AB3" s="3">
        <v>413</v>
      </c>
      <c t="s" r="AC3" s="3">
        <v>413</v>
      </c>
      <c t="s" r="AD3" s="3">
        <v>413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idden="1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0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0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idden="1" ht="16.5" customHeight="1">
      <c t="s" r="A11" s="18">
        <v>13</v>
      </c>
      <c r="B11" s="13">
        <v>0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0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0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0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idden="1" ht="16.5" customHeight="1">
      <c t="s" r="A12" s="18">
        <v>14</v>
      </c>
      <c r="B12" s="13">
        <v>0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0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0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0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idden="1" ht="16.5" customHeight="1">
      <c t="s" r="A13" s="18">
        <v>15</v>
      </c>
      <c r="B13" s="13">
        <v>0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0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0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0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idden="1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idden="1" ht="16.5" customHeight="1">
      <c t="s" r="A15" s="18">
        <v>17</v>
      </c>
      <c r="B15" s="13">
        <v>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0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0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0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idden="1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idden="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0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0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idden="1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0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0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0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idden="1" ht="16.5" customHeight="1">
      <c t="s" r="A23" s="18">
        <v>24</v>
      </c>
      <c r="B23" s="13">
        <v>0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0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idden="1" ht="16.5" customHeight="1">
      <c t="s" r="A24" s="18">
        <v>25</v>
      </c>
      <c r="B24" s="13">
        <v>0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0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0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0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idden="1" ht="16.5" customHeight="1">
      <c t="s" r="A25" s="18">
        <v>26</v>
      </c>
      <c r="B25" s="13">
        <v>0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0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idden="1" ht="16.5" customHeight="1">
      <c t="s" r="A26" s="18">
        <v>27</v>
      </c>
      <c r="B26" s="13">
        <v>0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0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idden="1" ht="16.5" customHeight="1">
      <c t="s" r="A28" s="18">
        <v>29</v>
      </c>
      <c r="B28" s="13">
        <v>0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0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0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0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idden="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0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0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idden="1" ht="16.5" customHeight="1">
      <c t="s" r="A33" s="18">
        <v>33</v>
      </c>
      <c r="B33" s="13">
        <v>0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0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0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0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idden="1" ht="16.5" customHeight="1">
      <c t="s" r="A35" s="18">
        <v>35</v>
      </c>
      <c r="B35" s="13">
        <v>0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0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0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0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idden="1" ht="16.5" customHeight="1">
      <c t="s" r="A36" s="18">
        <v>36</v>
      </c>
      <c r="B36" s="13">
        <v>0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0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0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0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idden="1" ht="16.5" customHeight="1">
      <c t="s" r="A37" s="18">
        <v>37</v>
      </c>
      <c r="B37" s="13">
        <v>0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0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idden="1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0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0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idden="1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0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0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idden="1" ht="16.5" customHeight="1">
      <c t="s" r="A43" s="18">
        <v>42</v>
      </c>
      <c r="B43" s="13">
        <v>0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0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0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0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idden="1" ht="16.5" customHeight="1">
      <c t="s" r="A48" s="23">
        <v>46</v>
      </c>
      <c r="B48" s="13">
        <v>0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0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0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0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idden="1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0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0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idden="1" ht="16.5" customHeight="1">
      <c t="s" r="A65" s="18">
        <v>62</v>
      </c>
      <c r="B65" s="13">
        <v>0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0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idden="1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0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0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idden="1" ht="16.5" customHeight="1">
      <c t="s" r="A77" s="18">
        <v>73</v>
      </c>
      <c r="B77" s="13">
        <v>0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0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0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0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idden="1" ht="16.5" customHeight="1">
      <c t="s" r="A80" s="18">
        <v>76</v>
      </c>
      <c r="B80" s="13">
        <v>0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0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0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0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idden="1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0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idden="1" ht="16.5" customHeight="1">
      <c t="s" r="A90" s="12">
        <v>86</v>
      </c>
      <c r="B90" s="13">
        <v>0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0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idden="1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0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0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idden="1" ht="16.5" customHeight="1">
      <c t="s" r="A96" s="18">
        <v>91</v>
      </c>
      <c r="B96" s="13">
        <v>0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0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0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0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idden="1" ht="16.5" customHeight="1">
      <c t="s" r="A98" s="18">
        <v>93</v>
      </c>
      <c r="B98" s="13">
        <v>0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0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0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0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idden="1" ht="16.5" customHeight="1">
      <c t="s" r="A100" s="18">
        <v>95</v>
      </c>
      <c r="B100" s="13">
        <v>0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0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0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0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idden="1" ht="16.5" customHeight="1">
      <c t="s" r="A102" s="18">
        <v>97</v>
      </c>
      <c r="B102" s="13">
        <v>0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0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0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0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idden="1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idden="1" ht="16.5" customHeight="1">
      <c t="s" r="A104" s="18">
        <v>99</v>
      </c>
      <c r="B104" s="13">
        <v>0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0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0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0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idden="1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0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idden="1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0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0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idden="1" ht="16.5" customHeight="1">
      <c t="s" r="A130" s="18">
        <v>122</v>
      </c>
      <c r="B130" s="13">
        <v>0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0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0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0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idden="1" ht="16.5" customHeight="1">
      <c t="s" r="A131" s="18">
        <v>123</v>
      </c>
      <c r="B131" s="13">
        <v>0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0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0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0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idden="1" ht="16.5" customHeight="1">
      <c t="s" r="A132" s="18">
        <v>124</v>
      </c>
      <c r="B132" s="13">
        <v>0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0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0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0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idden="1" ht="16.5" customHeight="1">
      <c t="s" r="A133" s="18">
        <v>125</v>
      </c>
      <c r="B133" s="13">
        <v>0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0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0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0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idden="1" ht="16.5" customHeight="1">
      <c t="s" r="A134" s="18">
        <v>126</v>
      </c>
      <c r="B134" s="13">
        <v>0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0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0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0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idden="1" ht="16.5" customHeight="1">
      <c t="s" r="A135" s="18">
        <v>127</v>
      </c>
      <c r="B135" s="13">
        <v>0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0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0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0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idden="1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0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idden="1" ht="16.5" customHeight="1">
      <c t="s" r="A137" s="18">
        <v>129</v>
      </c>
      <c r="B137" s="13">
        <v>0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0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0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0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idden="1" ht="16.5" customHeight="1">
      <c t="s" r="A138" s="18">
        <v>130</v>
      </c>
      <c r="B138" s="13">
        <v>0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0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0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0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idden="1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0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0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idden="1" ht="16.5" customHeight="1">
      <c t="s" r="A144" s="18">
        <v>135</v>
      </c>
      <c r="B144" s="13">
        <v>0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0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0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0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idden="1" ht="16.5" customHeight="1">
      <c t="s" r="A145" s="18">
        <v>136</v>
      </c>
      <c r="B145" s="13">
        <v>0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0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0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0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idden="1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0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0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0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idden="1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0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0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0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idden="1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0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0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idden="1" ht="16.5" customHeight="1">
      <c t="s" r="A154" s="18">
        <v>143</v>
      </c>
      <c r="B154" s="13">
        <v>0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0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0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0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idden="1" ht="16.5" customHeight="1">
      <c t="s" r="A155" s="18">
        <v>144</v>
      </c>
      <c r="B155" s="13">
        <v>0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0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0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0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idden="1" ht="16.5" customHeight="1">
      <c t="s" r="A161" s="18">
        <v>149</v>
      </c>
      <c r="B161" s="13">
        <v>0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0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0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0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idden="1" ht="16.5" customHeight="1">
      <c t="s" r="A167" s="12">
        <v>155</v>
      </c>
      <c r="B167" s="13">
        <v>0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0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0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0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idden="1" ht="16.5" customHeight="1">
      <c t="s" r="A168" s="12">
        <v>156</v>
      </c>
      <c r="B168" s="13">
        <v>0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0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0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0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idden="1" ht="16.5" customHeight="1">
      <c t="s" r="A169" s="12">
        <v>157</v>
      </c>
      <c r="B169" s="13">
        <v>0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0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0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0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idden="1" ht="16.5" customHeight="1">
      <c t="s" r="A178" s="18">
        <v>163</v>
      </c>
      <c r="B178" s="13">
        <v>0</v>
      </c>
      <c r="C178" s="14">
        <f>IFERROR(B178/B446, "NA")</f>
      </c>
      <c r="D178" s="15"/>
      <c r="E178" s="13">
        <v>0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0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0</v>
      </c>
      <c r="R178" s="14">
        <f>IFERROR(Q178/Q446, "NA")</f>
      </c>
      <c r="S178" s="15"/>
      <c r="T178" s="13">
        <v>0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0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idden="1" ht="16.5" customHeight="1">
      <c t="s" r="A180" s="18">
        <v>165</v>
      </c>
      <c r="B180" s="13">
        <v>0</v>
      </c>
      <c r="C180" s="14">
        <f>IFERROR(B180/B446, "NA")</f>
      </c>
      <c r="D180" s="15"/>
      <c r="E180" s="13">
        <v>0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0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0</v>
      </c>
      <c r="R180" s="14">
        <f>IFERROR(Q180/Q446, "NA")</f>
      </c>
      <c r="S180" s="15"/>
      <c r="T180" s="13">
        <v>0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0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idden="1" ht="16.5" customHeight="1">
      <c t="s" r="A181" s="18">
        <v>166</v>
      </c>
      <c r="B181" s="13">
        <v>0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0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idden="1" ht="16.5" customHeight="1">
      <c t="s" r="A184" s="12">
        <v>169</v>
      </c>
      <c r="B184" s="13">
        <v>0</v>
      </c>
      <c r="C184" s="14">
        <f>IFERROR(B184/B446, "NA")</f>
      </c>
      <c r="D184" s="15"/>
      <c r="E184" s="13">
        <v>0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0</v>
      </c>
      <c r="R184" s="14">
        <f>IFERROR(Q184/Q446, "NA")</f>
      </c>
      <c r="S184" s="15"/>
      <c r="T184" s="13">
        <v>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idden="1" ht="16.5" customHeight="1">
      <c t="s" r="A186" s="18">
        <v>170</v>
      </c>
      <c r="B186" s="13">
        <v>0</v>
      </c>
      <c r="C186" s="14">
        <f>IFERROR(B186/B446, "NA")</f>
      </c>
      <c r="D186" s="15"/>
      <c r="E186" s="13">
        <v>0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0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0</v>
      </c>
      <c r="R186" s="14">
        <f>IFERROR(Q186/Q446, "NA")</f>
      </c>
      <c r="S186" s="15"/>
      <c r="T186" s="13">
        <v>0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0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idden="1" ht="16.5" customHeight="1">
      <c t="s" r="A194" s="12">
        <v>178</v>
      </c>
      <c r="B194" s="13">
        <v>0</v>
      </c>
      <c r="C194" s="14">
        <f>IFERROR(B194/B446, "NA")</f>
      </c>
      <c r="D194" s="15"/>
      <c r="E194" s="13">
        <v>0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0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0</v>
      </c>
      <c r="R194" s="14">
        <f>IFERROR(Q194/Q446, "NA")</f>
      </c>
      <c r="S194" s="15"/>
      <c r="T194" s="13">
        <v>0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0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idden="1" ht="16.5" customHeight="1">
      <c t="s" r="A202" s="12">
        <v>184</v>
      </c>
      <c r="B202" s="13">
        <v>0</v>
      </c>
      <c r="C202" s="14">
        <f>IFERROR(B202/B446, "NA")</f>
      </c>
      <c r="D202" s="15"/>
      <c r="E202" s="13">
        <v>0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0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0</v>
      </c>
      <c r="R202" s="14">
        <f>IFERROR(Q202/Q446, "NA")</f>
      </c>
      <c r="S202" s="15"/>
      <c r="T202" s="13">
        <v>0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0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idden="1" ht="16.5" customHeight="1">
      <c t="s" r="A203" s="12">
        <v>185</v>
      </c>
      <c r="B203" s="13">
        <v>0</v>
      </c>
      <c r="C203" s="14">
        <f>IFERROR(B203/B446, "NA")</f>
      </c>
      <c r="D203" s="15"/>
      <c r="E203" s="13">
        <v>0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0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0</v>
      </c>
      <c r="R203" s="14">
        <f>IFERROR(Q203/Q446, "NA")</f>
      </c>
      <c r="S203" s="15"/>
      <c r="T203" s="13">
        <v>0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0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idden="1" ht="16.5" customHeight="1">
      <c t="s" r="A204" s="12">
        <v>186</v>
      </c>
      <c r="B204" s="13">
        <v>0</v>
      </c>
      <c r="C204" s="14">
        <f>IFERROR(B204/B446, "NA")</f>
      </c>
      <c r="D204" s="15"/>
      <c r="E204" s="13">
        <v>0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0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0</v>
      </c>
      <c r="R204" s="14">
        <f>IFERROR(Q204/Q446, "NA")</f>
      </c>
      <c r="S204" s="15"/>
      <c r="T204" s="13">
        <v>0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0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idden="1" ht="16.5" customHeight="1">
      <c t="s" r="A205" s="12">
        <v>187</v>
      </c>
      <c r="B205" s="13">
        <v>0</v>
      </c>
      <c r="C205" s="14">
        <f>IFERROR(B205/B446, "NA")</f>
      </c>
      <c r="D205" s="15"/>
      <c r="E205" s="13">
        <v>0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0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0</v>
      </c>
      <c r="R205" s="14">
        <f>IFERROR(Q205/Q446, "NA")</f>
      </c>
      <c r="S205" s="15"/>
      <c r="T205" s="13">
        <v>0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0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idden="1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0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0</v>
      </c>
      <c r="R206" s="14">
        <f>IFERROR(Q206/Q446, "NA")</f>
      </c>
      <c r="S206" s="15"/>
      <c r="T206" s="13">
        <v>0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idden="1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0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idden="1" ht="16.5" customHeight="1">
      <c t="s" r="A208" s="12">
        <v>190</v>
      </c>
      <c r="B208" s="13">
        <v>0</v>
      </c>
      <c r="C208" s="14">
        <f>IFERROR(B208/B446, "NA")</f>
      </c>
      <c r="D208" s="15"/>
      <c r="E208" s="13">
        <v>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0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0</v>
      </c>
      <c r="R208" s="14">
        <f>IFERROR(Q208/Q446, "NA")</f>
      </c>
      <c r="S208" s="15"/>
      <c r="T208" s="13">
        <v>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0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idden="1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0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0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idden="1" ht="16.5" customHeight="1">
      <c t="s" r="A214" s="18">
        <v>194</v>
      </c>
      <c r="B214" s="13">
        <v>0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0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0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0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idden="1" ht="16.5" customHeight="1">
      <c t="s" r="A217" s="18">
        <v>197</v>
      </c>
      <c r="B217" s="13">
        <v>0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0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0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0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idden="1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0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0</v>
      </c>
      <c r="R222" s="14">
        <f>IFERROR(Q222/Q446, "NA")</f>
      </c>
      <c r="S222" s="15"/>
      <c r="T222" s="13">
        <v>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0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idden="1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0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0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idden="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0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0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idden="1" ht="16.5" customHeight="1">
      <c t="s" r="A234" s="12">
        <v>213</v>
      </c>
      <c r="B234" s="13">
        <v>0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0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0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0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idden="1" ht="16.5" customHeight="1">
      <c t="s" r="A235" s="12">
        <v>214</v>
      </c>
      <c r="B235" s="13">
        <v>0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0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idden="1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0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0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idden="1" ht="16.5" customHeight="1">
      <c t="s" r="A242" s="18">
        <v>219</v>
      </c>
      <c r="B242" s="13">
        <v>0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0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0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0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idden="1" ht="16.5" customHeight="1">
      <c t="s" r="A243" s="18">
        <v>220</v>
      </c>
      <c r="B243" s="13">
        <v>0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0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0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0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idden="1" ht="16.5" customHeight="1">
      <c t="s" r="A244" s="18">
        <v>221</v>
      </c>
      <c r="B244" s="13">
        <v>0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0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idden="1" ht="16.5" customHeight="1">
      <c t="s" r="A246" s="18">
        <v>223</v>
      </c>
      <c r="B246" s="13">
        <v>0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0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0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0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idden="1" ht="16.5" customHeight="1">
      <c t="s" r="A248" s="18">
        <v>225</v>
      </c>
      <c r="B248" s="13">
        <v>0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0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0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0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idden="1" ht="16.5" customHeight="1">
      <c t="s" r="A249" s="18">
        <v>226</v>
      </c>
      <c r="B249" s="13">
        <v>0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0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0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0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idden="1" ht="16.5" customHeight="1">
      <c t="s" r="A266" s="12">
        <v>242</v>
      </c>
      <c r="B266" s="13">
        <v>0</v>
      </c>
      <c r="C266" s="14">
        <f>IFERROR(B266/B446, "NA")</f>
      </c>
      <c r="D266" s="15"/>
      <c r="E266" s="13">
        <v>0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0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0</v>
      </c>
      <c r="R266" s="14">
        <f>IFERROR(Q266/Q446, "NA")</f>
      </c>
      <c r="S266" s="15"/>
      <c r="T266" s="13">
        <v>0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0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idden="1" ht="16.5" customHeight="1">
      <c t="s" r="A271" s="12">
        <v>246</v>
      </c>
      <c r="B271" s="13">
        <v>0</v>
      </c>
      <c r="C271" s="14">
        <f>IFERROR(B271/B446, "NA")</f>
      </c>
      <c r="D271" s="15"/>
      <c r="E271" s="13">
        <v>0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0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0</v>
      </c>
      <c r="R271" s="14">
        <f>IFERROR(Q271/Q446, "NA")</f>
      </c>
      <c r="S271" s="15"/>
      <c r="T271" s="13">
        <v>0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0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idden="1" ht="16.5" customHeight="1">
      <c t="s" r="A272" s="12">
        <v>247</v>
      </c>
      <c r="B272" s="13">
        <v>0</v>
      </c>
      <c r="C272" s="14">
        <f>IFERROR(B272/B446, "NA")</f>
      </c>
      <c r="D272" s="15"/>
      <c r="E272" s="13">
        <v>0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0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0</v>
      </c>
      <c r="R272" s="14">
        <f>IFERROR(Q272/Q446, "NA")</f>
      </c>
      <c r="S272" s="15"/>
      <c r="T272" s="13">
        <v>0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0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idden="1" ht="16.5" customHeight="1">
      <c t="s" r="A289" s="12">
        <v>262</v>
      </c>
      <c r="B289" s="13">
        <v>0</v>
      </c>
      <c r="C289" s="14">
        <f>IFERROR(B289/B446, "NA")</f>
      </c>
      <c r="D289" s="15"/>
      <c r="E289" s="13">
        <v>0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0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0</v>
      </c>
      <c r="R289" s="14">
        <f>IFERROR(Q289/Q446, "NA")</f>
      </c>
      <c r="S289" s="15"/>
      <c r="T289" s="13">
        <v>0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0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idden="1" ht="16.5" customHeight="1">
      <c t="s" r="A290" s="12">
        <v>263</v>
      </c>
      <c r="B290" s="13">
        <v>0</v>
      </c>
      <c r="C290" s="14">
        <f>IFERROR(B290/B446, "NA")</f>
      </c>
      <c r="D290" s="15"/>
      <c r="E290" s="13">
        <v>0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0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0</v>
      </c>
      <c r="R290" s="14">
        <f>IFERROR(Q290/Q446, "NA")</f>
      </c>
      <c r="S290" s="15"/>
      <c r="T290" s="13">
        <v>0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0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idden="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0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0</v>
      </c>
      <c r="R291" s="14">
        <f>IFERROR(Q291/Q446, "NA")</f>
      </c>
      <c r="S291" s="15"/>
      <c r="T291" s="13">
        <v>0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0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idden="1" ht="16.5" customHeight="1">
      <c t="s" r="A292" s="12">
        <v>265</v>
      </c>
      <c r="B292" s="13">
        <v>0</v>
      </c>
      <c r="C292" s="14">
        <f>IFERROR(B292/B446, "NA")</f>
      </c>
      <c r="D292" s="15"/>
      <c r="E292" s="13">
        <v>0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0</v>
      </c>
      <c r="R292" s="14">
        <f>IFERROR(Q292/Q446, "NA")</f>
      </c>
      <c r="S292" s="15"/>
      <c r="T292" s="13">
        <v>0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0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idden="1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0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0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idden="1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0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0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idden="1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0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0</v>
      </c>
      <c r="R295" s="14">
        <f>IFERROR(Q295/Q446, "NA")</f>
      </c>
      <c r="S295" s="15"/>
      <c r="T295" s="13">
        <v>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0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idden="1" ht="16.5" customHeight="1">
      <c t="s" r="A300" s="12">
        <v>272</v>
      </c>
      <c r="B300" s="13">
        <v>0</v>
      </c>
      <c r="C300" s="14">
        <f>IFERROR(B300/B446, "NA")</f>
      </c>
      <c r="D300" s="15"/>
      <c r="E300" s="13">
        <v>0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0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0</v>
      </c>
      <c r="R300" s="14">
        <f>IFERROR(Q300/Q446, "NA")</f>
      </c>
      <c r="S300" s="15"/>
      <c r="T300" s="13">
        <v>0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0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idden="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0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0</v>
      </c>
      <c r="R311" s="14">
        <f>IFERROR(Q311/Q446, "NA")</f>
      </c>
      <c r="S311" s="15"/>
      <c r="T311" s="13">
        <v>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idden="1" ht="16.5" customHeight="1">
      <c t="s" r="A313" s="12">
        <v>285</v>
      </c>
      <c r="B313" s="13">
        <v>0</v>
      </c>
      <c r="C313" s="14">
        <f>IFERROR(B313/B446, "NA")</f>
      </c>
      <c r="D313" s="15"/>
      <c r="E313" s="13">
        <v>0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0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0</v>
      </c>
      <c r="R313" s="14">
        <f>IFERROR(Q313/Q446, "NA")</f>
      </c>
      <c r="S313" s="15"/>
      <c r="T313" s="13">
        <v>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0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idden="1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0</v>
      </c>
      <c r="R314" s="14">
        <f>IFERROR(Q314/Q446, "NA")</f>
      </c>
      <c r="S314" s="15"/>
      <c r="T314" s="13">
        <v>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0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idden="1" ht="16.5" customHeight="1">
      <c t="s" r="A320" s="12">
        <v>292</v>
      </c>
      <c r="B320" s="13">
        <v>0</v>
      </c>
      <c r="C320" s="14">
        <f>IFERROR(B320/B446, "NA")</f>
      </c>
      <c r="D320" s="15"/>
      <c r="E320" s="13">
        <v>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0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0</v>
      </c>
      <c r="R320" s="14">
        <f>IFERROR(Q320/Q446, "NA")</f>
      </c>
      <c r="S320" s="15"/>
      <c r="T320" s="13">
        <v>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0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idden="1" ht="16.5" customHeight="1">
      <c t="s" r="A321" s="12">
        <v>293</v>
      </c>
      <c r="B321" s="13">
        <v>0</v>
      </c>
      <c r="C321" s="14">
        <f>IFERROR(B321/B446, "NA")</f>
      </c>
      <c r="D321" s="15"/>
      <c r="E321" s="13">
        <v>0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0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0</v>
      </c>
      <c r="R321" s="14">
        <f>IFERROR(Q321/Q446, "NA")</f>
      </c>
      <c r="S321" s="15"/>
      <c r="T321" s="13">
        <v>0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0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idden="1" ht="16.5" customHeight="1">
      <c t="s" r="A322" s="12">
        <v>294</v>
      </c>
      <c r="B322" s="13">
        <v>0</v>
      </c>
      <c r="C322" s="14">
        <f>IFERROR(B322/B446, "NA")</f>
      </c>
      <c r="D322" s="15"/>
      <c r="E322" s="13">
        <v>0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0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0</v>
      </c>
      <c r="R322" s="14">
        <f>IFERROR(Q322/Q446, "NA")</f>
      </c>
      <c r="S322" s="15"/>
      <c r="T322" s="13">
        <v>0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0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idden="1" ht="16.5" customHeight="1">
      <c t="s" r="A323" s="12">
        <v>295</v>
      </c>
      <c r="B323" s="13">
        <v>0</v>
      </c>
      <c r="C323" s="14">
        <f>IFERROR(B323/B446, "NA")</f>
      </c>
      <c r="D323" s="15"/>
      <c r="E323" s="13">
        <v>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0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0</v>
      </c>
      <c r="R323" s="14">
        <f>IFERROR(Q323/Q446, "NA")</f>
      </c>
      <c r="S323" s="15"/>
      <c r="T323" s="13">
        <v>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0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idden="1" ht="16.5" customHeight="1">
      <c t="s" r="A330" s="12">
        <v>301</v>
      </c>
      <c r="B330" s="13">
        <v>0</v>
      </c>
      <c r="C330" s="14">
        <f>IFERROR(B330/B446, "NA")</f>
      </c>
      <c r="D330" s="15"/>
      <c r="E330" s="13">
        <v>0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0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0</v>
      </c>
      <c r="R330" s="14">
        <f>IFERROR(Q330/Q446, "NA")</f>
      </c>
      <c r="S330" s="15"/>
      <c r="T330" s="13">
        <v>0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0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idden="1" ht="16.5" customHeight="1">
      <c t="s" r="A331" s="12">
        <v>302</v>
      </c>
      <c r="B331" s="13">
        <v>0</v>
      </c>
      <c r="C331" s="14">
        <f>IFERROR(B331/B446, "NA")</f>
      </c>
      <c r="D331" s="15"/>
      <c r="E331" s="13">
        <v>0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0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0</v>
      </c>
      <c r="R331" s="14">
        <f>IFERROR(Q331/Q446, "NA")</f>
      </c>
      <c r="S331" s="15"/>
      <c r="T331" s="13">
        <v>0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0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idden="1" ht="16.5" customHeight="1">
      <c t="s" r="A334" s="12">
        <v>305</v>
      </c>
      <c r="B334" s="13">
        <v>0</v>
      </c>
      <c r="C334" s="14">
        <f>IFERROR(B334/B446, "NA")</f>
      </c>
      <c r="D334" s="15"/>
      <c r="E334" s="13">
        <v>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0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0</v>
      </c>
      <c r="R334" s="14">
        <f>IFERROR(Q334/Q446, "NA")</f>
      </c>
      <c r="S334" s="15"/>
      <c r="T334" s="13">
        <v>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0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idden="1" ht="16.5" customHeight="1">
      <c t="s" r="A335" s="12">
        <v>306</v>
      </c>
      <c r="B335" s="13">
        <v>0</v>
      </c>
      <c r="C335" s="14">
        <f>IFERROR(B335/B446, "NA")</f>
      </c>
      <c r="D335" s="15"/>
      <c r="E335" s="13">
        <v>0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0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idden="1" ht="16.5" customHeight="1">
      <c t="s" r="A339" s="18">
        <v>309</v>
      </c>
      <c r="B339" s="13">
        <v>0</v>
      </c>
      <c r="C339" s="14">
        <f>IFERROR(B339/B446, "NA")</f>
      </c>
      <c r="D339" s="15"/>
      <c r="E339" s="13">
        <v>0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0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0</v>
      </c>
      <c r="R339" s="14">
        <f>IFERROR(Q339/Q446, "NA")</f>
      </c>
      <c r="S339" s="15"/>
      <c r="T339" s="13">
        <v>0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0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idden="1" ht="16.5" customHeight="1">
      <c t="s" r="A340" s="18">
        <v>310</v>
      </c>
      <c r="B340" s="13">
        <v>0</v>
      </c>
      <c r="C340" s="14">
        <f>IFERROR(B340/B446, "NA")</f>
      </c>
      <c r="D340" s="15"/>
      <c r="E340" s="13">
        <v>0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0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0</v>
      </c>
      <c r="R340" s="14">
        <f>IFERROR(Q340/Q446, "NA")</f>
      </c>
      <c r="S340" s="15"/>
      <c r="T340" s="13">
        <v>0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0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idden="1" ht="16.5" customHeight="1">
      <c t="s" r="A341" s="18">
        <v>311</v>
      </c>
      <c r="B341" s="13">
        <v>0</v>
      </c>
      <c r="C341" s="14">
        <f>IFERROR(B341/B446, "NA")</f>
      </c>
      <c r="D341" s="15"/>
      <c r="E341" s="13">
        <v>0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0</v>
      </c>
      <c r="R341" s="14">
        <f>IFERROR(Q341/Q446, "NA")</f>
      </c>
      <c r="S341" s="15"/>
      <c r="T341" s="13">
        <v>0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0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35403.839999999997</v>
      </c>
      <c r="C351" s="14">
        <f>IFERROR(B351/B446, "NA")</f>
      </c>
      <c r="D351" s="15"/>
      <c r="E351" s="13">
        <v>36000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60610.540000000001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35403.839999999997</v>
      </c>
      <c r="R351" s="14">
        <f>IFERROR(Q351/Q446, "NA")</f>
      </c>
      <c r="S351" s="15"/>
      <c r="T351" s="13">
        <v>36000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60610.540000000001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4192.9499999999998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4192.9499999999998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3301.1999999999998</v>
      </c>
      <c r="C355" s="14">
        <f>IFERROR(B355/B446, "NA")</f>
      </c>
      <c r="D355" s="15"/>
      <c r="E355" s="13">
        <v>2988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6790.2399999999998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3301.1999999999998</v>
      </c>
      <c r="R355" s="14">
        <f>IFERROR(Q355/Q446, "NA")</f>
      </c>
      <c r="S355" s="15"/>
      <c r="T355" s="13">
        <v>2988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6790.2399999999998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169.59999999999999</v>
      </c>
      <c r="C356" s="14">
        <f>IFERROR(B356/B446, "NA")</f>
      </c>
      <c r="D356" s="15"/>
      <c r="E356" s="13">
        <v>212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233.19999999999999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169.59999999999999</v>
      </c>
      <c r="R356" s="14">
        <f>IFERROR(Q356/Q446, "NA")</f>
      </c>
      <c r="S356" s="15"/>
      <c r="T356" s="13">
        <v>212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233.19999999999999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4500</v>
      </c>
      <c r="C357" s="14">
        <f>IFERROR(B357/B446, "NA")</f>
      </c>
      <c r="D357" s="15"/>
      <c r="E357" s="13">
        <v>4500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6187.5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4500</v>
      </c>
      <c r="R357" s="14">
        <f>IFERROR(Q357/Q446, "NA")</f>
      </c>
      <c r="S357" s="15"/>
      <c r="T357" s="13">
        <v>4500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6187.5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3319.2399999999998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3469.3499999999999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3319.2399999999998</v>
      </c>
      <c r="R358" s="14">
        <f>IFERROR(Q358/Q446, "NA")</f>
      </c>
      <c r="S358" s="15"/>
      <c r="T358" s="13">
        <v>3680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3469.3499999999999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250.94999999999999</v>
      </c>
      <c r="C363" s="14">
        <f>IFERROR(B363/B446, "NA")</f>
      </c>
      <c r="D363" s="15"/>
      <c r="E363" s="13">
        <v>864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726.27999999999997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250.94999999999999</v>
      </c>
      <c r="R363" s="14">
        <f>IFERROR(Q363/Q446, "NA")</f>
      </c>
      <c r="S363" s="15"/>
      <c r="T363" s="13">
        <v>864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726.27999999999997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811.94000000000005</v>
      </c>
      <c r="C364" s="14">
        <f>IFERROR(B364/B446, "NA")</f>
      </c>
      <c r="D364" s="15"/>
      <c r="E364" s="13">
        <v>150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326.55000000000001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811.94000000000005</v>
      </c>
      <c r="R364" s="14">
        <f>IFERROR(Q364/Q446, "NA")</f>
      </c>
      <c r="S364" s="15"/>
      <c r="T364" s="13">
        <v>150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326.55000000000001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54.630000000000003</v>
      </c>
      <c r="C365" s="14">
        <f>IFERROR(B365/B446, "NA")</f>
      </c>
      <c r="D365" s="15"/>
      <c r="E365" s="13">
        <v>400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45.259999999999998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54.630000000000003</v>
      </c>
      <c r="R365" s="14">
        <f>IFERROR(Q365/Q446, "NA")</f>
      </c>
      <c r="S365" s="15"/>
      <c r="T365" s="13">
        <v>400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45.259999999999998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900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900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450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450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1667.6099999999999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1667.6099999999999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98</v>
      </c>
      <c r="C371" s="14">
        <f>IFERROR(B371/B446, "NA")</f>
      </c>
      <c r="D371" s="15"/>
      <c r="E371" s="13">
        <v>100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103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98</v>
      </c>
      <c r="R371" s="14">
        <f>IFERROR(Q371/Q446, "NA")</f>
      </c>
      <c r="S371" s="15"/>
      <c r="T371" s="13">
        <v>100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103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89.599999999999994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110.06999999999999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89.599999999999994</v>
      </c>
      <c r="R372" s="14">
        <f>IFERROR(Q372/Q446, "NA")</f>
      </c>
      <c r="S372" s="15"/>
      <c r="T372" s="13">
        <v>125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110.06999999999999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254.08000000000001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254.08000000000001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667.13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454.88999999999999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667.13</v>
      </c>
      <c r="R374" s="14">
        <f>IFERROR(Q374/Q446, "NA")</f>
      </c>
      <c r="S374" s="15"/>
      <c r="T374" s="13">
        <v>629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454.88999999999999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2114.0999999999999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1897.01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2114.0999999999999</v>
      </c>
      <c r="R375" s="14">
        <f>IFERROR(Q375/Q446, "NA")</f>
      </c>
      <c r="S375" s="15"/>
      <c r="T375" s="13">
        <v>2150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1897.01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205.25999999999999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205.25999999999999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-2413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7324.1800000000003</v>
      </c>
      <c r="C379" s="14">
        <f>IFERROR(B379/B446, "NA")</f>
      </c>
      <c r="D379" s="15"/>
      <c r="E379" s="13">
        <v>9484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7928.96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7324.1800000000003</v>
      </c>
      <c r="R379" s="14">
        <f>IFERROR(Q379/Q446, "NA")</f>
      </c>
      <c r="S379" s="15"/>
      <c r="T379" s="13">
        <v>9484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7928.96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740.51999999999998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18.41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740.51999999999998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18.41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11800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11500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11800</v>
      </c>
      <c r="R381" s="14">
        <f>IFERROR(Q381/Q446, "NA")</f>
      </c>
      <c r="S381" s="15"/>
      <c r="T381" s="13">
        <v>11800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11500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3547.5</v>
      </c>
      <c r="C382" s="14">
        <f>IFERROR(B382/B446, "NA")</f>
      </c>
      <c r="D382" s="15"/>
      <c r="E382" s="13">
        <v>2500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4000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3547.5</v>
      </c>
      <c r="R382" s="14">
        <f>IFERROR(Q382/Q446, "NA")</f>
      </c>
      <c r="S382" s="15"/>
      <c r="T382" s="13">
        <v>2500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4000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674.15999999999997</v>
      </c>
      <c r="C383" s="14">
        <f>IFERROR(B383/B446, "NA")</f>
      </c>
      <c r="D383" s="15"/>
      <c r="E383" s="13">
        <v>506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505.62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674.15999999999997</v>
      </c>
      <c r="R383" s="14">
        <f>IFERROR(Q383/Q446, "NA")</f>
      </c>
      <c r="S383" s="15"/>
      <c r="T383" s="13">
        <v>506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505.62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2222.3000000000002</v>
      </c>
      <c r="C386" s="14">
        <f>IFERROR(B386/B446, "NA")</f>
      </c>
      <c r="D386" s="15"/>
      <c r="E386" s="13">
        <v>750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2197.23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2222.3000000000002</v>
      </c>
      <c r="R386" s="14">
        <f>IFERROR(Q386/Q446, "NA")</f>
      </c>
      <c r="S386" s="15"/>
      <c r="T386" s="13">
        <v>750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2197.23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9422.8700000000008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9422.8700000000008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6900.4200000000001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3194.75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6900.4200000000001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3194.75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3202.3600000000001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12806.200000000001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3202.3600000000001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12806.200000000001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4837.5500000000002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4344.7200000000003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4837.5500000000002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4344.7200000000003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3900.27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3900.27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36.380000000000003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36.380000000000003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10506.25</v>
      </c>
      <c r="C398" s="14">
        <f>IFERROR(B398/B446, "NA")</f>
      </c>
      <c r="D398" s="15"/>
      <c r="E398" s="13">
        <v>7200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1771.4300000000001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10506.25</v>
      </c>
      <c r="R398" s="14">
        <f>IFERROR(Q398/Q446, "NA")</f>
      </c>
      <c r="S398" s="15"/>
      <c r="T398" s="13">
        <v>7200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1771.4300000000001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390.64999999999998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120.16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390.64999999999998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120.16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815.84000000000003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815.84000000000003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-13500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-13500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59.700000000000003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184.88999999999999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59.700000000000003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184.88999999999999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268.37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268.37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idden="1" ht="16.5" customHeight="1">
      <c t="s" r="A418" s="12">
        <v>383</v>
      </c>
      <c r="B418" s="13">
        <v>0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0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0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0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-505.22000000000003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-505.22000000000003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-16101.01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-0.98999999999999999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-16101.01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-0.98999999999999999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-2316.9499999999998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-232.44999999999999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-2316.9499999999998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-232.44999999999999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0</v>
      </c>
      <c r="C446" s="33"/>
      <c r="D446" s="15"/>
      <c r="E446" s="13">
        <v>0</v>
      </c>
      <c r="F446" s="33"/>
      <c r="G446" s="15"/>
      <c r="H446" s="16">
        <f>IFERROR(B446-E446, "NA")</f>
      </c>
      <c r="I446" s="33"/>
      <c r="J446" s="15"/>
      <c r="K446" s="13">
        <v>0</v>
      </c>
      <c r="L446" s="33"/>
      <c r="M446" s="15"/>
      <c r="N446" s="16">
        <f>IFERROR(B446-K446, "NA")</f>
      </c>
      <c r="O446" s="33"/>
      <c r="P446" s="15"/>
      <c r="Q446" s="13">
        <v>0</v>
      </c>
      <c r="R446" s="33"/>
      <c r="S446" s="15"/>
      <c r="T446" s="13">
        <v>0</v>
      </c>
      <c r="U446" s="33"/>
      <c r="V446" s="15"/>
      <c r="W446" s="16">
        <f>IFERROR(Q446-T446, "NA")</f>
      </c>
      <c r="X446" s="33"/>
      <c r="Y446" s="15"/>
      <c r="Z446" s="13">
        <v>0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414</v>
      </c>
      <c t="s" r="B3" s="3">
        <v>414</v>
      </c>
      <c t="s" r="C3" s="3">
        <v>414</v>
      </c>
      <c t="s" r="D3" s="3">
        <v>414</v>
      </c>
      <c t="s" r="E3" s="3">
        <v>414</v>
      </c>
      <c t="s" r="F3" s="3">
        <v>414</v>
      </c>
      <c t="s" r="G3" s="3">
        <v>414</v>
      </c>
      <c t="s" r="H3" s="3">
        <v>414</v>
      </c>
      <c t="s" r="I3" s="3">
        <v>414</v>
      </c>
      <c t="s" r="J3" s="3">
        <v>414</v>
      </c>
      <c t="s" r="K3" s="3">
        <v>414</v>
      </c>
      <c t="s" r="L3" s="3">
        <v>414</v>
      </c>
      <c t="s" r="M3" s="3">
        <v>414</v>
      </c>
      <c t="s" r="N3" s="3">
        <v>414</v>
      </c>
      <c t="s" r="O3" s="3">
        <v>414</v>
      </c>
      <c t="s" r="P3" s="3">
        <v>414</v>
      </c>
      <c t="s" r="Q3" s="3">
        <v>414</v>
      </c>
      <c t="s" r="R3" s="3">
        <v>414</v>
      </c>
      <c t="s" r="S3" s="3">
        <v>414</v>
      </c>
      <c t="s" r="T3" s="3">
        <v>414</v>
      </c>
      <c t="s" r="U3" s="3">
        <v>414</v>
      </c>
      <c t="s" r="V3" s="3">
        <v>414</v>
      </c>
      <c t="s" r="W3" s="3">
        <v>414</v>
      </c>
      <c t="s" r="X3" s="3">
        <v>414</v>
      </c>
      <c t="s" r="Y3" s="3">
        <v>414</v>
      </c>
      <c t="s" r="Z3" s="3">
        <v>414</v>
      </c>
      <c t="s" r="AA3" s="3">
        <v>414</v>
      </c>
      <c t="s" r="AB3" s="3">
        <v>414</v>
      </c>
      <c t="s" r="AC3" s="3">
        <v>414</v>
      </c>
      <c t="s" r="AD3" s="3">
        <v>414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30099.59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30099.59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27442.709999999999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25301.990000000002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27442.709999999999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25301.990000000002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2687.8000000000002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2320.75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2687.8000000000002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2320.75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143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80.5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143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80.5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25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115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25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115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41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36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41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36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1.04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1.04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6557.6499999999996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6557.6499999999996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1859.1500000000001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5251.3000000000002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1859.1500000000001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5251.3000000000002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2340.77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2340.77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656.98000000000002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410.38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656.98000000000002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410.38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177.72999999999999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177.72999999999999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455.07999999999998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455.07999999999998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802.65999999999997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802.65999999999997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802.65999999999997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802.65999999999997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12459.530000000001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12459.530000000001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5094.0900000000001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4694.3599999999997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5094.0900000000001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4694.3599999999997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235.53999999999999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449.80000000000001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235.53999999999999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449.80000000000001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7954.3000000000002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9420.3600000000006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7954.3000000000002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9420.3600000000006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427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427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93.75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461.10000000000002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93.75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461.10000000000002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13115.290000000001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13115.290000000001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2107.5700000000002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3178.6599999999999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2107.5700000000002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3178.6599999999999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516.70000000000005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516.70000000000005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1123.71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13179.700000000001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1123.71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13179.700000000001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547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137.13999999999999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547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137.13999999999999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2285.3499999999999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2285.3499999999999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2077.6999999999998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2077.6999999999998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6688.8000000000002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6688.8000000000002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5560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5560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400.22000000000003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400.22000000000003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2260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2260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5452.5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5452.5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524.61000000000001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524.61000000000001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203.03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287.38999999999999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203.03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287.38999999999999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25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25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111.02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1251.1900000000001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111.02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1251.1900000000001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25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25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-2.27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-2.27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12.99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12.99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-3869.0100000000002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-3869.0100000000002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-1246.6600000000001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-1226.9000000000001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-1246.6600000000001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-1226.9000000000001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-1586.54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-1660.1400000000001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-1586.54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-1660.1400000000001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-6.1299999999999999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-95.620000000000005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-6.1299999999999999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-95.620000000000005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-861.13999999999999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-810.75999999999999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-861.13999999999999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-810.75999999999999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-35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-35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-541.39999999999998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-467.26999999999998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-541.39999999999998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-467.26999999999998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-40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-235.87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-40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-235.87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14426.82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14426.82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3293.4899999999998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3558.1599999999999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3293.4899999999998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3558.1599999999999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1862.8499999999999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1847.1600000000001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1862.8499999999999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1847.1600000000001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2122.3600000000001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2455.98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2122.3600000000001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2455.98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1583.8399999999999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1301.8499999999999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1583.8399999999999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1301.8499999999999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768.04999999999995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511.36000000000001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768.04999999999995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511.36000000000001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665.63999999999999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471.14999999999998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665.63999999999999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471.14999999999998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637.15999999999997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637.15999999999997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329.10000000000002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548.14999999999998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329.10000000000002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548.14999999999998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4992.8500000000004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3251.8299999999999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4992.8500000000004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3251.8299999999999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786.91999999999996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786.91999999999996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841.02999999999997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528.91999999999996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841.02999999999997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528.91999999999996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83.920000000000002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39.549999999999997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83.920000000000002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39.549999999999997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78.140000000000001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0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78.140000000000001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3.0099999999999998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27.719999999999999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3.0099999999999998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27.719999999999999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2623.0599999999999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2623.0599999999999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2184.6900000000001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1944.4000000000001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2184.6900000000001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1944.4000000000001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1696.3399999999999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766.42999999999995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1696.3399999999999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766.42999999999995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74.200000000000003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74.200000000000003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316.52999999999997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320.69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316.52999999999997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320.69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59.579999999999998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86.090000000000003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59.579999999999998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86.090000000000003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18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32.600000000000001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18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32.600000000000001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-1070.46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-2049.2800000000002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-1070.46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-2049.2800000000002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5076.9200000000001</v>
      </c>
      <c r="C178" s="14">
        <f>IFERROR(B178/B446, "NA")</f>
      </c>
      <c r="D178" s="15"/>
      <c r="E178" s="13">
        <v>4615.3999999999996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4615.3999999999996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5076.9200000000001</v>
      </c>
      <c r="R178" s="14">
        <f>IFERROR(Q178/Q446, "NA")</f>
      </c>
      <c r="S178" s="15"/>
      <c r="T178" s="13">
        <v>4615.3999999999996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4615.3999999999996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15489.83</v>
      </c>
      <c r="C180" s="14">
        <f>IFERROR(B180/B446, "NA")</f>
      </c>
      <c r="D180" s="15"/>
      <c r="E180" s="13">
        <v>13443.17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13398.610000000001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15489.83</v>
      </c>
      <c r="R180" s="14">
        <f>IFERROR(Q180/Q446, "NA")</f>
      </c>
      <c r="S180" s="15"/>
      <c r="T180" s="13">
        <v>13443.17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13398.610000000001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194.40000000000001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194.40000000000001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165</v>
      </c>
      <c r="C184" s="14">
        <f>IFERROR(B184/B446, "NA")</f>
      </c>
      <c r="D184" s="15"/>
      <c r="E184" s="13">
        <v>165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300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165</v>
      </c>
      <c r="R184" s="14">
        <f>IFERROR(Q184/Q446, "NA")</f>
      </c>
      <c r="S184" s="15"/>
      <c r="T184" s="13">
        <v>165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300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2511.3499999999999</v>
      </c>
      <c r="C186" s="14">
        <f>IFERROR(B186/B446, "NA")</f>
      </c>
      <c r="D186" s="15"/>
      <c r="E186" s="13">
        <v>3047.3400000000001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2965.7800000000002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2511.3499999999999</v>
      </c>
      <c r="R186" s="14">
        <f>IFERROR(Q186/Q446, "NA")</f>
      </c>
      <c r="S186" s="15"/>
      <c r="T186" s="13">
        <v>3047.3400000000001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2965.7800000000002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301.04000000000002</v>
      </c>
      <c r="C194" s="14">
        <f>IFERROR(B194/B446, "NA")</f>
      </c>
      <c r="D194" s="15"/>
      <c r="E194" s="13">
        <v>145.78999999999999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224.72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301.04000000000002</v>
      </c>
      <c r="R194" s="14">
        <f>IFERROR(Q194/Q446, "NA")</f>
      </c>
      <c r="S194" s="15"/>
      <c r="T194" s="13">
        <v>145.78999999999999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224.72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3.5699999999999998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-172.78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3.5699999999999998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-172.78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456.44</v>
      </c>
      <c r="C202" s="14">
        <f>IFERROR(B202/B446, "NA")</f>
      </c>
      <c r="D202" s="15"/>
      <c r="E202" s="13">
        <v>524.61000000000001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555.36000000000001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456.44</v>
      </c>
      <c r="R202" s="14">
        <f>IFERROR(Q202/Q446, "NA")</f>
      </c>
      <c r="S202" s="15"/>
      <c r="T202" s="13">
        <v>524.61000000000001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555.36000000000001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401.66000000000003</v>
      </c>
      <c r="C203" s="14">
        <f>IFERROR(B203/B446, "NA")</f>
      </c>
      <c r="D203" s="15"/>
      <c r="E203" s="13">
        <v>590.19000000000005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382.83999999999997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401.66000000000003</v>
      </c>
      <c r="R203" s="14">
        <f>IFERROR(Q203/Q446, "NA")</f>
      </c>
      <c r="S203" s="15"/>
      <c r="T203" s="13">
        <v>590.19000000000005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382.83999999999997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21.48</v>
      </c>
      <c r="C204" s="14">
        <f>IFERROR(B204/B446, "NA")</f>
      </c>
      <c r="D204" s="15"/>
      <c r="E204" s="13">
        <v>131.15000000000001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26.620000000000001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21.48</v>
      </c>
      <c r="R204" s="14">
        <f>IFERROR(Q204/Q446, "NA")</f>
      </c>
      <c r="S204" s="15"/>
      <c r="T204" s="13">
        <v>131.15000000000001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26.620000000000001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330.16000000000003</v>
      </c>
      <c r="C205" s="14">
        <f>IFERROR(B205/B446, "NA")</f>
      </c>
      <c r="D205" s="15"/>
      <c r="E205" s="13">
        <v>196.72999999999999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288.63999999999999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330.16000000000003</v>
      </c>
      <c r="R205" s="14">
        <f>IFERROR(Q205/Q446, "NA")</f>
      </c>
      <c r="S205" s="15"/>
      <c r="T205" s="13">
        <v>196.72999999999999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288.63999999999999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65.579999999999998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0</v>
      </c>
      <c r="R206" s="14">
        <f>IFERROR(Q206/Q446, "NA")</f>
      </c>
      <c r="S206" s="15"/>
      <c r="T206" s="13">
        <v>65.579999999999998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99.590000000000003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100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99.590000000000003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20.859999999999999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166.86000000000001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20.859999999999999</v>
      </c>
      <c r="R208" s="14">
        <f>IFERROR(Q208/Q446, "NA")</f>
      </c>
      <c r="S208" s="15"/>
      <c r="T208" s="13">
        <v>100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166.86000000000001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1901.72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1901.72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708.51999999999998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1097.23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708.51999999999998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1097.23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834.76999999999998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2009.1700000000001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834.76999999999998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2009.1700000000001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66.670000000000002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97.469999999999999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66.670000000000002</v>
      </c>
      <c r="R222" s="14">
        <f>IFERROR(Q222/Q446, "NA")</f>
      </c>
      <c r="S222" s="15"/>
      <c r="T222" s="13">
        <v>100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97.469999999999999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524.61000000000001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524.61000000000001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126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142.88999999999999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126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142.88999999999999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164.43000000000001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1248.1199999999999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164.43000000000001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1248.1199999999999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4.4699999999999998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4.4699999999999998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3541.1300000000001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3541.1300000000001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78.709999999999994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78.709999999999994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597.82000000000005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488.91000000000003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597.82000000000005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488.91000000000003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183.19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2137.8800000000001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183.19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2137.8800000000001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1087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1087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47.200000000000003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111.2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47.200000000000003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111.2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186.25999999999999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186.25999999999999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186.25999999999999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186.25999999999999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1371.1600000000001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1297.0899999999999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1371.1600000000001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1297.0899999999999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114.02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114.02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519.42999999999995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519.42999999999995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80.049999999999997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80.049999999999997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1090.5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1090.5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1629.9000000000001</v>
      </c>
      <c r="C266" s="14">
        <f>IFERROR(B266/B446, "NA")</f>
      </c>
      <c r="D266" s="15"/>
      <c r="E266" s="13">
        <v>1770.5599999999999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1674.1400000000001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1629.9000000000001</v>
      </c>
      <c r="R266" s="14">
        <f>IFERROR(Q266/Q446, "NA")</f>
      </c>
      <c r="S266" s="15"/>
      <c r="T266" s="13">
        <v>1770.5599999999999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1674.1400000000001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267</v>
      </c>
      <c r="C271" s="14">
        <f>IFERROR(B271/B446, "NA")</f>
      </c>
      <c r="D271" s="15"/>
      <c r="E271" s="13">
        <v>236.72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218.47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267</v>
      </c>
      <c r="R271" s="14">
        <f>IFERROR(Q271/Q446, "NA")</f>
      </c>
      <c r="S271" s="15"/>
      <c r="T271" s="13">
        <v>236.72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218.47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1142.46</v>
      </c>
      <c r="C272" s="14">
        <f>IFERROR(B272/B446, "NA")</f>
      </c>
      <c r="D272" s="15"/>
      <c r="E272" s="13">
        <v>1078.3299999999999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1218.2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1142.46</v>
      </c>
      <c r="R272" s="14">
        <f>IFERROR(Q272/Q446, "NA")</f>
      </c>
      <c r="S272" s="15"/>
      <c r="T272" s="13">
        <v>1078.3299999999999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1218.2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1067.5899999999999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1067.5899999999999</v>
      </c>
      <c r="R288" s="14">
        <f>IFERROR(Q288/Q446, "NA")</f>
      </c>
      <c r="S288" s="15"/>
      <c r="T288" s="13">
        <v>971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970.52999999999997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260.13</v>
      </c>
      <c r="C289" s="14">
        <f>IFERROR(B289/B446, "NA")</f>
      </c>
      <c r="D289" s="15"/>
      <c r="E289" s="13">
        <v>263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371.94999999999999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260.13</v>
      </c>
      <c r="R289" s="14">
        <f>IFERROR(Q289/Q446, "NA")</f>
      </c>
      <c r="S289" s="15"/>
      <c r="T289" s="13">
        <v>263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371.94999999999999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237.03</v>
      </c>
      <c r="C290" s="14">
        <f>IFERROR(B290/B446, "NA")</f>
      </c>
      <c r="D290" s="15"/>
      <c r="E290" s="13">
        <v>224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208.25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237.03</v>
      </c>
      <c r="R290" s="14">
        <f>IFERROR(Q290/Q446, "NA")</f>
      </c>
      <c r="S290" s="15"/>
      <c r="T290" s="13">
        <v>224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208.25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305.02999999999997</v>
      </c>
      <c r="C291" s="14">
        <f>IFERROR(B291/B446, "NA")</f>
      </c>
      <c r="D291" s="15"/>
      <c r="E291" s="13">
        <v>262.31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233.16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305.02999999999997</v>
      </c>
      <c r="R291" s="14">
        <f>IFERROR(Q291/Q446, "NA")</f>
      </c>
      <c r="S291" s="15"/>
      <c r="T291" s="13">
        <v>262.31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233.16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2316.3899999999999</v>
      </c>
      <c r="C292" s="14">
        <f>IFERROR(B292/B446, "NA")</f>
      </c>
      <c r="D292" s="15"/>
      <c r="E292" s="13">
        <v>262.31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1005.33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2316.3899999999999</v>
      </c>
      <c r="R292" s="14">
        <f>IFERROR(Q292/Q446, "NA")</f>
      </c>
      <c r="S292" s="15"/>
      <c r="T292" s="13">
        <v>262.31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1005.33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196.72999999999999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196.72999999999999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98.359999999999999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98.359999999999999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299.99000000000001</v>
      </c>
      <c r="C295" s="14">
        <f>IFERROR(B295/B446, "NA")</f>
      </c>
      <c r="D295" s="15"/>
      <c r="E295" s="13">
        <v>350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408.31999999999999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299.99000000000001</v>
      </c>
      <c r="R295" s="14">
        <f>IFERROR(Q295/Q446, "NA")</f>
      </c>
      <c r="S295" s="15"/>
      <c r="T295" s="13">
        <v>350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408.31999999999999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496.08999999999997</v>
      </c>
      <c r="C300" s="14">
        <f>IFERROR(B300/B446, "NA")</f>
      </c>
      <c r="D300" s="15"/>
      <c r="E300" s="13">
        <v>489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516.35000000000002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496.08999999999997</v>
      </c>
      <c r="R300" s="14">
        <f>IFERROR(Q300/Q446, "NA")</f>
      </c>
      <c r="S300" s="15"/>
      <c r="T300" s="13">
        <v>489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516.35000000000002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15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15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0</v>
      </c>
      <c r="R311" s="14">
        <f>IFERROR(Q311/Q446, "NA")</f>
      </c>
      <c r="S311" s="15"/>
      <c r="T311" s="13">
        <v>55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734.44000000000005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0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734.44000000000005</v>
      </c>
      <c r="R313" s="14">
        <f>IFERROR(Q313/Q446, "NA")</f>
      </c>
      <c r="S313" s="15"/>
      <c r="T313" s="13">
        <v>35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0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8.5999999999999996</v>
      </c>
      <c r="C314" s="14">
        <f>IFERROR(B314/B446, "NA")</f>
      </c>
      <c r="D314" s="15"/>
      <c r="E314" s="13">
        <v>25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15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8.5999999999999996</v>
      </c>
      <c r="R314" s="14">
        <f>IFERROR(Q314/Q446, "NA")</f>
      </c>
      <c r="S314" s="15"/>
      <c r="T314" s="13">
        <v>25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414.56999999999999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414.56999999999999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414.56999999999999</v>
      </c>
      <c r="R319" s="14">
        <f>IFERROR(Q319/Q446, "NA")</f>
      </c>
      <c r="S319" s="15"/>
      <c r="T319" s="13">
        <v>415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414.56999999999999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149.65000000000001</v>
      </c>
      <c r="C320" s="14">
        <f>IFERROR(B320/B446, "NA")</f>
      </c>
      <c r="D320" s="15"/>
      <c r="E320" s="13">
        <v>150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149.53999999999999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149.65000000000001</v>
      </c>
      <c r="R320" s="14">
        <f>IFERROR(Q320/Q446, "NA")</f>
      </c>
      <c r="S320" s="15"/>
      <c r="T320" s="13">
        <v>150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149.53999999999999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2427.79</v>
      </c>
      <c r="C321" s="14">
        <f>IFERROR(B321/B446, "NA")</f>
      </c>
      <c r="D321" s="15"/>
      <c r="E321" s="13">
        <v>1242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1005.86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2427.79</v>
      </c>
      <c r="R321" s="14">
        <f>IFERROR(Q321/Q446, "NA")</f>
      </c>
      <c r="S321" s="15"/>
      <c r="T321" s="13">
        <v>1242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1005.86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1070.46</v>
      </c>
      <c r="C322" s="14">
        <f>IFERROR(B322/B446, "NA")</f>
      </c>
      <c r="D322" s="15"/>
      <c r="E322" s="13">
        <v>918.07000000000005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2049.2800000000002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1070.46</v>
      </c>
      <c r="R322" s="14">
        <f>IFERROR(Q322/Q446, "NA")</f>
      </c>
      <c r="S322" s="15"/>
      <c r="T322" s="13">
        <v>918.07000000000005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2049.2800000000002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162.28999999999999</v>
      </c>
      <c r="C323" s="14">
        <f>IFERROR(B323/B446, "NA")</f>
      </c>
      <c r="D323" s="15"/>
      <c r="E323" s="13">
        <v>250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162.27000000000001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162.28999999999999</v>
      </c>
      <c r="R323" s="14">
        <f>IFERROR(Q323/Q446, "NA")</f>
      </c>
      <c r="S323" s="15"/>
      <c r="T323" s="13">
        <v>250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162.27000000000001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4735.6999999999998</v>
      </c>
      <c r="C330" s="14">
        <f>IFERROR(B330/B446, "NA")</f>
      </c>
      <c r="D330" s="15"/>
      <c r="E330" s="13">
        <v>4735.6999999999998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4597.7600000000002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4735.6999999999998</v>
      </c>
      <c r="R330" s="14">
        <f>IFERROR(Q330/Q446, "NA")</f>
      </c>
      <c r="S330" s="15"/>
      <c r="T330" s="13">
        <v>4735.6999999999998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4597.7600000000002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1736.5999999999999</v>
      </c>
      <c r="C331" s="14">
        <f>IFERROR(B331/B446, "NA")</f>
      </c>
      <c r="D331" s="15"/>
      <c r="E331" s="13">
        <v>1736.5999999999999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1686.02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1736.5999999999999</v>
      </c>
      <c r="R331" s="14">
        <f>IFERROR(Q331/Q446, "NA")</f>
      </c>
      <c r="S331" s="15"/>
      <c r="T331" s="13">
        <v>1736.5999999999999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1686.02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1881.98</v>
      </c>
      <c r="C334" s="14">
        <f>IFERROR(B334/B446, "NA")</f>
      </c>
      <c r="D334" s="15"/>
      <c r="E334" s="13">
        <v>1914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1913.97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1881.98</v>
      </c>
      <c r="R334" s="14">
        <f>IFERROR(Q334/Q446, "NA")</f>
      </c>
      <c r="S334" s="15"/>
      <c r="T334" s="13">
        <v>1914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1913.97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-364.64999999999998</v>
      </c>
      <c r="C335" s="14">
        <f>IFERROR(B335/B446, "NA")</f>
      </c>
      <c r="D335" s="15"/>
      <c r="E335" s="13">
        <v>-364.64999999999998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-354.02999999999997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-364.64999999999998</v>
      </c>
      <c r="R335" s="14">
        <f>IFERROR(Q335/Q446, "NA")</f>
      </c>
      <c r="S335" s="15"/>
      <c r="T335" s="13">
        <v>-364.64999999999998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-354.02999999999997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2535.52</v>
      </c>
      <c r="C339" s="14">
        <f>IFERROR(B339/B446, "NA")</f>
      </c>
      <c r="D339" s="15"/>
      <c r="E339" s="13">
        <v>1901.72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2627.23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2535.52</v>
      </c>
      <c r="R339" s="14">
        <f>IFERROR(Q339/Q446, "NA")</f>
      </c>
      <c r="S339" s="15"/>
      <c r="T339" s="13">
        <v>1901.72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2627.23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393.81</v>
      </c>
      <c r="C340" s="14">
        <f>IFERROR(B340/B446, "NA")</f>
      </c>
      <c r="D340" s="15"/>
      <c r="E340" s="13">
        <v>262.31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275.69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393.81</v>
      </c>
      <c r="R340" s="14">
        <f>IFERROR(Q340/Q446, "NA")</f>
      </c>
      <c r="S340" s="15"/>
      <c r="T340" s="13">
        <v>262.31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275.69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475.55000000000001</v>
      </c>
      <c r="C341" s="14">
        <f>IFERROR(B341/B446, "NA")</f>
      </c>
      <c r="D341" s="15"/>
      <c r="E341" s="13">
        <v>262.31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408.42000000000002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475.55000000000001</v>
      </c>
      <c r="R341" s="14">
        <f>IFERROR(Q341/Q446, "NA")</f>
      </c>
      <c r="S341" s="15"/>
      <c r="T341" s="13">
        <v>262.31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408.42000000000002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3867.6599999999999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3867.6599999999999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4735.6300000000001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3786.6399999999999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4735.6300000000001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3786.6399999999999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-1.8899999999999999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72.640000000000001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-1.8899999999999999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72.640000000000001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67.079999999999998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47.920000000000002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67.079999999999998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47.920000000000002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-115.98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-143.05000000000001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-115.98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-143.05000000000001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67886.600000000006</v>
      </c>
      <c r="C446" s="33"/>
      <c r="D446" s="15"/>
      <c r="E446" s="13">
        <v>65576.460000000006</v>
      </c>
      <c r="F446" s="33"/>
      <c r="G446" s="15"/>
      <c r="H446" s="16">
        <f>IFERROR(B446-E446, "NA")</f>
      </c>
      <c r="I446" s="33"/>
      <c r="J446" s="15"/>
      <c r="K446" s="13">
        <v>63821.370000000003</v>
      </c>
      <c r="L446" s="33"/>
      <c r="M446" s="15"/>
      <c r="N446" s="16">
        <f>IFERROR(B446-K446, "NA")</f>
      </c>
      <c r="O446" s="33"/>
      <c r="P446" s="15"/>
      <c r="Q446" s="13">
        <v>67886.600000000006</v>
      </c>
      <c r="R446" s="33"/>
      <c r="S446" s="15"/>
      <c r="T446" s="13">
        <v>65576.460000000006</v>
      </c>
      <c r="U446" s="33"/>
      <c r="V446" s="15"/>
      <c r="W446" s="16">
        <f>IFERROR(Q446-T446, "NA")</f>
      </c>
      <c r="X446" s="33"/>
      <c r="Y446" s="15"/>
      <c r="Z446" s="13">
        <v>63821.370000000003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415</v>
      </c>
      <c t="s" r="B3" s="3">
        <v>415</v>
      </c>
      <c t="s" r="C3" s="3">
        <v>415</v>
      </c>
      <c t="s" r="D3" s="3">
        <v>415</v>
      </c>
      <c t="s" r="E3" s="3">
        <v>415</v>
      </c>
      <c t="s" r="F3" s="3">
        <v>415</v>
      </c>
      <c t="s" r="G3" s="3">
        <v>415</v>
      </c>
      <c t="s" r="H3" s="3">
        <v>415</v>
      </c>
      <c t="s" r="I3" s="3">
        <v>415</v>
      </c>
      <c t="s" r="J3" s="3">
        <v>415</v>
      </c>
      <c t="s" r="K3" s="3">
        <v>415</v>
      </c>
      <c t="s" r="L3" s="3">
        <v>415</v>
      </c>
      <c t="s" r="M3" s="3">
        <v>415</v>
      </c>
      <c t="s" r="N3" s="3">
        <v>415</v>
      </c>
      <c t="s" r="O3" s="3">
        <v>415</v>
      </c>
      <c t="s" r="P3" s="3">
        <v>415</v>
      </c>
      <c t="s" r="Q3" s="3">
        <v>415</v>
      </c>
      <c t="s" r="R3" s="3">
        <v>415</v>
      </c>
      <c t="s" r="S3" s="3">
        <v>415</v>
      </c>
      <c t="s" r="T3" s="3">
        <v>415</v>
      </c>
      <c t="s" r="U3" s="3">
        <v>415</v>
      </c>
      <c t="s" r="V3" s="3">
        <v>415</v>
      </c>
      <c t="s" r="W3" s="3">
        <v>415</v>
      </c>
      <c t="s" r="X3" s="3">
        <v>415</v>
      </c>
      <c t="s" r="Y3" s="3">
        <v>415</v>
      </c>
      <c t="s" r="Z3" s="3">
        <v>415</v>
      </c>
      <c t="s" r="AA3" s="3">
        <v>415</v>
      </c>
      <c t="s" r="AB3" s="3">
        <v>415</v>
      </c>
      <c t="s" r="AC3" s="3">
        <v>415</v>
      </c>
      <c t="s" r="AD3" s="3">
        <v>415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39807.050000000003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39807.050000000003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38720.620000000003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29365.450000000001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38720.620000000003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29365.450000000001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3861.25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2381.5500000000002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3861.25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2381.5500000000002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112.5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132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112.5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132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20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195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20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195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45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21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45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21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0.20999999999999999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0.20999999999999999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11799.950000000001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11799.950000000001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4089.3499999999999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5501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4089.3499999999999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5501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2788.5599999999999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2788.5599999999999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1013.77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954.14999999999998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1013.77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954.14999999999998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203.16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203.16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1624.6400000000001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2055.46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1624.6400000000001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2055.46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874.53999999999996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826.62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874.53999999999996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826.62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31561.299999999999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31561.299999999999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18523.139999999999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18228.43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18523.139999999999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18228.43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1265.3499999999999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920.37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1265.3499999999999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920.37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17461.439999999999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15905.620000000001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17461.439999999999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15905.620000000001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982.34000000000003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982.34000000000003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904.59000000000003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1332.5999999999999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904.59000000000003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1332.5999999999999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48479.300000000003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48479.300000000003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1867.8800000000001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5918.8999999999996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1867.8800000000001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5918.8999999999996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25636.150000000001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33810.669999999998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25636.150000000001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33810.669999999998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2158.5100000000002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3542.9899999999998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2158.5100000000002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3542.9899999999998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12368.620000000001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12368.620000000001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1513.1300000000001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1513.1300000000001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9418.2299999999996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7204.2200000000003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9418.2299999999996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7204.2200000000003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9882.75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3980.6999999999998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3980.6999999999998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268.81999999999999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689.75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268.81999999999999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689.75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2364.4899999999998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3166.1700000000001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2364.4899999999998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3166.1700000000001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988.27999999999997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idden="1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0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-205.44999999999999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-205.44999999999999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-5828.8900000000003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-5828.8900000000003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-803.54999999999995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-1513.95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-803.54999999999995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-1513.95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-2123.5700000000002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-1611.74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-2123.5700000000002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-1611.74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-17.59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-378.66000000000003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-17.59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-378.66000000000003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-1171.04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-1375.8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-1171.04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-1375.8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-86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-86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-265.31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-549.76999999999998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-265.31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-549.76999999999998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idden="1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0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30566.130000000001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30566.130000000001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6474.6099999999997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7016.7299999999996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6474.6099999999997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7016.7299999999996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4233.7600000000002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3799.3099999999999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4233.7600000000002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3799.3099999999999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3976.29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5064.3699999999999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3976.29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5064.3699999999999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2982.0300000000002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2881.02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2982.0300000000002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2881.02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1267.3099999999999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952.42999999999995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1267.3099999999999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952.42999999999995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1292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1655.1099999999999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1292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1655.1099999999999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918.41999999999996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918.41999999999996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521.16999999999996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592.38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521.16999999999996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592.38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9127.0400000000009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6974.1999999999998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9127.0400000000009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6974.1999999999998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1279.51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1279.51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1387.52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2027.8800000000001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1387.52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2027.8800000000001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34.859999999999999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30.129999999999999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34.859999999999999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30.129999999999999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1.6000000000000001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712.75999999999999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1.6000000000000001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712.75999999999999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-2.8399999999999999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17.02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-2.8399999999999999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17.02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5828.8900000000003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5828.8900000000003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3827.3899999999999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3362.6199999999999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3827.3899999999999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3362.6199999999999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1471.3599999999999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2273.4400000000001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1471.3599999999999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2273.4400000000001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180.56999999999999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57.18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180.56999999999999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57.18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161.59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116.67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161.59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116.67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51.619999999999997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47.600000000000001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51.619999999999997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47.600000000000001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-1006.21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-1992.47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-1006.21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-1992.47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10076.92</v>
      </c>
      <c r="C178" s="14">
        <f>IFERROR(B178/B446, "NA")</f>
      </c>
      <c r="D178" s="15"/>
      <c r="E178" s="13">
        <v>10076.92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10076.92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10076.92</v>
      </c>
      <c r="R178" s="14">
        <f>IFERROR(Q178/Q446, "NA")</f>
      </c>
      <c r="S178" s="15"/>
      <c r="T178" s="13">
        <v>10076.92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10076.92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21539.150000000001</v>
      </c>
      <c r="C180" s="14">
        <f>IFERROR(B180/B446, "NA")</f>
      </c>
      <c r="D180" s="15"/>
      <c r="E180" s="13">
        <v>22178.209999999999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21868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21539.150000000001</v>
      </c>
      <c r="R180" s="14">
        <f>IFERROR(Q180/Q446, "NA")</f>
      </c>
      <c r="S180" s="15"/>
      <c r="T180" s="13">
        <v>22178.209999999999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21868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4.7300000000000004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13.99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4.7300000000000004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13.99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863</v>
      </c>
      <c r="C184" s="14">
        <f>IFERROR(B184/B446, "NA")</f>
      </c>
      <c r="D184" s="15"/>
      <c r="E184" s="13">
        <v>862.5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1150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863</v>
      </c>
      <c r="R184" s="14">
        <f>IFERROR(Q184/Q446, "NA")</f>
      </c>
      <c r="S184" s="15"/>
      <c r="T184" s="13">
        <v>862.5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1150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3828.96</v>
      </c>
      <c r="C186" s="14">
        <f>IFERROR(B186/B446, "NA")</f>
      </c>
      <c r="D186" s="15"/>
      <c r="E186" s="13">
        <v>3488.1399999999999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3375.8899999999999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3828.96</v>
      </c>
      <c r="R186" s="14">
        <f>IFERROR(Q186/Q446, "NA")</f>
      </c>
      <c r="S186" s="15"/>
      <c r="T186" s="13">
        <v>3488.1399999999999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3375.8899999999999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250.16</v>
      </c>
      <c r="C194" s="14">
        <f>IFERROR(B194/B446, "NA")</f>
      </c>
      <c r="D194" s="15"/>
      <c r="E194" s="13">
        <v>264.94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250.16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250.16</v>
      </c>
      <c r="R194" s="14">
        <f>IFERROR(Q194/Q446, "NA")</f>
      </c>
      <c r="S194" s="15"/>
      <c r="T194" s="13">
        <v>264.94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250.16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239.37</v>
      </c>
      <c r="C195" s="14">
        <f>IFERROR(B195/B446, "NA")</f>
      </c>
      <c r="D195" s="15"/>
      <c r="E195" s="13">
        <v>426.5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381.85000000000002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239.37</v>
      </c>
      <c r="R195" s="14">
        <f>IFERROR(Q195/Q446, "NA")</f>
      </c>
      <c r="S195" s="15"/>
      <c r="T195" s="13">
        <v>426.5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381.85000000000002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2010.0599999999999</v>
      </c>
      <c r="C202" s="14">
        <f>IFERROR(B202/B446, "NA")</f>
      </c>
      <c r="D202" s="15"/>
      <c r="E202" s="13">
        <v>1279.51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1089.9300000000001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2010.0599999999999</v>
      </c>
      <c r="R202" s="14">
        <f>IFERROR(Q202/Q446, "NA")</f>
      </c>
      <c r="S202" s="15"/>
      <c r="T202" s="13">
        <v>1279.51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1089.9300000000001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844.22000000000003</v>
      </c>
      <c r="C203" s="14">
        <f>IFERROR(B203/B446, "NA")</f>
      </c>
      <c r="D203" s="15"/>
      <c r="E203" s="13">
        <v>853.00999999999999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1136.79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844.22000000000003</v>
      </c>
      <c r="R203" s="14">
        <f>IFERROR(Q203/Q446, "NA")</f>
      </c>
      <c r="S203" s="15"/>
      <c r="T203" s="13">
        <v>853.00999999999999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1136.79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24.18</v>
      </c>
      <c r="C204" s="14">
        <f>IFERROR(B204/B446, "NA")</f>
      </c>
      <c r="D204" s="15"/>
      <c r="E204" s="13">
        <v>284.33999999999997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62.030000000000001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24.18</v>
      </c>
      <c r="R204" s="14">
        <f>IFERROR(Q204/Q446, "NA")</f>
      </c>
      <c r="S204" s="15"/>
      <c r="T204" s="13">
        <v>284.33999999999997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62.030000000000001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607.88</v>
      </c>
      <c r="C205" s="14">
        <f>IFERROR(B205/B446, "NA")</f>
      </c>
      <c r="D205" s="15"/>
      <c r="E205" s="13">
        <v>426.5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698.20000000000005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607.88</v>
      </c>
      <c r="R205" s="14">
        <f>IFERROR(Q205/Q446, "NA")</f>
      </c>
      <c r="S205" s="15"/>
      <c r="T205" s="13">
        <v>426.5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698.20000000000005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222.80000000000001</v>
      </c>
      <c r="C206" s="14">
        <f>IFERROR(B206/B446, "NA")</f>
      </c>
      <c r="D206" s="15"/>
      <c r="E206" s="13">
        <v>142.16999999999999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222.80000000000001</v>
      </c>
      <c r="R206" s="14">
        <f>IFERROR(Q206/Q446, "NA")</f>
      </c>
      <c r="S206" s="15"/>
      <c r="T206" s="13">
        <v>142.16999999999999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99.599999999999994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100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40.82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204.93000000000001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40.82</v>
      </c>
      <c r="R208" s="14">
        <f>IFERROR(Q208/Q446, "NA")</f>
      </c>
      <c r="S208" s="15"/>
      <c r="T208" s="13">
        <v>100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204.93000000000001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5402.3900000000003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5402.3900000000003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2393.1300000000001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4746.7399999999998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2393.1300000000001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4746.7399999999998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719.66999999999996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719.66999999999996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100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100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2047.77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3124.8299999999999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2047.77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3124.8299999999999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91.670000000000002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107.16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91.670000000000002</v>
      </c>
      <c r="R222" s="14">
        <f>IFERROR(Q222/Q446, "NA")</f>
      </c>
      <c r="S222" s="15"/>
      <c r="T222" s="13">
        <v>100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107.16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3127.6999999999998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3127.6999999999998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333.70999999999998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333.70999999999998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217.78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217.78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2655.7800000000002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2506.9200000000001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2655.7800000000002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2506.9200000000001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16.390000000000001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16.390000000000001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12084.280000000001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12084.280000000001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2718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2296.3600000000001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2718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2296.3600000000001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4321.2200000000003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5749.5799999999999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4321.2200000000003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5749.5799999999999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317.63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317.63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225.06999999999999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262.47000000000003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225.06999999999999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262.47000000000003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202.94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191.81999999999999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202.94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191.81999999999999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3118.0100000000002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2681.23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3118.0100000000002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2681.23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1883.6500000000001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1442.24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1883.6500000000001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1442.24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3281.29</v>
      </c>
      <c r="C266" s="14">
        <f>IFERROR(B266/B446, "NA")</f>
      </c>
      <c r="D266" s="15"/>
      <c r="E266" s="13">
        <v>3412.0300000000002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2904.6900000000001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3281.29</v>
      </c>
      <c r="R266" s="14">
        <f>IFERROR(Q266/Q446, "NA")</f>
      </c>
      <c r="S266" s="15"/>
      <c r="T266" s="13">
        <v>3412.0300000000002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2904.6900000000001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241.5</v>
      </c>
      <c r="C271" s="14">
        <f>IFERROR(B271/B446, "NA")</f>
      </c>
      <c r="D271" s="15"/>
      <c r="E271" s="13">
        <v>236.63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229.69999999999999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241.5</v>
      </c>
      <c r="R271" s="14">
        <f>IFERROR(Q271/Q446, "NA")</f>
      </c>
      <c r="S271" s="15"/>
      <c r="T271" s="13">
        <v>236.63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229.69999999999999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1068.3</v>
      </c>
      <c r="C272" s="14">
        <f>IFERROR(B272/B446, "NA")</f>
      </c>
      <c r="D272" s="15"/>
      <c r="E272" s="13">
        <v>1068.3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852.79999999999995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1068.3</v>
      </c>
      <c r="R272" s="14">
        <f>IFERROR(Q272/Q446, "NA")</f>
      </c>
      <c r="S272" s="15"/>
      <c r="T272" s="13">
        <v>1068.3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852.79999999999995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145.75</v>
      </c>
      <c r="C289" s="14">
        <f>IFERROR(B289/B446, "NA")</f>
      </c>
      <c r="D289" s="15"/>
      <c r="E289" s="13">
        <v>146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144.65000000000001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145.75</v>
      </c>
      <c r="R289" s="14">
        <f>IFERROR(Q289/Q446, "NA")</f>
      </c>
      <c r="S289" s="15"/>
      <c r="T289" s="13">
        <v>146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144.65000000000001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247.30000000000001</v>
      </c>
      <c r="C290" s="14">
        <f>IFERROR(B290/B446, "NA")</f>
      </c>
      <c r="D290" s="15"/>
      <c r="E290" s="13">
        <v>247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218.06999999999999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247.30000000000001</v>
      </c>
      <c r="R290" s="14">
        <f>IFERROR(Q290/Q446, "NA")</f>
      </c>
      <c r="S290" s="15"/>
      <c r="T290" s="13">
        <v>247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218.06999999999999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958.40999999999997</v>
      </c>
      <c r="C291" s="14">
        <f>IFERROR(B291/B446, "NA")</f>
      </c>
      <c r="D291" s="15"/>
      <c r="E291" s="13">
        <v>853.00999999999999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1265.3800000000001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958.40999999999997</v>
      </c>
      <c r="R291" s="14">
        <f>IFERROR(Q291/Q446, "NA")</f>
      </c>
      <c r="S291" s="15"/>
      <c r="T291" s="13">
        <v>853.00999999999999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1265.3800000000001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2494.6799999999998</v>
      </c>
      <c r="C292" s="14">
        <f>IFERROR(B292/B446, "NA")</f>
      </c>
      <c r="D292" s="15"/>
      <c r="E292" s="13">
        <v>710.84000000000003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2918.9400000000001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2494.6799999999998</v>
      </c>
      <c r="R292" s="14">
        <f>IFERROR(Q292/Q446, "NA")</f>
      </c>
      <c r="S292" s="15"/>
      <c r="T292" s="13">
        <v>710.84000000000003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2918.9400000000001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394.79000000000002</v>
      </c>
      <c r="C293" s="14">
        <f>IFERROR(B293/B446, "NA")</f>
      </c>
      <c r="D293" s="15"/>
      <c r="E293" s="13">
        <v>142.16999999999999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394.79000000000002</v>
      </c>
      <c r="R293" s="14">
        <f>IFERROR(Q293/Q446, "NA")</f>
      </c>
      <c r="S293" s="15"/>
      <c r="T293" s="13">
        <v>142.16999999999999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213.25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213.25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299.99000000000001</v>
      </c>
      <c r="C295" s="14">
        <f>IFERROR(B295/B446, "NA")</f>
      </c>
      <c r="D295" s="15"/>
      <c r="E295" s="13">
        <v>311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324.99000000000001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299.99000000000001</v>
      </c>
      <c r="R295" s="14">
        <f>IFERROR(Q295/Q446, "NA")</f>
      </c>
      <c r="S295" s="15"/>
      <c r="T295" s="13">
        <v>311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324.99000000000001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525.57000000000005</v>
      </c>
      <c r="C300" s="14">
        <f>IFERROR(B300/B446, "NA")</f>
      </c>
      <c r="D300" s="15"/>
      <c r="E300" s="13">
        <v>517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907.11000000000001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525.57000000000005</v>
      </c>
      <c r="R300" s="14">
        <f>IFERROR(Q300/Q446, "NA")</f>
      </c>
      <c r="S300" s="15"/>
      <c r="T300" s="13">
        <v>517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907.11000000000001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0</v>
      </c>
      <c r="R311" s="14">
        <f>IFERROR(Q311/Q446, "NA")</f>
      </c>
      <c r="S311" s="15"/>
      <c r="T311" s="13">
        <v>55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284.83999999999997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171.31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284.83999999999997</v>
      </c>
      <c r="R313" s="14">
        <f>IFERROR(Q313/Q446, "NA")</f>
      </c>
      <c r="S313" s="15"/>
      <c r="T313" s="13">
        <v>35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171.31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228</v>
      </c>
      <c r="C314" s="14">
        <f>IFERROR(B314/B446, "NA")</f>
      </c>
      <c r="D314" s="15"/>
      <c r="E314" s="13">
        <v>250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248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228</v>
      </c>
      <c r="R314" s="14">
        <f>IFERROR(Q314/Q446, "NA")</f>
      </c>
      <c r="S314" s="15"/>
      <c r="T314" s="13">
        <v>250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248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323.94</v>
      </c>
      <c r="C320" s="14">
        <f>IFERROR(B320/B446, "NA")</f>
      </c>
      <c r="D320" s="15"/>
      <c r="E320" s="13">
        <v>314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315.81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323.94</v>
      </c>
      <c r="R320" s="14">
        <f>IFERROR(Q320/Q446, "NA")</f>
      </c>
      <c r="S320" s="15"/>
      <c r="T320" s="13">
        <v>314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315.81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1088.6600000000001</v>
      </c>
      <c r="C321" s="14">
        <f>IFERROR(B321/B446, "NA")</f>
      </c>
      <c r="D321" s="15"/>
      <c r="E321" s="13">
        <v>1101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968.34000000000003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1088.6600000000001</v>
      </c>
      <c r="R321" s="14">
        <f>IFERROR(Q321/Q446, "NA")</f>
      </c>
      <c r="S321" s="15"/>
      <c r="T321" s="13">
        <v>1101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968.34000000000003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1006.21</v>
      </c>
      <c r="C322" s="14">
        <f>IFERROR(B322/B446, "NA")</f>
      </c>
      <c r="D322" s="15"/>
      <c r="E322" s="13">
        <v>1279.51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1992.47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1006.21</v>
      </c>
      <c r="R322" s="14">
        <f>IFERROR(Q322/Q446, "NA")</f>
      </c>
      <c r="S322" s="15"/>
      <c r="T322" s="13">
        <v>1279.51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1992.47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237.44999999999999</v>
      </c>
      <c r="C323" s="14">
        <f>IFERROR(B323/B446, "NA")</f>
      </c>
      <c r="D323" s="15"/>
      <c r="E323" s="13">
        <v>191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159.94999999999999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237.44999999999999</v>
      </c>
      <c r="R323" s="14">
        <f>IFERROR(Q323/Q446, "NA")</f>
      </c>
      <c r="S323" s="15"/>
      <c r="T323" s="13">
        <v>191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159.94999999999999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10440.49</v>
      </c>
      <c r="C330" s="14">
        <f>IFERROR(B330/B446, "NA")</f>
      </c>
      <c r="D330" s="15"/>
      <c r="E330" s="13">
        <v>10440.49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10136.4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10440.49</v>
      </c>
      <c r="R330" s="14">
        <f>IFERROR(Q330/Q446, "NA")</f>
      </c>
      <c r="S330" s="15"/>
      <c r="T330" s="13">
        <v>10440.49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10136.4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728.64999999999998</v>
      </c>
      <c r="C331" s="14">
        <f>IFERROR(B331/B446, "NA")</f>
      </c>
      <c r="D331" s="15"/>
      <c r="E331" s="13">
        <v>728.64999999999998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728.64999999999998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728.64999999999998</v>
      </c>
      <c r="R331" s="14">
        <f>IFERROR(Q331/Q446, "NA")</f>
      </c>
      <c r="S331" s="15"/>
      <c r="T331" s="13">
        <v>728.64999999999998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728.64999999999998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15.16</v>
      </c>
      <c r="C333" s="14">
        <f>IFERROR(B333/B446, "NA")</f>
      </c>
      <c r="D333" s="15"/>
      <c r="E333" s="13">
        <v>133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15.16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15.16</v>
      </c>
      <c r="R333" s="14">
        <f>IFERROR(Q333/Q446, "NA")</f>
      </c>
      <c r="S333" s="15"/>
      <c r="T333" s="13">
        <v>133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15.16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964.13999999999999</v>
      </c>
      <c r="C334" s="14">
        <f>IFERROR(B334/B446, "NA")</f>
      </c>
      <c r="D334" s="15"/>
      <c r="E334" s="13">
        <v>964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964.13999999999999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964.13999999999999</v>
      </c>
      <c r="R334" s="14">
        <f>IFERROR(Q334/Q446, "NA")</f>
      </c>
      <c r="S334" s="15"/>
      <c r="T334" s="13">
        <v>964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964.13999999999999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-803.91999999999996</v>
      </c>
      <c r="C335" s="14">
        <f>IFERROR(B335/B446, "NA")</f>
      </c>
      <c r="D335" s="15"/>
      <c r="E335" s="13">
        <v>-803.91999999999996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-780.5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-803.91999999999996</v>
      </c>
      <c r="R335" s="14">
        <f>IFERROR(Q335/Q446, "NA")</f>
      </c>
      <c r="S335" s="15"/>
      <c r="T335" s="13">
        <v>-803.91999999999996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-780.5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213.25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1654.8099999999999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213.25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1654.8099999999999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3925.7199999999998</v>
      </c>
      <c r="C339" s="14">
        <f>IFERROR(B339/B446, "NA")</f>
      </c>
      <c r="D339" s="15"/>
      <c r="E339" s="13">
        <v>2843.3600000000001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4773.3699999999999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3925.7199999999998</v>
      </c>
      <c r="R339" s="14">
        <f>IFERROR(Q339/Q446, "NA")</f>
      </c>
      <c r="S339" s="15"/>
      <c r="T339" s="13">
        <v>2843.3600000000001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4773.3699999999999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331.06999999999999</v>
      </c>
      <c r="C340" s="14">
        <f>IFERROR(B340/B446, "NA")</f>
      </c>
      <c r="D340" s="15"/>
      <c r="E340" s="13">
        <v>284.33999999999997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301.04000000000002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331.06999999999999</v>
      </c>
      <c r="R340" s="14">
        <f>IFERROR(Q340/Q446, "NA")</f>
      </c>
      <c r="S340" s="15"/>
      <c r="T340" s="13">
        <v>284.33999999999997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301.04000000000002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1242.1400000000001</v>
      </c>
      <c r="C341" s="14">
        <f>IFERROR(B341/B446, "NA")</f>
      </c>
      <c r="D341" s="15"/>
      <c r="E341" s="13">
        <v>568.66999999999996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561.38999999999999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1242.1400000000001</v>
      </c>
      <c r="R341" s="14">
        <f>IFERROR(Q341/Q446, "NA")</f>
      </c>
      <c r="S341" s="15"/>
      <c r="T341" s="13">
        <v>568.66999999999996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561.38999999999999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380.17000000000002</v>
      </c>
      <c r="C342" s="14">
        <f>IFERROR(B342/B446, "NA")</f>
      </c>
      <c r="D342" s="15"/>
      <c r="E342" s="13">
        <v>284.33999999999997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380.17000000000002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380.17000000000002</v>
      </c>
      <c r="R342" s="14">
        <f>IFERROR(Q342/Q446, "NA")</f>
      </c>
      <c r="S342" s="15"/>
      <c r="T342" s="13">
        <v>284.33999999999997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380.17000000000002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3082.4400000000001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3082.4400000000001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4119.5200000000004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2999.4299999999998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4119.5200000000004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2999.4299999999998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-21.719999999999999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3.8199999999999998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-21.719999999999999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3.8199999999999998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-20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-20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131045.16</v>
      </c>
      <c r="C446" s="33"/>
      <c r="D446" s="15"/>
      <c r="E446" s="13">
        <v>142168.03</v>
      </c>
      <c r="F446" s="33"/>
      <c r="G446" s="15"/>
      <c r="H446" s="16">
        <f>IFERROR(B446-E446, "NA")</f>
      </c>
      <c r="I446" s="33"/>
      <c r="J446" s="15"/>
      <c r="K446" s="13">
        <v>137593.06</v>
      </c>
      <c r="L446" s="33"/>
      <c r="M446" s="15"/>
      <c r="N446" s="16">
        <f>IFERROR(B446-K446, "NA")</f>
      </c>
      <c r="O446" s="33"/>
      <c r="P446" s="15"/>
      <c r="Q446" s="13">
        <v>131045.16</v>
      </c>
      <c r="R446" s="33"/>
      <c r="S446" s="15"/>
      <c r="T446" s="13">
        <v>142168.03</v>
      </c>
      <c r="U446" s="33"/>
      <c r="V446" s="15"/>
      <c r="W446" s="16">
        <f>IFERROR(Q446-T446, "NA")</f>
      </c>
      <c r="X446" s="33"/>
      <c r="Y446" s="15"/>
      <c r="Z446" s="13">
        <v>137593.06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416</v>
      </c>
      <c t="s" r="B3" s="3">
        <v>416</v>
      </c>
      <c t="s" r="C3" s="3">
        <v>416</v>
      </c>
      <c t="s" r="D3" s="3">
        <v>416</v>
      </c>
      <c t="s" r="E3" s="3">
        <v>416</v>
      </c>
      <c t="s" r="F3" s="3">
        <v>416</v>
      </c>
      <c t="s" r="G3" s="3">
        <v>416</v>
      </c>
      <c t="s" r="H3" s="3">
        <v>416</v>
      </c>
      <c t="s" r="I3" s="3">
        <v>416</v>
      </c>
      <c t="s" r="J3" s="3">
        <v>416</v>
      </c>
      <c t="s" r="K3" s="3">
        <v>416</v>
      </c>
      <c t="s" r="L3" s="3">
        <v>416</v>
      </c>
      <c t="s" r="M3" s="3">
        <v>416</v>
      </c>
      <c t="s" r="N3" s="3">
        <v>416</v>
      </c>
      <c t="s" r="O3" s="3">
        <v>416</v>
      </c>
      <c t="s" r="P3" s="3">
        <v>416</v>
      </c>
      <c t="s" r="Q3" s="3">
        <v>416</v>
      </c>
      <c t="s" r="R3" s="3">
        <v>416</v>
      </c>
      <c t="s" r="S3" s="3">
        <v>416</v>
      </c>
      <c t="s" r="T3" s="3">
        <v>416</v>
      </c>
      <c t="s" r="U3" s="3">
        <v>416</v>
      </c>
      <c t="s" r="V3" s="3">
        <v>416</v>
      </c>
      <c t="s" r="W3" s="3">
        <v>416</v>
      </c>
      <c t="s" r="X3" s="3">
        <v>416</v>
      </c>
      <c t="s" r="Y3" s="3">
        <v>416</v>
      </c>
      <c t="s" r="Z3" s="3">
        <v>416</v>
      </c>
      <c t="s" r="AA3" s="3">
        <v>416</v>
      </c>
      <c t="s" r="AB3" s="3">
        <v>416</v>
      </c>
      <c t="s" r="AC3" s="3">
        <v>416</v>
      </c>
      <c t="s" r="AD3" s="3">
        <v>416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29051.18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29051.18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29664.599999999999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28219.490000000002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29664.599999999999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28219.490000000002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2569.5999999999999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2368.6500000000001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2569.5999999999999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2368.6500000000001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50.5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32.5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50.5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32.5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35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155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35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155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36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15.5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36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15.5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1.1000000000000001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1.1000000000000001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6273.96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6273.96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2358.6300000000001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4166.9499999999998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2358.6300000000001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4166.9499999999998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1918.7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1918.7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1112.7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696.27999999999997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1112.7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696.27999999999997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47.789999999999999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47.789999999999999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713.74000000000001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713.74000000000001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790.67999999999995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802.65999999999997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790.67999999999995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802.65999999999997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16503.259999999998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16503.259999999998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11277.98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8366.3400000000001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11277.98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8366.3400000000001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814.74000000000001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1109.9100000000001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814.74000000000001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1109.9100000000001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7876.8900000000003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13071.219999999999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7876.8900000000003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13071.219999999999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173.84999999999999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173.84999999999999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137.65000000000001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621.64999999999998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137.65000000000001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621.64999999999998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13434.469999999999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13434.469999999999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2701.4099999999999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3272.0999999999999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2701.4099999999999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3272.0999999999999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9823.8600000000006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4702.3299999999999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9823.8600000000006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4702.3299999999999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266.35000000000002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266.35000000000002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5523.8199999999997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5523.8199999999997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1924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2110.1999999999998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1924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2110.1999999999998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-12.25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-12.25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1125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1125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1022.9299999999999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1022.9299999999999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290.19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91.609999999999999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290.19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91.609999999999999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988.89999999999998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650.17999999999995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988.89999999999998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650.17999999999995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121.45999999999999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121.45999999999999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-12.949999999999999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6.3099999999999996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-12.949999999999999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6.3099999999999996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-101.09999999999999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-101.09999999999999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-3614.3499999999999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-3614.3499999999999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-1554.04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-1709.2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-1554.04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-1709.2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-1446.1099999999999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-1178.2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-1446.1099999999999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-1178.2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-74.640000000000001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-691.5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-74.640000000000001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-691.5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-980.34000000000003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-752.39999999999998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-980.34000000000003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-752.39999999999998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idden="1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-127.44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-398.30000000000001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-127.44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-398.30000000000001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idden="1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0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14798.370000000001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14798.370000000001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3291.6500000000001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3831.6199999999999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3291.6500000000001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3831.6199999999999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1925.0799999999999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2017.8299999999999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1925.0799999999999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2017.8299999999999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1937.7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2422.54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1937.7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2422.54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1676.01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1583.78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1676.01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1583.78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834.47000000000003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543.71000000000004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834.47000000000003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543.71000000000004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564.90999999999997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511.94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564.90999999999997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511.94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427.69999999999999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427.69999999999999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591.63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449.82999999999998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591.63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449.82999999999998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5113.4200000000001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3773.1199999999999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5113.4200000000001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3773.1199999999999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20.079999999999998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20.079999999999998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818.34000000000003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818.34000000000003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939.74000000000001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693.67999999999995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939.74000000000001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693.67999999999995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19.41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7.9900000000000002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19.41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7.9900000000000002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65.379999999999995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69.25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65.379999999999995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69.25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13.960000000000001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4.7699999999999996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13.960000000000001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4.7699999999999996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2796.0100000000002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2796.0100000000002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2265.4099999999999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2259.9699999999998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2265.4099999999999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2259.9699999999998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643.59000000000003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473.20999999999998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643.59000000000003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473.20999999999998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194.91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260.69999999999999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194.91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260.69999999999999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252.58000000000001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266.56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252.58000000000001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266.56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30.309999999999999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29.800000000000001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30.309999999999999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29.800000000000001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-1028.24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-2307.1799999999998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-1028.24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-2307.1799999999998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5640</v>
      </c>
      <c r="C178" s="14">
        <f>IFERROR(B178/B446, "NA")</f>
      </c>
      <c r="D178" s="15"/>
      <c r="E178" s="13">
        <v>5640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5640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5640</v>
      </c>
      <c r="R178" s="14">
        <f>IFERROR(Q178/Q446, "NA")</f>
      </c>
      <c r="S178" s="15"/>
      <c r="T178" s="13">
        <v>5640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5640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13459.83</v>
      </c>
      <c r="C180" s="14">
        <f>IFERROR(B180/B446, "NA")</f>
      </c>
      <c r="D180" s="15"/>
      <c r="E180" s="13">
        <v>14593.790000000001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14187.559999999999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13459.83</v>
      </c>
      <c r="R180" s="14">
        <f>IFERROR(Q180/Q446, "NA")</f>
      </c>
      <c r="S180" s="15"/>
      <c r="T180" s="13">
        <v>14593.790000000001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14187.559999999999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idden="1" ht="16.5" customHeight="1">
      <c t="s" r="A181" s="18">
        <v>166</v>
      </c>
      <c r="B181" s="13">
        <v>0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0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293</v>
      </c>
      <c r="C184" s="14">
        <f>IFERROR(B184/B446, "NA")</f>
      </c>
      <c r="D184" s="15"/>
      <c r="E184" s="13">
        <v>292.5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293</v>
      </c>
      <c r="R184" s="14">
        <f>IFERROR(Q184/Q446, "NA")</f>
      </c>
      <c r="S184" s="15"/>
      <c r="T184" s="13">
        <v>292.5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500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1783.53</v>
      </c>
      <c r="C186" s="14">
        <f>IFERROR(B186/B446, "NA")</f>
      </c>
      <c r="D186" s="15"/>
      <c r="E186" s="13">
        <v>1890.6400000000001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1822.3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1783.53</v>
      </c>
      <c r="R186" s="14">
        <f>IFERROR(Q186/Q446, "NA")</f>
      </c>
      <c r="S186" s="15"/>
      <c r="T186" s="13">
        <v>1890.6400000000001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1822.3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248</v>
      </c>
      <c r="C194" s="14">
        <f>IFERROR(B194/B446, "NA")</f>
      </c>
      <c r="D194" s="15"/>
      <c r="E194" s="13">
        <v>164.21000000000001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248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248</v>
      </c>
      <c r="R194" s="14">
        <f>IFERROR(Q194/Q446, "NA")</f>
      </c>
      <c r="S194" s="15"/>
      <c r="T194" s="13">
        <v>164.21000000000001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248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771.67999999999995</v>
      </c>
      <c r="C202" s="14">
        <f>IFERROR(B202/B446, "NA")</f>
      </c>
      <c r="D202" s="15"/>
      <c r="E202" s="13">
        <v>613.75999999999999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820.17999999999995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771.67999999999995</v>
      </c>
      <c r="R202" s="14">
        <f>IFERROR(Q202/Q446, "NA")</f>
      </c>
      <c r="S202" s="15"/>
      <c r="T202" s="13">
        <v>613.75999999999999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820.17999999999995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639.45000000000005</v>
      </c>
      <c r="C203" s="14">
        <f>IFERROR(B203/B446, "NA")</f>
      </c>
      <c r="D203" s="15"/>
      <c r="E203" s="13">
        <v>409.17000000000002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396.45999999999998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639.45000000000005</v>
      </c>
      <c r="R203" s="14">
        <f>IFERROR(Q203/Q446, "NA")</f>
      </c>
      <c r="S203" s="15"/>
      <c r="T203" s="13">
        <v>409.17000000000002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396.45999999999998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22.800000000000001</v>
      </c>
      <c r="C204" s="14">
        <f>IFERROR(B204/B446, "NA")</f>
      </c>
      <c r="D204" s="15"/>
      <c r="E204" s="13">
        <v>136.38999999999999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8.4299999999999997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22.800000000000001</v>
      </c>
      <c r="R204" s="14">
        <f>IFERROR(Q204/Q446, "NA")</f>
      </c>
      <c r="S204" s="15"/>
      <c r="T204" s="13">
        <v>136.38999999999999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8.4299999999999997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454.51999999999998</v>
      </c>
      <c r="C205" s="14">
        <f>IFERROR(B205/B446, "NA")</f>
      </c>
      <c r="D205" s="15"/>
      <c r="E205" s="13">
        <v>204.59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344.01999999999998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454.51999999999998</v>
      </c>
      <c r="R205" s="14">
        <f>IFERROR(Q205/Q446, "NA")</f>
      </c>
      <c r="S205" s="15"/>
      <c r="T205" s="13">
        <v>204.59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344.01999999999998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65.680000000000007</v>
      </c>
      <c r="C206" s="14">
        <f>IFERROR(B206/B446, "NA")</f>
      </c>
      <c r="D206" s="15"/>
      <c r="E206" s="13">
        <v>68.200000000000003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65.680000000000007</v>
      </c>
      <c r="R206" s="14">
        <f>IFERROR(Q206/Q446, "NA")</f>
      </c>
      <c r="S206" s="15"/>
      <c r="T206" s="13">
        <v>68.200000000000003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145.06999999999999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99.599999999999994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145.06999999999999</v>
      </c>
      <c r="R207" s="14">
        <f>IFERROR(Q207/Q446, "NA")</f>
      </c>
      <c r="S207" s="15"/>
      <c r="T207" s="13">
        <v>100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6.8099999999999996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109.76000000000001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6.8099999999999996</v>
      </c>
      <c r="R208" s="14">
        <f>IFERROR(Q208/Q446, "NA")</f>
      </c>
      <c r="S208" s="15"/>
      <c r="T208" s="13">
        <v>100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109.76000000000001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2796.0100000000002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2796.0100000000002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1559.51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2527.1100000000001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1559.51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2527.1100000000001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502.73000000000002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502.73000000000002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854.30999999999995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2688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854.30999999999995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2688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0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0</v>
      </c>
      <c r="R222" s="14">
        <f>IFERROR(Q222/Q446, "NA")</f>
      </c>
      <c r="S222" s="15"/>
      <c r="T222" s="13">
        <v>100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0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1022.9299999999999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1022.9299999999999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217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184.25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217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184.25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1356.21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713.74000000000001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1356.21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713.74000000000001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2.98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2.98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4432.6899999999996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4432.6899999999996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1738.5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1036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1738.5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1036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1656.3800000000001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1072.78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1656.3800000000001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1072.78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555.33000000000004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396.63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555.33000000000004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396.63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141.5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312.30000000000001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141.5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312.30000000000001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236.28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239.86000000000001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236.28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239.86000000000001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1378.8399999999999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1457.2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1378.8399999999999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1457.2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33.289999999999999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36.969999999999999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33.289999999999999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36.969999999999999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1739.5999999999999</v>
      </c>
      <c r="C266" s="14">
        <f>IFERROR(B266/B446, "NA")</f>
      </c>
      <c r="D266" s="15"/>
      <c r="E266" s="13">
        <v>1636.6900000000001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1480.1900000000001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1739.5999999999999</v>
      </c>
      <c r="R266" s="14">
        <f>IFERROR(Q266/Q446, "NA")</f>
      </c>
      <c r="S266" s="15"/>
      <c r="T266" s="13">
        <v>1636.6900000000001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1480.1900000000001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307.92000000000002</v>
      </c>
      <c r="C271" s="14">
        <f>IFERROR(B271/B446, "NA")</f>
      </c>
      <c r="D271" s="15"/>
      <c r="E271" s="13">
        <v>354.13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342.25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307.92000000000002</v>
      </c>
      <c r="R271" s="14">
        <f>IFERROR(Q271/Q446, "NA")</f>
      </c>
      <c r="S271" s="15"/>
      <c r="T271" s="13">
        <v>354.13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342.25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795.90999999999997</v>
      </c>
      <c r="C272" s="14">
        <f>IFERROR(B272/B446, "NA")</f>
      </c>
      <c r="D272" s="15"/>
      <c r="E272" s="13">
        <v>905.40999999999997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952.74000000000001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795.90999999999997</v>
      </c>
      <c r="R272" s="14">
        <f>IFERROR(Q272/Q446, "NA")</f>
      </c>
      <c r="S272" s="15"/>
      <c r="T272" s="13">
        <v>905.40999999999997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952.74000000000001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137.5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137.5</v>
      </c>
      <c r="R289" s="14">
        <f>IFERROR(Q289/Q446, "NA")</f>
      </c>
      <c r="S289" s="15"/>
      <c r="T289" s="13">
        <v>138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137.5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247.84</v>
      </c>
      <c r="C290" s="14">
        <f>IFERROR(B290/B446, "NA")</f>
      </c>
      <c r="D290" s="15"/>
      <c r="E290" s="13">
        <v>234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217.97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247.84</v>
      </c>
      <c r="R290" s="14">
        <f>IFERROR(Q290/Q446, "NA")</f>
      </c>
      <c r="S290" s="15"/>
      <c r="T290" s="13">
        <v>234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217.97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1598.0799999999999</v>
      </c>
      <c r="C291" s="14">
        <f>IFERROR(B291/B446, "NA")</f>
      </c>
      <c r="D291" s="15"/>
      <c r="E291" s="13">
        <v>477.37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477.43000000000001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1598.0799999999999</v>
      </c>
      <c r="R291" s="14">
        <f>IFERROR(Q291/Q446, "NA")</f>
      </c>
      <c r="S291" s="15"/>
      <c r="T291" s="13">
        <v>477.37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477.43000000000001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1326.6600000000001</v>
      </c>
      <c r="C292" s="14">
        <f>IFERROR(B292/B446, "NA")</f>
      </c>
      <c r="D292" s="15"/>
      <c r="E292" s="13">
        <v>681.95000000000005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1744.79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1326.6600000000001</v>
      </c>
      <c r="R292" s="14">
        <f>IFERROR(Q292/Q446, "NA")</f>
      </c>
      <c r="S292" s="15"/>
      <c r="T292" s="13">
        <v>681.95000000000005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1744.79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136.38999999999999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136.38999999999999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136.38999999999999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136.38999999999999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380.48000000000002</v>
      </c>
      <c r="C295" s="14">
        <f>IFERROR(B295/B446, "NA")</f>
      </c>
      <c r="D295" s="15"/>
      <c r="E295" s="13">
        <v>365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324.99000000000001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380.48000000000002</v>
      </c>
      <c r="R295" s="14">
        <f>IFERROR(Q295/Q446, "NA")</f>
      </c>
      <c r="S295" s="15"/>
      <c r="T295" s="13">
        <v>365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324.99000000000001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159</v>
      </c>
      <c r="C300" s="14">
        <f>IFERROR(B300/B446, "NA")</f>
      </c>
      <c r="D300" s="15"/>
      <c r="E300" s="13">
        <v>159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0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159</v>
      </c>
      <c r="R300" s="14">
        <f>IFERROR(Q300/Q446, "NA")</f>
      </c>
      <c r="S300" s="15"/>
      <c r="T300" s="13">
        <v>159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0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128.94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128.94</v>
      </c>
      <c r="R311" s="14">
        <f>IFERROR(Q311/Q446, "NA")</f>
      </c>
      <c r="S311" s="15"/>
      <c r="T311" s="13">
        <v>55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21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0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21</v>
      </c>
      <c r="R313" s="14">
        <f>IFERROR(Q313/Q446, "NA")</f>
      </c>
      <c r="S313" s="15"/>
      <c r="T313" s="13">
        <v>35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0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15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0</v>
      </c>
      <c r="R314" s="14">
        <f>IFERROR(Q314/Q446, "NA")</f>
      </c>
      <c r="S314" s="15"/>
      <c r="T314" s="13">
        <v>15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0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408.06999999999999</v>
      </c>
      <c r="C316" s="14">
        <f>IFERROR(B316/B446, "NA")</f>
      </c>
      <c r="D316" s="15"/>
      <c r="E316" s="13">
        <v>272.77999999999997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455.51999999999998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408.06999999999999</v>
      </c>
      <c r="R316" s="14">
        <f>IFERROR(Q316/Q446, "NA")</f>
      </c>
      <c r="S316" s="15"/>
      <c r="T316" s="13">
        <v>272.77999999999997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455.51999999999998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414.57999999999998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414.57999999999998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414.57999999999998</v>
      </c>
      <c r="R319" s="14">
        <f>IFERROR(Q319/Q446, "NA")</f>
      </c>
      <c r="S319" s="15"/>
      <c r="T319" s="13">
        <v>415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414.57999999999998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318.56</v>
      </c>
      <c r="C320" s="14">
        <f>IFERROR(B320/B446, "NA")</f>
      </c>
      <c r="D320" s="15"/>
      <c r="E320" s="13">
        <v>309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249.13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318.56</v>
      </c>
      <c r="R320" s="14">
        <f>IFERROR(Q320/Q446, "NA")</f>
      </c>
      <c r="S320" s="15"/>
      <c r="T320" s="13">
        <v>309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249.13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1133.27</v>
      </c>
      <c r="C321" s="14">
        <f>IFERROR(B321/B446, "NA")</f>
      </c>
      <c r="D321" s="15"/>
      <c r="E321" s="13">
        <v>1133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1056.0699999999999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1133.27</v>
      </c>
      <c r="R321" s="14">
        <f>IFERROR(Q321/Q446, "NA")</f>
      </c>
      <c r="S321" s="15"/>
      <c r="T321" s="13">
        <v>1133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1056.0699999999999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1028.24</v>
      </c>
      <c r="C322" s="14">
        <f>IFERROR(B322/B446, "NA")</f>
      </c>
      <c r="D322" s="15"/>
      <c r="E322" s="13">
        <v>750.14999999999998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2307.1799999999998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1028.24</v>
      </c>
      <c r="R322" s="14">
        <f>IFERROR(Q322/Q446, "NA")</f>
      </c>
      <c r="S322" s="15"/>
      <c r="T322" s="13">
        <v>750.14999999999998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2307.1799999999998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646.87</v>
      </c>
      <c r="C323" s="14">
        <f>IFERROR(B323/B446, "NA")</f>
      </c>
      <c r="D323" s="15"/>
      <c r="E323" s="13">
        <v>354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299.56999999999999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646.87</v>
      </c>
      <c r="R323" s="14">
        <f>IFERROR(Q323/Q446, "NA")</f>
      </c>
      <c r="S323" s="15"/>
      <c r="T323" s="13">
        <v>354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299.56999999999999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11441.92</v>
      </c>
      <c r="C330" s="14">
        <f>IFERROR(B330/B446, "NA")</f>
      </c>
      <c r="D330" s="15"/>
      <c r="E330" s="13">
        <v>11441.92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5393.1300000000001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11441.92</v>
      </c>
      <c r="R330" s="14">
        <f>IFERROR(Q330/Q446, "NA")</f>
      </c>
      <c r="S330" s="15"/>
      <c r="T330" s="13">
        <v>11441.92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5393.1300000000001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1183.3699999999999</v>
      </c>
      <c r="C331" s="14">
        <f>IFERROR(B331/B446, "NA")</f>
      </c>
      <c r="D331" s="15"/>
      <c r="E331" s="13">
        <v>1183.3699999999999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1026.4300000000001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1183.3699999999999</v>
      </c>
      <c r="R331" s="14">
        <f>IFERROR(Q331/Q446, "NA")</f>
      </c>
      <c r="S331" s="15"/>
      <c r="T331" s="13">
        <v>1183.3699999999999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1026.4300000000001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781.75999999999999</v>
      </c>
      <c r="C334" s="14">
        <f>IFERROR(B334/B446, "NA")</f>
      </c>
      <c r="D334" s="15"/>
      <c r="E334" s="13">
        <v>860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860.15999999999997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781.75999999999999</v>
      </c>
      <c r="R334" s="14">
        <f>IFERROR(Q334/Q446, "NA")</f>
      </c>
      <c r="S334" s="15"/>
      <c r="T334" s="13">
        <v>860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860.15999999999997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-881.02999999999997</v>
      </c>
      <c r="C335" s="14">
        <f>IFERROR(B335/B446, "NA")</f>
      </c>
      <c r="D335" s="15"/>
      <c r="E335" s="13">
        <v>-881.02999999999997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-415.26999999999998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-881.02999999999997</v>
      </c>
      <c r="R335" s="14">
        <f>IFERROR(Q335/Q446, "NA")</f>
      </c>
      <c r="S335" s="15"/>
      <c r="T335" s="13">
        <v>-881.02999999999997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-415.26999999999998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1001.16</v>
      </c>
      <c r="C339" s="14">
        <f>IFERROR(B339/B446, "NA")</f>
      </c>
      <c r="D339" s="15"/>
      <c r="E339" s="13">
        <v>818.34000000000003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868.22000000000003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1001.16</v>
      </c>
      <c r="R339" s="14">
        <f>IFERROR(Q339/Q446, "NA")</f>
      </c>
      <c r="S339" s="15"/>
      <c r="T339" s="13">
        <v>818.34000000000003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868.22000000000003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723.00999999999999</v>
      </c>
      <c r="C340" s="14">
        <f>IFERROR(B340/B446, "NA")</f>
      </c>
      <c r="D340" s="15"/>
      <c r="E340" s="13">
        <v>340.98000000000002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911.26999999999998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723.00999999999999</v>
      </c>
      <c r="R340" s="14">
        <f>IFERROR(Q340/Q446, "NA")</f>
      </c>
      <c r="S340" s="15"/>
      <c r="T340" s="13">
        <v>340.98000000000002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911.26999999999998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347.81999999999999</v>
      </c>
      <c r="C341" s="14">
        <f>IFERROR(B341/B446, "NA")</f>
      </c>
      <c r="D341" s="15"/>
      <c r="E341" s="13">
        <v>272.77999999999997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450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347.81999999999999</v>
      </c>
      <c r="R341" s="14">
        <f>IFERROR(Q341/Q446, "NA")</f>
      </c>
      <c r="S341" s="15"/>
      <c r="T341" s="13">
        <v>272.77999999999997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450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3107.2800000000002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3107.2800000000002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3333.25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3009.3800000000001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3333.25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3009.3800000000001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-26.609999999999999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-28.66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-26.609999999999999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-28.66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97.780000000000001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14.25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97.780000000000001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14.25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72511.350000000006</v>
      </c>
      <c r="C446" s="33"/>
      <c r="D446" s="15"/>
      <c r="E446" s="13">
        <v>68195.270000000004</v>
      </c>
      <c r="F446" s="33"/>
      <c r="G446" s="15"/>
      <c r="H446" s="16">
        <f>IFERROR(B446-E446, "NA")</f>
      </c>
      <c r="I446" s="33"/>
      <c r="J446" s="15"/>
      <c r="K446" s="13">
        <v>65730.380000000005</v>
      </c>
      <c r="L446" s="33"/>
      <c r="M446" s="15"/>
      <c r="N446" s="16">
        <f>IFERROR(B446-K446, "NA")</f>
      </c>
      <c r="O446" s="33"/>
      <c r="P446" s="15"/>
      <c r="Q446" s="13">
        <v>72511.350000000006</v>
      </c>
      <c r="R446" s="33"/>
      <c r="S446" s="15"/>
      <c r="T446" s="13">
        <v>68195.270000000004</v>
      </c>
      <c r="U446" s="33"/>
      <c r="V446" s="15"/>
      <c r="W446" s="16">
        <f>IFERROR(Q446-T446, "NA")</f>
      </c>
      <c r="X446" s="33"/>
      <c r="Y446" s="15"/>
      <c r="Z446" s="13">
        <v>65730.380000000005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417</v>
      </c>
      <c t="s" r="B3" s="3">
        <v>417</v>
      </c>
      <c t="s" r="C3" s="3">
        <v>417</v>
      </c>
      <c t="s" r="D3" s="3">
        <v>417</v>
      </c>
      <c t="s" r="E3" s="3">
        <v>417</v>
      </c>
      <c t="s" r="F3" s="3">
        <v>417</v>
      </c>
      <c t="s" r="G3" s="3">
        <v>417</v>
      </c>
      <c t="s" r="H3" s="3">
        <v>417</v>
      </c>
      <c t="s" r="I3" s="3">
        <v>417</v>
      </c>
      <c t="s" r="J3" s="3">
        <v>417</v>
      </c>
      <c t="s" r="K3" s="3">
        <v>417</v>
      </c>
      <c t="s" r="L3" s="3">
        <v>417</v>
      </c>
      <c t="s" r="M3" s="3">
        <v>417</v>
      </c>
      <c t="s" r="N3" s="3">
        <v>417</v>
      </c>
      <c t="s" r="O3" s="3">
        <v>417</v>
      </c>
      <c t="s" r="P3" s="3">
        <v>417</v>
      </c>
      <c t="s" r="Q3" s="3">
        <v>417</v>
      </c>
      <c t="s" r="R3" s="3">
        <v>417</v>
      </c>
      <c t="s" r="S3" s="3">
        <v>417</v>
      </c>
      <c t="s" r="T3" s="3">
        <v>417</v>
      </c>
      <c t="s" r="U3" s="3">
        <v>417</v>
      </c>
      <c t="s" r="V3" s="3">
        <v>417</v>
      </c>
      <c t="s" r="W3" s="3">
        <v>417</v>
      </c>
      <c t="s" r="X3" s="3">
        <v>417</v>
      </c>
      <c t="s" r="Y3" s="3">
        <v>417</v>
      </c>
      <c t="s" r="Z3" s="3">
        <v>417</v>
      </c>
      <c t="s" r="AA3" s="3">
        <v>417</v>
      </c>
      <c t="s" r="AB3" s="3">
        <v>417</v>
      </c>
      <c t="s" r="AC3" s="3">
        <v>417</v>
      </c>
      <c t="s" r="AD3" s="3">
        <v>417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41761.269999999997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41761.269999999997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37749.209999999999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33895.5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37749.209999999999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33895.5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3589.8499999999999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3957.5500000000002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3589.8499999999999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3957.5500000000002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48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108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48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108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285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285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8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21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8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21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idden="1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6960.21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6960.21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2778.5900000000001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5276.0500000000002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2778.5900000000001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5276.0500000000002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2776.4000000000001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2776.4000000000001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662.98000000000002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645.63999999999999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662.98000000000002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645.63999999999999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75.810000000000002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75.810000000000002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352.23000000000002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352.23000000000002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838.60000000000002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880.52999999999997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838.60000000000002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880.52999999999997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13088.219999999999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13088.219999999999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8539.2000000000007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8169.9200000000001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8539.2000000000007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8169.9200000000001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627.63999999999999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967.85000000000002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627.63999999999999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967.85000000000002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3913.6900000000001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6312.5600000000004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3913.6900000000001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6312.5600000000004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589.64999999999998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589.64999999999998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766.75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766.75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14374.35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14374.35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1758.9300000000001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2591.1399999999999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1758.9300000000001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2591.1399999999999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10366.440000000001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13090.459999999999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10366.440000000001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13090.459999999999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3101.8299999999999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3101.8299999999999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1078.77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1078.77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1059.1600000000001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1059.1600000000001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139.86000000000001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260.16000000000003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139.86000000000001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260.16000000000003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904.30999999999995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1335.0699999999999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904.30999999999995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1335.0699999999999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-23.300000000000001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-23.300000000000001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-201.11000000000001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-201.11000000000001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-4690.5799999999999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-4690.5799999999999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-684.42999999999995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-1030.8199999999999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-684.42999999999995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-1030.8199999999999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-1889.78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-1685.3599999999999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-1889.78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-1685.3599999999999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idden="1" ht="16.5" customHeight="1">
      <c t="s" r="A100" s="18">
        <v>95</v>
      </c>
      <c r="B100" s="13">
        <v>0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0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0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0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-812.74000000000001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-1358.6500000000001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-812.74000000000001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-1358.6500000000001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-15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-15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-545.60000000000002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-700.33000000000004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-545.60000000000002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-700.33000000000004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-844.74000000000001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-844.74000000000001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17022.259999999998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17022.259999999998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3525.1399999999999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4072.9099999999999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3525.1399999999999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4072.9099999999999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2172.02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2806.3899999999999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2172.02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2806.3899999999999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2023.8199999999999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2864.0999999999999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2023.8199999999999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2864.0999999999999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1666.73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1905.4100000000001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1666.73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1905.4100000000001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981.47000000000003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591.07000000000005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981.47000000000003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591.07000000000005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605.19000000000005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506.26999999999998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605.19000000000005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506.26999999999998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499.97000000000003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499.97000000000003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343.77999999999997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320.88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343.77999999999997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320.88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5564.7700000000004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4000.3800000000001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5564.7700000000004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4000.3800000000001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832.20000000000005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832.20000000000005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1001.01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1077.5799999999999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1001.01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1077.5799999999999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14.539999999999999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45.57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14.539999999999999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45.57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29.899999999999999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18.899999999999999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29.899999999999999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18.899999999999999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21.710000000000001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6.6699999999999999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21.710000000000001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6.6699999999999999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3177.4899999999998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3177.4899999999998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2515.5100000000002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2399.4200000000001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2515.5100000000002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2399.4200000000001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771.03999999999996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830.39999999999998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771.03999999999996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830.39999999999998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300.42000000000002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316.11000000000001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300.42000000000002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316.11000000000001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124.59999999999999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101.61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124.59999999999999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101.61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24.309999999999999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38.799999999999997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24.309999999999999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38.799999999999997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-983.13999999999999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-2160.4099999999999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-983.13999999999999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-2160.4099999999999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5846.1599999999999</v>
      </c>
      <c r="C178" s="14">
        <f>IFERROR(B178/B446, "NA")</f>
      </c>
      <c r="D178" s="15"/>
      <c r="E178" s="13">
        <v>5846.1599999999999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5846.1599999999999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5846.1599999999999</v>
      </c>
      <c r="R178" s="14">
        <f>IFERROR(Q178/Q446, "NA")</f>
      </c>
      <c r="S178" s="15"/>
      <c r="T178" s="13">
        <v>5846.1599999999999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5846.1599999999999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14324.360000000001</v>
      </c>
      <c r="C180" s="14">
        <f>IFERROR(B180/B446, "NA")</f>
      </c>
      <c r="D180" s="15"/>
      <c r="E180" s="13">
        <v>15130.9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14677.02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14324.360000000001</v>
      </c>
      <c r="R180" s="14">
        <f>IFERROR(Q180/Q446, "NA")</f>
      </c>
      <c r="S180" s="15"/>
      <c r="T180" s="13">
        <v>15130.9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14677.02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11.960000000000001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11.960000000000001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350</v>
      </c>
      <c r="C184" s="14">
        <f>IFERROR(B184/B446, "NA")</f>
      </c>
      <c r="D184" s="15"/>
      <c r="E184" s="13">
        <v>350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350</v>
      </c>
      <c r="R184" s="14">
        <f>IFERROR(Q184/Q446, "NA")</f>
      </c>
      <c r="S184" s="15"/>
      <c r="T184" s="13">
        <v>350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500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1855.1500000000001</v>
      </c>
      <c r="C186" s="14">
        <f>IFERROR(B186/B446, "NA")</f>
      </c>
      <c r="D186" s="15"/>
      <c r="E186" s="13">
        <v>2470.8800000000001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2381.5700000000002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1855.1500000000001</v>
      </c>
      <c r="R186" s="14">
        <f>IFERROR(Q186/Q446, "NA")</f>
      </c>
      <c r="S186" s="15"/>
      <c r="T186" s="13">
        <v>2470.8800000000001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2381.5700000000002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212</v>
      </c>
      <c r="C194" s="14">
        <f>IFERROR(B194/B446, "NA")</f>
      </c>
      <c r="D194" s="15"/>
      <c r="E194" s="13">
        <v>170.62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212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212</v>
      </c>
      <c r="R194" s="14">
        <f>IFERROR(Q194/Q446, "NA")</f>
      </c>
      <c r="S194" s="15"/>
      <c r="T194" s="13">
        <v>170.62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212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1601.6300000000001</v>
      </c>
      <c r="C195" s="14">
        <f>IFERROR(B195/B446, "NA")</f>
      </c>
      <c r="D195" s="15"/>
      <c r="E195" s="13">
        <v>226.96000000000001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211.58000000000001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1601.6300000000001</v>
      </c>
      <c r="R195" s="14">
        <f>IFERROR(Q195/Q446, "NA")</f>
      </c>
      <c r="S195" s="15"/>
      <c r="T195" s="13">
        <v>226.96000000000001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211.58000000000001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1034.22</v>
      </c>
      <c r="C202" s="14">
        <f>IFERROR(B202/B446, "NA")</f>
      </c>
      <c r="D202" s="15"/>
      <c r="E202" s="13">
        <v>680.88999999999999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1305.1700000000001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1034.22</v>
      </c>
      <c r="R202" s="14">
        <f>IFERROR(Q202/Q446, "NA")</f>
      </c>
      <c r="S202" s="15"/>
      <c r="T202" s="13">
        <v>680.88999999999999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1305.1700000000001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463.70999999999998</v>
      </c>
      <c r="C203" s="14">
        <f>IFERROR(B203/B446, "NA")</f>
      </c>
      <c r="D203" s="15"/>
      <c r="E203" s="13">
        <v>453.93000000000001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506.75999999999999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463.70999999999998</v>
      </c>
      <c r="R203" s="14">
        <f>IFERROR(Q203/Q446, "NA")</f>
      </c>
      <c r="S203" s="15"/>
      <c r="T203" s="13">
        <v>453.93000000000001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506.75999999999999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26</v>
      </c>
      <c r="C204" s="14">
        <f>IFERROR(B204/B446, "NA")</f>
      </c>
      <c r="D204" s="15"/>
      <c r="E204" s="13">
        <v>151.31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23.920000000000002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26</v>
      </c>
      <c r="R204" s="14">
        <f>IFERROR(Q204/Q446, "NA")</f>
      </c>
      <c r="S204" s="15"/>
      <c r="T204" s="13">
        <v>151.31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23.920000000000002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243.25</v>
      </c>
      <c r="C205" s="14">
        <f>IFERROR(B205/B446, "NA")</f>
      </c>
      <c r="D205" s="15"/>
      <c r="E205" s="13">
        <v>226.96000000000001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209.96000000000001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243.25</v>
      </c>
      <c r="R205" s="14">
        <f>IFERROR(Q205/Q446, "NA")</f>
      </c>
      <c r="S205" s="15"/>
      <c r="T205" s="13">
        <v>226.96000000000001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209.96000000000001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75.650000000000006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0</v>
      </c>
      <c r="R206" s="14">
        <f>IFERROR(Q206/Q446, "NA")</f>
      </c>
      <c r="S206" s="15"/>
      <c r="T206" s="13">
        <v>75.650000000000006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243.13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99.599999999999994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243.13</v>
      </c>
      <c r="R207" s="14">
        <f>IFERROR(Q207/Q446, "NA")</f>
      </c>
      <c r="S207" s="15"/>
      <c r="T207" s="13">
        <v>100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86.299999999999997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143.72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86.299999999999997</v>
      </c>
      <c r="R208" s="14">
        <f>IFERROR(Q208/Q446, "NA")</f>
      </c>
      <c r="S208" s="15"/>
      <c r="T208" s="13">
        <v>100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143.72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2193.98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2193.98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1217.9400000000001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2284.0500000000002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1217.9400000000001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2284.0500000000002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183.63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183.63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206.34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1457.54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206.34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1457.54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150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171.81999999999999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150</v>
      </c>
      <c r="R222" s="14">
        <f>IFERROR(Q222/Q446, "NA")</f>
      </c>
      <c r="S222" s="15"/>
      <c r="T222" s="13">
        <v>100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171.81999999999999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983.50999999999999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983.50999999999999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216.37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216.37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1084.3199999999999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1241.8800000000001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1084.3199999999999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1241.8800000000001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5.96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5.96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4009.6900000000001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4009.6900000000001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1259.4300000000001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1018.13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1259.4300000000001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1018.13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1605.8199999999999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2094.5599999999999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1605.8199999999999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2094.5599999999999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472.25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472.25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107.7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285.70999999999998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107.7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285.70999999999998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250.59999999999999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263.13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250.59999999999999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263.13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725.88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780.46000000000004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725.88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780.46000000000004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2100.3200000000002</v>
      </c>
      <c r="C266" s="14">
        <f>IFERROR(B266/B446, "NA")</f>
      </c>
      <c r="D266" s="15"/>
      <c r="E266" s="13">
        <v>2193.98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1981.9000000000001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2100.3200000000002</v>
      </c>
      <c r="R266" s="14">
        <f>IFERROR(Q266/Q446, "NA")</f>
      </c>
      <c r="S266" s="15"/>
      <c r="T266" s="13">
        <v>2193.98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1981.9000000000001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197.88</v>
      </c>
      <c r="C271" s="14">
        <f>IFERROR(B271/B446, "NA")</f>
      </c>
      <c r="D271" s="15"/>
      <c r="E271" s="13">
        <v>200.19999999999999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201.72999999999999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197.88</v>
      </c>
      <c r="R271" s="14">
        <f>IFERROR(Q271/Q446, "NA")</f>
      </c>
      <c r="S271" s="15"/>
      <c r="T271" s="13">
        <v>200.19999999999999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201.72999999999999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894.42999999999995</v>
      </c>
      <c r="C272" s="14">
        <f>IFERROR(B272/B446, "NA")</f>
      </c>
      <c r="D272" s="15"/>
      <c r="E272" s="13">
        <v>894.42999999999995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778.58000000000004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894.42999999999995</v>
      </c>
      <c r="R272" s="14">
        <f>IFERROR(Q272/Q446, "NA")</f>
      </c>
      <c r="S272" s="15"/>
      <c r="T272" s="13">
        <v>894.42999999999995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778.58000000000004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137.5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137.5</v>
      </c>
      <c r="R289" s="14">
        <f>IFERROR(Q289/Q446, "NA")</f>
      </c>
      <c r="S289" s="15"/>
      <c r="T289" s="13">
        <v>138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137.5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156.81</v>
      </c>
      <c r="C290" s="14">
        <f>IFERROR(B290/B446, "NA")</f>
      </c>
      <c r="D290" s="15"/>
      <c r="E290" s="13">
        <v>211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140.88999999999999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156.81</v>
      </c>
      <c r="R290" s="14">
        <f>IFERROR(Q290/Q446, "NA")</f>
      </c>
      <c r="S290" s="15"/>
      <c r="T290" s="13">
        <v>211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140.88999999999999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869.20000000000005</v>
      </c>
      <c r="C291" s="14">
        <f>IFERROR(B291/B446, "NA")</f>
      </c>
      <c r="D291" s="15"/>
      <c r="E291" s="13">
        <v>453.93000000000001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809.63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869.20000000000005</v>
      </c>
      <c r="R291" s="14">
        <f>IFERROR(Q291/Q446, "NA")</f>
      </c>
      <c r="S291" s="15"/>
      <c r="T291" s="13">
        <v>453.93000000000001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809.63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0</v>
      </c>
      <c r="C292" s="14">
        <f>IFERROR(B292/B446, "NA")</f>
      </c>
      <c r="D292" s="15"/>
      <c r="E292" s="13">
        <v>302.62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0</v>
      </c>
      <c r="R292" s="14">
        <f>IFERROR(Q292/Q446, "NA")</f>
      </c>
      <c r="S292" s="15"/>
      <c r="T292" s="13">
        <v>302.62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0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75.650000000000006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75.650000000000006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75.650000000000006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369.93000000000001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75.650000000000006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369.93000000000001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309.99000000000001</v>
      </c>
      <c r="C295" s="14">
        <f>IFERROR(B295/B446, "NA")</f>
      </c>
      <c r="D295" s="15"/>
      <c r="E295" s="13">
        <v>346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319.99000000000001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309.99000000000001</v>
      </c>
      <c r="R295" s="14">
        <f>IFERROR(Q295/Q446, "NA")</f>
      </c>
      <c r="S295" s="15"/>
      <c r="T295" s="13">
        <v>346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319.99000000000001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567.83000000000004</v>
      </c>
      <c r="C300" s="14">
        <f>IFERROR(B300/B446, "NA")</f>
      </c>
      <c r="D300" s="15"/>
      <c r="E300" s="13">
        <v>575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194.06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567.83000000000004</v>
      </c>
      <c r="R300" s="14">
        <f>IFERROR(Q300/Q446, "NA")</f>
      </c>
      <c r="S300" s="15"/>
      <c r="T300" s="13">
        <v>575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194.06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39.600000000000001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31.57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39.600000000000001</v>
      </c>
      <c r="R311" s="14">
        <f>IFERROR(Q311/Q446, "NA")</f>
      </c>
      <c r="S311" s="15"/>
      <c r="T311" s="13">
        <v>55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31.57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63.329999999999998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29.030000000000001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63.329999999999998</v>
      </c>
      <c r="R313" s="14">
        <f>IFERROR(Q313/Q446, "NA")</f>
      </c>
      <c r="S313" s="15"/>
      <c r="T313" s="13">
        <v>35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29.030000000000001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18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0</v>
      </c>
      <c r="R314" s="14">
        <f>IFERROR(Q314/Q446, "NA")</f>
      </c>
      <c r="S314" s="15"/>
      <c r="T314" s="13">
        <v>10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18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748.97000000000003</v>
      </c>
      <c r="C316" s="14">
        <f>IFERROR(B316/B446, "NA")</f>
      </c>
      <c r="D316" s="15"/>
      <c r="E316" s="13">
        <v>529.58000000000004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794.11000000000001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748.97000000000003</v>
      </c>
      <c r="R316" s="14">
        <f>IFERROR(Q316/Q446, "NA")</f>
      </c>
      <c r="S316" s="15"/>
      <c r="T316" s="13">
        <v>529.58000000000004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794.11000000000001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490.60000000000002</v>
      </c>
      <c r="C319" s="14">
        <f>IFERROR(B319/B446, "NA")</f>
      </c>
      <c r="D319" s="15"/>
      <c r="E319" s="13">
        <v>491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490.60000000000002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490.60000000000002</v>
      </c>
      <c r="R319" s="14">
        <f>IFERROR(Q319/Q446, "NA")</f>
      </c>
      <c r="S319" s="15"/>
      <c r="T319" s="13">
        <v>491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490.60000000000002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160.38</v>
      </c>
      <c r="C320" s="14">
        <f>IFERROR(B320/B446, "NA")</f>
      </c>
      <c r="D320" s="15"/>
      <c r="E320" s="13">
        <v>160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160.16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160.38</v>
      </c>
      <c r="R320" s="14">
        <f>IFERROR(Q320/Q446, "NA")</f>
      </c>
      <c r="S320" s="15"/>
      <c r="T320" s="13">
        <v>160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160.16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1121.3599999999999</v>
      </c>
      <c r="C321" s="14">
        <f>IFERROR(B321/B446, "NA")</f>
      </c>
      <c r="D321" s="15"/>
      <c r="E321" s="13">
        <v>1121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1031.0699999999999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1121.3599999999999</v>
      </c>
      <c r="R321" s="14">
        <f>IFERROR(Q321/Q446, "NA")</f>
      </c>
      <c r="S321" s="15"/>
      <c r="T321" s="13">
        <v>1121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1031.0699999999999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983.13999999999999</v>
      </c>
      <c r="C322" s="14">
        <f>IFERROR(B322/B446, "NA")</f>
      </c>
      <c r="D322" s="15"/>
      <c r="E322" s="13">
        <v>1059.1600000000001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2160.4099999999999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983.13999999999999</v>
      </c>
      <c r="R322" s="14">
        <f>IFERROR(Q322/Q446, "NA")</f>
      </c>
      <c r="S322" s="15"/>
      <c r="T322" s="13">
        <v>1059.1600000000001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2160.4099999999999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280.20999999999998</v>
      </c>
      <c r="C323" s="14">
        <f>IFERROR(B323/B446, "NA")</f>
      </c>
      <c r="D323" s="15"/>
      <c r="E323" s="13">
        <v>366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185.11000000000001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280.20999999999998</v>
      </c>
      <c r="R323" s="14">
        <f>IFERROR(Q323/Q446, "NA")</f>
      </c>
      <c r="S323" s="15"/>
      <c r="T323" s="13">
        <v>366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185.11000000000001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0.01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0.01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13526.48</v>
      </c>
      <c r="C330" s="14">
        <f>IFERROR(B330/B446, "NA")</f>
      </c>
      <c r="D330" s="15"/>
      <c r="E330" s="13">
        <v>13526.48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13132.5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13526.48</v>
      </c>
      <c r="R330" s="14">
        <f>IFERROR(Q330/Q446, "NA")</f>
      </c>
      <c r="S330" s="15"/>
      <c r="T330" s="13">
        <v>13526.48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13132.5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2126</v>
      </c>
      <c r="C331" s="14">
        <f>IFERROR(B331/B446, "NA")</f>
      </c>
      <c r="D331" s="15"/>
      <c r="E331" s="13">
        <v>2126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2126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2126</v>
      </c>
      <c r="R331" s="14">
        <f>IFERROR(Q331/Q446, "NA")</f>
      </c>
      <c r="S331" s="15"/>
      <c r="T331" s="13">
        <v>2126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2126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180</v>
      </c>
      <c r="C333" s="14">
        <f>IFERROR(B333/B446, "NA")</f>
      </c>
      <c r="D333" s="15"/>
      <c r="E333" s="13">
        <v>180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180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180</v>
      </c>
      <c r="R333" s="14">
        <f>IFERROR(Q333/Q446, "NA")</f>
      </c>
      <c r="S333" s="15"/>
      <c r="T333" s="13">
        <v>180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180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1254</v>
      </c>
      <c r="C334" s="14">
        <f>IFERROR(B334/B446, "NA")</f>
      </c>
      <c r="D334" s="15"/>
      <c r="E334" s="13">
        <v>1025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1024.6900000000001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1254</v>
      </c>
      <c r="R334" s="14">
        <f>IFERROR(Q334/Q446, "NA")</f>
      </c>
      <c r="S334" s="15"/>
      <c r="T334" s="13">
        <v>1025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1024.6900000000001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-1041.54</v>
      </c>
      <c r="C335" s="14">
        <f>IFERROR(B335/B446, "NA")</f>
      </c>
      <c r="D335" s="15"/>
      <c r="E335" s="13">
        <v>-1041.54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-1011.2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-1041.54</v>
      </c>
      <c r="R335" s="14">
        <f>IFERROR(Q335/Q446, "NA")</f>
      </c>
      <c r="S335" s="15"/>
      <c r="T335" s="13">
        <v>-1041.54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-1011.2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360</v>
      </c>
      <c r="C339" s="14">
        <f>IFERROR(B339/B446, "NA")</f>
      </c>
      <c r="D339" s="15"/>
      <c r="E339" s="13">
        <v>302.62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486.25999999999999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360</v>
      </c>
      <c r="R339" s="14">
        <f>IFERROR(Q339/Q446, "NA")</f>
      </c>
      <c r="S339" s="15"/>
      <c r="T339" s="13">
        <v>302.62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486.25999999999999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400</v>
      </c>
      <c r="C340" s="14">
        <f>IFERROR(B340/B446, "NA")</f>
      </c>
      <c r="D340" s="15"/>
      <c r="E340" s="13">
        <v>226.96000000000001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366.74000000000001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400</v>
      </c>
      <c r="R340" s="14">
        <f>IFERROR(Q340/Q446, "NA")</f>
      </c>
      <c r="S340" s="15"/>
      <c r="T340" s="13">
        <v>226.96000000000001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366.74000000000001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433</v>
      </c>
      <c r="C341" s="14">
        <f>IFERROR(B341/B446, "NA")</f>
      </c>
      <c r="D341" s="15"/>
      <c r="E341" s="13">
        <v>226.96000000000001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509.18000000000001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433</v>
      </c>
      <c r="R341" s="14">
        <f>IFERROR(Q341/Q446, "NA")</f>
      </c>
      <c r="S341" s="15"/>
      <c r="T341" s="13">
        <v>226.96000000000001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509.18000000000001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472.43000000000001</v>
      </c>
      <c r="C342" s="14">
        <f>IFERROR(B342/B446, "NA")</f>
      </c>
      <c r="D342" s="15"/>
      <c r="E342" s="13">
        <v>302.62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470.94999999999999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472.43000000000001</v>
      </c>
      <c r="R342" s="14">
        <f>IFERROR(Q342/Q446, "NA")</f>
      </c>
      <c r="S342" s="15"/>
      <c r="T342" s="13">
        <v>302.62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470.94999999999999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8344.9099999999999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8344.9099999999999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8507.9899999999998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8002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8507.9899999999998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8002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-28.34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-29.309999999999999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-28.34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-29.309999999999999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-43.289999999999999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70.599999999999994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-43.289999999999999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70.599999999999994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72649.5</v>
      </c>
      <c r="C446" s="33"/>
      <c r="D446" s="15"/>
      <c r="E446" s="13">
        <v>75654.460000000006</v>
      </c>
      <c r="F446" s="33"/>
      <c r="G446" s="15"/>
      <c r="H446" s="16">
        <f>IFERROR(B446-E446, "NA")</f>
      </c>
      <c r="I446" s="33"/>
      <c r="J446" s="15"/>
      <c r="K446" s="13">
        <v>72919.979999999996</v>
      </c>
      <c r="L446" s="33"/>
      <c r="M446" s="15"/>
      <c r="N446" s="16">
        <f>IFERROR(B446-K446, "NA")</f>
      </c>
      <c r="O446" s="33"/>
      <c r="P446" s="15"/>
      <c r="Q446" s="13">
        <v>72649.5</v>
      </c>
      <c r="R446" s="33"/>
      <c r="S446" s="15"/>
      <c r="T446" s="13">
        <v>75654.460000000006</v>
      </c>
      <c r="U446" s="33"/>
      <c r="V446" s="15"/>
      <c r="W446" s="16">
        <f>IFERROR(Q446-T446, "NA")</f>
      </c>
      <c r="X446" s="33"/>
      <c r="Y446" s="15"/>
      <c r="Z446" s="13">
        <v>72919.979999999996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418</v>
      </c>
      <c t="s" r="B3" s="3">
        <v>418</v>
      </c>
      <c t="s" r="C3" s="3">
        <v>418</v>
      </c>
      <c t="s" r="D3" s="3">
        <v>418</v>
      </c>
      <c t="s" r="E3" s="3">
        <v>418</v>
      </c>
      <c t="s" r="F3" s="3">
        <v>418</v>
      </c>
      <c t="s" r="G3" s="3">
        <v>418</v>
      </c>
      <c t="s" r="H3" s="3">
        <v>418</v>
      </c>
      <c t="s" r="I3" s="3">
        <v>418</v>
      </c>
      <c t="s" r="J3" s="3">
        <v>418</v>
      </c>
      <c t="s" r="K3" s="3">
        <v>418</v>
      </c>
      <c t="s" r="L3" s="3">
        <v>418</v>
      </c>
      <c t="s" r="M3" s="3">
        <v>418</v>
      </c>
      <c t="s" r="N3" s="3">
        <v>418</v>
      </c>
      <c t="s" r="O3" s="3">
        <v>418</v>
      </c>
      <c t="s" r="P3" s="3">
        <v>418</v>
      </c>
      <c t="s" r="Q3" s="3">
        <v>418</v>
      </c>
      <c t="s" r="R3" s="3">
        <v>418</v>
      </c>
      <c t="s" r="S3" s="3">
        <v>418</v>
      </c>
      <c t="s" r="T3" s="3">
        <v>418</v>
      </c>
      <c t="s" r="U3" s="3">
        <v>418</v>
      </c>
      <c t="s" r="V3" s="3">
        <v>418</v>
      </c>
      <c t="s" r="W3" s="3">
        <v>418</v>
      </c>
      <c t="s" r="X3" s="3">
        <v>418</v>
      </c>
      <c t="s" r="Y3" s="3">
        <v>418</v>
      </c>
      <c t="s" r="Z3" s="3">
        <v>418</v>
      </c>
      <c t="s" r="AA3" s="3">
        <v>418</v>
      </c>
      <c t="s" r="AB3" s="3">
        <v>418</v>
      </c>
      <c t="s" r="AC3" s="3">
        <v>418</v>
      </c>
      <c t="s" r="AD3" s="3">
        <v>418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46420.480000000003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46420.480000000003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41060.230000000003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41210.599999999999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41060.230000000003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41210.599999999999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4325.6499999999996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4275.0500000000002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4325.6499999999996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4275.0500000000002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116.5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77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116.5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77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10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300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10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300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42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54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42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54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0.12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0.12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10391.200000000001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10391.200000000001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5174.3900000000003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7744.8000000000002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5174.3900000000003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7744.8000000000002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3277.77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3277.77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775.25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1089.1300000000001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775.25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1089.1300000000001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106.62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106.62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562.80999999999995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562.80999999999995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808.64999999999998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838.60000000000002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808.64999999999998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838.60000000000002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17674.740000000002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17674.740000000002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9034.7000000000007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6554.9899999999998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9034.7000000000007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6554.9899999999998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840.75999999999999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809.78999999999996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840.75999999999999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809.78999999999996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6479.6599999999999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8777.9599999999991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6479.6599999999999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8777.9599999999991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454.60000000000002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454.60000000000002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521.39999999999998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919.25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521.39999999999998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919.25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17966.09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17966.09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2742.9499999999998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2626.25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2742.9499999999998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2626.25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9690.9099999999999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17293.09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9690.9099999999999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17293.09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7769.1199999999999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7769.1199999999999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4441.7399999999998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4441.7399999999998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3730.1100000000001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5885.2200000000003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3730.1100000000001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5885.2200000000003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717.65999999999997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717.65999999999997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-17.850000000000001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-17.850000000000001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1456.71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1456.71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218.81999999999999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141.74000000000001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218.81999999999999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141.74000000000001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926.75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1584.77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926.75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1584.77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idden="1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0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-179.31999999999999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-179.31999999999999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-4564.3599999999997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-4564.3599999999997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-1336.3599999999999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-1493.1500000000001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-1336.3599999999999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-1493.1500000000001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-2797.77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-2036.77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-2797.77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-2036.77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-31.390000000000001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-361.32999999999998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-31.390000000000001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-361.32999999999998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-221.33000000000001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-223.62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-221.33000000000001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-223.62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-10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-10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-472.55000000000001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-571.73000000000002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-472.55000000000001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-571.73000000000002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-33.990000000000002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-5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-33.990000000000002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-5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22336.220000000001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22336.220000000001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5105.5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5755.29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5105.5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5755.29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2859.8899999999999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2963.0900000000001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2859.8899999999999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2963.0900000000001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2832.6700000000001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3674.6599999999999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2832.6700000000001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3674.6599999999999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2268.6199999999999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2372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2268.6199999999999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2372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1255.78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926.46000000000004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1255.78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926.46000000000004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712.88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797.10000000000002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712.88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797.10000000000002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739.08000000000004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739.08000000000004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579.28999999999996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533.97000000000003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579.28999999999996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533.97000000000003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7287.7600000000002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5136.96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7287.7600000000002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5136.96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1068.25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1068.25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1134.3599999999999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984.86000000000001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1134.3599999999999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984.86000000000001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36.109999999999999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21.559999999999999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36.109999999999999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21.559999999999999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57.990000000000002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0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57.990000000000002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11.59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14.539999999999999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11.59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14.539999999999999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3981.6700000000001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3981.6700000000001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3180.8800000000001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2669.27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3180.8800000000001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2669.27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724.26999999999998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880.71000000000004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724.26999999999998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880.71000000000004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132.49000000000001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181.93000000000001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132.49000000000001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181.93000000000001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3.5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3.5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126.38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102.45999999999999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126.38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102.45999999999999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27.309999999999999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45.799999999999997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27.309999999999999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45.799999999999997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-1219.98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-3914.4200000000001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-1219.98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-3914.4200000000001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5192.3199999999997</v>
      </c>
      <c r="C178" s="14">
        <f>IFERROR(B178/B446, "NA")</f>
      </c>
      <c r="D178" s="15"/>
      <c r="E178" s="13">
        <v>5192.3199999999997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5192.3199999999997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5192.3199999999997</v>
      </c>
      <c r="R178" s="14">
        <f>IFERROR(Q178/Q446, "NA")</f>
      </c>
      <c r="S178" s="15"/>
      <c r="T178" s="13">
        <v>5192.3199999999997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5192.3199999999997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20184.650000000001</v>
      </c>
      <c r="C180" s="14">
        <f>IFERROR(B180/B446, "NA")</f>
      </c>
      <c r="D180" s="15"/>
      <c r="E180" s="13">
        <v>19908.369999999999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19974.470000000001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20184.650000000001</v>
      </c>
      <c r="R180" s="14">
        <f>IFERROR(Q180/Q446, "NA")</f>
      </c>
      <c r="S180" s="15"/>
      <c r="T180" s="13">
        <v>19908.369999999999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19974.470000000001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0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15.859999999999999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0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15.859999999999999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325</v>
      </c>
      <c r="C184" s="14">
        <f>IFERROR(B184/B446, "NA")</f>
      </c>
      <c r="D184" s="15"/>
      <c r="E184" s="13">
        <v>325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325</v>
      </c>
      <c r="R184" s="14">
        <f>IFERROR(Q184/Q446, "NA")</f>
      </c>
      <c r="S184" s="15"/>
      <c r="T184" s="13">
        <v>325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500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2465.04</v>
      </c>
      <c r="C186" s="14">
        <f>IFERROR(B186/B446, "NA")</f>
      </c>
      <c r="D186" s="15"/>
      <c r="E186" s="13">
        <v>2588.4699999999998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2545.1999999999998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2465.04</v>
      </c>
      <c r="R186" s="14">
        <f>IFERROR(Q186/Q446, "NA")</f>
      </c>
      <c r="S186" s="15"/>
      <c r="T186" s="13">
        <v>2588.4699999999998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2545.1999999999998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275.60000000000002</v>
      </c>
      <c r="C194" s="14">
        <f>IFERROR(B194/B446, "NA")</f>
      </c>
      <c r="D194" s="15"/>
      <c r="E194" s="13">
        <v>203.41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275.60000000000002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275.60000000000002</v>
      </c>
      <c r="R194" s="14">
        <f>IFERROR(Q194/Q446, "NA")</f>
      </c>
      <c r="S194" s="15"/>
      <c r="T194" s="13">
        <v>203.41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275.60000000000002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874.02999999999997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895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874.02999999999997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895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870.80999999999995</v>
      </c>
      <c r="C202" s="14">
        <f>IFERROR(B202/B446, "NA")</f>
      </c>
      <c r="D202" s="15"/>
      <c r="E202" s="13">
        <v>1068.25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818.59000000000003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870.80999999999995</v>
      </c>
      <c r="R202" s="14">
        <f>IFERROR(Q202/Q446, "NA")</f>
      </c>
      <c r="S202" s="15"/>
      <c r="T202" s="13">
        <v>1068.25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818.59000000000003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625.96000000000004</v>
      </c>
      <c r="C203" s="14">
        <f>IFERROR(B203/B446, "NA")</f>
      </c>
      <c r="D203" s="15"/>
      <c r="E203" s="13">
        <v>679.79999999999995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524.75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625.96000000000004</v>
      </c>
      <c r="R203" s="14">
        <f>IFERROR(Q203/Q446, "NA")</f>
      </c>
      <c r="S203" s="15"/>
      <c r="T203" s="13">
        <v>679.79999999999995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524.75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22.890000000000001</v>
      </c>
      <c r="C204" s="14">
        <f>IFERROR(B204/B446, "NA")</f>
      </c>
      <c r="D204" s="15"/>
      <c r="E204" s="13">
        <v>194.22999999999999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22.699999999999999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22.890000000000001</v>
      </c>
      <c r="R204" s="14">
        <f>IFERROR(Q204/Q446, "NA")</f>
      </c>
      <c r="S204" s="15"/>
      <c r="T204" s="13">
        <v>194.22999999999999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22.699999999999999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455.30000000000001</v>
      </c>
      <c r="C205" s="14">
        <f>IFERROR(B205/B446, "NA")</f>
      </c>
      <c r="D205" s="15"/>
      <c r="E205" s="13">
        <v>291.33999999999997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364.24000000000001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455.30000000000001</v>
      </c>
      <c r="R205" s="14">
        <f>IFERROR(Q205/Q446, "NA")</f>
      </c>
      <c r="S205" s="15"/>
      <c r="T205" s="13">
        <v>291.33999999999997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364.24000000000001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97.109999999999999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0</v>
      </c>
      <c r="R206" s="14">
        <f>IFERROR(Q206/Q446, "NA")</f>
      </c>
      <c r="S206" s="15"/>
      <c r="T206" s="13">
        <v>97.109999999999999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99.599999999999994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100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127.12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103.42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127.12</v>
      </c>
      <c r="R208" s="14">
        <f>IFERROR(Q208/Q446, "NA")</f>
      </c>
      <c r="S208" s="15"/>
      <c r="T208" s="13">
        <v>100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103.42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2816.3099999999999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2816.3099999999999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1462.4100000000001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1858.6099999999999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1462.4100000000001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1858.6099999999999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185.38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185.38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317.68000000000001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1735.97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317.68000000000001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1735.97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246.84999999999999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0</v>
      </c>
      <c r="R222" s="14">
        <f>IFERROR(Q222/Q446, "NA")</f>
      </c>
      <c r="S222" s="15"/>
      <c r="T222" s="13">
        <v>100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246.84999999999999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1262.48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1262.48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231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217.05000000000001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231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217.05000000000001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1172.8299999999999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1658.46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1172.8299999999999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1658.46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14.9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14.9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5923.9499999999998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5923.9499999999998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1315.9200000000001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916.70000000000005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1315.9200000000001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916.70000000000005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1933.52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3270.7199999999998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1933.52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3270.7199999999998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808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808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140.34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238.19999999999999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140.34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238.19999999999999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241.65000000000001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250.59999999999999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241.65000000000001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250.59999999999999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1214.26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1142.6700000000001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1214.26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1142.6700000000001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741.61000000000001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1175.98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741.61000000000001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1175.98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2472.1100000000001</v>
      </c>
      <c r="C266" s="14">
        <f>IFERROR(B266/B446, "NA")</f>
      </c>
      <c r="D266" s="15"/>
      <c r="E266" s="13">
        <v>2622.0799999999999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2537.0999999999999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2472.1100000000001</v>
      </c>
      <c r="R266" s="14">
        <f>IFERROR(Q266/Q446, "NA")</f>
      </c>
      <c r="S266" s="15"/>
      <c r="T266" s="13">
        <v>2622.0799999999999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2537.0999999999999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89.719999999999999</v>
      </c>
      <c r="C271" s="14">
        <f>IFERROR(B271/B446, "NA")</f>
      </c>
      <c r="D271" s="15"/>
      <c r="E271" s="13">
        <v>111.38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214.97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89.719999999999999</v>
      </c>
      <c r="R271" s="14">
        <f>IFERROR(Q271/Q446, "NA")</f>
      </c>
      <c r="S271" s="15"/>
      <c r="T271" s="13">
        <v>111.38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214.97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1183.72</v>
      </c>
      <c r="C272" s="14">
        <f>IFERROR(B272/B446, "NA")</f>
      </c>
      <c r="D272" s="15"/>
      <c r="E272" s="13">
        <v>1183.75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806.53999999999996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1183.72</v>
      </c>
      <c r="R272" s="14">
        <f>IFERROR(Q272/Q446, "NA")</f>
      </c>
      <c r="S272" s="15"/>
      <c r="T272" s="13">
        <v>1183.75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806.53999999999996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199.27000000000001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158.34999999999999</v>
      </c>
      <c r="C289" s="14">
        <f>IFERROR(B289/B446, "NA")</f>
      </c>
      <c r="D289" s="15"/>
      <c r="E289" s="13">
        <v>158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158.33000000000001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158.34999999999999</v>
      </c>
      <c r="R289" s="14">
        <f>IFERROR(Q289/Q446, "NA")</f>
      </c>
      <c r="S289" s="15"/>
      <c r="T289" s="13">
        <v>158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158.33000000000001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247.30000000000001</v>
      </c>
      <c r="C290" s="14">
        <f>IFERROR(B290/B446, "NA")</f>
      </c>
      <c r="D290" s="15"/>
      <c r="E290" s="13">
        <v>233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205.72999999999999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247.30000000000001</v>
      </c>
      <c r="R290" s="14">
        <f>IFERROR(Q290/Q446, "NA")</f>
      </c>
      <c r="S290" s="15"/>
      <c r="T290" s="13">
        <v>233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205.72999999999999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746.95000000000005</v>
      </c>
      <c r="C291" s="14">
        <f>IFERROR(B291/B446, "NA")</f>
      </c>
      <c r="D291" s="15"/>
      <c r="E291" s="13">
        <v>291.33999999999997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746.95000000000005</v>
      </c>
      <c r="R291" s="14">
        <f>IFERROR(Q291/Q446, "NA")</f>
      </c>
      <c r="S291" s="15"/>
      <c r="T291" s="13">
        <v>291.33999999999997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0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1271.3299999999999</v>
      </c>
      <c r="C292" s="14">
        <f>IFERROR(B292/B446, "NA")</f>
      </c>
      <c r="D292" s="15"/>
      <c r="E292" s="13">
        <v>388.45999999999998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1271.3299999999999</v>
      </c>
      <c r="R292" s="14">
        <f>IFERROR(Q292/Q446, "NA")</f>
      </c>
      <c r="S292" s="15"/>
      <c r="T292" s="13">
        <v>388.45999999999998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0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97.109999999999999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97.109999999999999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97.109999999999999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97.109999999999999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299.99000000000001</v>
      </c>
      <c r="C295" s="14">
        <f>IFERROR(B295/B446, "NA")</f>
      </c>
      <c r="D295" s="15"/>
      <c r="E295" s="13">
        <v>412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324.99000000000001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299.99000000000001</v>
      </c>
      <c r="R295" s="14">
        <f>IFERROR(Q295/Q446, "NA")</f>
      </c>
      <c r="S295" s="15"/>
      <c r="T295" s="13">
        <v>412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324.99000000000001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476.52999999999997</v>
      </c>
      <c r="C300" s="14">
        <f>IFERROR(B300/B446, "NA")</f>
      </c>
      <c r="D300" s="15"/>
      <c r="E300" s="13">
        <v>469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469.19999999999999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476.52999999999997</v>
      </c>
      <c r="R300" s="14">
        <f>IFERROR(Q300/Q446, "NA")</f>
      </c>
      <c r="S300" s="15"/>
      <c r="T300" s="13">
        <v>469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469.19999999999999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24.07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24.07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100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100</v>
      </c>
      <c r="R311" s="14">
        <f>IFERROR(Q311/Q446, "NA")</f>
      </c>
      <c r="S311" s="15"/>
      <c r="T311" s="13">
        <v>55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192.88999999999999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176.65000000000001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192.88999999999999</v>
      </c>
      <c r="R313" s="14">
        <f>IFERROR(Q313/Q446, "NA")</f>
      </c>
      <c r="S313" s="15"/>
      <c r="T313" s="13">
        <v>35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176.65000000000001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10</v>
      </c>
      <c r="C314" s="14">
        <f>IFERROR(B314/B446, "NA")</f>
      </c>
      <c r="D314" s="15"/>
      <c r="E314" s="13">
        <v>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14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10</v>
      </c>
      <c r="R314" s="14">
        <f>IFERROR(Q314/Q446, "NA")</f>
      </c>
      <c r="S314" s="15"/>
      <c r="T314" s="13">
        <v>10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14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533.33000000000004</v>
      </c>
      <c r="C316" s="14">
        <f>IFERROR(B316/B446, "NA")</f>
      </c>
      <c r="D316" s="15"/>
      <c r="E316" s="13">
        <v>388.45999999999998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533.33000000000004</v>
      </c>
      <c r="R316" s="14">
        <f>IFERROR(Q316/Q446, "NA")</f>
      </c>
      <c r="S316" s="15"/>
      <c r="T316" s="13">
        <v>388.45999999999998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317.32999999999998</v>
      </c>
      <c r="C320" s="14">
        <f>IFERROR(B320/B446, "NA")</f>
      </c>
      <c r="D320" s="15"/>
      <c r="E320" s="13">
        <v>308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245.81999999999999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317.32999999999998</v>
      </c>
      <c r="R320" s="14">
        <f>IFERROR(Q320/Q446, "NA")</f>
      </c>
      <c r="S320" s="15"/>
      <c r="T320" s="13">
        <v>308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245.81999999999999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1185.6400000000001</v>
      </c>
      <c r="C321" s="14">
        <f>IFERROR(B321/B446, "NA")</f>
      </c>
      <c r="D321" s="15"/>
      <c r="E321" s="13">
        <v>1186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1081.0699999999999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1185.6400000000001</v>
      </c>
      <c r="R321" s="14">
        <f>IFERROR(Q321/Q446, "NA")</f>
      </c>
      <c r="S321" s="15"/>
      <c r="T321" s="13">
        <v>1186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1081.0699999999999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1219.98</v>
      </c>
      <c r="C322" s="14">
        <f>IFERROR(B322/B446, "NA")</f>
      </c>
      <c r="D322" s="15"/>
      <c r="E322" s="13">
        <v>1359.5999999999999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3914.4200000000001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1219.98</v>
      </c>
      <c r="R322" s="14">
        <f>IFERROR(Q322/Q446, "NA")</f>
      </c>
      <c r="S322" s="15"/>
      <c r="T322" s="13">
        <v>1359.5999999999999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3914.4200000000001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368.00999999999999</v>
      </c>
      <c r="C323" s="14">
        <f>IFERROR(B323/B446, "NA")</f>
      </c>
      <c r="D323" s="15"/>
      <c r="E323" s="13">
        <v>252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269.19999999999999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368.00999999999999</v>
      </c>
      <c r="R323" s="14">
        <f>IFERROR(Q323/Q446, "NA")</f>
      </c>
      <c r="S323" s="15"/>
      <c r="T323" s="13">
        <v>252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269.19999999999999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20059.040000000001</v>
      </c>
      <c r="C330" s="14">
        <f>IFERROR(B330/B446, "NA")</f>
      </c>
      <c r="D330" s="15"/>
      <c r="E330" s="13">
        <v>20059.040000000001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19569.790000000001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20059.040000000001</v>
      </c>
      <c r="R330" s="14">
        <f>IFERROR(Q330/Q446, "NA")</f>
      </c>
      <c r="S330" s="15"/>
      <c r="T330" s="13">
        <v>20059.040000000001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19569.790000000001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658.50999999999999</v>
      </c>
      <c r="C331" s="14">
        <f>IFERROR(B331/B446, "NA")</f>
      </c>
      <c r="D331" s="15"/>
      <c r="E331" s="13">
        <v>658.50999999999999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658.50999999999999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658.50999999999999</v>
      </c>
      <c r="R331" s="14">
        <f>IFERROR(Q331/Q446, "NA")</f>
      </c>
      <c r="S331" s="15"/>
      <c r="T331" s="13">
        <v>658.50999999999999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658.50999999999999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855.92999999999995</v>
      </c>
      <c r="C334" s="14">
        <f>IFERROR(B334/B446, "NA")</f>
      </c>
      <c r="D334" s="15"/>
      <c r="E334" s="13">
        <v>856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760.63999999999999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855.92999999999995</v>
      </c>
      <c r="R334" s="14">
        <f>IFERROR(Q334/Q446, "NA")</f>
      </c>
      <c r="S334" s="15"/>
      <c r="T334" s="13">
        <v>856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760.63999999999999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-1544.55</v>
      </c>
      <c r="C335" s="14">
        <f>IFERROR(B335/B446, "NA")</f>
      </c>
      <c r="D335" s="15"/>
      <c r="E335" s="13">
        <v>-1544.55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-1506.8699999999999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-1544.55</v>
      </c>
      <c r="R335" s="14">
        <f>IFERROR(Q335/Q446, "NA")</f>
      </c>
      <c r="S335" s="15"/>
      <c r="T335" s="13">
        <v>-1544.55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-1506.8699999999999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1933.1099999999999</v>
      </c>
      <c r="C339" s="14">
        <f>IFERROR(B339/B446, "NA")</f>
      </c>
      <c r="D339" s="15"/>
      <c r="E339" s="13">
        <v>2039.3900000000001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1801.3699999999999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1933.1099999999999</v>
      </c>
      <c r="R339" s="14">
        <f>IFERROR(Q339/Q446, "NA")</f>
      </c>
      <c r="S339" s="15"/>
      <c r="T339" s="13">
        <v>2039.3900000000001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1801.3699999999999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1064.3299999999999</v>
      </c>
      <c r="C340" s="14">
        <f>IFERROR(B340/B446, "NA")</f>
      </c>
      <c r="D340" s="15"/>
      <c r="E340" s="13">
        <v>679.79999999999995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1067.49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1064.3299999999999</v>
      </c>
      <c r="R340" s="14">
        <f>IFERROR(Q340/Q446, "NA")</f>
      </c>
      <c r="S340" s="15"/>
      <c r="T340" s="13">
        <v>679.79999999999995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1067.49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819.94000000000005</v>
      </c>
      <c r="C341" s="14">
        <f>IFERROR(B341/B446, "NA")</f>
      </c>
      <c r="D341" s="15"/>
      <c r="E341" s="13">
        <v>679.79999999999995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980.57000000000005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819.94000000000005</v>
      </c>
      <c r="R341" s="14">
        <f>IFERROR(Q341/Q446, "NA")</f>
      </c>
      <c r="S341" s="15"/>
      <c r="T341" s="13">
        <v>679.79999999999995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980.57000000000005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1031.99</v>
      </c>
      <c r="C342" s="14">
        <f>IFERROR(B342/B446, "NA")</f>
      </c>
      <c r="D342" s="15"/>
      <c r="E342" s="13">
        <v>874.02999999999997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1051.7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1031.99</v>
      </c>
      <c r="R342" s="14">
        <f>IFERROR(Q342/Q446, "NA")</f>
      </c>
      <c r="S342" s="15"/>
      <c r="T342" s="13">
        <v>874.02999999999997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1051.7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9973.0400000000009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9973.0400000000009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10648.879999999999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9780.8999999999996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10648.879999999999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9780.8999999999996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-48.439999999999998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-51.75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-48.439999999999998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-51.75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-6.25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77.180000000000007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-6.25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77.180000000000007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90959.490000000005</v>
      </c>
      <c r="C446" s="33"/>
      <c r="D446" s="15"/>
      <c r="E446" s="13">
        <v>97113.979999999996</v>
      </c>
      <c r="F446" s="33"/>
      <c r="G446" s="15"/>
      <c r="H446" s="16">
        <f>IFERROR(B446-E446, "NA")</f>
      </c>
      <c r="I446" s="33"/>
      <c r="J446" s="15"/>
      <c r="K446" s="13">
        <v>95490.639999999999</v>
      </c>
      <c r="L446" s="33"/>
      <c r="M446" s="15"/>
      <c r="N446" s="16">
        <f>IFERROR(B446-K446, "NA")</f>
      </c>
      <c r="O446" s="33"/>
      <c r="P446" s="15"/>
      <c r="Q446" s="13">
        <v>90959.490000000005</v>
      </c>
      <c r="R446" s="33"/>
      <c r="S446" s="15"/>
      <c r="T446" s="13">
        <v>97113.979999999996</v>
      </c>
      <c r="U446" s="33"/>
      <c r="V446" s="15"/>
      <c r="W446" s="16">
        <f>IFERROR(Q446-T446, "NA")</f>
      </c>
      <c r="X446" s="33"/>
      <c r="Y446" s="15"/>
      <c r="Z446" s="13">
        <v>95490.639999999999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2026-07-18T07:49:31Z</dcterms:created>
  <dcterms:modified xsi:type="dcterms:W3CDTF">2026-07-18T07:49:31Z</dcterms:modified>
</cp:coreProperties>
</file>